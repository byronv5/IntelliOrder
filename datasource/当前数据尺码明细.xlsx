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75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Sheet1!$A$1:$AB$4372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<sst xmlns="http://schemas.openxmlformats.org/spreadsheetml/2006/main" count="70507" uniqueCount="2460">
  <si>
    <t>区域</t>
  </si>
  <si>
    <t>品牌</t>
  </si>
  <si>
    <t>年份</t>
  </si>
  <si>
    <t>季节</t>
  </si>
  <si>
    <t>款号</t>
  </si>
  <si>
    <t>商品描述</t>
  </si>
  <si>
    <t>颜色</t>
  </si>
  <si>
    <t>PIC</t>
  </si>
  <si>
    <t>上市时间</t>
  </si>
  <si>
    <t>Dimension</t>
  </si>
  <si>
    <t>标准价</t>
  </si>
  <si>
    <t>QTY量</t>
  </si>
  <si>
    <t>QTY金额</t>
  </si>
  <si>
    <t>QTY折后</t>
  </si>
  <si>
    <t>尺码带范围</t>
  </si>
  <si>
    <t>尺码</t>
  </si>
  <si>
    <t>订货尺码明细</t>
  </si>
  <si>
    <t>SUM尺码</t>
  </si>
  <si>
    <t>确认下单量</t>
  </si>
  <si>
    <t>差异</t>
  </si>
  <si>
    <t>大类</t>
  </si>
  <si>
    <t>中类</t>
  </si>
  <si>
    <t>性别</t>
  </si>
  <si>
    <t>色系</t>
  </si>
  <si>
    <t>面料</t>
  </si>
  <si>
    <t>版型</t>
  </si>
  <si>
    <t>功能</t>
  </si>
  <si>
    <t>货号</t>
  </si>
  <si>
    <t>陕西</t>
  </si>
  <si>
    <t>早秋-TH</t>
  </si>
  <si>
    <t>春夏</t>
  </si>
  <si>
    <t>MW0MW41531C14</t>
  </si>
  <si>
    <t>PIGMENT DYED LINEN RF SHIRT S/S</t>
  </si>
  <si>
    <t>C14</t>
  </si>
  <si>
    <t>/product/micro/MW0MW41531C14.jpg</t>
  </si>
  <si>
    <t>20270515</t>
  </si>
  <si>
    <t>00</t>
  </si>
  <si>
    <t>XXS-XXXL</t>
  </si>
  <si>
    <t>XS</t>
  </si>
  <si>
    <t>蓝色</t>
  </si>
  <si>
    <t>亚麻</t>
  </si>
  <si>
    <t>常规版</t>
  </si>
  <si>
    <t>S</t>
  </si>
  <si>
    <t>M</t>
  </si>
  <si>
    <t>L</t>
  </si>
  <si>
    <t>XL</t>
  </si>
  <si>
    <t>XXL</t>
  </si>
  <si>
    <t>MW0MW41531DCC</t>
  </si>
  <si>
    <t>DCC</t>
  </si>
  <si>
    <t>/product/micro/MW0MW41531DCC.jpg</t>
  </si>
  <si>
    <t>深蓝色</t>
  </si>
  <si>
    <t>MW0MW41531LXY</t>
  </si>
  <si>
    <t>LXY</t>
  </si>
  <si>
    <t>/product/micro/MW0MW41531LXY.jpg</t>
  </si>
  <si>
    <t>绿色</t>
  </si>
  <si>
    <t>MW0MW41531TOL</t>
  </si>
  <si>
    <t>TOL</t>
  </si>
  <si>
    <t>/product/micro/MW0MW41531TOL.jpg</t>
  </si>
  <si>
    <t>粉色</t>
  </si>
  <si>
    <t>MW0MW41531YBR</t>
  </si>
  <si>
    <t>YBR</t>
  </si>
  <si>
    <t>/product/micro/MW0MW41531YBR.jpg</t>
  </si>
  <si>
    <t>白色</t>
  </si>
  <si>
    <t>MW0MW44353AEG</t>
  </si>
  <si>
    <t>DOVER 8" PO SORONA LINEN</t>
  </si>
  <si>
    <t>AEG</t>
  </si>
  <si>
    <t>/product/micro/MW0MW44353AEG.jpg</t>
  </si>
  <si>
    <t>NI</t>
  </si>
  <si>
    <t>24-44</t>
  </si>
  <si>
    <t>29</t>
  </si>
  <si>
    <t>卡其色</t>
  </si>
  <si>
    <t>多佛(常规直筒）</t>
  </si>
  <si>
    <t>30</t>
  </si>
  <si>
    <t>31</t>
  </si>
  <si>
    <t>32</t>
  </si>
  <si>
    <t>33</t>
  </si>
  <si>
    <t>34</t>
  </si>
  <si>
    <t>36</t>
  </si>
  <si>
    <t>38</t>
  </si>
  <si>
    <t>40</t>
  </si>
  <si>
    <t>MW0MW44353MAT</t>
  </si>
  <si>
    <t>MAT</t>
  </si>
  <si>
    <t>/product/micro/MW0MW44353MAT.jpg</t>
  </si>
  <si>
    <t>MW0MW44353YA8</t>
  </si>
  <si>
    <t>YA8</t>
  </si>
  <si>
    <t>/product/micro/MW0MW44353YA8.jpg</t>
  </si>
  <si>
    <t>象牙白</t>
  </si>
  <si>
    <t>MW0MW461070A4</t>
  </si>
  <si>
    <t>LINEN BLEND SPACED STP S/S RF</t>
  </si>
  <si>
    <t>0A4</t>
  </si>
  <si>
    <t>/product/micro/MW0MW461070A4.jpg</t>
  </si>
  <si>
    <t>MW0MW461070A5</t>
  </si>
  <si>
    <t>0A5</t>
  </si>
  <si>
    <t>/product/micro/MW0MW461070A5.jpg</t>
  </si>
  <si>
    <t>浅蓝色</t>
  </si>
  <si>
    <t>MW0MW461070CD</t>
  </si>
  <si>
    <t>0CD</t>
  </si>
  <si>
    <t>/product/micro/MW0MW461070CD.jpg</t>
  </si>
  <si>
    <t>MW0MW46474DW5</t>
  </si>
  <si>
    <t>PERFORMANCE S/S SEERSUCKER SHIRT</t>
  </si>
  <si>
    <t>DW5</t>
  </si>
  <si>
    <t>/product/micro/MW0MW46474DW5.jpg</t>
  </si>
  <si>
    <t>藏蓝色</t>
  </si>
  <si>
    <t>泡泡纱</t>
  </si>
  <si>
    <t>宽松版</t>
  </si>
  <si>
    <t>MW0MW46474YA8</t>
  </si>
  <si>
    <t>/product/micro/MW0MW46474YA8.jpg</t>
  </si>
  <si>
    <t>提前交单</t>
  </si>
  <si>
    <t>AM0AM13008ACI</t>
  </si>
  <si>
    <t>TH FLAG COTTON 6 PANEL CAP</t>
  </si>
  <si>
    <t>ACI</t>
  </si>
  <si>
    <t>/product/micro/AM0AM13008ACI.jpg</t>
  </si>
  <si>
    <t>20270415</t>
  </si>
  <si>
    <t>OS</t>
  </si>
  <si>
    <t>斜纹棉硬帽型</t>
  </si>
  <si>
    <t>AM0AM13173BDS</t>
  </si>
  <si>
    <t>ADAN REVERSIBLE 3.5</t>
  </si>
  <si>
    <t>BDS</t>
  </si>
  <si>
    <t>/product/micro/AM0AM13173BDS.jpg</t>
  </si>
  <si>
    <t>20270215</t>
  </si>
  <si>
    <t>90-110</t>
  </si>
  <si>
    <t>90</t>
  </si>
  <si>
    <t>黑色</t>
  </si>
  <si>
    <t>黑色+咖啡棕色牛皮</t>
  </si>
  <si>
    <t>95</t>
  </si>
  <si>
    <t>100</t>
  </si>
  <si>
    <t>105</t>
  </si>
  <si>
    <t>110</t>
  </si>
  <si>
    <t>AM0AM14099ACC</t>
  </si>
  <si>
    <t>TH FLAG '85 SOFT 6 PANEL CAP</t>
  </si>
  <si>
    <t>ACC</t>
  </si>
  <si>
    <t>/product/micro/AM0AM14099ACC.jpg</t>
  </si>
  <si>
    <t>斜纹棉软帽型</t>
  </si>
  <si>
    <t>MW0MW38910RBT</t>
  </si>
  <si>
    <t>STRETCH TWILL DENTON ？ EL WB</t>
  </si>
  <si>
    <t>/product/micro/MW0MW38910AEG.jpg</t>
  </si>
  <si>
    <t>下搭</t>
  </si>
  <si>
    <t>裤子</t>
  </si>
  <si>
    <t>男</t>
  </si>
  <si>
    <t>弹力斜纹</t>
  </si>
  <si>
    <t>丹顿</t>
  </si>
  <si>
    <t>MW0MW38910DW5</t>
  </si>
  <si>
    <t>/product/micro/MW0MW38910DW5.jpg</t>
  </si>
  <si>
    <t>MW0MW391670QY</t>
  </si>
  <si>
    <t>HERIT OXFORD RWB CHK SS RF SHIRT</t>
  </si>
  <si>
    <t>0QY</t>
  </si>
  <si>
    <t>/product/micro/MW0MW391670QY.jpg</t>
  </si>
  <si>
    <t>20270315</t>
  </si>
  <si>
    <t>内搭</t>
  </si>
  <si>
    <t>短袖衬衫</t>
  </si>
  <si>
    <t>牛津纺</t>
  </si>
  <si>
    <t>MW0MW413150GY</t>
  </si>
  <si>
    <t>AF LIGHT OXFORD SOLID SS SHIRT</t>
  </si>
  <si>
    <t>0GY</t>
  </si>
  <si>
    <t>/product/micro/MW0MW413150GY.jpg</t>
  </si>
  <si>
    <t>亚洲版</t>
  </si>
  <si>
    <t>MW0MW41315DW5</t>
  </si>
  <si>
    <t>/product/micro/MW0MW41315DW5.jpg</t>
  </si>
  <si>
    <t>MW0MW41315YBS</t>
  </si>
  <si>
    <t>YBS</t>
  </si>
  <si>
    <t>/product/micro/MW0MW41315YBS.jpg</t>
  </si>
  <si>
    <t>MW0MW42309BDS</t>
  </si>
  <si>
    <t>PERFORMANCE PIQUE REG POLO</t>
  </si>
  <si>
    <t>/product/micro/MW0MW42309BDS.jpg</t>
  </si>
  <si>
    <t>短袖POLO衫</t>
  </si>
  <si>
    <t>珠地网眼</t>
  </si>
  <si>
    <t>凉感，防晒</t>
  </si>
  <si>
    <t>MW0MW42309C4U</t>
  </si>
  <si>
    <t>C4U</t>
  </si>
  <si>
    <t>/product/micro/MW0MW42309C4U.jpg</t>
  </si>
  <si>
    <t>MW0MW42309YBR</t>
  </si>
  <si>
    <t>/product/micro/MW0MW42309YBR.jpg</t>
  </si>
  <si>
    <t>WW0WW4924703L</t>
  </si>
  <si>
    <t>MULTISTRIPE MODERN SS POLO</t>
  </si>
  <si>
    <t>03L</t>
  </si>
  <si>
    <t>/product/micro/WW0WW4924703L.jpg</t>
  </si>
  <si>
    <t>XXS-XL</t>
  </si>
  <si>
    <t>XXS</t>
  </si>
  <si>
    <t>女</t>
  </si>
  <si>
    <t>-</t>
  </si>
  <si>
    <t>WW0WW49338C1G</t>
  </si>
  <si>
    <t>IM AF INTERLOCK C-NK S/S TEE</t>
  </si>
  <si>
    <t>C1G</t>
  </si>
  <si>
    <t>/product/micro/WW0WW49338C1G.jpg</t>
  </si>
  <si>
    <t>短袖T恤</t>
  </si>
  <si>
    <t>WW0WW49338TPG</t>
  </si>
  <si>
    <t>TPG</t>
  </si>
  <si>
    <t>/product/micro/WW0WW49338TPG.jpg</t>
  </si>
  <si>
    <t>WW0WW49338YBL</t>
  </si>
  <si>
    <t>YBL</t>
  </si>
  <si>
    <t>/product/micro/WW0WW49338YBL.jpg</t>
  </si>
  <si>
    <t>米白</t>
  </si>
  <si>
    <t>WW0WW49599AEG</t>
  </si>
  <si>
    <t>NEW ESS LINEN TAILORED STRT PANT</t>
  </si>
  <si>
    <t>/product/micro/WW0WW49599AEG.jpg</t>
  </si>
  <si>
    <t>32-40</t>
  </si>
  <si>
    <t>直筒裤</t>
  </si>
  <si>
    <t>工服</t>
  </si>
  <si>
    <t>FM0FM06412YBS</t>
  </si>
  <si>
    <t>COMFORT KNITTED COURT SNEAKERS</t>
  </si>
  <si>
    <t>/product/micro/FM0FM06412YBS.jpg</t>
  </si>
  <si>
    <t>40-48</t>
  </si>
  <si>
    <t>针织网面</t>
  </si>
  <si>
    <t>41</t>
  </si>
  <si>
    <t>42</t>
  </si>
  <si>
    <t>43</t>
  </si>
  <si>
    <t>44</t>
  </si>
  <si>
    <t>45</t>
  </si>
  <si>
    <t>46</t>
  </si>
  <si>
    <t>47</t>
  </si>
  <si>
    <t>48</t>
  </si>
  <si>
    <t>FW0FW09896AEO</t>
  </si>
  <si>
    <t>TH TRIBECA ESPADRILLE SNEAKERS</t>
  </si>
  <si>
    <t>AEO</t>
  </si>
  <si>
    <t>/product/micro/FW0FW09896AEO.jpg</t>
  </si>
  <si>
    <t>36-42</t>
  </si>
  <si>
    <t>帆布草编底</t>
  </si>
  <si>
    <t>37</t>
  </si>
  <si>
    <t>39</t>
  </si>
  <si>
    <t>MW0MW46283AEH</t>
  </si>
  <si>
    <t>DOVER COMFORT CHINO</t>
  </si>
  <si>
    <t>AEH</t>
  </si>
  <si>
    <t>/product/micro/MW0MW46283AEH.jpg</t>
  </si>
  <si>
    <t>天丝斜纹</t>
  </si>
  <si>
    <t>MW0MW46487L20</t>
  </si>
  <si>
    <t>KNITTED OXFORD JONNY COLLAR POLO</t>
  </si>
  <si>
    <t>L20</t>
  </si>
  <si>
    <t>/product/micro/MW0MW46487L20.jpg</t>
  </si>
  <si>
    <t>杂花</t>
  </si>
  <si>
    <t>MW0MW475190EX</t>
  </si>
  <si>
    <t>AF LINEN BENGAL STRIPE RF SHIRT</t>
  </si>
  <si>
    <t>0EX</t>
  </si>
  <si>
    <t>/product/micro/MW0MW475190EX.jpg</t>
  </si>
  <si>
    <t>长袖衬衫</t>
  </si>
  <si>
    <t>MW0MW47713DW5</t>
  </si>
  <si>
    <t>NAUTICAL BACK PHOTO T-SHIRT 2</t>
  </si>
  <si>
    <t>/product/micro/MW0MW47713DW5.jpg</t>
  </si>
  <si>
    <t>重磅平纹针织</t>
  </si>
  <si>
    <t>MW0MW47743RBN</t>
  </si>
  <si>
    <t>IM CS HUNTING IVY JACKET</t>
  </si>
  <si>
    <t>RBN</t>
  </si>
  <si>
    <t>/product/micro/MW0MW47743RBN.jpg</t>
  </si>
  <si>
    <t>外套</t>
  </si>
  <si>
    <t>灰色</t>
  </si>
  <si>
    <t>WW0WW40587YBL</t>
  </si>
  <si>
    <t>CODY COTTON RIB C-NECK T-SHIRT</t>
  </si>
  <si>
    <t>/product/micro/WW0WW40587YBL.jpg</t>
  </si>
  <si>
    <t>合身版</t>
  </si>
  <si>
    <t>WW0WW4561203K</t>
  </si>
  <si>
    <t>ESS POPLIN EASY FIT SHIRT</t>
  </si>
  <si>
    <t>03K</t>
  </si>
  <si>
    <t>/product/micro/WW0WW4561203K.jpg</t>
  </si>
  <si>
    <t>WW0WW53153Z00</t>
  </si>
  <si>
    <t>COTTON POLO SHORT SLEEVE SWEATER</t>
  </si>
  <si>
    <t>Z00</t>
  </si>
  <si>
    <t>/product/micro/WW0WW53153Z00.jpg</t>
  </si>
  <si>
    <t>WW0WW54935AEG</t>
  </si>
  <si>
    <t>LIGHT COTTON WIDE LEG CHINO</t>
  </si>
  <si>
    <t>/product/micro/WW0WW53854AEG.jpg</t>
  </si>
  <si>
    <t>阔腿裤</t>
  </si>
  <si>
    <t>WW0WW539570LD</t>
  </si>
  <si>
    <t>IM - REVERSIBLE WINDBREAKER</t>
  </si>
  <si>
    <t>0LD</t>
  </si>
  <si>
    <t>/product/micro/WW0WW539570LD.jpg</t>
  </si>
  <si>
    <t>TJ</t>
  </si>
  <si>
    <t>AM0AM150761A4</t>
  </si>
  <si>
    <t>TJM SUMMER DENIM TOTE</t>
  </si>
  <si>
    <t>1A4</t>
  </si>
  <si>
    <t>/product/micro/AM0AM150761A4.jpg</t>
  </si>
  <si>
    <t>46461</t>
  </si>
  <si>
    <t>AM0AM15081DW5</t>
  </si>
  <si>
    <t>TJM SUMMER COLORBLOCK TOTE</t>
  </si>
  <si>
    <t>/product/micro/AM0AM15081DW5.jpg</t>
  </si>
  <si>
    <t>AM0AM15098BDS</t>
  </si>
  <si>
    <t>TJM ESS DAILY SACOCHE</t>
  </si>
  <si>
    <t>/product/micro/AM0AM15098BDS.jpg</t>
  </si>
  <si>
    <t>46433</t>
  </si>
  <si>
    <t>AM0AM152381A4</t>
  </si>
  <si>
    <t>TJM SUMMER DENIM DOME BACKPACK</t>
  </si>
  <si>
    <t>/product/micro/AM0AM152381A4.jpg</t>
  </si>
  <si>
    <t>AW0AW18358YBI</t>
  </si>
  <si>
    <t>TJW SCRIPT LOGO CAP</t>
  </si>
  <si>
    <t>YBI</t>
  </si>
  <si>
    <t>/product/micro/AW0AW18358YBI.jpg</t>
  </si>
  <si>
    <t>AW0AW19595BDS</t>
  </si>
  <si>
    <t>TJW BOLD SCRIPT SHOULDER BAG</t>
  </si>
  <si>
    <t>/product/micro/AW0AW19595BDS.jpg</t>
  </si>
  <si>
    <t>AW0AW19615ACG</t>
  </si>
  <si>
    <t>TJW ESS DAILY SHOULDER BAG</t>
  </si>
  <si>
    <t>ACG</t>
  </si>
  <si>
    <t>/product/micro/AW0AW19615ACG.jpg</t>
  </si>
  <si>
    <t>AW0AW196321A4</t>
  </si>
  <si>
    <t>TJW COOL HOBO TOTE DENIM MONO</t>
  </si>
  <si>
    <t>/product/micro/AW0AW196321A4.jpg</t>
  </si>
  <si>
    <t>AW0AW196421A4</t>
  </si>
  <si>
    <t>TJW COOL MINI BAG CHAIN DENIM</t>
  </si>
  <si>
    <t>/product/micro/AW0AW196421A4.jpg</t>
  </si>
  <si>
    <t>AW0AW19681BDS</t>
  </si>
  <si>
    <t>TJW WESTERN 3.0</t>
  </si>
  <si>
    <t>/product/micro/AW0AW19681BDS.jpg</t>
  </si>
  <si>
    <t>75-95</t>
  </si>
  <si>
    <t>75</t>
  </si>
  <si>
    <t>80</t>
  </si>
  <si>
    <t>85</t>
  </si>
  <si>
    <t>AW0AW197631AA</t>
  </si>
  <si>
    <t>TJW SCRIPT DENIM CAP</t>
  </si>
  <si>
    <t>1AA</t>
  </si>
  <si>
    <t>/product/micro/AW0AW197631AA.jpg</t>
  </si>
  <si>
    <t>牛仔兰</t>
  </si>
  <si>
    <t>DM0DM233471AB</t>
  </si>
  <si>
    <t>Scanton Slim Jeans</t>
  </si>
  <si>
    <t>1AB</t>
  </si>
  <si>
    <t>/product/micro/DM0DM233471AB.jpg</t>
  </si>
  <si>
    <t>浅牛仔兰</t>
  </si>
  <si>
    <t>DM0DM239831A5</t>
  </si>
  <si>
    <t>Jacob Barrel Jeans</t>
  </si>
  <si>
    <t>1A5</t>
  </si>
  <si>
    <t>/product/micro/DM0DM239831A5.jpg</t>
  </si>
  <si>
    <t>28</t>
  </si>
  <si>
    <t>DM0DM240061AB</t>
  </si>
  <si>
    <t>Otis Straight Jeans</t>
  </si>
  <si>
    <t>/product/micro/DM0DM240061AB.jpg</t>
  </si>
  <si>
    <t>牛仔裤</t>
  </si>
  <si>
    <t>DM0DM240131A5</t>
  </si>
  <si>
    <t>Jaimie Loose Straight Jeans</t>
  </si>
  <si>
    <t>/product/micro/DM0DM240131A5.jpg</t>
  </si>
  <si>
    <t>DM0DM240211A5</t>
  </si>
  <si>
    <t>Sonny Tapered Jeans</t>
  </si>
  <si>
    <t>/product/micro/DM0DM240211A5.jpg</t>
  </si>
  <si>
    <t>DM0DM240361BK</t>
  </si>
  <si>
    <t>1BK</t>
  </si>
  <si>
    <t>/product/micro/DM0DM240361BK.jpg</t>
  </si>
  <si>
    <t>深牛仔兰</t>
  </si>
  <si>
    <t>DM0DM240481AB</t>
  </si>
  <si>
    <t>Archive Trucker Jacket</t>
  </si>
  <si>
    <t>/product/micro/DM0DM240481AB.jpg</t>
  </si>
  <si>
    <t>DM0DM240501BK</t>
  </si>
  <si>
    <t>Hooded Jacket</t>
  </si>
  <si>
    <t>/product/micro/DM0DM240501BK.jpg</t>
  </si>
  <si>
    <t>DM0DM24083C1G</t>
  </si>
  <si>
    <t>Rowing Jersey Polo</t>
  </si>
  <si>
    <t>/product/micro/DM0DM24083C1G.jpg</t>
  </si>
  <si>
    <t>DM0DM24083Q13</t>
  </si>
  <si>
    <t>Q13</t>
  </si>
  <si>
    <t>/product/micro/DM0DM24083Q13.jpg</t>
  </si>
  <si>
    <t>DM0DM24083YBH</t>
  </si>
  <si>
    <t>YBH</t>
  </si>
  <si>
    <t>/product/micro/DM0DM24083YBH.jpg</t>
  </si>
  <si>
    <t>DM0DM240890GY</t>
  </si>
  <si>
    <t>Colorblock Shortsleeve Rugby</t>
  </si>
  <si>
    <t>/product/micro/DM0DM240890GY.jpg</t>
  </si>
  <si>
    <t>DM0DM24092BDS</t>
  </si>
  <si>
    <t>Icon Fit Arch T-Shirt</t>
  </si>
  <si>
    <t>/product/micro/DM0DM24092BDS.jpg</t>
  </si>
  <si>
    <t>DM0DM24092C4V</t>
  </si>
  <si>
    <t>C4V</t>
  </si>
  <si>
    <t>/product/micro/DM0DM24092C4V.jpg</t>
  </si>
  <si>
    <t>DM0DM24092YBH</t>
  </si>
  <si>
    <t>/product/micro/DM0DM24092YBH.jpg</t>
  </si>
  <si>
    <t>DM0DM24093BDS</t>
  </si>
  <si>
    <t>Scribble Backprint T-Shirt</t>
  </si>
  <si>
    <t>/product/micro/DM0DM24093BDS.jpg</t>
  </si>
  <si>
    <t>DM0DM24093L4F</t>
  </si>
  <si>
    <t>L4F</t>
  </si>
  <si>
    <t>/product/micro/DM0DM24093L4F.jpg</t>
  </si>
  <si>
    <t>DM0DM24101C1G</t>
  </si>
  <si>
    <t>Lakeside Graphic T-Shirt</t>
  </si>
  <si>
    <t>/product/micro/DM0DM24101C1G.jpg</t>
  </si>
  <si>
    <t>DM0DM24101XLE</t>
  </si>
  <si>
    <t>XLE</t>
  </si>
  <si>
    <t>/product/micro/DM0DM24101XLE.jpg</t>
  </si>
  <si>
    <t>DM0DM241190HB</t>
  </si>
  <si>
    <t>Chicago Windbreaker</t>
  </si>
  <si>
    <t>0HB</t>
  </si>
  <si>
    <t>/product/micro/DM0DM241190HB.jpg</t>
  </si>
  <si>
    <t>DM0DM24124C1G</t>
  </si>
  <si>
    <t>Varsity Bomber Jacket</t>
  </si>
  <si>
    <t>/product/micro/DM0DM24124C1G.jpg</t>
  </si>
  <si>
    <t>DM0DM24126AEN</t>
  </si>
  <si>
    <t>Chicago Workwear Popover Jacket</t>
  </si>
  <si>
    <t>AEN</t>
  </si>
  <si>
    <t>/product/micro/DM0DM24126AEN.jpg</t>
  </si>
  <si>
    <t>DM0DM24127C4N</t>
  </si>
  <si>
    <t>Novelty Graphic T-Shirt</t>
  </si>
  <si>
    <t>C4N</t>
  </si>
  <si>
    <t>/product/micro/DM0DM24127C4N.jpg</t>
  </si>
  <si>
    <t>DM0DM24127F00</t>
  </si>
  <si>
    <t>F00</t>
  </si>
  <si>
    <t>/product/micro/DM0DM24127F00.jpg</t>
  </si>
  <si>
    <t>DM0DM24127YBH</t>
  </si>
  <si>
    <t>/product/micro/DM0DM24127YBH.jpg</t>
  </si>
  <si>
    <t>DM0DM24127YBL</t>
  </si>
  <si>
    <t>/product/micro/DM0DM24127YBL.jpg</t>
  </si>
  <si>
    <t>DM0DM24133Q13</t>
  </si>
  <si>
    <t>Icon Fit Varsity Graphic T-Shirt</t>
  </si>
  <si>
    <t>/product/micro/DM0DM24133Q13.jpg</t>
  </si>
  <si>
    <t>DM0DM24133ZP6</t>
  </si>
  <si>
    <t>ZP6</t>
  </si>
  <si>
    <t>/product/micro/DM0DM24133ZP6.jpg</t>
  </si>
  <si>
    <t>DM0DM24141ACH</t>
  </si>
  <si>
    <t>Jacquard Knitted Cardigan SS</t>
  </si>
  <si>
    <t>ACH</t>
  </si>
  <si>
    <t>/product/micro/DM0DM24141ACH.jpg</t>
  </si>
  <si>
    <t>46492</t>
  </si>
  <si>
    <t>DM0DM24159C1G</t>
  </si>
  <si>
    <t>Relaxed Ripstop Shirt</t>
  </si>
  <si>
    <t>/product/micro/DM0DM24159C1G.jpg</t>
  </si>
  <si>
    <t>DM0DM24159MR6</t>
  </si>
  <si>
    <t>MR6</t>
  </si>
  <si>
    <t>/product/micro/DM0DM24159MR6.jpg</t>
  </si>
  <si>
    <t>DM0DM24175C1G</t>
  </si>
  <si>
    <t>Scout Ripstop Cargo Pants</t>
  </si>
  <si>
    <t>/product/micro/DM0DM24175C1G.jpg</t>
  </si>
  <si>
    <t>锥形裤</t>
  </si>
  <si>
    <t>DM0DM24175MR6</t>
  </si>
  <si>
    <t>/product/micro/DM0DM24175MR6.jpg</t>
  </si>
  <si>
    <t>DM0DM24219C1G</t>
  </si>
  <si>
    <t>Relaxed Rowing Cardigan</t>
  </si>
  <si>
    <t>/product/micro/DM0DM24219C1G.jpg</t>
  </si>
  <si>
    <t>DM0DM24219L4F</t>
  </si>
  <si>
    <t>/product/micro/DM0DM24219L4F.jpg</t>
  </si>
  <si>
    <t>DM0DM24234ACQ</t>
  </si>
  <si>
    <t>Theo Baggy Parachute Pants</t>
  </si>
  <si>
    <t>ACQ</t>
  </si>
  <si>
    <t>/product/micro/DM0DM24234ACQ.jpg</t>
  </si>
  <si>
    <t>DM0DM24234MR6</t>
  </si>
  <si>
    <t>/product/micro/DM0DM24234MR6.jpg</t>
  </si>
  <si>
    <t>DM0DM24254ZP6</t>
  </si>
  <si>
    <t>Relaxed Fit Badge Stripe T-Shirt</t>
  </si>
  <si>
    <t>/product/micro/DM0DM24254ZP6.jpg</t>
  </si>
  <si>
    <t>DM0DM24257BDS</t>
  </si>
  <si>
    <t>Signature Beach Short</t>
  </si>
  <si>
    <t>/product/micro/DM0DM24257BDS.jpg</t>
  </si>
  <si>
    <t>DM0DM24257C4V</t>
  </si>
  <si>
    <t>/product/micro/DM0DM24257C4V.jpg</t>
  </si>
  <si>
    <t>DM0DM24273C1G</t>
  </si>
  <si>
    <t>Relaxed Rowing T-Shirt</t>
  </si>
  <si>
    <t>/product/micro/DM0DM24273C1G.jpg</t>
  </si>
  <si>
    <t>DM0DM24273YBH</t>
  </si>
  <si>
    <t>/product/micro/DM0DM24273YBH.jpg</t>
  </si>
  <si>
    <t>DM0DM243401A5</t>
  </si>
  <si>
    <t>Otis Straight Short</t>
  </si>
  <si>
    <t>/product/micro/DM0DM243401A5.jpg</t>
  </si>
  <si>
    <t>DM0DM243461A5</t>
  </si>
  <si>
    <t>Theo Baggy Short</t>
  </si>
  <si>
    <t>/product/micro/DM0DM243461A5.jpg</t>
  </si>
  <si>
    <t>DM0DM24365C65</t>
  </si>
  <si>
    <t>Icon Fit Athletics T-Shirt</t>
  </si>
  <si>
    <t>C65</t>
  </si>
  <si>
    <t>/product/micro/DM0DM24365C65.jpg</t>
  </si>
  <si>
    <t>DM0DM24365YBL</t>
  </si>
  <si>
    <t>/product/micro/DM0DM24365YBL.jpg</t>
  </si>
  <si>
    <t>DM0DM24365ZEZ</t>
  </si>
  <si>
    <t>ZEZ</t>
  </si>
  <si>
    <t>/product/micro/DM0DM24365ZEZ.jpg</t>
  </si>
  <si>
    <t>DM0DM24367YBL</t>
  </si>
  <si>
    <t>/product/micro/DM0DM24367YBL.jpg</t>
  </si>
  <si>
    <t>DM0DM24368XLE</t>
  </si>
  <si>
    <t>Relaxed Athletics Vest</t>
  </si>
  <si>
    <t>/product/micro/DM0DM24368XLE.jpg</t>
  </si>
  <si>
    <t>背心</t>
  </si>
  <si>
    <t>DM0DM24370XLE</t>
  </si>
  <si>
    <t>Basketball Short</t>
  </si>
  <si>
    <t>/product/micro/DM0DM24370XLE.jpg</t>
  </si>
  <si>
    <t>DM0DM24371F00</t>
  </si>
  <si>
    <t>Archive Fit Athletics Polo</t>
  </si>
  <si>
    <t>/product/micro/DM0DM24371F00.jpg</t>
  </si>
  <si>
    <t>Cropped</t>
  </si>
  <si>
    <t>DM0DM24389C1G</t>
  </si>
  <si>
    <t>Poplin Overshirt Short Sleeve</t>
  </si>
  <si>
    <t>/product/micro/DM0DM24389C1G.jpg</t>
  </si>
  <si>
    <t>DM0DM24389YBH</t>
  </si>
  <si>
    <t>/product/micro/DM0DM24389YBH.jpg</t>
  </si>
  <si>
    <t>DM0DM245651AB</t>
  </si>
  <si>
    <t>Relaxed Short Sleeve Shirt</t>
  </si>
  <si>
    <t>/product/micro/DM0DM245651AB.jpg</t>
  </si>
  <si>
    <t>DM0DM24638AEN</t>
  </si>
  <si>
    <t>Otis Straight Twill Cargo Shorts</t>
  </si>
  <si>
    <t>/product/micro/DM0DM24638AEN.jpg</t>
  </si>
  <si>
    <t>DM0DM24638BDS</t>
  </si>
  <si>
    <t>/product/micro/DM0DM24638BDS.jpg</t>
  </si>
  <si>
    <t>DN0DN00106YBL</t>
  </si>
  <si>
    <t>Icon Fit Big Flag T-Shirt</t>
  </si>
  <si>
    <t>/product/micro/DN0DN00106YBL.jpg</t>
  </si>
  <si>
    <t>DW0DW2061703Z</t>
  </si>
  <si>
    <t>Shirt Dress With Tie Detail</t>
  </si>
  <si>
    <t>03Z</t>
  </si>
  <si>
    <t>/product/micro/DW0DW2061703Z.jpg</t>
  </si>
  <si>
    <t>DW0DW206170YA</t>
  </si>
  <si>
    <t>0YA</t>
  </si>
  <si>
    <t>/product/micro/DW0DW206170YA.jpg</t>
  </si>
  <si>
    <t>DW0DW22325BDS</t>
  </si>
  <si>
    <t>Tie Side High Neck Jacket</t>
  </si>
  <si>
    <t>/product/micro/DW0DW22325BDS.jpg</t>
  </si>
  <si>
    <t>DW0DW22325YBL</t>
  </si>
  <si>
    <t>/product/micro/DW0DW22325YBL.jpg</t>
  </si>
  <si>
    <t>DW0DW237950AQ</t>
  </si>
  <si>
    <t>Slim Essential Rib Crew Neck</t>
  </si>
  <si>
    <t>0AQ</t>
  </si>
  <si>
    <t>/product/micro/DW0DW237950AQ.jpg</t>
  </si>
  <si>
    <t>DW0DW237950D9</t>
  </si>
  <si>
    <t>0D9</t>
  </si>
  <si>
    <t>/product/micro/DW0DW237950D9.jpg</t>
  </si>
  <si>
    <t>红色</t>
  </si>
  <si>
    <t>DW0DW23956C1G</t>
  </si>
  <si>
    <t>Strappy Flare Knitted Dress</t>
  </si>
  <si>
    <t>/product/micro/DW0DW23956C1G.jpg</t>
  </si>
  <si>
    <t>DW0DW23956ZP6</t>
  </si>
  <si>
    <t>/product/micro/DW0DW23956ZP6.jpg</t>
  </si>
  <si>
    <t>DW0DW23987TG8</t>
  </si>
  <si>
    <t>Slim Script Rib T-Shirt</t>
  </si>
  <si>
    <t>TG8</t>
  </si>
  <si>
    <t>/product/micro/DW0DW23987TG8.jpg</t>
  </si>
  <si>
    <t>DW0DW23987YBH</t>
  </si>
  <si>
    <t>/product/micro/DW0DW23987YBH.jpg</t>
  </si>
  <si>
    <t>DW0DW23990BDS</t>
  </si>
  <si>
    <t>Slim Racer Script Tank Top</t>
  </si>
  <si>
    <t>/product/micro/DW0DW23990BDS.jpg</t>
  </si>
  <si>
    <t>DW0DW23990YBH</t>
  </si>
  <si>
    <t>/product/micro/DW0DW23990YBH.jpg</t>
  </si>
  <si>
    <t>DW0DW24001YBL</t>
  </si>
  <si>
    <t>Slim Novelty T-Shirt</t>
  </si>
  <si>
    <t>/product/micro/DW0DW24001YBL.jpg</t>
  </si>
  <si>
    <t>DW0DW24014C3Q</t>
  </si>
  <si>
    <t>Relaxed Novelty Graphic T-Shirt</t>
  </si>
  <si>
    <t>C3Q</t>
  </si>
  <si>
    <t>/product/micro/DW0DW24014C3Q.jpg</t>
  </si>
  <si>
    <t>DW0DW24014TPW</t>
  </si>
  <si>
    <t>TPW</t>
  </si>
  <si>
    <t>/product/micro/DW0DW24014TPW.jpg</t>
  </si>
  <si>
    <t>DW0DW24014VMY</t>
  </si>
  <si>
    <t>VMY</t>
  </si>
  <si>
    <t>/product/micro/DW0DW24014VMY.jpg</t>
  </si>
  <si>
    <t>紫色</t>
  </si>
  <si>
    <t>DW0DW240320BC</t>
  </si>
  <si>
    <t>Boxy Archive Logo T-Shirt</t>
  </si>
  <si>
    <t>0BC</t>
  </si>
  <si>
    <t>/product/micro/DW0DW240320BC.jpg</t>
  </si>
  <si>
    <t>箱型</t>
  </si>
  <si>
    <t>DW0DW24032YBH</t>
  </si>
  <si>
    <t>/product/micro/DW0DW24032YBH.jpg</t>
  </si>
  <si>
    <t>DW0DW24156C1G</t>
  </si>
  <si>
    <t>Boxy Crop Badge Pique Polo</t>
  </si>
  <si>
    <t>/product/micro/DW0DW24156C1G.jpg</t>
  </si>
  <si>
    <t>DW0DW24156YBL</t>
  </si>
  <si>
    <t>/product/micro/DW0DW24156YBL.jpg</t>
  </si>
  <si>
    <t>DW0DW24165TG8</t>
  </si>
  <si>
    <t>Windbreaker Jacket</t>
  </si>
  <si>
    <t>/product/micro/DW0DW24165TG8.jpg</t>
  </si>
  <si>
    <t>DW0DW241661BK</t>
  </si>
  <si>
    <t>Easy Bomber Jacket</t>
  </si>
  <si>
    <t>/product/micro/DW0DW241661BK.jpg</t>
  </si>
  <si>
    <t>DW0DW24167C1G</t>
  </si>
  <si>
    <t>Cotton Bomber Jacket</t>
  </si>
  <si>
    <t>/product/micro/DW0DW24167C1G.jpg</t>
  </si>
  <si>
    <t>DW0DW24180YBH</t>
  </si>
  <si>
    <t>Graphic Cable Sweater</t>
  </si>
  <si>
    <t>/product/micro/DW0DW24180YBH.jpg</t>
  </si>
  <si>
    <t>DW0DW241870BH</t>
  </si>
  <si>
    <t>Button Through Collar Cardigan</t>
  </si>
  <si>
    <t>0BH</t>
  </si>
  <si>
    <t>/product/micro/DW0DW241870BH.jpg</t>
  </si>
  <si>
    <t>DW0DW241870FD</t>
  </si>
  <si>
    <t>0FD</t>
  </si>
  <si>
    <t>/product/micro/DW0DW241870FD.jpg</t>
  </si>
  <si>
    <t>针织衫</t>
  </si>
  <si>
    <t>DW0DW241880EY</t>
  </si>
  <si>
    <t>Sweater Tank Top</t>
  </si>
  <si>
    <t>0EY</t>
  </si>
  <si>
    <t>/product/micro/DW0DW241880EY.jpg</t>
  </si>
  <si>
    <t>DW0DW241880FD</t>
  </si>
  <si>
    <t>/product/micro/DW0DW241880FD.jpg</t>
  </si>
  <si>
    <t>DW0DW24189YBH</t>
  </si>
  <si>
    <t>Crochet Polo Sweater</t>
  </si>
  <si>
    <t>/product/micro/DW0DW24189YBH.jpg</t>
  </si>
  <si>
    <t>DW0DW241910GZ</t>
  </si>
  <si>
    <t>Tie Front Cap Sleeve Shirt</t>
  </si>
  <si>
    <t>0GZ</t>
  </si>
  <si>
    <t>/product/micro/DW0DW241910GZ.jpg</t>
  </si>
  <si>
    <t>DW0DW24191C3Q</t>
  </si>
  <si>
    <t>/product/micro/DW0DW24191C3Q.jpg</t>
  </si>
  <si>
    <t>DW0DW241930D3</t>
  </si>
  <si>
    <t>Oversized Graphic Shirt</t>
  </si>
  <si>
    <t>0D3</t>
  </si>
  <si>
    <t>/product/micro/DW0DW241930D3.jpg</t>
  </si>
  <si>
    <t>DW0DW24194C1G</t>
  </si>
  <si>
    <t>Crop Flag Shirt</t>
  </si>
  <si>
    <t>/product/micro/DW0DW24194C1G.jpg</t>
  </si>
  <si>
    <t>DW0DW242000A6</t>
  </si>
  <si>
    <t>Tie Front Linen Shirt</t>
  </si>
  <si>
    <t>0A6</t>
  </si>
  <si>
    <t>/product/micro/DW0DW242000A6.jpg</t>
  </si>
  <si>
    <t>蓝条纹</t>
  </si>
  <si>
    <t>DW0DW24200YBH</t>
  </si>
  <si>
    <t>/product/micro/DW0DW24200YBH.jpg</t>
  </si>
  <si>
    <t>DW0DW24208BDS</t>
  </si>
  <si>
    <t>Parachute Pants</t>
  </si>
  <si>
    <t>/product/micro/DW0DW24208BDS.jpg</t>
  </si>
  <si>
    <t>DW0DW24208MR6</t>
  </si>
  <si>
    <t>/product/micro/DW0DW24208MR6.jpg</t>
  </si>
  <si>
    <t>DW0DW24209AEN</t>
  </si>
  <si>
    <t>Pull On Barrel Workwear Pant</t>
  </si>
  <si>
    <t>/product/micro/DW0DW24209AEN.jpg</t>
  </si>
  <si>
    <t>DW0DW24209YBH</t>
  </si>
  <si>
    <t>/product/micro/DW0DW24209YBH.jpg</t>
  </si>
  <si>
    <t>DW0DW242130A6</t>
  </si>
  <si>
    <t>Pull On Linen Shorts</t>
  </si>
  <si>
    <t>/product/micro/DW0DW242130A6.jpg</t>
  </si>
  <si>
    <t>DW0DW24219BDS</t>
  </si>
  <si>
    <t>Wrap Skort</t>
  </si>
  <si>
    <t>/product/micro/DW0DW24219BDS.jpg</t>
  </si>
  <si>
    <t>DW0DW242411AB</t>
  </si>
  <si>
    <t>Layla High Rise Straight</t>
  </si>
  <si>
    <t>/product/micro/DW0DW242411AB.jpg</t>
  </si>
  <si>
    <t>25</t>
  </si>
  <si>
    <t>26</t>
  </si>
  <si>
    <t>27</t>
  </si>
  <si>
    <t>DW0DW242501AB</t>
  </si>
  <si>
    <t>Claire High Rise Wide</t>
  </si>
  <si>
    <t>/product/micro/DW0DW242501AB.jpg</t>
  </si>
  <si>
    <t>DW0DW242521A5</t>
  </si>
  <si>
    <t>Emmi Barrel</t>
  </si>
  <si>
    <t>/product/micro/DW0DW242521A5.jpg</t>
  </si>
  <si>
    <t>DW0DW242601AB</t>
  </si>
  <si>
    <t>Sylvia High Rise Bootcut</t>
  </si>
  <si>
    <t>/product/micro/DW0DW242601AB.jpg</t>
  </si>
  <si>
    <t>DW0DW242631BK</t>
  </si>
  <si>
    <t>/product/micro/DW0DW242631BK.jpg</t>
  </si>
  <si>
    <t>DW0DW242791DA</t>
  </si>
  <si>
    <t>1DA</t>
  </si>
  <si>
    <t>/product/micro/DW0DW242791DA.jpg</t>
  </si>
  <si>
    <t>DW0DW243151BK</t>
  </si>
  <si>
    <t>90s Mom Skirt</t>
  </si>
  <si>
    <t>/product/micro/DW0DW243151BK.jpg</t>
  </si>
  <si>
    <t>24</t>
  </si>
  <si>
    <t>DW0DW243251BK</t>
  </si>
  <si>
    <t>Archive Trucker Dress</t>
  </si>
  <si>
    <t>/product/micro/DW0DW243251BK.jpg</t>
  </si>
  <si>
    <t>连衣裙</t>
  </si>
  <si>
    <t>DW0DW243281AB</t>
  </si>
  <si>
    <t>/product/micro/DW0DW243281AB.jpg</t>
  </si>
  <si>
    <t>DW0DW24349C1G</t>
  </si>
  <si>
    <t>Badge Pique Skirt</t>
  </si>
  <si>
    <t>/product/micro/DW0DW24349C1G.jpg</t>
  </si>
  <si>
    <t>DW0DW243731AB</t>
  </si>
  <si>
    <t>90s Mom Short</t>
  </si>
  <si>
    <t>/product/micro/DW0DW243731AB.jpg</t>
  </si>
  <si>
    <t>DW0DW244641AB</t>
  </si>
  <si>
    <t>Emmi Barrel Short</t>
  </si>
  <si>
    <t>/product/micro/DW0DW244641AB.jpg</t>
  </si>
  <si>
    <t>DW0DW244651AB</t>
  </si>
  <si>
    <t>Dungaree Dress</t>
  </si>
  <si>
    <t>/product/micro/DW0DW244651AB.jpg</t>
  </si>
  <si>
    <t>DW0DW244661A5</t>
  </si>
  <si>
    <t>Claire High Rise Midi Skirt</t>
  </si>
  <si>
    <t>/product/micro/DW0DW244661A5.jpg</t>
  </si>
  <si>
    <t>半身裙</t>
  </si>
  <si>
    <t>DW0DW244731BK</t>
  </si>
  <si>
    <t>Easy Pants</t>
  </si>
  <si>
    <t>/product/micro/DW0DW244731BK.jpg</t>
  </si>
  <si>
    <t>DW0DW24491TG8</t>
  </si>
  <si>
    <t>Boxy Flag T-Shirt</t>
  </si>
  <si>
    <t>/product/micro/DW0DW24491TG8.jpg</t>
  </si>
  <si>
    <t>DW0DW24491YBH</t>
  </si>
  <si>
    <t>/product/micro/DW0DW24491YBH.jpg</t>
  </si>
  <si>
    <t>DW0DW24502F00</t>
  </si>
  <si>
    <t>Boxy Baseball Graphic T-Shirt</t>
  </si>
  <si>
    <t>/product/micro/DW0DW24502F00.jpg</t>
  </si>
  <si>
    <t>DW0DW24502P08</t>
  </si>
  <si>
    <t>P08</t>
  </si>
  <si>
    <t>/product/micro/DW0DW24502P08.jpg</t>
  </si>
  <si>
    <t>DW0DW24503YBL</t>
  </si>
  <si>
    <t>Boxy Long Sleeve T-Shirt</t>
  </si>
  <si>
    <t>/product/micro/DW0DW24503YBL.jpg</t>
  </si>
  <si>
    <t>卫衣</t>
  </si>
  <si>
    <t>DW0DW24513C1G</t>
  </si>
  <si>
    <t>Tipping Polo Dress</t>
  </si>
  <si>
    <t>/product/micro/DW0DW24513C1G.jpg</t>
  </si>
  <si>
    <t>DW0DW24513XLE</t>
  </si>
  <si>
    <t>/product/micro/DW0DW24513XLE.jpg</t>
  </si>
  <si>
    <t>DW0DW24516C1G</t>
  </si>
  <si>
    <t>Varsity T-Shirt Dress</t>
  </si>
  <si>
    <t>/product/micro/DW0DW24516C1G.jpg</t>
  </si>
  <si>
    <t>DW0DW24516VMK</t>
  </si>
  <si>
    <t>VMK</t>
  </si>
  <si>
    <t>/product/micro/DW0DW24516VMK.jpg</t>
  </si>
  <si>
    <t>DW0DW24527C1G</t>
  </si>
  <si>
    <t>Herringbone Pleated Mini Skirt</t>
  </si>
  <si>
    <t>/product/micro/DW0DW24527C1G.jpg</t>
  </si>
  <si>
    <t>EW0EW0000501V</t>
  </si>
  <si>
    <t>RETRO LEATHER MIX COURT SNEAKERS</t>
  </si>
  <si>
    <t>01V</t>
  </si>
  <si>
    <t>/product/micro/EW0EW0000501V.jpg</t>
  </si>
  <si>
    <t>36-44</t>
  </si>
  <si>
    <t>EW0EW000050GR</t>
  </si>
  <si>
    <t>0GR</t>
  </si>
  <si>
    <t>/product/micro/EW0EW000050GR.jpg</t>
  </si>
  <si>
    <t>SS-TH</t>
  </si>
  <si>
    <t>27STHM02028</t>
  </si>
  <si>
    <t>精梳棉，双面刺绣</t>
  </si>
  <si>
    <t>028</t>
  </si>
  <si>
    <t>/product/micro/27STHM02028.jpg</t>
  </si>
  <si>
    <t>27STHM04069</t>
  </si>
  <si>
    <t>60支精梳棉，抽条，双面刺绣</t>
  </si>
  <si>
    <t>069</t>
  </si>
  <si>
    <t>/product/micro/27STHM04069.jpg</t>
  </si>
  <si>
    <t>配饰</t>
  </si>
  <si>
    <t>袜子</t>
  </si>
  <si>
    <t>27STHM04094</t>
  </si>
  <si>
    <t>094</t>
  </si>
  <si>
    <t>/product/micro/27STHM04094.jpg</t>
  </si>
  <si>
    <t>27STHM04095</t>
  </si>
  <si>
    <t>095</t>
  </si>
  <si>
    <t>/product/micro/27STHM04095.jpg</t>
  </si>
  <si>
    <t>27STHM05019</t>
  </si>
  <si>
    <t>波点提花，精梳棉，单面棋子提花LOGO</t>
  </si>
  <si>
    <t>019</t>
  </si>
  <si>
    <t>/product/micro/27STHM05019.jpg</t>
  </si>
  <si>
    <t>27STHM05024</t>
  </si>
  <si>
    <t>024</t>
  </si>
  <si>
    <t>/product/micro/27STHM05024.jpg</t>
  </si>
  <si>
    <t>27STHM05069</t>
  </si>
  <si>
    <t>精梳棉，单面刺绣LOGO</t>
  </si>
  <si>
    <t>/product/micro/27STHM05069.jpg</t>
  </si>
  <si>
    <t>27STHM07068</t>
  </si>
  <si>
    <t>精梳棉，单面提花logo</t>
  </si>
  <si>
    <t>068</t>
  </si>
  <si>
    <t>/product/micro/27STHM07068.jpg</t>
  </si>
  <si>
    <t>27STHM07090</t>
  </si>
  <si>
    <t>090</t>
  </si>
  <si>
    <t>/product/micro/27STHM07090.jpg</t>
  </si>
  <si>
    <t>27STHM07093</t>
  </si>
  <si>
    <t>093</t>
  </si>
  <si>
    <t>/product/micro/27STHM07093.jpg</t>
  </si>
  <si>
    <t>27STHM07098</t>
  </si>
  <si>
    <t>098</t>
  </si>
  <si>
    <t>/product/micro/27STHM07098.jpg</t>
  </si>
  <si>
    <t>27STHW01068</t>
  </si>
  <si>
    <t>精梳棉，单面棋子刺绣LOGO</t>
  </si>
  <si>
    <t>/product/micro/27STHW01068.jpg</t>
  </si>
  <si>
    <t>27STHW01090</t>
  </si>
  <si>
    <t>/product/micro/27STHW01090.jpg</t>
  </si>
  <si>
    <t>27STHW01093</t>
  </si>
  <si>
    <t>/product/micro/27STHW01093.jpg</t>
  </si>
  <si>
    <t>27STHW02027</t>
  </si>
  <si>
    <t>精梳棉，双面刺绣LOGO</t>
  </si>
  <si>
    <t>027</t>
  </si>
  <si>
    <t>/product/micro/27STHW02027.jpg</t>
  </si>
  <si>
    <t>27STHW02068</t>
  </si>
  <si>
    <t>/product/micro/27STHW02068.jpg</t>
  </si>
  <si>
    <t>27STHW02091</t>
  </si>
  <si>
    <t>091</t>
  </si>
  <si>
    <t>/product/micro/27STHW02091.jpg</t>
  </si>
  <si>
    <t>AM0AM12531C2A</t>
  </si>
  <si>
    <t>C2A</t>
  </si>
  <si>
    <t>/product/micro/AM0AM12531C2A.jpg</t>
  </si>
  <si>
    <t>帽子</t>
  </si>
  <si>
    <t>AM0AM12531GYT</t>
  </si>
  <si>
    <t>GYT</t>
  </si>
  <si>
    <t>/product/micro/AM0AM12531GYT.jpg</t>
  </si>
  <si>
    <t>AM0AM12531RA4</t>
  </si>
  <si>
    <t>RA4</t>
  </si>
  <si>
    <t>/product/micro/AM0AM12531RA4.jpg</t>
  </si>
  <si>
    <t>AM0AM12531TPJ</t>
  </si>
  <si>
    <t>TPJ</t>
  </si>
  <si>
    <t>/product/micro/AM0AM12531TPJ.jpg</t>
  </si>
  <si>
    <t>AM0AM12531XLM</t>
  </si>
  <si>
    <t>XLM</t>
  </si>
  <si>
    <t>/product/micro/AM0AM12531XLM.jpg</t>
  </si>
  <si>
    <t>AM0AM13008CDS</t>
  </si>
  <si>
    <t>CDS</t>
  </si>
  <si>
    <t>/product/micro/AM0AM13008CDS.jpg</t>
  </si>
  <si>
    <t>AM0AM13008RBO</t>
  </si>
  <si>
    <t>RBO</t>
  </si>
  <si>
    <t>/product/micro/AM0AM13008RBO.jpg</t>
  </si>
  <si>
    <t>AM0AM13012BDS</t>
  </si>
  <si>
    <t>DENTON 3.5 REV</t>
  </si>
  <si>
    <t>/product/micro/AM0AM13012BDS.jpg</t>
  </si>
  <si>
    <t>深棕+黑色牛皮</t>
  </si>
  <si>
    <t>AM0AM13012DW6</t>
  </si>
  <si>
    <t>DW6</t>
  </si>
  <si>
    <t>/product/micro/AM0AM13012DW6.jpg</t>
  </si>
  <si>
    <t>黑色+藏青牛皮</t>
  </si>
  <si>
    <t>AM0AM13824ACI</t>
  </si>
  <si>
    <t>ADAN 3.5 ELASTIC</t>
  </si>
  <si>
    <t>/product/micro/AM0AM13824ACI.jpg</t>
  </si>
  <si>
    <t>AM0AM13824BDS</t>
  </si>
  <si>
    <t>/product/micro/AM0AM13824BDS.jpg</t>
  </si>
  <si>
    <t>AM0AM14814BDS</t>
  </si>
  <si>
    <t>DENTON 3.5 EXT</t>
  </si>
  <si>
    <t>/product/micro/AM0AM14814BDS.jpg</t>
  </si>
  <si>
    <t>牛皮</t>
  </si>
  <si>
    <t>AM0AM15066ACI</t>
  </si>
  <si>
    <t>TH CORPORATE 6 PANEL CAP</t>
  </si>
  <si>
    <t>/product/micro/AM0AM15066ACI.jpg</t>
  </si>
  <si>
    <t>AM0AM15066GYT</t>
  </si>
  <si>
    <t>/product/micro/AM0AM15066GYT.jpg</t>
  </si>
  <si>
    <t>AM0AM15068ACI</t>
  </si>
  <si>
    <t>TH FLAG LINEN 6 PANEL CAP</t>
  </si>
  <si>
    <t>/product/micro/AM0AM15068ACI.jpg</t>
  </si>
  <si>
    <t>亚麻混纺软帽型</t>
  </si>
  <si>
    <t>AM0AM15068DW6</t>
  </si>
  <si>
    <t>/product/micro/AM0AM15068DW6.jpg</t>
  </si>
  <si>
    <t>AM0AM15069ACI</t>
  </si>
  <si>
    <t>TH SOFT WASHED GRAPHIC CAP</t>
  </si>
  <si>
    <t>/product/micro/AM0AM15069ACI.jpg</t>
  </si>
  <si>
    <t>AM0AM15069DW6</t>
  </si>
  <si>
    <t>/product/micro/AM0AM15069DW6.jpg</t>
  </si>
  <si>
    <t>AM0AM15069XUT</t>
  </si>
  <si>
    <t>XUT</t>
  </si>
  <si>
    <t>/product/micro/AM0AM15069XUT.jpg</t>
  </si>
  <si>
    <t>AM0AM151020GY</t>
  </si>
  <si>
    <t>LAYTON ELASTIC 3.5</t>
  </si>
  <si>
    <t>/product/micro/AM0AM151020GY.jpg</t>
  </si>
  <si>
    <t>AM0AM15102BDS</t>
  </si>
  <si>
    <t>/product/micro/AM0AM15102BDS.jpg</t>
  </si>
  <si>
    <t>AM0AM15103BDS</t>
  </si>
  <si>
    <t>TH MONOGRAM REV 3.5</t>
  </si>
  <si>
    <t>/product/micro/AM0AM15103BDS.jpg</t>
  </si>
  <si>
    <t>黑色+暗纹牛皮</t>
  </si>
  <si>
    <t>AM0AM15110DW6</t>
  </si>
  <si>
    <t>ADAN ELASTIC REV 3.5</t>
  </si>
  <si>
    <t>/product/micro/AM0AM15110DW6.jpg</t>
  </si>
  <si>
    <t>双面织带</t>
  </si>
  <si>
    <t>AM0AM15128BDS</t>
  </si>
  <si>
    <t>TH CITY SQUARE BACKPACK</t>
  </si>
  <si>
    <t>/product/micro/AM0AM15128BDS.jpg</t>
  </si>
  <si>
    <t>肌理</t>
  </si>
  <si>
    <t>AM0AM15130BDS</t>
  </si>
  <si>
    <t>TH CENTRAL BACKPACK</t>
  </si>
  <si>
    <t>/product/micro/AM0AM15130BDS.jpg</t>
  </si>
  <si>
    <t>包</t>
  </si>
  <si>
    <t>PU</t>
  </si>
  <si>
    <t>AM0AM15133BDS</t>
  </si>
  <si>
    <t>TH MONOGRAM DOME BACKPACK</t>
  </si>
  <si>
    <t>/product/micro/AM0AM15133BDS.jpg</t>
  </si>
  <si>
    <t>MONOGRAM</t>
  </si>
  <si>
    <t>AM0AM151360K4</t>
  </si>
  <si>
    <t>TH CABANA TOTE</t>
  </si>
  <si>
    <t>0K4</t>
  </si>
  <si>
    <t>/product/micro/AM0AM151360K4.jpg</t>
  </si>
  <si>
    <t>帆布</t>
  </si>
  <si>
    <t>AM0AM15141GYT</t>
  </si>
  <si>
    <t>TH CITY MINI REPORTER</t>
  </si>
  <si>
    <t>/product/micro/AM0AM15141GYT.jpg</t>
  </si>
  <si>
    <t>AM0AM15160BDS</t>
  </si>
  <si>
    <t>TH CENTRAL MINI REPORTER</t>
  </si>
  <si>
    <t>/product/micro/AM0AM15160BDS.jpg</t>
  </si>
  <si>
    <t>AM0AM15170BDS</t>
  </si>
  <si>
    <t>TH NYLON CROSSOVER</t>
  </si>
  <si>
    <t>/product/micro/AM0AM15170BDS.jpg</t>
  </si>
  <si>
    <t>尼龙</t>
  </si>
  <si>
    <t>AM0AM15170GUH</t>
  </si>
  <si>
    <t>GUH</t>
  </si>
  <si>
    <t>/product/micro/AM0AM15170GUH.jpg</t>
  </si>
  <si>
    <t>AM0AM15248BDS</t>
  </si>
  <si>
    <t>TH NYLON CROSSBODY</t>
  </si>
  <si>
    <t>/product/micro/AM0AM15248BDS.jpg</t>
  </si>
  <si>
    <t>AM0AM15254BDS</t>
  </si>
  <si>
    <t>TH MONOGRAM MINI REPORTER</t>
  </si>
  <si>
    <t>/product/micro/AM0AM15254BDS.jpg</t>
  </si>
  <si>
    <t>AM0AM15258BDS</t>
  </si>
  <si>
    <t>TH NYLON TOTE</t>
  </si>
  <si>
    <t>/product/micro/AM0AM15258BDS.jpg</t>
  </si>
  <si>
    <t>AM0AM153021A4</t>
  </si>
  <si>
    <t>TH FLAG DENIM 6 PANEL CAP</t>
  </si>
  <si>
    <t>/product/micro/AM0AM153021A4.jpg</t>
  </si>
  <si>
    <t>牛仔</t>
  </si>
  <si>
    <t>AW0AW17709CDS</t>
  </si>
  <si>
    <t>POPETTE MINI TOTE</t>
  </si>
  <si>
    <t>/product/micro/AW0AW17709CDS.jpg</t>
  </si>
  <si>
    <t>AW0AW17709TQJ</t>
  </si>
  <si>
    <t>TQJ</t>
  </si>
  <si>
    <t>/product/micro/AW0AW17709TQJ.jpg</t>
  </si>
  <si>
    <t>AW0AW18164AEO</t>
  </si>
  <si>
    <t>TH GO CROSSOVER NYLON</t>
  </si>
  <si>
    <t>/product/micro/AW0AW18164AEO.jpg</t>
  </si>
  <si>
    <t>AW0AW18164BDS</t>
  </si>
  <si>
    <t>/product/micro/AW0AW18164BDS.jpg</t>
  </si>
  <si>
    <t>AW0AW18368CDS</t>
  </si>
  <si>
    <t>POPETTE MICRO TOTE</t>
  </si>
  <si>
    <t>/product/micro/AW0AW18368CDS.jpg</t>
  </si>
  <si>
    <t>AW0AW18368TQJ</t>
  </si>
  <si>
    <t>/product/micro/AW0AW18368TQJ.jpg</t>
  </si>
  <si>
    <t>AW0AW19025DW6</t>
  </si>
  <si>
    <t>POPETTE MINI TOTE CORP</t>
  </si>
  <si>
    <t>/product/micro/AW0AW19025DW6.jpg</t>
  </si>
  <si>
    <t>AW0AW191160F4</t>
  </si>
  <si>
    <t>TH MONOGRAM SILK SQUARE</t>
  </si>
  <si>
    <t>0F4</t>
  </si>
  <si>
    <t>/product/micro/AW0AW191160F4.jpg</t>
  </si>
  <si>
    <t>丝巾</t>
  </si>
  <si>
    <t>浅卡其</t>
  </si>
  <si>
    <t>真丝</t>
  </si>
  <si>
    <t>AW0AW19328DW6</t>
  </si>
  <si>
    <t>POPETTE MICRO TOTE CORP</t>
  </si>
  <si>
    <t>/product/micro/AW0AW19328DW6.jpg</t>
  </si>
  <si>
    <t>AW0AW19610BDS</t>
  </si>
  <si>
    <t>TH SCRIPT 3.0</t>
  </si>
  <si>
    <t>/product/micro/AW0AW19610BDS.jpg</t>
  </si>
  <si>
    <t>80-100</t>
  </si>
  <si>
    <t>AW0AW19622DW6</t>
  </si>
  <si>
    <t>TH LOGO 3.0 REV</t>
  </si>
  <si>
    <t>/product/micro/AW0AW19622DW6.jpg</t>
  </si>
  <si>
    <t>净色皮+织带</t>
  </si>
  <si>
    <t>AW0AW19622GB8</t>
  </si>
  <si>
    <t>GB8</t>
  </si>
  <si>
    <t>/product/micro/AW0AW19622GB8.jpg</t>
  </si>
  <si>
    <t>AW0AW19698DW6</t>
  </si>
  <si>
    <t>TH CITY JACQUARD HOBO</t>
  </si>
  <si>
    <t>/product/micro/AW0AW19698DW6.jpg</t>
  </si>
  <si>
    <t>提花</t>
  </si>
  <si>
    <t>AW0AW19698GB8</t>
  </si>
  <si>
    <t>/product/micro/AW0AW19698GB8.jpg</t>
  </si>
  <si>
    <t>AW0AW19723DW6</t>
  </si>
  <si>
    <t>POPETTE MICRO TOTE JACQU MONO</t>
  </si>
  <si>
    <t>/product/micro/AW0AW19723DW6.jpg</t>
  </si>
  <si>
    <t>AW0AW197270K4</t>
  </si>
  <si>
    <t>POPETTE MINI TOTE LINEN</t>
  </si>
  <si>
    <t>/product/micro/AW0AW197270K4.jpg</t>
  </si>
  <si>
    <t>亚麻混纺</t>
  </si>
  <si>
    <t>AW0AW19740ACL</t>
  </si>
  <si>
    <t>TH EMBROIDERED SCRIPT CAP</t>
  </si>
  <si>
    <t>ACL</t>
  </si>
  <si>
    <t>/product/micro/AW0AW19740ACL.jpg</t>
  </si>
  <si>
    <t>AW0AW19740C30</t>
  </si>
  <si>
    <t>C30</t>
  </si>
  <si>
    <t>/product/micro/AW0AW19740C30.jpg</t>
  </si>
  <si>
    <t>AW0AW19740TOL</t>
  </si>
  <si>
    <t>/product/micro/AW0AW19740TOL.jpg</t>
  </si>
  <si>
    <t>AW0AW19740YBH</t>
  </si>
  <si>
    <t>/product/micro/AW0AW19740YBH.jpg</t>
  </si>
  <si>
    <t>AW0AW19741ACL</t>
  </si>
  <si>
    <t>TH EMBROIDERED SCRIPT BUCKET HAT</t>
  </si>
  <si>
    <t>/product/micro/AW0AW19741ACL.jpg</t>
  </si>
  <si>
    <t>斜纹棉双面渔夫帽</t>
  </si>
  <si>
    <t>AW0AW19741C30</t>
  </si>
  <si>
    <t>/product/micro/AW0AW19741C30.jpg</t>
  </si>
  <si>
    <t>AW0AW19741TOL</t>
  </si>
  <si>
    <t>/product/micro/AW0AW19741TOL.jpg</t>
  </si>
  <si>
    <t>AW0AW197450K4</t>
  </si>
  <si>
    <t>TH GEO FLAG SILK SQUARE</t>
  </si>
  <si>
    <t>/product/micro/AW0AW197450K4.jpg</t>
  </si>
  <si>
    <t>AW0AW19747ABN</t>
  </si>
  <si>
    <t>TH SCRIPT HW COTTON LINEN CAP</t>
  </si>
  <si>
    <t>ABN</t>
  </si>
  <si>
    <t>/product/micro/AW0AW19747ABN.jpg</t>
  </si>
  <si>
    <t>AW0AW19747DW6</t>
  </si>
  <si>
    <t>/product/micro/AW0AW19747DW6.jpg</t>
  </si>
  <si>
    <t>AW0AW197490GY</t>
  </si>
  <si>
    <t>TH SEASONAL LARGE SILK SQUARE</t>
  </si>
  <si>
    <t>/product/micro/AW0AW197490GY.jpg</t>
  </si>
  <si>
    <t>AW0AW19770CDS</t>
  </si>
  <si>
    <t>TH CHARMS POPETTE NANO</t>
  </si>
  <si>
    <t>/product/micro/AW0AW19770CDS.jpg</t>
  </si>
  <si>
    <t>AW0AW19770TQJ</t>
  </si>
  <si>
    <t>/product/micro/AW0AW19770TQJ.jpg</t>
  </si>
  <si>
    <t>AW0AW19837YBL</t>
  </si>
  <si>
    <t>POPETTE TOTE CANVAS CORP</t>
  </si>
  <si>
    <t>/product/micro/AW0AW19837YBL.jpg</t>
  </si>
  <si>
    <t>AW0AW19866DW6</t>
  </si>
  <si>
    <t>TH CITY JACQUARD CROSSOVER</t>
  </si>
  <si>
    <t>/product/micro/AW0AW19866DW6.jpg</t>
  </si>
  <si>
    <t>AW0AW19866GB8</t>
  </si>
  <si>
    <t>/product/micro/AW0AW19866GB8.jpg</t>
  </si>
  <si>
    <t>AW0AW19870YBL</t>
  </si>
  <si>
    <t>AMERICAN ICON MINI BOAT TOTE CA</t>
  </si>
  <si>
    <t>/product/micro/AW0AW19870YBL.jpg</t>
  </si>
  <si>
    <t>E367895041083</t>
  </si>
  <si>
    <t>CLASSIC BB CAP</t>
  </si>
  <si>
    <t>083</t>
  </si>
  <si>
    <t>/product/micro/E367895041083.jpg</t>
  </si>
  <si>
    <t>E367895041100</t>
  </si>
  <si>
    <t>/product/micro/E367895041100.jpg</t>
  </si>
  <si>
    <t>E367895041403</t>
  </si>
  <si>
    <t>403</t>
  </si>
  <si>
    <t>/product/micro/E367895041403.jpg</t>
  </si>
  <si>
    <t>FM0FM05367061</t>
  </si>
  <si>
    <t>LEATHER MIX COURT SNEAKERS</t>
  </si>
  <si>
    <t>061</t>
  </si>
  <si>
    <t>/product/micro/FM0FM05367061.jpg</t>
  </si>
  <si>
    <t>鞋</t>
  </si>
  <si>
    <t>牛皮拼接</t>
  </si>
  <si>
    <t>FM0FM053670LD</t>
  </si>
  <si>
    <t>/product/micro/FM0FM053670LD.jpg</t>
  </si>
  <si>
    <t>FM0FM05367DW5</t>
  </si>
  <si>
    <t>/product/micro/FM0FM05367DW5.jpg</t>
  </si>
  <si>
    <t>FM0FM05909DW5</t>
  </si>
  <si>
    <t>LIGHTWEIGHT KNITTED RUNNERS</t>
  </si>
  <si>
    <t>/product/micro/FM0FM05909DW5.jpg</t>
  </si>
  <si>
    <t>40-46</t>
  </si>
  <si>
    <t>FM0FM05909YBS</t>
  </si>
  <si>
    <t>/product/micro/FM0FM05909YBS.jpg</t>
  </si>
  <si>
    <t>FM0FM06180DW5</t>
  </si>
  <si>
    <t>BASKETBALL LEATHER MIX SNEAKERS</t>
  </si>
  <si>
    <t>/product/micro/FM0FM06180DW5.jpg</t>
  </si>
  <si>
    <t>FM0FM06180YBS</t>
  </si>
  <si>
    <t>/product/micro/FM0FM06180YBS.jpg</t>
  </si>
  <si>
    <t>FM0FM062080G0</t>
  </si>
  <si>
    <t>LEATHER MIX STRIPE T SNEAKERS</t>
  </si>
  <si>
    <t>0G0</t>
  </si>
  <si>
    <t>/product/micro/FM0FM062080G0.jpg</t>
  </si>
  <si>
    <t>FM0FM062080K6</t>
  </si>
  <si>
    <t>0K6</t>
  </si>
  <si>
    <t>/product/micro/FM0FM062080K6.jpg</t>
  </si>
  <si>
    <t>FM0FM064120GL</t>
  </si>
  <si>
    <t>0GL</t>
  </si>
  <si>
    <t>/product/micro/FM0FM064120GL.jpg</t>
  </si>
  <si>
    <t>FM0FM06412DW5</t>
  </si>
  <si>
    <t>/product/micro/FM0FM06412DW5.jpg</t>
  </si>
  <si>
    <t>FW0FW09354YBS</t>
  </si>
  <si>
    <t>TH CHIC CUPSOLE WEBBING</t>
  </si>
  <si>
    <t>/product/micro/FW0FW09354YBS.jpg</t>
  </si>
  <si>
    <t>35-42</t>
  </si>
  <si>
    <t>35</t>
  </si>
  <si>
    <t>FW0FW09691RBC</t>
  </si>
  <si>
    <t>TH TRIBECA MONOGRAM SNEAKERS</t>
  </si>
  <si>
    <t>RBC</t>
  </si>
  <si>
    <t>/product/micro/FW0FW09691RBC.jpg</t>
  </si>
  <si>
    <t>FW0FW09691YBL</t>
  </si>
  <si>
    <t>/product/micro/FW0FW09691YBL.jpg</t>
  </si>
  <si>
    <t>FW0FW0974202Y</t>
  </si>
  <si>
    <t>CLASSIC BOW CAP TOE BALLERINA</t>
  </si>
  <si>
    <t>02Y</t>
  </si>
  <si>
    <t>/product/micro/FW0FW0974202Y.jpg</t>
  </si>
  <si>
    <t>FW0FW09820DW6</t>
  </si>
  <si>
    <t>LOGOTAPE FLAT MULE SANDAL</t>
  </si>
  <si>
    <t>/product/micro/FW0FW09820DW6.jpg</t>
  </si>
  <si>
    <t>织带</t>
  </si>
  <si>
    <t>FW0FW09820GQP</t>
  </si>
  <si>
    <t>GQP</t>
  </si>
  <si>
    <t>/product/micro/FW0FW09820GQP.jpg</t>
  </si>
  <si>
    <t>FW0FW09853DW6</t>
  </si>
  <si>
    <t>MONOGRAM OPEN SANDAL ESPADRILLE</t>
  </si>
  <si>
    <t>/product/micro/FW0FW09853DW6.jpg</t>
  </si>
  <si>
    <t>FW0FW09896TQJ</t>
  </si>
  <si>
    <t>/product/micro/FW0FW09896TQJ.jpg</t>
  </si>
  <si>
    <t>FW0FW09896ZGB</t>
  </si>
  <si>
    <t>ZGB</t>
  </si>
  <si>
    <t>/product/micro/FW0FW09896ZGB.jpg</t>
  </si>
  <si>
    <t>FW0FW0999801T</t>
  </si>
  <si>
    <t>LIGHT COURT SNEAKERS LEATHER</t>
  </si>
  <si>
    <t>01T</t>
  </si>
  <si>
    <t>/product/micro/FW0FW0999801T.jpg</t>
  </si>
  <si>
    <t>MW0MW33202AEH</t>
  </si>
  <si>
    <t>IM LUXURY INTERLOCK SLIM TEE</t>
  </si>
  <si>
    <t>/product/micro/MW0MW33202AEH.jpg</t>
  </si>
  <si>
    <t>双面布</t>
  </si>
  <si>
    <t>MW0MW33202C14</t>
  </si>
  <si>
    <t>/product/micro/MW0MW33202C14.jpg</t>
  </si>
  <si>
    <t>MW0MW33202DW5</t>
  </si>
  <si>
    <t>/product/micro/MW0MW33202DW5.jpg</t>
  </si>
  <si>
    <t>MW0MW33202P91</t>
  </si>
  <si>
    <t>P91</t>
  </si>
  <si>
    <t>/product/micro/MW0MW33202P91.jpg</t>
  </si>
  <si>
    <t>MW0MW33202YBR</t>
  </si>
  <si>
    <t>/product/micro/MW0MW33202YBR.jpg</t>
  </si>
  <si>
    <t>MW0MW390351CY</t>
  </si>
  <si>
    <t>CORE DENTON TINTED BLUE</t>
  </si>
  <si>
    <t>1CY</t>
  </si>
  <si>
    <t>/product/micro/MW0MW390351CY.jpg</t>
  </si>
  <si>
    <t>10.73OZ</t>
  </si>
  <si>
    <t>MW0MW40262YCF</t>
  </si>
  <si>
    <t>DENTON ESSENTIAL TWILL</t>
  </si>
  <si>
    <t>YCF</t>
  </si>
  <si>
    <t>/product/micro/MW0MW40262YCF.jpg</t>
  </si>
  <si>
    <t>斜纹</t>
  </si>
  <si>
    <t>MW0MW41170ACL</t>
  </si>
  <si>
    <t>PREMIUM SILK BLEND TEE</t>
  </si>
  <si>
    <t>/product/micro/MW0MW41170ACL.jpg</t>
  </si>
  <si>
    <t>丝棉混纺</t>
  </si>
  <si>
    <t>凉感</t>
  </si>
  <si>
    <t>MW0MW41170DW5</t>
  </si>
  <si>
    <t>/product/micro/MW0MW41170DW5.jpg</t>
  </si>
  <si>
    <t>MW0MW41170MSX</t>
  </si>
  <si>
    <t>MSX</t>
  </si>
  <si>
    <t>/product/micro/MW0MW41170MSX.jpg</t>
  </si>
  <si>
    <t>橄榄绿/军绿</t>
  </si>
  <si>
    <t>MW0MW412820A5</t>
  </si>
  <si>
    <t>AF 1985 REGULAR POLO</t>
  </si>
  <si>
    <t>/product/micro/MW0MW412820A5.jpg</t>
  </si>
  <si>
    <t>MW0MW412820CI</t>
  </si>
  <si>
    <t>0CI</t>
  </si>
  <si>
    <t>/product/micro/MW0MW412820CI.jpg</t>
  </si>
  <si>
    <t>MW0MW412820CL</t>
  </si>
  <si>
    <t>0CL</t>
  </si>
  <si>
    <t>/product/micro/MW0MW412820CL.jpg</t>
  </si>
  <si>
    <t>MW0MW41282ABS</t>
  </si>
  <si>
    <t>ABS</t>
  </si>
  <si>
    <t>/product/micro/MW0MW41282ABS.jpg</t>
  </si>
  <si>
    <t>MW0MW41282BDS</t>
  </si>
  <si>
    <t>/product/micro/MW0MW41282BDS.jpg</t>
  </si>
  <si>
    <t>MW0MW41282C1Q</t>
  </si>
  <si>
    <t>C1Q</t>
  </si>
  <si>
    <t>/product/micro/MW0MW41282C1Q.jpg</t>
  </si>
  <si>
    <t>MW0MW41282C6E</t>
  </si>
  <si>
    <t>C6E</t>
  </si>
  <si>
    <t>/product/micro/MW0MW41282C6E.jpg</t>
  </si>
  <si>
    <t>MW0MW41282DBZ</t>
  </si>
  <si>
    <t>DBZ</t>
  </si>
  <si>
    <t>/product/micro/MW0MW41282DBZ.jpg</t>
  </si>
  <si>
    <t>MW0MW41282DW5</t>
  </si>
  <si>
    <t>/product/micro/MW0MW41282DW5.jpg</t>
  </si>
  <si>
    <t>MW0MW41282HJT</t>
  </si>
  <si>
    <t>HJT</t>
  </si>
  <si>
    <t>/product/micro/MW0MW41282HJT.jpg</t>
  </si>
  <si>
    <t>棕色</t>
  </si>
  <si>
    <t>MW0MW41282L20</t>
  </si>
  <si>
    <t>/product/micro/MW0MW41282L20.jpg</t>
  </si>
  <si>
    <t>MW0MW41282L2T</t>
  </si>
  <si>
    <t>L2T</t>
  </si>
  <si>
    <t>/product/micro/MW0MW41282L2T.jpg</t>
  </si>
  <si>
    <t>MW0MW41282P91</t>
  </si>
  <si>
    <t>/product/micro/MW0MW41282P91.jpg</t>
  </si>
  <si>
    <t>MW0MW41282RBN</t>
  </si>
  <si>
    <t>/product/micro/MW0MW41282RBN.jpg</t>
  </si>
  <si>
    <t>MW0MW41282TOL</t>
  </si>
  <si>
    <t>/product/micro/MW0MW41282TOL.jpg</t>
  </si>
  <si>
    <t>MW0MW41282VLP</t>
  </si>
  <si>
    <t>VLP</t>
  </si>
  <si>
    <t>/product/micro/MW0MW41282VLP.jpg</t>
  </si>
  <si>
    <t>MW0MW41282XIX</t>
  </si>
  <si>
    <t>XIX</t>
  </si>
  <si>
    <t>/product/micro/MW0MW41282XIX.jpg</t>
  </si>
  <si>
    <t>MW0MW41282YBR</t>
  </si>
  <si>
    <t>/product/micro/MW0MW41282YBR.jpg</t>
  </si>
  <si>
    <t>MW0MW41282Z00</t>
  </si>
  <si>
    <t>/product/micro/MW0MW41282Z00.jpg</t>
  </si>
  <si>
    <t>MW0MW41282ZF0</t>
  </si>
  <si>
    <t>ZF0</t>
  </si>
  <si>
    <t>/product/micro/MW0MW41282ZF0.jpg</t>
  </si>
  <si>
    <t>黄色</t>
  </si>
  <si>
    <t>MW0MW413160A4</t>
  </si>
  <si>
    <t>AF LW OXF STRIPE S/S SHIRT</t>
  </si>
  <si>
    <t>/product/micro/MW0MW413160A4.jpg</t>
  </si>
  <si>
    <t>MW0MW413160A5</t>
  </si>
  <si>
    <t>/product/micro/MW0MW413160A5.jpg</t>
  </si>
  <si>
    <t>MW0MW413160CG</t>
  </si>
  <si>
    <t>0CG</t>
  </si>
  <si>
    <t>/product/micro/MW0MW413160CG.jpg</t>
  </si>
  <si>
    <t>MW0MW42288C1Z</t>
  </si>
  <si>
    <t>NON-IRON SOLID LS SHIRT</t>
  </si>
  <si>
    <t>C1Z</t>
  </si>
  <si>
    <t>/product/micro/MW0MW42288C1Z.jpg</t>
  </si>
  <si>
    <t>免熨烫</t>
  </si>
  <si>
    <t>MW0MW42288DW5</t>
  </si>
  <si>
    <t>/product/micro/MW0MW42288DW5.jpg</t>
  </si>
  <si>
    <t>MW0MW42352YCF</t>
  </si>
  <si>
    <t>DOVER 8" ESS TWILL</t>
  </si>
  <si>
    <t>/product/micro/MW0MW42352YCF.jpg</t>
  </si>
  <si>
    <t>短裤</t>
  </si>
  <si>
    <t>MW0MW42525DW5</t>
  </si>
  <si>
    <t>COOL TOUCH TECH DENTON CHINO</t>
  </si>
  <si>
    <t>/product/micro/MW0MW42525DW5.jpg</t>
  </si>
  <si>
    <t>功能面料</t>
  </si>
  <si>
    <t>速干、防晒、凉感</t>
  </si>
  <si>
    <t>MW0MW42525RBT</t>
  </si>
  <si>
    <t>RBT</t>
  </si>
  <si>
    <t>/product/micro/MW0MW42525RBT.jpg</t>
  </si>
  <si>
    <t>MW0MW425260A5</t>
  </si>
  <si>
    <t>NON-IRON STRIPED LS SHIRT</t>
  </si>
  <si>
    <t>/product/micro/MW0MW425260A5.jpg</t>
  </si>
  <si>
    <t>MW0MW425260CD</t>
  </si>
  <si>
    <t>/product/micro/MW0MW425260CD.jpg</t>
  </si>
  <si>
    <t>MW0MW42837ACL</t>
  </si>
  <si>
    <t>LW LUXURY INTERLOCK T-SHIRT</t>
  </si>
  <si>
    <t>/product/micro/MW0MW42837ACL.jpg</t>
  </si>
  <si>
    <t>防晒</t>
  </si>
  <si>
    <t>MW0MW42837DW5</t>
  </si>
  <si>
    <t>/product/micro/MW0MW42837DW5.jpg</t>
  </si>
  <si>
    <t>MW0MW42837Z00</t>
  </si>
  <si>
    <t>/product/micro/MW0MW42837Z00.jpg</t>
  </si>
  <si>
    <t>MW0MW44296GTV</t>
  </si>
  <si>
    <t>SUEDE CHORE JACKET</t>
  </si>
  <si>
    <t>GTV</t>
  </si>
  <si>
    <t>/product/micro/MW0MW44296GTV.jpg</t>
  </si>
  <si>
    <t>羊皮</t>
  </si>
  <si>
    <t>MW0MW44353C3I</t>
  </si>
  <si>
    <t>C3I</t>
  </si>
  <si>
    <t>/product/micro/MW0MW44353C3I.jpg</t>
  </si>
  <si>
    <t>MW0MW44675AEG</t>
  </si>
  <si>
    <t>HARLEM 1/2 ELASTICATED TECH PANT</t>
  </si>
  <si>
    <t>/product/micro/MW0MW44675AEG.jpg</t>
  </si>
  <si>
    <t>四面弹尼龙</t>
  </si>
  <si>
    <t>哈莱姆(宽松锥型版)</t>
  </si>
  <si>
    <t>MW0MW44675DW5</t>
  </si>
  <si>
    <t>/product/micro/MW0MW44675DW5.jpg</t>
  </si>
  <si>
    <t>MW0MW45300DCC</t>
  </si>
  <si>
    <t>GRAND CARGO POPLIN</t>
  </si>
  <si>
    <t>/product/micro/MW0MW45300DCC.jpg</t>
  </si>
  <si>
    <t>府绸</t>
  </si>
  <si>
    <t>Grand</t>
  </si>
  <si>
    <t>MW0MW456540FA</t>
  </si>
  <si>
    <t>WAFFLE TEXTURE POLO</t>
  </si>
  <si>
    <t>0FA</t>
  </si>
  <si>
    <t>/product/micro/MW0MW456540FA.jpg</t>
  </si>
  <si>
    <t>MW0MW45654DW5</t>
  </si>
  <si>
    <t>/product/micro/MW0MW45654DW5.jpg</t>
  </si>
  <si>
    <t>MW0MW460591AD</t>
  </si>
  <si>
    <t>DOVER STRAIGHT ELI BLUE</t>
  </si>
  <si>
    <t>1AD</t>
  </si>
  <si>
    <t>/product/micro/MW0MW460591AD.jpg</t>
  </si>
  <si>
    <t>13.38OZ</t>
  </si>
  <si>
    <t>MW0MW460641BE</t>
  </si>
  <si>
    <t>SOHO TAPERED JACE BLUE</t>
  </si>
  <si>
    <t>1BE</t>
  </si>
  <si>
    <t>/product/micro/MW0MW460641BE.jpg</t>
  </si>
  <si>
    <t>9.25OZ</t>
  </si>
  <si>
    <t>苏豪（宽松）</t>
  </si>
  <si>
    <t>MW0MW460751AE</t>
  </si>
  <si>
    <t>RIVER RELAXED NIKO INDIGO</t>
  </si>
  <si>
    <t>1AE</t>
  </si>
  <si>
    <t>/product/micro/MW0MW460751AE.jpg</t>
  </si>
  <si>
    <t>12.75OZ</t>
  </si>
  <si>
    <t>里佛（阔版锥型版）</t>
  </si>
  <si>
    <t>MW0MW460761AQ</t>
  </si>
  <si>
    <t>DOVER STRAIGHT SELVEDGE OWEN</t>
  </si>
  <si>
    <t>1AQ</t>
  </si>
  <si>
    <t>/product/micro/MW0MW460761AQ.jpg</t>
  </si>
  <si>
    <t>MW0MW461010A6</t>
  </si>
  <si>
    <t>FLEX POPLIN CLASSIC STP RF SHIRT</t>
  </si>
  <si>
    <t>/product/micro/MW0MW461010A6.jpg</t>
  </si>
  <si>
    <t>MW0MW461010EV</t>
  </si>
  <si>
    <t>0EV</t>
  </si>
  <si>
    <t>/product/micro/MW0MW461010EV.jpg</t>
  </si>
  <si>
    <t>红白条纹</t>
  </si>
  <si>
    <t>MW0MW461040LY</t>
  </si>
  <si>
    <t>FLEX HOUNDSTOOTH SHIRT S/S</t>
  </si>
  <si>
    <t>0LY</t>
  </si>
  <si>
    <t>/product/micro/MW0MW461040LY.jpg</t>
  </si>
  <si>
    <t>MW0MW461040MS</t>
  </si>
  <si>
    <t>0MS</t>
  </si>
  <si>
    <t>/product/micro/MW0MW461040MS.jpg</t>
  </si>
  <si>
    <t>MW0MW461040MT</t>
  </si>
  <si>
    <t>0MT</t>
  </si>
  <si>
    <t>/product/micro/MW0MW461040MT.jpg</t>
  </si>
  <si>
    <t>MW0MW461040QJ</t>
  </si>
  <si>
    <t>0QJ</t>
  </si>
  <si>
    <t>/product/micro/MW0MW461040QJ.jpg</t>
  </si>
  <si>
    <t>花色</t>
  </si>
  <si>
    <t>MW0MW461130GY</t>
  </si>
  <si>
    <t>LINEN FLORAL PRINT S/S RF</t>
  </si>
  <si>
    <t>/product/micro/MW0MW461130GY.jpg</t>
  </si>
  <si>
    <t>MW0MW461130H7</t>
  </si>
  <si>
    <t>0H7</t>
  </si>
  <si>
    <t>/product/micro/MW0MW461130H7.jpg</t>
  </si>
  <si>
    <t>MW0MW461210MS</t>
  </si>
  <si>
    <t>LINEN SUMMER MULTI CHECK RF</t>
  </si>
  <si>
    <t>/product/micro/MW0MW461210MS.jpg</t>
  </si>
  <si>
    <t>MW0MW46125C3I</t>
  </si>
  <si>
    <t>SORONA LINEN BLEND CAMP S/S RF</t>
  </si>
  <si>
    <t>/product/micro/MW0MW46125C3I.jpg</t>
  </si>
  <si>
    <t>MW0MW461390D1</t>
  </si>
  <si>
    <t>LINEN BLOCKING STRIPE CF</t>
  </si>
  <si>
    <t>0D1</t>
  </si>
  <si>
    <t>/product/micro/MW0MW461390D1.jpg</t>
  </si>
  <si>
    <t>MW0MW461440GY</t>
  </si>
  <si>
    <t>RWB PLACKET HERITAGE OXF SOLID</t>
  </si>
  <si>
    <t>/product/micro/MW0MW461440GY.jpg</t>
  </si>
  <si>
    <t>MW0MW46144YBR</t>
  </si>
  <si>
    <t>/product/micro/MW0MW46144YBR.jpg</t>
  </si>
  <si>
    <t>MW0MW461470A4</t>
  </si>
  <si>
    <t>KNITTED STRIPE RESORT SHIRT S/S</t>
  </si>
  <si>
    <t>/product/micro/MW0MW461470A4.jpg</t>
  </si>
  <si>
    <t>MW0MW461470FA</t>
  </si>
  <si>
    <t>/product/micro/MW0MW461470FA.jpg</t>
  </si>
  <si>
    <t>MW0MW461950A4</t>
  </si>
  <si>
    <t>NAUTICAL MILANO STRIPE T-SHIRT</t>
  </si>
  <si>
    <t>/product/micro/MW0MW461950A4.jpg</t>
  </si>
  <si>
    <t>MW0MW46197DW5</t>
  </si>
  <si>
    <t>MERCERISED JERSEY POCKET T-SHIRT</t>
  </si>
  <si>
    <t>/product/micro/MW0MW46197DW5.jpg</t>
  </si>
  <si>
    <t>平纹针织</t>
  </si>
  <si>
    <t>MW0MW46197XIT</t>
  </si>
  <si>
    <t>XIT</t>
  </si>
  <si>
    <t>/product/micro/MW0MW46197XIT.jpg</t>
  </si>
  <si>
    <t>MW0MW46197YBR</t>
  </si>
  <si>
    <t>/product/micro/MW0MW46197YBR.jpg</t>
  </si>
  <si>
    <t>MW0MW46198C14</t>
  </si>
  <si>
    <t>ATHLEISURE TONAL TURNUP T-SHIRT</t>
  </si>
  <si>
    <t>/product/micro/MW0MW46198C14.jpg</t>
  </si>
  <si>
    <t>MW0MW46198DW5</t>
  </si>
  <si>
    <t>/product/micro/MW0MW46198DW5.jpg</t>
  </si>
  <si>
    <t>MW0MW46204DW5</t>
  </si>
  <si>
    <t>RWB FLAG INTERLOCK T-SHIRT</t>
  </si>
  <si>
    <t>/product/micro/MW0MW46204DW5.jpg</t>
  </si>
  <si>
    <t>MW0MW46204Z00</t>
  </si>
  <si>
    <t>/product/micro/MW0MW46204Z00.jpg</t>
  </si>
  <si>
    <t>MW0MW46205DW5</t>
  </si>
  <si>
    <t>HERITAGE HILFIGER FLAG T-SHIRT</t>
  </si>
  <si>
    <t>/product/micro/MW0MW46205DW5.jpg</t>
  </si>
  <si>
    <t>重磅平纹</t>
  </si>
  <si>
    <t>MW0MW46205Z00</t>
  </si>
  <si>
    <t>/product/micro/MW0MW46205Z00.jpg</t>
  </si>
  <si>
    <t>MW0MW46206DW5</t>
  </si>
  <si>
    <t>SMALL ROSE GRAPHIC T-SHIRT</t>
  </si>
  <si>
    <t>/product/micro/MW0MW46206DW5.jpg</t>
  </si>
  <si>
    <t>MW0MW46206XIT</t>
  </si>
  <si>
    <t>/product/micro/MW0MW46206XIT.jpg</t>
  </si>
  <si>
    <t>MW0MW46206Z00</t>
  </si>
  <si>
    <t>/product/micro/MW0MW46206Z00.jpg</t>
  </si>
  <si>
    <t>MW0MW46207DW5</t>
  </si>
  <si>
    <t>HERITAGE ROSE GRAPHIC T-SHIRT</t>
  </si>
  <si>
    <t>/product/micro/MW0MW46207DW5.jpg</t>
  </si>
  <si>
    <t>MW0MW46207P91</t>
  </si>
  <si>
    <t>/product/micro/MW0MW46207P91.jpg</t>
  </si>
  <si>
    <t>MW0MW46207Z00</t>
  </si>
  <si>
    <t>/product/micro/MW0MW46207Z00.jpg</t>
  </si>
  <si>
    <t>MW0MW46210AEH</t>
  </si>
  <si>
    <t>HILFIGER EMBOSSED PIQUE T-SHIRT</t>
  </si>
  <si>
    <t>/product/micro/MW0MW46210AEH.jpg</t>
  </si>
  <si>
    <t>珠地双面布</t>
  </si>
  <si>
    <t>MW0MW46210DW5</t>
  </si>
  <si>
    <t>/product/micro/MW0MW46210DW5.jpg</t>
  </si>
  <si>
    <t>MW0MW46210Z00</t>
  </si>
  <si>
    <t>/product/micro/MW0MW46210Z00.jpg</t>
  </si>
  <si>
    <t>MW0MW46211BDS</t>
  </si>
  <si>
    <t>ICON HILFIGER INTERLOCK T-SHIRT</t>
  </si>
  <si>
    <t>/product/micro/MW0MW46211BDS.jpg</t>
  </si>
  <si>
    <t>MW0MW46211DW5</t>
  </si>
  <si>
    <t>/product/micro/MW0MW46211DW5.jpg</t>
  </si>
  <si>
    <t>MW0MW46211YBR</t>
  </si>
  <si>
    <t>/product/micro/MW0MW46211YBR.jpg</t>
  </si>
  <si>
    <t>MW0MW46216C9B</t>
  </si>
  <si>
    <t>ATHLEISURE POCKET PRINT T-SHIRT</t>
  </si>
  <si>
    <t>C9B</t>
  </si>
  <si>
    <t>/product/micro/MW0MW46216C9B.jpg</t>
  </si>
  <si>
    <t>MW0MW46216Z00</t>
  </si>
  <si>
    <t>/product/micro/MW0MW46216Z00.jpg</t>
  </si>
  <si>
    <t>MW0MW46222ACL</t>
  </si>
  <si>
    <t>NAUTICAL TONAL INTERLOCK T-SHIRT</t>
  </si>
  <si>
    <t>/product/micro/MW0MW46222ACL.jpg</t>
  </si>
  <si>
    <t>MW0MW46222C14</t>
  </si>
  <si>
    <t>/product/micro/MW0MW46222C14.jpg</t>
  </si>
  <si>
    <t>MW0MW46222DW5</t>
  </si>
  <si>
    <t>/product/micro/MW0MW46222DW5.jpg</t>
  </si>
  <si>
    <t>MW0MW46222Z00</t>
  </si>
  <si>
    <t>/product/micro/MW0MW46222Z00.jpg</t>
  </si>
  <si>
    <t>MW0MW46227LZD</t>
  </si>
  <si>
    <t>TH SCRIPT MERCERISED T-SHIRT</t>
  </si>
  <si>
    <t>LZD</t>
  </si>
  <si>
    <t>/product/micro/MW0MW46227LZD.jpg</t>
  </si>
  <si>
    <t>丝光棉</t>
  </si>
  <si>
    <t>MW0MW46227TOL</t>
  </si>
  <si>
    <t>/product/micro/MW0MW46227TOL.jpg</t>
  </si>
  <si>
    <t>MW0MW46227YBH</t>
  </si>
  <si>
    <t>/product/micro/MW0MW46227YBH.jpg</t>
  </si>
  <si>
    <t>MW0MW46228C14</t>
  </si>
  <si>
    <t>TONAL EMBRO INTERLOCK T-SHIRT</t>
  </si>
  <si>
    <t>/product/micro/MW0MW46228C14.jpg</t>
  </si>
  <si>
    <t>LW双面布</t>
  </si>
  <si>
    <t>MW0MW46228DW5</t>
  </si>
  <si>
    <t>/product/micro/MW0MW46228DW5.jpg</t>
  </si>
  <si>
    <t>MW0MW46228YBR</t>
  </si>
  <si>
    <t>/product/micro/MW0MW46228YBR.jpg</t>
  </si>
  <si>
    <t>MW0MW462290A4</t>
  </si>
  <si>
    <t>TH SCRIPT STRIPE POCKET T-SHIRT</t>
  </si>
  <si>
    <t>/product/micro/MW0MW462290A4.jpg</t>
  </si>
  <si>
    <t>MW0MW46239DW5</t>
  </si>
  <si>
    <t>RWB MERCERISED ZIP THROUGH STAND</t>
  </si>
  <si>
    <t>/product/micro/MW0MW46239DW5.jpg</t>
  </si>
  <si>
    <t>重磅毛圈布</t>
  </si>
  <si>
    <t>MW0MW46239P91</t>
  </si>
  <si>
    <t>/product/micro/MW0MW46239P91.jpg</t>
  </si>
  <si>
    <t>MW0MW462400CE</t>
  </si>
  <si>
    <t>HERITAGE TOMMY FLAG STRIPE RUGBY</t>
  </si>
  <si>
    <t>0CE</t>
  </si>
  <si>
    <t>/product/micro/MW0MW462400CE.jpg</t>
  </si>
  <si>
    <t>MW0MW462400EV</t>
  </si>
  <si>
    <t>/product/micro/MW0MW462400EV.jpg</t>
  </si>
  <si>
    <t>MW0MW46283DW5</t>
  </si>
  <si>
    <t>/product/micro/MW0MW46283DW5.jpg</t>
  </si>
  <si>
    <t>MW0MW46283YA8</t>
  </si>
  <si>
    <t>/product/micro/MW0MW46283YA8.jpg</t>
  </si>
  <si>
    <t>MW0MW46284GOP</t>
  </si>
  <si>
    <t>SOHO PO SORONA LINEN</t>
  </si>
  <si>
    <t>GOP</t>
  </si>
  <si>
    <t>/product/micro/MW0MW46284GOP.jpg</t>
  </si>
  <si>
    <t>MW0MW46284RBN</t>
  </si>
  <si>
    <t>/product/micro/MW0MW46284RBN.jpg</t>
  </si>
  <si>
    <t>MW0MW46293AEH</t>
  </si>
  <si>
    <t>RIVER RELAXED SELVEDGE CHINO</t>
  </si>
  <si>
    <t>/product/micro/MW0MW46293AEH.jpg</t>
  </si>
  <si>
    <t>MW0MW46295AEG</t>
  </si>
  <si>
    <t>DOVER 1PLT SORONA LINEN</t>
  </si>
  <si>
    <t>/product/micro/MW0MW46295AEG.jpg</t>
  </si>
  <si>
    <t>MW0MW46295DW5</t>
  </si>
  <si>
    <t>/product/micro/MW0MW46295DW5.jpg</t>
  </si>
  <si>
    <t>MW0MW46295YA8</t>
  </si>
  <si>
    <t>/product/micro/MW0MW46295YA8.jpg</t>
  </si>
  <si>
    <t>MW0MW46303AEH</t>
  </si>
  <si>
    <t>RIVER 10” CARGO POPLIN SHORTS</t>
  </si>
  <si>
    <t>/product/micro/MW0MW46303AEH.jpg</t>
  </si>
  <si>
    <t>MW0MW46303MSX</t>
  </si>
  <si>
    <t>/product/micro/MW0MW46303MSX.jpg</t>
  </si>
  <si>
    <t>MW0MW463360IM</t>
  </si>
  <si>
    <t>CABLE JACQUARD PIQUE  POLO</t>
  </si>
  <si>
    <t>0IM</t>
  </si>
  <si>
    <t>/product/micro/MW0MW463360IM.jpg</t>
  </si>
  <si>
    <t>毛针织</t>
  </si>
  <si>
    <t>MW0MW46336DW5</t>
  </si>
  <si>
    <t>/product/micro/MW0MW46336DW5.jpg</t>
  </si>
  <si>
    <t>MW0MW46336Z00</t>
  </si>
  <si>
    <t>/product/micro/MW0MW46336Z00.jpg</t>
  </si>
  <si>
    <t>MW0MW46338C1Q</t>
  </si>
  <si>
    <t>TONAL VERTICAL TEXTURE POLO</t>
  </si>
  <si>
    <t>/product/micro/MW0MW46338C1Q.jpg</t>
  </si>
  <si>
    <t>MW0MW46338DW5</t>
  </si>
  <si>
    <t>/product/micro/MW0MW46338DW5.jpg</t>
  </si>
  <si>
    <t>MW0MW46338Z00</t>
  </si>
  <si>
    <t>/product/micro/MW0MW46338Z00.jpg</t>
  </si>
  <si>
    <t>MW0MW46341AEH</t>
  </si>
  <si>
    <t>ALL OVER JACQUARD POLO</t>
  </si>
  <si>
    <t>/product/micro/MW0MW46341AEH.jpg</t>
  </si>
  <si>
    <t>MW0MW46341DW5</t>
  </si>
  <si>
    <t>/product/micro/MW0MW46341DW5.jpg</t>
  </si>
  <si>
    <t>MW0MW46341Z00</t>
  </si>
  <si>
    <t>/product/micro/MW0MW46341Z00.jpg</t>
  </si>
  <si>
    <t>MW0MW46347DW5</t>
  </si>
  <si>
    <t>HERITAGE HEAVY SLUB RUGBY POLO</t>
  </si>
  <si>
    <t>/product/micro/MW0MW46347DW5.jpg</t>
  </si>
  <si>
    <t>MW0MW46347Z00</t>
  </si>
  <si>
    <t>/product/micro/MW0MW46347Z00.jpg</t>
  </si>
  <si>
    <t>MW0MW46350P91</t>
  </si>
  <si>
    <t>HERITAGE TONAL EMBROIDERY POLO</t>
  </si>
  <si>
    <t>/product/micro/MW0MW46350P91.jpg</t>
  </si>
  <si>
    <t>MW0MW46350Z00</t>
  </si>
  <si>
    <t>/product/micro/MW0MW46350Z00.jpg</t>
  </si>
  <si>
    <t>MW0MW46362DW5</t>
  </si>
  <si>
    <t>COTTON HARRINGTON</t>
  </si>
  <si>
    <t>/product/micro/MW0MW46362DW5.jpg</t>
  </si>
  <si>
    <t>MW0MW46362GOP</t>
  </si>
  <si>
    <t>/product/micro/MW0MW46362GOP.jpg</t>
  </si>
  <si>
    <t>MW0MW463710HF</t>
  </si>
  <si>
    <t>REVERSIBLE LINEN CHECK IVY JKT</t>
  </si>
  <si>
    <t>0HF</t>
  </si>
  <si>
    <t>/product/micro/MW0MW463710HF.jpg</t>
  </si>
  <si>
    <t>MW0MW46372C9B</t>
  </si>
  <si>
    <t>REGATTA</t>
  </si>
  <si>
    <t>/product/micro/MW0MW46372C9B.jpg</t>
  </si>
  <si>
    <t>防水，防风</t>
  </si>
  <si>
    <t>MW0MW46379DW5</t>
  </si>
  <si>
    <t>RWB MERCERISED SWEATPANT</t>
  </si>
  <si>
    <t>/product/micro/MW0MW46379DW5.jpg</t>
  </si>
  <si>
    <t>MW0MW46379P91</t>
  </si>
  <si>
    <t>/product/micro/MW0MW46379P91.jpg</t>
  </si>
  <si>
    <t>MW0MW463890AA</t>
  </si>
  <si>
    <t>NY STRIPE TEXTURE POLO</t>
  </si>
  <si>
    <t>0AA</t>
  </si>
  <si>
    <t>/product/micro/MW0MW463890AA.jpg</t>
  </si>
  <si>
    <t>MW0MW46389Z00</t>
  </si>
  <si>
    <t>/product/micro/MW0MW46389Z00.jpg</t>
  </si>
  <si>
    <t>MW0MW46391DW5</t>
  </si>
  <si>
    <t>NY TECH COTTON STRIPE TEE</t>
  </si>
  <si>
    <t>/product/micro/MW0MW46391DW5.jpg</t>
  </si>
  <si>
    <t>条纹</t>
  </si>
  <si>
    <t>MW0MW46395DW5</t>
  </si>
  <si>
    <t>NY COTTON/LYOCELL GS POLO</t>
  </si>
  <si>
    <t>/product/micro/MW0MW46395DW5.jpg</t>
  </si>
  <si>
    <t>MW0MW46395XJS</t>
  </si>
  <si>
    <t>XJS</t>
  </si>
  <si>
    <t>/product/micro/MW0MW46395XJS.jpg</t>
  </si>
  <si>
    <t>MW0MW464060A4</t>
  </si>
  <si>
    <t>NY PERFORMANCE SEERSUCKER PANTS</t>
  </si>
  <si>
    <t>/product/micro/MW0MW464060A4.jpg</t>
  </si>
  <si>
    <t>42-60</t>
  </si>
  <si>
    <t>50</t>
  </si>
  <si>
    <t>52</t>
  </si>
  <si>
    <t>54</t>
  </si>
  <si>
    <t>MW0MW46418DW5</t>
  </si>
  <si>
    <t>NY PERF REVERSIBLE SHORT JACKET</t>
  </si>
  <si>
    <t>/product/micro/MW0MW46418DW5.jpg</t>
  </si>
  <si>
    <t>MW0MW464290A4</t>
  </si>
  <si>
    <t>NY PERFORMANCE SEERSUCKER BLAZER</t>
  </si>
  <si>
    <t>/product/micro/MW0MW464290A4.jpg</t>
  </si>
  <si>
    <t>MW0MW464290AA</t>
  </si>
  <si>
    <t>/product/micro/MW0MW464290AA.jpg</t>
  </si>
  <si>
    <t>MW0MW46436AEV</t>
  </si>
  <si>
    <t>NY LINEN BLAZER</t>
  </si>
  <si>
    <t>AEV</t>
  </si>
  <si>
    <t>/product/micro/MW0MW46436AEV.jpg</t>
  </si>
  <si>
    <t>MW0MW46436DW5</t>
  </si>
  <si>
    <t>/product/micro/MW0MW46436DW5.jpg</t>
  </si>
  <si>
    <t>MW0MW464500LY</t>
  </si>
  <si>
    <t>NY LINEN HOUNDSTOOTH SHIRT</t>
  </si>
  <si>
    <t>/product/micro/MW0MW464500LY.jpg</t>
  </si>
  <si>
    <t>MW0MW464500MS</t>
  </si>
  <si>
    <t>/product/micro/MW0MW464500MS.jpg</t>
  </si>
  <si>
    <t>MW0MW46458DW5</t>
  </si>
  <si>
    <t>PERFORMANCE TECH POCKET T-SHIRT</t>
  </si>
  <si>
    <t>/product/micro/MW0MW46458DW5.jpg</t>
  </si>
  <si>
    <t>功能复合织物</t>
  </si>
  <si>
    <t>速干</t>
  </si>
  <si>
    <t>MW0MW46458YBR</t>
  </si>
  <si>
    <t>/product/micro/MW0MW46458YBR.jpg</t>
  </si>
  <si>
    <t>MW0MW46469AEH</t>
  </si>
  <si>
    <t>PERFORMANCE TECH STRETCH POLO</t>
  </si>
  <si>
    <t>/product/micro/MW0MW46469AEH.jpg</t>
  </si>
  <si>
    <t>MW0MW46469C9B</t>
  </si>
  <si>
    <t>/product/micro/MW0MW46469C9B.jpg</t>
  </si>
  <si>
    <t>MW0MW46469DW5</t>
  </si>
  <si>
    <t>/product/micro/MW0MW46469DW5.jpg</t>
  </si>
  <si>
    <t>MW0MW46471AEH</t>
  </si>
  <si>
    <t>PERFORMANCE SEERSUCKER JACKET</t>
  </si>
  <si>
    <t>/product/micro/MW0MW46471AEH.jpg</t>
  </si>
  <si>
    <t>防泼水，防UV</t>
  </si>
  <si>
    <t>MW0MW46471DW5</t>
  </si>
  <si>
    <t>/product/micro/MW0MW46471DW5.jpg</t>
  </si>
  <si>
    <t>MW0MW46479AEH</t>
  </si>
  <si>
    <t>PERFORMANCE SEERSUCKER SHORT</t>
  </si>
  <si>
    <t>/product/micro/MW0MW46479AEH.jpg</t>
  </si>
  <si>
    <t>MW0MW46479DW5</t>
  </si>
  <si>
    <t>/product/micro/MW0MW46479DW5.jpg</t>
  </si>
  <si>
    <t>MW0MW46487AEH</t>
  </si>
  <si>
    <t>/product/micro/MW0MW46487AEH.jpg</t>
  </si>
  <si>
    <t>MW0MW46488DW5</t>
  </si>
  <si>
    <t>FLAG SHIP ESSENTIAL SS POLO</t>
  </si>
  <si>
    <t>/product/micro/MW0MW46488DW5.jpg</t>
  </si>
  <si>
    <t>MW0MW46488Z00</t>
  </si>
  <si>
    <t>/product/micro/MW0MW46488Z00.jpg</t>
  </si>
  <si>
    <t>MW0MW46504DSM</t>
  </si>
  <si>
    <t>COOLMAX HIDDEN PLACKET POLO</t>
  </si>
  <si>
    <t>DSM</t>
  </si>
  <si>
    <t>/product/micro/MW0MW46504DSM.jpg</t>
  </si>
  <si>
    <t>MW0MW46504DW5</t>
  </si>
  <si>
    <t>/product/micro/MW0MW46504DW5.jpg</t>
  </si>
  <si>
    <t>MW0MW46504Z00</t>
  </si>
  <si>
    <t>/product/micro/MW0MW46504Z00.jpg</t>
  </si>
  <si>
    <t>MW0MW465050A5</t>
  </si>
  <si>
    <t>COOLMAX GRAPHIC PIQUE POLO</t>
  </si>
  <si>
    <t>/product/micro/MW0MW465050A5.jpg</t>
  </si>
  <si>
    <t>MW0MW46505YBR</t>
  </si>
  <si>
    <t>/product/micro/MW0MW46505YBR.jpg</t>
  </si>
  <si>
    <t>MW0MW46521C14</t>
  </si>
  <si>
    <t>ATH INRESST TONAL TIPPED POLO</t>
  </si>
  <si>
    <t>/product/micro/MW0MW46521C14.jpg</t>
  </si>
  <si>
    <t>MW0MW46521DW5</t>
  </si>
  <si>
    <t>/product/micro/MW0MW46521DW5.jpg</t>
  </si>
  <si>
    <t>MW0MW46525DW5</t>
  </si>
  <si>
    <t>RWB SOFT TOUCH CUFF SLIM POLO</t>
  </si>
  <si>
    <t>/product/micro/MW0MW46525DW5.jpg</t>
  </si>
  <si>
    <t>MW0MW46525XLD</t>
  </si>
  <si>
    <t>XLD</t>
  </si>
  <si>
    <t>/product/micro/MW0MW46525XLD.jpg</t>
  </si>
  <si>
    <t>MW0MW46525YBR</t>
  </si>
  <si>
    <t>/product/micro/MW0MW46525YBR.jpg</t>
  </si>
  <si>
    <t>MW0MW46529C14</t>
  </si>
  <si>
    <t>LINEN BLEND KNITTED SS POLO</t>
  </si>
  <si>
    <t>/product/micro/MW0MW46529C14.jpg</t>
  </si>
  <si>
    <t>MW0MW46529DW5</t>
  </si>
  <si>
    <t>/product/micro/MW0MW46529DW5.jpg</t>
  </si>
  <si>
    <t>MW0MW465340A4</t>
  </si>
  <si>
    <t>OPEN KNIT BUTTON THROUGH</t>
  </si>
  <si>
    <t>/product/micro/MW0MW465340A4.jpg</t>
  </si>
  <si>
    <t>MW0MW465340FA</t>
  </si>
  <si>
    <t>/product/micro/MW0MW465340FA.jpg</t>
  </si>
  <si>
    <t>MW0MW46658ACL</t>
  </si>
  <si>
    <t>COOLMAX CONTRAST COLLAR POLO</t>
  </si>
  <si>
    <t>/product/micro/MW0MW46658ACL.jpg</t>
  </si>
  <si>
    <t>MW0MW46658DW5</t>
  </si>
  <si>
    <t>/product/micro/MW0MW46658DW5.jpg</t>
  </si>
  <si>
    <t>MW0MW466600A5</t>
  </si>
  <si>
    <t>ATH BLOCKING POLO</t>
  </si>
  <si>
    <t>/product/micro/MW0MW466600A5.jpg</t>
  </si>
  <si>
    <t>MW0MW46668DW5</t>
  </si>
  <si>
    <t>TECH PACKABLE AIRDOT JACKET</t>
  </si>
  <si>
    <t>/product/micro/MW0MW46668DW5.jpg</t>
  </si>
  <si>
    <t>MW0MW46668RBT</t>
  </si>
  <si>
    <t>/product/micro/MW0MW46668RBT.jpg</t>
  </si>
  <si>
    <t>MW0MW467071BU</t>
  </si>
  <si>
    <t>DOVER STRAIGHT QUARTZ</t>
  </si>
  <si>
    <t>1BU</t>
  </si>
  <si>
    <t>/product/micro/MW0MW467071BU.jpg</t>
  </si>
  <si>
    <t>11.5OZ</t>
  </si>
  <si>
    <t>MW0MW46831AEH</t>
  </si>
  <si>
    <t>PERFORMANCE IVY WINDBREAKER</t>
  </si>
  <si>
    <t>/product/micro/MW0MW46831AEH.jpg</t>
  </si>
  <si>
    <t>MW0MW46831DW5</t>
  </si>
  <si>
    <t>/product/micro/MW0MW46831DW5.jpg</t>
  </si>
  <si>
    <t>MW0MW468500MS</t>
  </si>
  <si>
    <t>LINEN HOUNDSTOOTH CHORE JACKET</t>
  </si>
  <si>
    <t>/product/micro/MW0MW468500MS.jpg</t>
  </si>
  <si>
    <t>MW0MW46854BDS</t>
  </si>
  <si>
    <t>SOFT TOUCH LUXURY INTERLOCK TEE</t>
  </si>
  <si>
    <t>/product/micro/MW0MW46854BDS.jpg</t>
  </si>
  <si>
    <t>MW0MW46854DW5</t>
  </si>
  <si>
    <t>/product/micro/MW0MW46854DW5.jpg</t>
  </si>
  <si>
    <t>MW0MW46854YBR</t>
  </si>
  <si>
    <t>/product/micro/MW0MW46854YBR.jpg</t>
  </si>
  <si>
    <t>MW0MW46856DW5</t>
  </si>
  <si>
    <t>AIRDOT ELASTIC WB DENTON</t>
  </si>
  <si>
    <t>/product/micro/MW0MW46856DW5.jpg</t>
  </si>
  <si>
    <t>空气网眼</t>
  </si>
  <si>
    <t>速干，防UV</t>
  </si>
  <si>
    <t>MW0MW46856PR2</t>
  </si>
  <si>
    <t>PR2</t>
  </si>
  <si>
    <t>/product/micro/MW0MW46856PR2.jpg</t>
  </si>
  <si>
    <t>MW0MW46856RBT</t>
  </si>
  <si>
    <t>/product/micro/MW0MW46856RBT.jpg</t>
  </si>
  <si>
    <t>MW0MW46857DW5</t>
  </si>
  <si>
    <t>AIRDOT TECH S/S SHIRT</t>
  </si>
  <si>
    <t>/product/micro/MW0MW46857DW5.jpg</t>
  </si>
  <si>
    <t>MW0MW46857PR2</t>
  </si>
  <si>
    <t>/product/micro/MW0MW46857PR2.jpg</t>
  </si>
  <si>
    <t>MW0MW46857RBT</t>
  </si>
  <si>
    <t>/product/micro/MW0MW46857RBT.jpg</t>
  </si>
  <si>
    <t>MW0MW46858DW5</t>
  </si>
  <si>
    <t>TECH SOFT SHELL JACKET</t>
  </si>
  <si>
    <t>/product/micro/MW0MW46858DW5.jpg</t>
  </si>
  <si>
    <t>MW0MW46858PR2</t>
  </si>
  <si>
    <t>/product/micro/MW0MW46858PR2.jpg</t>
  </si>
  <si>
    <t>MW0MW46859DW5</t>
  </si>
  <si>
    <t>TECH PIQUE T-SHIRT</t>
  </si>
  <si>
    <t>/product/micro/MW0MW46859DW5.jpg</t>
  </si>
  <si>
    <t>MW0MW46859PR2</t>
  </si>
  <si>
    <t>/product/micro/MW0MW46859PR2.jpg</t>
  </si>
  <si>
    <t>MW0MW46859YBR</t>
  </si>
  <si>
    <t>/product/micro/MW0MW46859YBR.jpg</t>
  </si>
  <si>
    <t>MW0MW468621AI</t>
  </si>
  <si>
    <t>DENTON COOLMAX EDDY</t>
  </si>
  <si>
    <t>1AI</t>
  </si>
  <si>
    <t>/product/micro/MW0MW468621AI.jpg</t>
  </si>
  <si>
    <t>8OZ</t>
  </si>
  <si>
    <t>MW0MW468621BT</t>
  </si>
  <si>
    <t>1BT</t>
  </si>
  <si>
    <t>/product/micro/MW0MW468621BT.jpg</t>
  </si>
  <si>
    <t>MW0MW46863BDS</t>
  </si>
  <si>
    <t>COOL TOUCH TECH DOVER CHINO</t>
  </si>
  <si>
    <t>/product/micro/MW0MW46863BDS.jpg</t>
  </si>
  <si>
    <t>MW0MW46863PR2</t>
  </si>
  <si>
    <t>/product/micro/MW0MW46863PR2.jpg</t>
  </si>
  <si>
    <t>MW0MW46864AEG</t>
  </si>
  <si>
    <t>DOVER CHINO STRETCH NYLON</t>
  </si>
  <si>
    <t>/product/micro/MW0MW46864AEG.jpg</t>
  </si>
  <si>
    <t>弹力尼龙</t>
  </si>
  <si>
    <t>防泼水</t>
  </si>
  <si>
    <t>MW0MW46864DW5</t>
  </si>
  <si>
    <t>/product/micro/MW0MW46864DW5.jpg</t>
  </si>
  <si>
    <t>MW0MW46864PR2</t>
  </si>
  <si>
    <t>/product/micro/MW0MW46864PR2.jpg</t>
  </si>
  <si>
    <t>MW0MW46866ACL</t>
  </si>
  <si>
    <t>IM DENTON HALF ELAST POPLIN</t>
  </si>
  <si>
    <t>/product/micro/MW0MW46866ACL.jpg</t>
  </si>
  <si>
    <t>MW0MW46866DW5</t>
  </si>
  <si>
    <t>/product/micro/MW0MW46866DW5.jpg</t>
  </si>
  <si>
    <t>MW0MW46872GVH</t>
  </si>
  <si>
    <t>PONTE DI ROMA WITH DETAILING</t>
  </si>
  <si>
    <t>GVH</t>
  </si>
  <si>
    <t>/product/micro/MW0MW46872GVH.jpg</t>
  </si>
  <si>
    <t>MW0MW46872VLP</t>
  </si>
  <si>
    <t>/product/micro/MW0MW46872VLP.jpg</t>
  </si>
  <si>
    <t>MW0MW46875DW5</t>
  </si>
  <si>
    <t>AF JACQUARD REG POLO</t>
  </si>
  <si>
    <t>/product/micro/MW0MW46875DW5.jpg</t>
  </si>
  <si>
    <t>MW0MW46875L20</t>
  </si>
  <si>
    <t>/product/micro/MW0MW46875L20.jpg</t>
  </si>
  <si>
    <t>MW0MW46875P91</t>
  </si>
  <si>
    <t>/product/micro/MW0MW46875P91.jpg</t>
  </si>
  <si>
    <t>MW0MW46875YBR</t>
  </si>
  <si>
    <t>/product/micro/MW0MW46875YBR.jpg</t>
  </si>
  <si>
    <t>MW0MW46876DW5</t>
  </si>
  <si>
    <t>ICON GRAPHIC SWEATSHIRT</t>
  </si>
  <si>
    <t>/product/micro/MW0MW46876DW5.jpg</t>
  </si>
  <si>
    <t>MW0MW46876Z00</t>
  </si>
  <si>
    <t>/product/micro/MW0MW46876Z00.jpg</t>
  </si>
  <si>
    <t>MW0MW46877DW5</t>
  </si>
  <si>
    <t>ICON GRAPHIC SWEATSHORT</t>
  </si>
  <si>
    <t>/product/micro/MW0MW46877DW5.jpg</t>
  </si>
  <si>
    <t>MW0MW46877Z00</t>
  </si>
  <si>
    <t>/product/micro/MW0MW46877Z00.jpg</t>
  </si>
  <si>
    <t>MW0MW468890A4</t>
  </si>
  <si>
    <t>BEST LEVEL GROUND STP RLX</t>
  </si>
  <si>
    <t>/product/micro/MW0MW468890A4.jpg</t>
  </si>
  <si>
    <t>MW0MW46897AEH</t>
  </si>
  <si>
    <t>REVERSIBLE HARRINGTON JACKET</t>
  </si>
  <si>
    <t>/product/micro/MW0MW46897AEH.jpg</t>
  </si>
  <si>
    <t>MW0MW470190QJ</t>
  </si>
  <si>
    <t>MADRAS PATCHWORK SHIRT</t>
  </si>
  <si>
    <t>/product/micro/MW0MW470190QJ.jpg</t>
  </si>
  <si>
    <t>MW0MW470210QJ</t>
  </si>
  <si>
    <t>DOVER 8" MADRAS PATCHWORK</t>
  </si>
  <si>
    <t>/product/micro/MW0MW470210QJ.jpg</t>
  </si>
  <si>
    <t>拼布</t>
  </si>
  <si>
    <t>MW0MW47022C30</t>
  </si>
  <si>
    <t>WASHED IVY JACKET</t>
  </si>
  <si>
    <t>/product/micro/MW0MW47022C30.jpg</t>
  </si>
  <si>
    <t>MW0MW47253DW5</t>
  </si>
  <si>
    <t>BRANDED BLOUSON</t>
  </si>
  <si>
    <t>/product/micro/MW0MW47253DW5.jpg</t>
  </si>
  <si>
    <t>MW0MW47253RBN</t>
  </si>
  <si>
    <t>/product/micro/MW0MW47253RBN.jpg</t>
  </si>
  <si>
    <t>MW0MW47253YA8</t>
  </si>
  <si>
    <t>/product/micro/MW0MW47253YA8.jpg</t>
  </si>
  <si>
    <t>MW0MW47344DW5</t>
  </si>
  <si>
    <t>BRANDED HOODED JACKET</t>
  </si>
  <si>
    <t>/product/micro/MW0MW47344DW5.jpg</t>
  </si>
  <si>
    <t>MW0MW47344MAT</t>
  </si>
  <si>
    <t>/product/micro/MW0MW47344MAT.jpg</t>
  </si>
  <si>
    <t>MW0MW47344RBT</t>
  </si>
  <si>
    <t>/product/micro/MW0MW47344RBT.jpg</t>
  </si>
  <si>
    <t>MW0MW47377DW5</t>
  </si>
  <si>
    <t>MADRAS HEAVY JERSEY TEE</t>
  </si>
  <si>
    <t>/product/micro/MW0MW47377DW5.jpg</t>
  </si>
  <si>
    <t>MW0MW47377YBR</t>
  </si>
  <si>
    <t>/product/micro/MW0MW47377YBR.jpg</t>
  </si>
  <si>
    <t>MW0MW47508C3Q</t>
  </si>
  <si>
    <t>AF SEERSUCKER SOLID S/S RF SHIRT</t>
  </si>
  <si>
    <t>/product/micro/MW0MW47508C3Q.jpg</t>
  </si>
  <si>
    <t>MW0MW47508DW5</t>
  </si>
  <si>
    <t>/product/micro/MW0MW47508DW5.jpg</t>
  </si>
  <si>
    <t>MW0MW47508YBR</t>
  </si>
  <si>
    <t>/product/micro/MW0MW47508YBR.jpg</t>
  </si>
  <si>
    <t>MW0MW475180GY</t>
  </si>
  <si>
    <t>AF LIGHT OXFORD SOLID RF</t>
  </si>
  <si>
    <t>/product/micro/MW0MW475180GY.jpg</t>
  </si>
  <si>
    <t>MW0MW47518L2T</t>
  </si>
  <si>
    <t>/product/micro/MW0MW47518L2T.jpg</t>
  </si>
  <si>
    <t>MW0MW47518YBR</t>
  </si>
  <si>
    <t>/product/micro/MW0MW47518YBR.jpg</t>
  </si>
  <si>
    <t>MW0MW475190A4</t>
  </si>
  <si>
    <t>/product/micro/MW0MW475190A4.jpg</t>
  </si>
  <si>
    <t>MW0MW475190FP</t>
  </si>
  <si>
    <t>0FP</t>
  </si>
  <si>
    <t>/product/micro/MW0MW475190FP.jpg</t>
  </si>
  <si>
    <t>MW0MW47529C14</t>
  </si>
  <si>
    <t>AF PIGMENT DYED LI SOLID RF</t>
  </si>
  <si>
    <t>/product/micro/MW0MW47529C14.jpg</t>
  </si>
  <si>
    <t>MW0MW47529DCC</t>
  </si>
  <si>
    <t>/product/micro/MW0MW47529DCC.jpg</t>
  </si>
  <si>
    <t>MW0MW47529RBN</t>
  </si>
  <si>
    <t>/product/micro/MW0MW47529RBN.jpg</t>
  </si>
  <si>
    <t>MW0MW47529RBT</t>
  </si>
  <si>
    <t>/product/micro/MW0MW47529RBT.jpg</t>
  </si>
  <si>
    <t>MW0MW47529XIX</t>
  </si>
  <si>
    <t>/product/micro/MW0MW47529XIX.jpg</t>
  </si>
  <si>
    <t>MW0MW47529YBR</t>
  </si>
  <si>
    <t>/product/micro/MW0MW47529YBR.jpg</t>
  </si>
  <si>
    <t>MW0MW47531ACL</t>
  </si>
  <si>
    <t>AF PREMIUM SILK BLEND POLO</t>
  </si>
  <si>
    <t>/product/micro/MW0MW47531ACL.jpg</t>
  </si>
  <si>
    <t>MW0MW47531DW5</t>
  </si>
  <si>
    <t>/product/micro/MW0MW47531DW5.jpg</t>
  </si>
  <si>
    <t>MW0MW47531MSX</t>
  </si>
  <si>
    <t>/product/micro/MW0MW47531MSX.jpg</t>
  </si>
  <si>
    <t>MW0MW47532C1G</t>
  </si>
  <si>
    <t>AF TH SCRIPT TIPPED PIQUE POLO</t>
  </si>
  <si>
    <t>/product/micro/MW0MW47532C1G.jpg</t>
  </si>
  <si>
    <t>MW0MW47532C30</t>
  </si>
  <si>
    <t>/product/micro/MW0MW47532C30.jpg</t>
  </si>
  <si>
    <t>MW0MW47532ZF0</t>
  </si>
  <si>
    <t>/product/micro/MW0MW47532ZF0.jpg</t>
  </si>
  <si>
    <t>MW0MW47533AEH</t>
  </si>
  <si>
    <t>AF CLASSIC COTTON CABLE SS POLO</t>
  </si>
  <si>
    <t>/product/micro/MW0MW47533AEH.jpg</t>
  </si>
  <si>
    <t>绞花</t>
  </si>
  <si>
    <t>MW0MW47533DW5</t>
  </si>
  <si>
    <t>/product/micro/MW0MW47533DW5.jpg</t>
  </si>
  <si>
    <t>MW0MW47533L2T</t>
  </si>
  <si>
    <t>/product/micro/MW0MW47533L2T.jpg</t>
  </si>
  <si>
    <t>MW0MW47533XLD</t>
  </si>
  <si>
    <t>/product/micro/MW0MW47533XLD.jpg</t>
  </si>
  <si>
    <t>MW0MW47533Z00</t>
  </si>
  <si>
    <t>/product/micro/MW0MW47533Z00.jpg</t>
  </si>
  <si>
    <t>MW0MW475340A4</t>
  </si>
  <si>
    <t>AF COOL TOUCH STRUCTURE TEE</t>
  </si>
  <si>
    <t>/product/micro/MW0MW475340A4.jpg</t>
  </si>
  <si>
    <t>COOL TOUCH</t>
  </si>
  <si>
    <t>MW0MW475340AA</t>
  </si>
  <si>
    <t>/product/micro/MW0MW475340AA.jpg</t>
  </si>
  <si>
    <t>MW0MW47534BDS</t>
  </si>
  <si>
    <t>/product/micro/MW0MW47534BDS.jpg</t>
  </si>
  <si>
    <t>MW0MW47534HGF</t>
  </si>
  <si>
    <t>HGF</t>
  </si>
  <si>
    <t>/product/micro/MW0MW47534HGF.jpg</t>
  </si>
  <si>
    <t>MW0MW47535DW4</t>
  </si>
  <si>
    <t>AF COOL TOUCH STRUCTURE SS POLO</t>
  </si>
  <si>
    <t>DW4</t>
  </si>
  <si>
    <t>/product/micro/MW0MW47535DW4.jpg</t>
  </si>
  <si>
    <t>MW0MW47535HGF</t>
  </si>
  <si>
    <t>/product/micro/MW0MW47535HGF.jpg</t>
  </si>
  <si>
    <t>MW0MW47713C14</t>
  </si>
  <si>
    <t>/product/micro/MW0MW47713C14.jpg</t>
  </si>
  <si>
    <t>MW0MW477340A4</t>
  </si>
  <si>
    <t>IM CS ATHLEISURE BACK PRINT TEE</t>
  </si>
  <si>
    <t>/product/micro/MW0MW477340A4.jpg</t>
  </si>
  <si>
    <t>MW0MW47734DW5</t>
  </si>
  <si>
    <t>/product/micro/MW0MW47734DW5.jpg</t>
  </si>
  <si>
    <t>MW0MW47734ZGY</t>
  </si>
  <si>
    <t>ZGY</t>
  </si>
  <si>
    <t>/product/micro/MW0MW47734ZGY.jpg</t>
  </si>
  <si>
    <t>MW0MW47740AEG</t>
  </si>
  <si>
    <t>IM CS DOVER 8" HALF ELAS SOR LIN</t>
  </si>
  <si>
    <t>/product/micro/MW0MW47740AEG.jpg</t>
  </si>
  <si>
    <t>MW0MW47740DW5</t>
  </si>
  <si>
    <t>/product/micro/MW0MW47740DW5.jpg</t>
  </si>
  <si>
    <t>MW0MW47743DW5</t>
  </si>
  <si>
    <t>/product/micro/MW0MW47743DW5.jpg</t>
  </si>
  <si>
    <t>MW0MW47744C9B</t>
  </si>
  <si>
    <t>IM CS CREW JACKET</t>
  </si>
  <si>
    <t>/product/micro/MW0MW47744C9B.jpg</t>
  </si>
  <si>
    <t>MW0MW47744DW5</t>
  </si>
  <si>
    <t>/product/micro/MW0MW47744DW5.jpg</t>
  </si>
  <si>
    <t>MW0MW47745AEG</t>
  </si>
  <si>
    <t>IM CS DENTON STRD TECH CHINO</t>
  </si>
  <si>
    <t>/product/micro/MW0MW47745AEG.jpg</t>
  </si>
  <si>
    <t>提花肌理</t>
  </si>
  <si>
    <t>MW0MW47745DW5</t>
  </si>
  <si>
    <t>/product/micro/MW0MW47745DW5.jpg</t>
  </si>
  <si>
    <t>MW0MW47746AEG</t>
  </si>
  <si>
    <t>IM CS DENTON KNIT TECH CHINO</t>
  </si>
  <si>
    <t>/product/micro/MW0MW47746AEG.jpg</t>
  </si>
  <si>
    <t>针织斜纹</t>
  </si>
  <si>
    <t>MW0MW47746BDS</t>
  </si>
  <si>
    <t>/product/micro/MW0MW47746BDS.jpg</t>
  </si>
  <si>
    <t>MW0MW47746DW5</t>
  </si>
  <si>
    <t>/product/micro/MW0MW47746DW5.jpg</t>
  </si>
  <si>
    <t>MW0MW47752DW5</t>
  </si>
  <si>
    <t>IM CS PERF DOVER KNIT SHORT</t>
  </si>
  <si>
    <t>/product/micro/MW0MW47752DW5.jpg</t>
  </si>
  <si>
    <t>功能针织</t>
  </si>
  <si>
    <t>MW0MW47752RBT</t>
  </si>
  <si>
    <t>/product/micro/MW0MW47752RBT.jpg</t>
  </si>
  <si>
    <t>MW0MW47753AEH</t>
  </si>
  <si>
    <t>IM CS TECH LIGHTWEIGHT BOMBER</t>
  </si>
  <si>
    <t>/product/micro/MW0MW47753AEH.jpg</t>
  </si>
  <si>
    <t>防泼水，防风</t>
  </si>
  <si>
    <t>MW0MW47753DW5</t>
  </si>
  <si>
    <t>/product/micro/MW0MW47753DW5.jpg</t>
  </si>
  <si>
    <t>TS001016078</t>
  </si>
  <si>
    <t>匹马棉混&amp;抗菌加工，单面刺绣</t>
  </si>
  <si>
    <t>078</t>
  </si>
  <si>
    <t>/product/micro/TS001016078.jpg</t>
  </si>
  <si>
    <t>TS001016100</t>
  </si>
  <si>
    <t>/product/micro/TS001016100.jpg</t>
  </si>
  <si>
    <t>TS001016416</t>
  </si>
  <si>
    <t>416</t>
  </si>
  <si>
    <t>/product/micro/TS001016416.jpg</t>
  </si>
  <si>
    <t>TS00103F090</t>
  </si>
  <si>
    <t>/product/micro/TS00103F090.jpg</t>
  </si>
  <si>
    <t>TS00103F098</t>
  </si>
  <si>
    <t>/product/micro/TS00103F098.jpg</t>
  </si>
  <si>
    <t>UM0UM03755069</t>
  </si>
  <si>
    <t>3-Pack Modal Blend Trunk</t>
  </si>
  <si>
    <t>内裤</t>
  </si>
  <si>
    <t>UM0UM0375506B</t>
  </si>
  <si>
    <t>06B</t>
  </si>
  <si>
    <t>UM0UM03768068</t>
  </si>
  <si>
    <t>3-Pack Pima Cotton Blend Trunk</t>
  </si>
  <si>
    <t>UM0UM0376809J</t>
  </si>
  <si>
    <t>09J</t>
  </si>
  <si>
    <t>UM0UM038350TY</t>
  </si>
  <si>
    <t>3-Pack Cotton Trunk</t>
  </si>
  <si>
    <t>0TY</t>
  </si>
  <si>
    <t>UM0UM0387706I</t>
  </si>
  <si>
    <t>3-Pack Micro Trunk</t>
  </si>
  <si>
    <t>06I</t>
  </si>
  <si>
    <t>UM0UM0388206I</t>
  </si>
  <si>
    <t>UM0UM0388206K</t>
  </si>
  <si>
    <t>06K</t>
  </si>
  <si>
    <t>UM0UM038890VA</t>
  </si>
  <si>
    <t>0VA</t>
  </si>
  <si>
    <t>UM0UM039000VY</t>
  </si>
  <si>
    <t>06P</t>
  </si>
  <si>
    <t>UM0UM039080Y3</t>
  </si>
  <si>
    <t>0Y3</t>
  </si>
  <si>
    <t>UM0UM03935C7E</t>
  </si>
  <si>
    <t>Long Length Swimshorts</t>
  </si>
  <si>
    <t>C7E</t>
  </si>
  <si>
    <t>UM0UM040910MT</t>
  </si>
  <si>
    <t>Mid Length Swimshorts</t>
  </si>
  <si>
    <t>UM0UM0413906E</t>
  </si>
  <si>
    <t>3-Pack Performance Trunk</t>
  </si>
  <si>
    <t>06E</t>
  </si>
  <si>
    <t>UM0UM0413906F</t>
  </si>
  <si>
    <t>06F</t>
  </si>
  <si>
    <t>UM0UM042150WE</t>
  </si>
  <si>
    <t>2-Pack Cotton Pattern Boxer</t>
  </si>
  <si>
    <t>0WE</t>
  </si>
  <si>
    <t>UM0UM042310YV</t>
  </si>
  <si>
    <t>2-Pack Cotton Woven Boxer</t>
  </si>
  <si>
    <t>0YV</t>
  </si>
  <si>
    <t>WW0WW4058704W</t>
  </si>
  <si>
    <t>04W</t>
  </si>
  <si>
    <t>/product/micro/WW0WW4058704W.jpg</t>
  </si>
  <si>
    <t>WW0WW405870FA</t>
  </si>
  <si>
    <t>/product/micro/WW0WW405870FA.jpg</t>
  </si>
  <si>
    <t>WW0WW54822C1G</t>
  </si>
  <si>
    <t>COTTON MINI CABLE POLO</t>
  </si>
  <si>
    <t>/product/micro/WW0WW54822C1G.jpg</t>
  </si>
  <si>
    <t>WW0WW54822C1O</t>
  </si>
  <si>
    <t>C1O</t>
  </si>
  <si>
    <t>/product/micro/WW0WW54822C1O.jpg</t>
  </si>
  <si>
    <t>WW0WW54822LV6</t>
  </si>
  <si>
    <t>LV6</t>
  </si>
  <si>
    <t>/product/micro/WW0WW54822LV6.jpg</t>
  </si>
  <si>
    <t>浅绿色</t>
  </si>
  <si>
    <t>WW0WW54826TOG</t>
  </si>
  <si>
    <t>COTTON MINI CABLE SHORT SLEEVE</t>
  </si>
  <si>
    <t>TOG</t>
  </si>
  <si>
    <t>/product/micro/WW0WW54826TOG.jpg</t>
  </si>
  <si>
    <t>WW0WW54826ZHD</t>
  </si>
  <si>
    <t>ZHD</t>
  </si>
  <si>
    <t>/product/micro/WW0WW54826ZHD.jpg</t>
  </si>
  <si>
    <t>WW0WW418930AP</t>
  </si>
  <si>
    <t>IM COTTON SLUB C-NECK T-SHIRT</t>
  </si>
  <si>
    <t>0AP</t>
  </si>
  <si>
    <t>/product/micro/WW0WW418930AP.jpg</t>
  </si>
  <si>
    <t>WW0WW41893YCF</t>
  </si>
  <si>
    <t>/product/micro/WW0WW41893YCF.jpg</t>
  </si>
  <si>
    <t>WW0WW4322404S</t>
  </si>
  <si>
    <t>1985 PIQUE REGULAR POLO</t>
  </si>
  <si>
    <t>04S</t>
  </si>
  <si>
    <t>/product/micro/WW0WW4322404S.jpg</t>
  </si>
  <si>
    <t>WW0WW4322404X</t>
  </si>
  <si>
    <t>04X</t>
  </si>
  <si>
    <t>/product/micro/WW0WW4322404X.jpg</t>
  </si>
  <si>
    <t>WW0WW432240AP</t>
  </si>
  <si>
    <t>/product/micro/WW0WW432240AP.jpg</t>
  </si>
  <si>
    <t>WW0WW4467907D</t>
  </si>
  <si>
    <t>ESS LINEN RELAXED LS SHIRT</t>
  </si>
  <si>
    <t>07D</t>
  </si>
  <si>
    <t>/product/micro/WW0WW4467907D.jpg</t>
  </si>
  <si>
    <t>WW0WW446790ED</t>
  </si>
  <si>
    <t>0ED</t>
  </si>
  <si>
    <t>/product/micro/WW0WW446790ED.jpg</t>
  </si>
  <si>
    <t>WW0WW446790FZ</t>
  </si>
  <si>
    <t>0FZ</t>
  </si>
  <si>
    <t>/product/micro/WW0WW446790FZ.jpg</t>
  </si>
  <si>
    <t>WW0WW44679ABL</t>
  </si>
  <si>
    <t>ABL</t>
  </si>
  <si>
    <t>/product/micro/WW0WW44679ABL.jpg</t>
  </si>
  <si>
    <t>WW0WW44679C1P</t>
  </si>
  <si>
    <t>C1P</t>
  </si>
  <si>
    <t>/product/micro/WW0WW44679C1P.jpg</t>
  </si>
  <si>
    <t>WW0WW44679C7E</t>
  </si>
  <si>
    <t>/product/micro/WW0WW44679C7E.jpg</t>
  </si>
  <si>
    <t>WW0WW44679GSY</t>
  </si>
  <si>
    <t>GSY</t>
  </si>
  <si>
    <t>/product/micro/WW0WW44679GSY.jpg</t>
  </si>
  <si>
    <t>WW0WW44679YBH</t>
  </si>
  <si>
    <t>/product/micro/WW0WW44679YBH.jpg</t>
  </si>
  <si>
    <t>WW0WW44739AEG</t>
  </si>
  <si>
    <t>IM LONDON SHORT BELTED SKIRT</t>
  </si>
  <si>
    <t>/product/micro/WW0WW44739AEG.jpg</t>
  </si>
  <si>
    <t>短裙</t>
  </si>
  <si>
    <t>WW0WW44739C1G</t>
  </si>
  <si>
    <t>/product/micro/WW0WW44739C1G.jpg</t>
  </si>
  <si>
    <t>WW0WW44770AEG</t>
  </si>
  <si>
    <t>IM LONDON BELTED SHORT</t>
  </si>
  <si>
    <t>/product/micro/WW0WW44770AEG.jpg</t>
  </si>
  <si>
    <t>WW0WW44770C1G</t>
  </si>
  <si>
    <t>/product/micro/WW0WW44770C1G.jpg</t>
  </si>
  <si>
    <t>WW0WW45707C1G</t>
  </si>
  <si>
    <t>COTTON MINI CABLE CARDIGAN</t>
  </si>
  <si>
    <t>/product/micro/WW0WW45707C1G.jpg</t>
  </si>
  <si>
    <t>WW0WW45707C1O</t>
  </si>
  <si>
    <t>/product/micro/WW0WW45707C1O.jpg</t>
  </si>
  <si>
    <t>WW0WW45707Z00</t>
  </si>
  <si>
    <t>/product/micro/WW0WW45707Z00.jpg</t>
  </si>
  <si>
    <t>WW0WW45725C1G</t>
  </si>
  <si>
    <t>IM-DRAWSTRING REG WINDBREAKER</t>
  </si>
  <si>
    <t>/product/micro/WW0WW45725C1G.jpg</t>
  </si>
  <si>
    <t>WW0WW45725RBT</t>
  </si>
  <si>
    <t>/product/micro/WW0WW45725RBT.jpg</t>
  </si>
  <si>
    <t>WW0WW46111YCF</t>
  </si>
  <si>
    <t>OXFORD RELAXED LS SHIRT</t>
  </si>
  <si>
    <t>/product/micro/WW0WW46111YCF.jpg</t>
  </si>
  <si>
    <t>WW0WW4726304K</t>
  </si>
  <si>
    <t>IM AF OXFORD RELAXED FIT SHIRT</t>
  </si>
  <si>
    <t>04K</t>
  </si>
  <si>
    <t>/product/micro/WW0WW4726304K.jpg</t>
  </si>
  <si>
    <t>WW0WW472630FV</t>
  </si>
  <si>
    <t>0FV</t>
  </si>
  <si>
    <t>/product/micro/WW0WW472630FV.jpg</t>
  </si>
  <si>
    <t>WW0WW489360FM</t>
  </si>
  <si>
    <t>POPLIN BRANDED MIDI SKIRT</t>
  </si>
  <si>
    <t>0FM</t>
  </si>
  <si>
    <t>/product/micro/WW0WW489360FM.jpg</t>
  </si>
  <si>
    <t>长伞裙</t>
  </si>
  <si>
    <t>WW0WW49783AEG</t>
  </si>
  <si>
    <t>IM AF LONDON ANKLE PANTS</t>
  </si>
  <si>
    <t>/product/micro/WW0WW49783AEG.jpg</t>
  </si>
  <si>
    <t>WW0WW49783C1G</t>
  </si>
  <si>
    <t>/product/micro/WW0WW49783C1G.jpg</t>
  </si>
  <si>
    <t>WW0WW49783Z00</t>
  </si>
  <si>
    <t>/product/micro/WW0WW49783Z00.jpg</t>
  </si>
  <si>
    <t>WW0WW499400CO</t>
  </si>
  <si>
    <t>POPLIN LS BOXY SHIRT</t>
  </si>
  <si>
    <t>0CO</t>
  </si>
  <si>
    <t>/product/micro/WW0WW499400CO.jpg</t>
  </si>
  <si>
    <t>WW0WW50855ZHD</t>
  </si>
  <si>
    <t>AF ESS POPLIN EASY FIT SHIRT</t>
  </si>
  <si>
    <t>/product/micro/WW0WW50855ZHD.jpg</t>
  </si>
  <si>
    <t>WW0WW52486YBH</t>
  </si>
  <si>
    <t>COTTON CHINO SLIM STRAIGHT</t>
  </si>
  <si>
    <t>/product/micro/WW0WW52486YBH.jpg</t>
  </si>
  <si>
    <t>WW0WW529931AH</t>
  </si>
  <si>
    <t>REGULAR LS DENIM SHIRT</t>
  </si>
  <si>
    <t>1AH</t>
  </si>
  <si>
    <t>/product/micro/WW0WW529931AH.jpg</t>
  </si>
  <si>
    <t>WW0WW53142LV6</t>
  </si>
  <si>
    <t>FINE KNIT COTTON CABLE CARDIGAN</t>
  </si>
  <si>
    <t>/product/micro/WW0WW53142LV6.jpg</t>
  </si>
  <si>
    <t>WW0WW53142Z00</t>
  </si>
  <si>
    <t>/product/micro/WW0WW53142Z00.jpg</t>
  </si>
  <si>
    <t>WW0WW531470BF</t>
  </si>
  <si>
    <t>RAYON SHORTSLEEVE SWEATER TOP</t>
  </si>
  <si>
    <t>0BF</t>
  </si>
  <si>
    <t>/product/micro/WW0WW531470BF.jpg</t>
  </si>
  <si>
    <t>WW0WW53151TOG</t>
  </si>
  <si>
    <t>SHORT SLEEVE TEXTURE SWEATER</t>
  </si>
  <si>
    <t>/product/micro/WW0WW53151TOG.jpg</t>
  </si>
  <si>
    <t>WW0WW53151Z00</t>
  </si>
  <si>
    <t>/product/micro/WW0WW53151Z00.jpg</t>
  </si>
  <si>
    <t>WW0WW53153C1G</t>
  </si>
  <si>
    <t>/product/micro/WW0WW53153C1G.jpg</t>
  </si>
  <si>
    <t>WW0WW53153TOL</t>
  </si>
  <si>
    <t>/product/micro/WW0WW53153TOL.jpg</t>
  </si>
  <si>
    <t>WW0WW531580BD</t>
  </si>
  <si>
    <t>LYOCELL POLO SHORTSLEEVE SWEATER</t>
  </si>
  <si>
    <t>0BD</t>
  </si>
  <si>
    <t>/product/micro/WW0WW531580BD.jpg</t>
  </si>
  <si>
    <t>WW0WW531580BX</t>
  </si>
  <si>
    <t>0BX</t>
  </si>
  <si>
    <t>/product/micro/WW0WW531580BX.jpg</t>
  </si>
  <si>
    <t>WW0WW532351C2</t>
  </si>
  <si>
    <t>HIGH RISE LONG MIDI FLARE SKIRT</t>
  </si>
  <si>
    <t>1C2</t>
  </si>
  <si>
    <t>/product/micro/WW0WW532351C2.jpg</t>
  </si>
  <si>
    <t>WW0WW532381BE</t>
  </si>
  <si>
    <t>FLARE MIDI PANEL SKIRT</t>
  </si>
  <si>
    <t>/product/micro/WW0WW532381BE.jpg</t>
  </si>
  <si>
    <t>WW0WW532790F8</t>
  </si>
  <si>
    <t>VISCOSE BLEND PLEATED SKIRT</t>
  </si>
  <si>
    <t>0F8</t>
  </si>
  <si>
    <t>/product/micro/WW0WW532790F8.jpg</t>
  </si>
  <si>
    <t>工装裤</t>
  </si>
  <si>
    <t>WW0WW53279C1G</t>
  </si>
  <si>
    <t>/product/micro/WW0WW53279C1G.jpg</t>
  </si>
  <si>
    <t>WW0WW53302YBH</t>
  </si>
  <si>
    <t>OCCASION LINEN BLEND BLAZER</t>
  </si>
  <si>
    <t>/product/micro/WW0WW53302YBH.jpg</t>
  </si>
  <si>
    <t>西装</t>
  </si>
  <si>
    <t>WW0WW53305ABN</t>
  </si>
  <si>
    <t>CASUAL LINEN WAISTCOAT</t>
  </si>
  <si>
    <t>/product/micro/WW0WW53305ABN.jpg</t>
  </si>
  <si>
    <t>马甲</t>
  </si>
  <si>
    <t>WW0WW53305GSY</t>
  </si>
  <si>
    <t>/product/micro/WW0WW53305GSY.jpg</t>
  </si>
  <si>
    <t>WW0WW5350804P</t>
  </si>
  <si>
    <t>SCRIPT GRAPHIC INTERLOCK T-SHIRT</t>
  </si>
  <si>
    <t>04P</t>
  </si>
  <si>
    <t>/product/micro/WW0WW5350804P.jpg</t>
  </si>
  <si>
    <t>WW0WW5350804Q</t>
  </si>
  <si>
    <t>04Q</t>
  </si>
  <si>
    <t>/product/micro/WW0WW5350804Q.jpg</t>
  </si>
  <si>
    <t>WW0WW53535H0C</t>
  </si>
  <si>
    <t>COTTON CROPPED TRENCH</t>
  </si>
  <si>
    <t>H0C</t>
  </si>
  <si>
    <t>/product/micro/WW0WW53535H0C.jpg</t>
  </si>
  <si>
    <t>WW0WW535460MW</t>
  </si>
  <si>
    <t>CHECK WINDBREAKER</t>
  </si>
  <si>
    <t>0MW</t>
  </si>
  <si>
    <t>/product/micro/WW0WW535460MW.jpg</t>
  </si>
  <si>
    <t>WW0WW535491AJ</t>
  </si>
  <si>
    <t>SS FIT&amp;FLARE UTILITY DRESS</t>
  </si>
  <si>
    <t>1AJ</t>
  </si>
  <si>
    <t>/product/micro/WW0WW535491AJ.jpg</t>
  </si>
  <si>
    <t>WW0WW535531BE</t>
  </si>
  <si>
    <t>SS BOW DENIM SHIRT</t>
  </si>
  <si>
    <t>/product/micro/WW0WW535531BE.jpg</t>
  </si>
  <si>
    <t>WW0WW5356204S</t>
  </si>
  <si>
    <t>GATHERING GOLD BUTTON TOP</t>
  </si>
  <si>
    <t>/product/micro/WW0WW5356204S.jpg</t>
  </si>
  <si>
    <t>WW0WW535620BF</t>
  </si>
  <si>
    <t>/product/micro/WW0WW535620BF.jpg</t>
  </si>
  <si>
    <t>WW0WW53577ABL</t>
  </si>
  <si>
    <t>LINEN VISCOSE EMB SS SHIRT</t>
  </si>
  <si>
    <t>/product/micro/WW0WW53577ABL.jpg</t>
  </si>
  <si>
    <t>WW0WW53577GSY</t>
  </si>
  <si>
    <t>/product/micro/WW0WW53577GSY.jpg</t>
  </si>
  <si>
    <t>WW0WW53583C1P</t>
  </si>
  <si>
    <t>LINEN STRINGS SHORTS</t>
  </si>
  <si>
    <t>/product/micro/WW0WW53583C1P.jpg</t>
  </si>
  <si>
    <t>WW0WW53585ABL</t>
  </si>
  <si>
    <t>NEW LINEN PULL ON PANT</t>
  </si>
  <si>
    <t>/product/micro/WW0WW53585ABL.jpg</t>
  </si>
  <si>
    <t>WW0WW53585C7E</t>
  </si>
  <si>
    <t>/product/micro/WW0WW53585C7E.jpg</t>
  </si>
  <si>
    <t>WW0WW53585GSY</t>
  </si>
  <si>
    <t>/product/micro/WW0WW53585GSY.jpg</t>
  </si>
  <si>
    <t>WW0WW535870FM</t>
  </si>
  <si>
    <t>POPLIN BOXY SS SHIRT</t>
  </si>
  <si>
    <t>/product/micro/WW0WW535870FM.jpg</t>
  </si>
  <si>
    <t>WW0WW5358804W</t>
  </si>
  <si>
    <t>PIQUE GOLD BUTTON POLO</t>
  </si>
  <si>
    <t>/product/micro/WW0WW5358804W.jpg</t>
  </si>
  <si>
    <t>WW0WW53588C1G</t>
  </si>
  <si>
    <t>/product/micro/WW0WW53588C1G.jpg</t>
  </si>
  <si>
    <t>WW0WW53591C1G</t>
  </si>
  <si>
    <t>IM GOLD LOGO PIQUE POLO</t>
  </si>
  <si>
    <t>/product/micro/WW0WW53591C1G.jpg</t>
  </si>
  <si>
    <t>WW0WW53591YBL</t>
  </si>
  <si>
    <t>/product/micro/WW0WW53591YBL.jpg</t>
  </si>
  <si>
    <t>WW0WW5359304P</t>
  </si>
  <si>
    <t>SCRIPT GRAPHIC PIQUE POLO</t>
  </si>
  <si>
    <t>/product/micro/WW0WW5359304P.jpg</t>
  </si>
  <si>
    <t>WW0WW53593YBL</t>
  </si>
  <si>
    <t>/product/micro/WW0WW53593YBL.jpg</t>
  </si>
  <si>
    <t>WW0WW5361404T</t>
  </si>
  <si>
    <t>FINE KNIT COTTON SCARF SWEATER</t>
  </si>
  <si>
    <t>04T</t>
  </si>
  <si>
    <t>/product/micro/WW0WW5361404T.jpg</t>
  </si>
  <si>
    <t>WW0WW536140X5</t>
  </si>
  <si>
    <t>0X5</t>
  </si>
  <si>
    <t>/product/micro/WW0WW536140X5.jpg</t>
  </si>
  <si>
    <t>WW0WW53620ABN</t>
  </si>
  <si>
    <t>FLUID TRENCH</t>
  </si>
  <si>
    <t>/product/micro/WW0WW53620ABN.jpg</t>
  </si>
  <si>
    <t>WW0WW53627YBL</t>
  </si>
  <si>
    <t>TH SCRIPT FLARE SHORT POLO DRESS</t>
  </si>
  <si>
    <t>/product/micro/WW0WW53627YBL.jpg</t>
  </si>
  <si>
    <t>WW0WW53642C1G</t>
  </si>
  <si>
    <t>MIX MEDIA PLEATED POLO DRESS</t>
  </si>
  <si>
    <t>/product/micro/WW0WW53642C1G.jpg</t>
  </si>
  <si>
    <t>WW0WW53773C1G</t>
  </si>
  <si>
    <t>TH SCRIPT PIQUE TIPPIING POLO</t>
  </si>
  <si>
    <t>/product/micro/WW0WW53773C1G.jpg</t>
  </si>
  <si>
    <t>WW0WW53773YBL</t>
  </si>
  <si>
    <t>/product/micro/WW0WW53773YBL.jpg</t>
  </si>
  <si>
    <t>WW0WW53827C1G</t>
  </si>
  <si>
    <t>POLO-NECK LYOCELL SHORT SLEEVE</t>
  </si>
  <si>
    <t>/product/micro/WW0WW53827C1G.jpg</t>
  </si>
  <si>
    <t>WW0WW53827Z00</t>
  </si>
  <si>
    <t>/product/micro/WW0WW53827Z00.jpg</t>
  </si>
  <si>
    <t>WW0WW54935YBH</t>
  </si>
  <si>
    <t>/product/micro/WW0WW53854YBH.jpg</t>
  </si>
  <si>
    <t>WW0WW53863C1G</t>
  </si>
  <si>
    <t>MIX MEDIA NS POLO  MIDI DRESS</t>
  </si>
  <si>
    <t>/product/micro/WW0WW53863C1G.jpg</t>
  </si>
  <si>
    <t>WW0WW53863GSY</t>
  </si>
  <si>
    <t>/product/micro/WW0WW53863GSY.jpg</t>
  </si>
  <si>
    <t>WW0WW53868ABL</t>
  </si>
  <si>
    <t>VISCOSE LINEN KNOT KNEE DRESS</t>
  </si>
  <si>
    <t>/product/micro/WW0WW53868ABL.jpg</t>
  </si>
  <si>
    <t>WW0WW53868C7E</t>
  </si>
  <si>
    <t>/product/micro/WW0WW53868C7E.jpg</t>
  </si>
  <si>
    <t>WW0WW53880C1G</t>
  </si>
  <si>
    <t>TOPSTITCH MIX KNEE POLO DRESS</t>
  </si>
  <si>
    <t>/product/micro/WW0WW53880C1G.jpg</t>
  </si>
  <si>
    <t>WW0WW53880XL8</t>
  </si>
  <si>
    <t>XL8</t>
  </si>
  <si>
    <t>/product/micro/WW0WW53880XL8.jpg</t>
  </si>
  <si>
    <t>WW0WW53882C1G</t>
  </si>
  <si>
    <t>COTTON FULL NEEDLE SLIM VEST</t>
  </si>
  <si>
    <t>/product/micro/WW0WW53882C1G.jpg</t>
  </si>
  <si>
    <t>WW0WW53882Z00</t>
  </si>
  <si>
    <t>/product/micro/WW0WW53882Z00.jpg</t>
  </si>
  <si>
    <t>WW0WW5389403T</t>
  </si>
  <si>
    <t>COTTON RIB C-NECK TANK</t>
  </si>
  <si>
    <t>03T</t>
  </si>
  <si>
    <t>/product/micro/WW0WW5389403T.jpg</t>
  </si>
  <si>
    <t>WW0WW5389404S</t>
  </si>
  <si>
    <t>/product/micro/WW0WW5389404S.jpg</t>
  </si>
  <si>
    <t>WW0WW53894YBL</t>
  </si>
  <si>
    <t>/product/micro/WW0WW53894YBL.jpg</t>
  </si>
  <si>
    <t>WW0WW5389504S</t>
  </si>
  <si>
    <t>COTTON RIB SLIM C-NECK T-SHIRT</t>
  </si>
  <si>
    <t>/product/micro/WW0WW5389504S.jpg</t>
  </si>
  <si>
    <t>WW0WW538950BJ</t>
  </si>
  <si>
    <t>0BJ</t>
  </si>
  <si>
    <t>/product/micro/WW0WW538950BJ.jpg</t>
  </si>
  <si>
    <t>WW0WW53895YBL</t>
  </si>
  <si>
    <t>/product/micro/WW0WW53895YBL.jpg</t>
  </si>
  <si>
    <t>WW0WW5390104W</t>
  </si>
  <si>
    <t>IM AF PIQUE BELTED SHIRT DRESS</t>
  </si>
  <si>
    <t>/product/micro/WW0WW5390104W.jpg</t>
  </si>
  <si>
    <t>WW0WW53901C1G</t>
  </si>
  <si>
    <t>/product/micro/WW0WW53901C1G.jpg</t>
  </si>
  <si>
    <t>WW0WW53908ABN</t>
  </si>
  <si>
    <t>CASUAL LINEN BOMBER</t>
  </si>
  <si>
    <t>/product/micro/WW0WW53908ABN.jpg</t>
  </si>
  <si>
    <t>WW0WW53908GSY</t>
  </si>
  <si>
    <t>/product/micro/WW0WW53908GSY.jpg</t>
  </si>
  <si>
    <t>WW0WW53956YA8</t>
  </si>
  <si>
    <t>IM - ULTRALIGHT WINDBREAKER</t>
  </si>
  <si>
    <t>/product/micro/WW0WW53956YA8.jpg</t>
  </si>
  <si>
    <t>WW0WW53956ZHD</t>
  </si>
  <si>
    <t>/product/micro/WW0WW53956ZHD.jpg</t>
  </si>
  <si>
    <t>WW0WW53979TOL</t>
  </si>
  <si>
    <t>CARDIGAN POINTELLE SWEATER</t>
  </si>
  <si>
    <t>/product/micro/WW0WW53979TOL.jpg</t>
  </si>
  <si>
    <t>WW0WW53979Z00</t>
  </si>
  <si>
    <t>/product/micro/WW0WW53979Z00.jpg</t>
  </si>
  <si>
    <t>WW0WW539850AA</t>
  </si>
  <si>
    <t>FLUID SIDE PLACKET LS SHIRT</t>
  </si>
  <si>
    <t>/product/micro/WW0WW539850AA.jpg</t>
  </si>
  <si>
    <t>WW0WW5399004U</t>
  </si>
  <si>
    <t>POPLIN SHORT SHIRT DRESS</t>
  </si>
  <si>
    <t>04U</t>
  </si>
  <si>
    <t>/product/micro/WW0WW5399004U.jpg</t>
  </si>
  <si>
    <t>WW0WW5478804S</t>
  </si>
  <si>
    <t>INTERLOCK SCARF COLLAR T-SHIRT</t>
  </si>
  <si>
    <t>/product/micro/WW0WW5399904S.jpg</t>
  </si>
  <si>
    <t>WW0WW547880AP</t>
  </si>
  <si>
    <t>/product/micro/WW0WW539990AP.jpg</t>
  </si>
  <si>
    <t>WW0WW5479105A</t>
  </si>
  <si>
    <t>CS PIQUE GOLD BUTTON LOGO POLO</t>
  </si>
  <si>
    <t>05A</t>
  </si>
  <si>
    <t>/product/micro/WW0WW5400205A.jpg</t>
  </si>
  <si>
    <t>WW0WW547910BF</t>
  </si>
  <si>
    <t>/product/micro/WW0WW540020BF.jpg</t>
  </si>
  <si>
    <t>WW0WW5404304N</t>
  </si>
  <si>
    <t>COTTON TEXTURE POLO-NECK</t>
  </si>
  <si>
    <t>04N</t>
  </si>
  <si>
    <t>/product/micro/WW0WW5404304N.jpg</t>
  </si>
  <si>
    <t>WW0WW540430AI</t>
  </si>
  <si>
    <t>0AI</t>
  </si>
  <si>
    <t>/product/micro/WW0WW540430AI.jpg</t>
  </si>
  <si>
    <t>WW0WW54045YBH</t>
  </si>
  <si>
    <t>LINEN VIS PLEATED SHORT</t>
  </si>
  <si>
    <t>/product/micro/WW0WW54045YBH.jpg</t>
  </si>
  <si>
    <t>WW0WW54056ABL</t>
  </si>
  <si>
    <t>LINEN VISCOSE EMB A LINE SKIRT</t>
  </si>
  <si>
    <t>/product/micro/WW0WW54056ABL.jpg</t>
  </si>
  <si>
    <t>WW0WW54056GSY</t>
  </si>
  <si>
    <t>/product/micro/WW0WW54056GSY.jpg</t>
  </si>
  <si>
    <t>WW0WW54103C1G</t>
  </si>
  <si>
    <t>IM - COTTON JACKET W/ KNIT</t>
  </si>
  <si>
    <t>/product/micro/WW0WW54103C1G.jpg</t>
  </si>
  <si>
    <t>WW0WW54103RBV</t>
  </si>
  <si>
    <t>RBV</t>
  </si>
  <si>
    <t>/product/micro/WW0WW54103RBV.jpg</t>
  </si>
  <si>
    <t>WW0WW54186YBH</t>
  </si>
  <si>
    <t>VISCOSE LINEN KNOT MIDI DRESS</t>
  </si>
  <si>
    <t>/product/micro/WW0WW54186YBH.jpg</t>
  </si>
  <si>
    <t>WW0WW5439607D</t>
  </si>
  <si>
    <t>IM AF LINEN SHIRT DRESS</t>
  </si>
  <si>
    <t>/product/micro/WW0WW5439607D.jpg</t>
  </si>
  <si>
    <t>WW0WW54396GSY</t>
  </si>
  <si>
    <t>/product/micro/WW0WW54396GSY.jpg</t>
  </si>
  <si>
    <t>WW0WW54397ACJ</t>
  </si>
  <si>
    <t>IM AF NYLON SHIRT MIDI DRESS</t>
  </si>
  <si>
    <t>ACJ</t>
  </si>
  <si>
    <t>/product/micro/WW0WW54397ACJ.jpg</t>
  </si>
  <si>
    <t>WW0WW54397C7E</t>
  </si>
  <si>
    <t>/product/micro/WW0WW54397C7E.jpg</t>
  </si>
  <si>
    <t>WW0WW54400ACJ</t>
  </si>
  <si>
    <t>IM NYLON MIDI SKIRT</t>
  </si>
  <si>
    <t>/product/micro/WW0WW54400ACJ.jpg</t>
  </si>
  <si>
    <t>WW0WW54434ACJ</t>
  </si>
  <si>
    <t>IM MIX MEDIA POLO DRESS</t>
  </si>
  <si>
    <t>/product/micro/WW0WW54434ACJ.jpg</t>
  </si>
  <si>
    <t>WW0WW54434C7E</t>
  </si>
  <si>
    <t>/product/micro/WW0WW54434C7E.jpg</t>
  </si>
  <si>
    <t>WW0WW544500FE</t>
  </si>
  <si>
    <t>1/2 ZIP KNITTED F&amp;F DRESS</t>
  </si>
  <si>
    <t>0FE</t>
  </si>
  <si>
    <t>/product/micro/WW0WW544500FE.jpg</t>
  </si>
  <si>
    <t>WW0WW54450C1G</t>
  </si>
  <si>
    <t>/product/micro/WW0WW54450C1G.jpg</t>
  </si>
  <si>
    <t>WW0WW54456AEG</t>
  </si>
  <si>
    <t>IM AF COTTON NYLON PANTS</t>
  </si>
  <si>
    <t>/product/micro/WW0WW54456AEG.jpg</t>
  </si>
  <si>
    <t>WW0WW54456C1G</t>
  </si>
  <si>
    <t>/product/micro/WW0WW54456C1G.jpg</t>
  </si>
  <si>
    <t>WW0WW54459AEG</t>
  </si>
  <si>
    <t>IM AF COTTON NYLON SKIRT</t>
  </si>
  <si>
    <t>/product/micro/WW0WW54459AEG.jpg</t>
  </si>
  <si>
    <t>WW0WW54459C1G</t>
  </si>
  <si>
    <t>/product/micro/WW0WW54459C1G.jpg</t>
  </si>
  <si>
    <t>WW0WW54466Z00</t>
  </si>
  <si>
    <t>C-NK COTTON CABLE GRAPHIC SS</t>
  </si>
  <si>
    <t>/product/micro/WW0WW54466Z00.jpg</t>
  </si>
  <si>
    <t>WW0WW54490C1G</t>
  </si>
  <si>
    <t>RAYON POLO CABLE SHORT SLEEVE</t>
  </si>
  <si>
    <t>/product/micro/WW0WW54490C1G.jpg</t>
  </si>
  <si>
    <t>WW0WW54490Z00</t>
  </si>
  <si>
    <t>/product/micro/WW0WW54490Z00.jpg</t>
  </si>
  <si>
    <t>WW0WW5449307U</t>
  </si>
  <si>
    <t>FRILL FLUID LS SHIRT</t>
  </si>
  <si>
    <t>07U</t>
  </si>
  <si>
    <t>/product/micro/WW0WW5449307U.jpg</t>
  </si>
  <si>
    <t>WW0WW544930FX</t>
  </si>
  <si>
    <t>0FX</t>
  </si>
  <si>
    <t>/product/micro/WW0WW544930FX.jpg</t>
  </si>
  <si>
    <t>WW0WW54522ABN</t>
  </si>
  <si>
    <t>CASUAL LINEN BLAZER</t>
  </si>
  <si>
    <t>/product/micro/WW0WW54522ABN.jpg</t>
  </si>
  <si>
    <t>WW0WW54522GSY</t>
  </si>
  <si>
    <t>/product/micro/WW0WW54522GSY.jpg</t>
  </si>
  <si>
    <t>WW0WW54528AEG</t>
  </si>
  <si>
    <t>ELASTICATED UTILITY COTTON CHINO</t>
  </si>
  <si>
    <t>/product/micro/WW0WW54528AEG.jpg</t>
  </si>
  <si>
    <t>WW0WW54528C1G</t>
  </si>
  <si>
    <t>/product/micro/WW0WW54528C1G.jpg</t>
  </si>
  <si>
    <t>WW0WW5478705A</t>
  </si>
  <si>
    <t>CS INTERLOCK NAUTICAL LOGO TEE</t>
  </si>
  <si>
    <t>/product/micro/WW0WW5478705A.jpg</t>
  </si>
  <si>
    <t>WW0WW547870BF</t>
  </si>
  <si>
    <t>/product/micro/WW0WW547870BF.jpg</t>
  </si>
  <si>
    <t>WW0WW54822TOG</t>
  </si>
  <si>
    <t>CS COTTON MINI CABLE POLO</t>
  </si>
  <si>
    <t>/product/micro/WW0WW54822TOG.jpg</t>
  </si>
  <si>
    <t>WW0WW54822Z00</t>
  </si>
  <si>
    <t>/product/micro/WW0WW54822Z00.jpg</t>
  </si>
  <si>
    <t>WW0WW54822ZHD</t>
  </si>
  <si>
    <t>/product/micro/WW0WW54822ZHD.jpg</t>
  </si>
  <si>
    <t>WW0WW5482507I</t>
  </si>
  <si>
    <t>CS LYOCELL POLO SHORTSLEEVE</t>
  </si>
  <si>
    <t>07I</t>
  </si>
  <si>
    <t>/product/micro/WW0WW5482507I.jpg</t>
  </si>
  <si>
    <t>WW0WW548250AL</t>
  </si>
  <si>
    <t>0AL</t>
  </si>
  <si>
    <t>/product/micro/WW0WW548250AL.jpg</t>
  </si>
  <si>
    <t>WW0WW54826C1O</t>
  </si>
  <si>
    <t>CS COTTON MINI CABLE SS</t>
  </si>
  <si>
    <t>/product/micro/WW0WW54826C1O.jpg</t>
  </si>
  <si>
    <t>WW0WW54826Z00</t>
  </si>
  <si>
    <t>/product/micro/WW0WW54826Z00.jpg</t>
  </si>
  <si>
    <t>WW0WW548270CO</t>
  </si>
  <si>
    <t>IM POPLIN BELTED SHIRT DRESS</t>
  </si>
  <si>
    <t>/product/micro/WW0WW548270CO.jpg</t>
  </si>
  <si>
    <t>WW0WW548270FS</t>
  </si>
  <si>
    <t>0FS</t>
  </si>
  <si>
    <t>/product/micro/WW0WW548270FS.jpg</t>
  </si>
  <si>
    <t>WW0WW5484603C</t>
  </si>
  <si>
    <t>CS COTTON FULL NEEDLE CARDIGAN</t>
  </si>
  <si>
    <t>03C</t>
  </si>
  <si>
    <t>/product/micro/WW0WW5484603C.jpg</t>
  </si>
  <si>
    <t>WW0WW548460AK</t>
  </si>
  <si>
    <t>0AK</t>
  </si>
  <si>
    <t>/product/micro/WW0WW548460AK.jpg</t>
  </si>
  <si>
    <t>WW0WW54847ABN</t>
  </si>
  <si>
    <t>CS CASUAL LINEN SHORTS</t>
  </si>
  <si>
    <t>/product/micro/WW0WW54847ABN.jpg</t>
  </si>
  <si>
    <t>WW0WW54847GSY</t>
  </si>
  <si>
    <t>/product/micro/WW0WW54847GSY.jpg</t>
  </si>
  <si>
    <t>ABO</t>
  </si>
  <si>
    <t>RE0RE01034BDS</t>
  </si>
  <si>
    <t>TH X CF1 LOGO TEE</t>
  </si>
  <si>
    <t>20250315</t>
  </si>
  <si>
    <t>RE0RE01034XLG</t>
  </si>
  <si>
    <t>XLG</t>
  </si>
  <si>
    <t>RE0RE01035BDS</t>
  </si>
  <si>
    <t>TH X CF1 LOGO TRACK TOP</t>
  </si>
  <si>
    <t>RE0RE01035XLG</t>
  </si>
  <si>
    <t>RE0RE01037YBR</t>
  </si>
  <si>
    <t>TH X CF1 BOLD SHIELD TEE</t>
  </si>
  <si>
    <t>RE0RE01038BDS</t>
  </si>
  <si>
    <t>TH x CF1  SHIELD LOGO TEE</t>
  </si>
  <si>
    <t>RE0RE01042BDS</t>
  </si>
  <si>
    <t>TH X CF1 CHEVRON RUGBY</t>
  </si>
  <si>
    <t>RE0RE01043BDS</t>
  </si>
  <si>
    <t>TH X CF1 CHEVRON T-SHIRT</t>
  </si>
  <si>
    <t>RE0RE01043YBR</t>
  </si>
  <si>
    <t>RE0RE01045BDS</t>
  </si>
  <si>
    <t>TH X CF1 CAR PEREZ HOODIE</t>
  </si>
  <si>
    <t>RE0RE01046BDS</t>
  </si>
  <si>
    <t>TH X CF1 PEREZ CAR TEE</t>
  </si>
  <si>
    <t>RE0RE01051Z0I</t>
  </si>
  <si>
    <t>TH X CF1 REPLICA SET UP TEE</t>
  </si>
  <si>
    <t>Z0I</t>
  </si>
  <si>
    <t>RE0RE01052BDS</t>
  </si>
  <si>
    <t>TH X CF1 REPLICA TEE</t>
  </si>
  <si>
    <t>RE0RE01052YBR</t>
  </si>
  <si>
    <t>RE0RE01054BDS</t>
  </si>
  <si>
    <t>TH X CF1 REPLICA BOTTAS JERSEY</t>
  </si>
  <si>
    <t>RE0RE01055BDS</t>
  </si>
  <si>
    <t>TH X CF1 REPLICA PEREZ JERSEY</t>
  </si>
  <si>
    <t>RE0RE01058BDS</t>
  </si>
  <si>
    <t>TH X CF1 REPLICA POLO</t>
  </si>
  <si>
    <t>RE0RE01058YBR</t>
  </si>
  <si>
    <t>RE0RE01059BDS</t>
  </si>
  <si>
    <t>TH X CF1 REPLICA HOODIE</t>
  </si>
  <si>
    <t>RE0RE01062BDS</t>
  </si>
  <si>
    <t>TH X CF1 REPLICA 1/4 ZIP</t>
  </si>
  <si>
    <t>RE0RE01065BDS</t>
  </si>
  <si>
    <t>TH X CF1 REPLICA WINDBREAKER</t>
  </si>
  <si>
    <t>RE0RE01066BDS</t>
  </si>
  <si>
    <t>TH X CF1 REPLICA ZHOU CAP</t>
  </si>
  <si>
    <t>RE0RE01076BDS</t>
  </si>
  <si>
    <t>TH X CF1 LOGO CAP</t>
  </si>
  <si>
    <t>RE0RE01076XLG</t>
  </si>
  <si>
    <t>RE0RE01077BDS</t>
  </si>
  <si>
    <t>TH X CF1 SHIELD BUCKET HAT</t>
  </si>
  <si>
    <t>RE0RE01083BDS</t>
  </si>
  <si>
    <t>TH X CF1 ELEVATED CAP</t>
  </si>
  <si>
    <t>RE0RE01083XLG</t>
  </si>
  <si>
    <t>RE0RE01084PTU</t>
  </si>
  <si>
    <t>TH X CF1 GRADIENT CAP</t>
  </si>
  <si>
    <t>PTU</t>
  </si>
  <si>
    <t>RE0RE01085BDS</t>
  </si>
  <si>
    <t>TH X CF1 REPLICA TEAM CAP</t>
  </si>
  <si>
    <t>RE0RE01085YBR</t>
  </si>
  <si>
    <t>RE0RE01086BDS</t>
  </si>
  <si>
    <t>TH X CF1 REPLICA PEREZ CAP</t>
  </si>
  <si>
    <t>RE0RE01087YBR</t>
  </si>
  <si>
    <t>TH X CF1 REPLICA BOTTAS CAP</t>
  </si>
  <si>
    <t>RE0RE01088Z0I</t>
  </si>
  <si>
    <t>TH X CF1 SET UP CAP</t>
  </si>
  <si>
    <t>RE0RE01160Navy Blue</t>
  </si>
  <si>
    <t>LFC X TH FLAG JACKET</t>
  </si>
  <si>
    <t>Navy Blue</t>
  </si>
  <si>
    <t>20250415</t>
  </si>
  <si>
    <t>缎面聚酯纤维</t>
  </si>
  <si>
    <t>RE0RE01162Navy Blue</t>
  </si>
  <si>
    <t>LFC X TH FLAG T-SHIRT</t>
  </si>
  <si>
    <t>双面平稳针织布</t>
  </si>
  <si>
    <t>RE0RE01164Ecru</t>
  </si>
  <si>
    <t>LFC X TH GRAPHIC T-SHIRT</t>
  </si>
  <si>
    <t>Ecru</t>
  </si>
  <si>
    <t>全棉双面布针织面料</t>
  </si>
  <si>
    <t>RE0RE01164Liverpool Red</t>
  </si>
  <si>
    <t>Liverpool Red</t>
  </si>
  <si>
    <t>RE0RE01165Ecru</t>
  </si>
  <si>
    <t>LFC X TH SS POLO</t>
  </si>
  <si>
    <t>全棉双面针织面料</t>
  </si>
  <si>
    <t>RE0RE01165Navy Blue</t>
  </si>
  <si>
    <t>RE0RE01169Ecru</t>
  </si>
  <si>
    <t>LFC X TH GRAPHIC HOODY</t>
  </si>
  <si>
    <t>重磅斜纹针织面料</t>
  </si>
  <si>
    <t>RE0RE01170Navy Ithaca Stripe</t>
  </si>
  <si>
    <t>LFC X TH  ITHACA SHIRT</t>
  </si>
  <si>
    <t>Navy Ithaca Stripe</t>
  </si>
  <si>
    <t>全棉牛津纺条纹面料</t>
  </si>
  <si>
    <t>RE0RE01171Navy Blue / Liverpool Red / Ecru</t>
  </si>
  <si>
    <t>LFC X TH FLAG BUTTON DOWN SHIRT1</t>
  </si>
  <si>
    <t>Navy Blue / Liverpool Red / Ecru</t>
  </si>
  <si>
    <t>中厚全棉斜纹布</t>
  </si>
  <si>
    <t>RE0RE01301Liverpool Red</t>
  </si>
  <si>
    <t>LFC X TH SS POLO KNITTED</t>
  </si>
  <si>
    <t>RE0RE01302Navy Blue / Liverpool Red / Ivory</t>
  </si>
  <si>
    <t>LFC X TH ANORAK HALF ZIP</t>
  </si>
  <si>
    <t>Navy Blue / Liverpool Red / Ivory</t>
  </si>
  <si>
    <t>聚酯纤维</t>
  </si>
  <si>
    <t>RE0RE01303Ivory / Navy Blue / Liverpool Red</t>
  </si>
  <si>
    <t>LFC X TH RUGBY COLORBLOCK</t>
  </si>
  <si>
    <t>Ivory / Navy Blue / Liverpool Red</t>
  </si>
  <si>
    <t>RE0RE01325BDS</t>
  </si>
  <si>
    <t>TH X CF1 REPLICA REGATTA JACKET</t>
  </si>
  <si>
    <t>RE0RE01326BDS</t>
  </si>
  <si>
    <t>TH X CF1 REPLICA GILET</t>
  </si>
  <si>
    <t>RE0RE01358BDS</t>
  </si>
  <si>
    <t>TH X CF1 ZHOU REPLICA TEE</t>
  </si>
  <si>
    <t>RN0RN00081Navy Blue</t>
  </si>
  <si>
    <t>LFC X TH FLAG SILK SCARF</t>
  </si>
  <si>
    <t>WW0WW5454310D</t>
  </si>
  <si>
    <t>SARAH HIGH RISE STRAIGHT</t>
  </si>
  <si>
    <t>10D</t>
  </si>
  <si>
    <t>/product/micro/WW0WW5454310D.jpg</t>
  </si>
  <si>
    <t>25-32</t>
  </si>
  <si>
    <t>WW0WW545431C2</t>
  </si>
  <si>
    <t>/product/micro/WW0WW545431C2.jpg</t>
  </si>
  <si>
    <t>WW0WW5384210D</t>
  </si>
  <si>
    <t>MR CURVE HEM RELAXED BARREL</t>
  </si>
  <si>
    <t>/product/micro/WW0WW5384210D.jpg</t>
  </si>
  <si>
    <t>BARREL</t>
  </si>
  <si>
    <t>WW0WW53834YBH</t>
  </si>
  <si>
    <t>/product/micro/WW0WW53834YBH.jpg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</si>
</sst>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4">
    <font>
      <sz val="11"/>
      <color theme="1"/>
      <name val="宋体"/>
      <charset val="134"/>
      <scheme val="minor"/>
    </font>
    <font>
      <b/>
      <sz val="12"/>
      <color rgb="FFFF0000"/>
      <name val="微软雅黑"/>
      <charset val="134"/>
    </font>
    <font>
      <b/>
      <sz val="12"/>
      <name val="微软雅黑"/>
      <charset val="134"/>
    </font>
    <font>
      <sz val="9"/>
      <name val="微软雅黑"/>
      <charset val="134"/>
    </font>
    <font>
      <b/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82909634693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5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6" borderId="5">
      <alignment vertical="center"/>
    </xf>
    <xf numFmtId="0" fontId="14" fillId="7" borderId="6">
      <alignment vertical="center"/>
    </xf>
    <xf numFmtId="0" fontId="15" fillId="7" borderId="5">
      <alignment vertical="center"/>
    </xf>
    <xf numFmtId="0" fontId="16" fillId="8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3" fillId="13" borderId="0">
      <alignment vertical="center"/>
    </xf>
    <xf numFmtId="0" fontId="23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3" fillId="33" borderId="0">
      <alignment vertical="center"/>
    </xf>
    <xf numFmtId="0" fontId="23" fillId="34" borderId="0">
      <alignment vertical="center"/>
    </xf>
    <xf numFmtId="0" fontId="22" fillId="35" borderId="0">
      <alignment vertical="center"/>
    </xf>
    <xf numFmtId="0" fontId="0" fillId="0" borderId="0">
      <alignment vertical="center"/>
    </xf>
  </cellStyleXfs>
  <cellXfs count="17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/>
    </xf>
    <xf numFmtId="20" fontId="1" fillId="3" borderId="1" xfId="0" applyNumberFormat="1" applyFont="1" applyFill="1" applyBorder="1" applyAlignment="1">
      <alignment horizontal="center" vertical="center" wrapText="1"/>
    </xf>
    <xf numFmtId="0" fontId="0" fillId="0" borderId="0" xfId="0" applyFill="1" applyAlignment="1"/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0" fontId="0" fillId="0" borderId="0" xfId="0" applyFont="1" applyFill="1" applyAlignment="1"/>
    <xf numFmtId="0" fontId="0" fillId="4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4403;&#21069;&#25968;&#25454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汇总"/>
    </sheetNames>
    <sheetDataSet>
      <sheetData sheetId="0">
        <row r="1">
          <cell r="C1" t="str">
            <v>区域</v>
          </cell>
        </row>
        <row r="1">
          <cell r="I1" t="str">
            <v>款号</v>
          </cell>
        </row>
        <row r="1">
          <cell r="T1" t="str">
            <v>订货量</v>
          </cell>
        </row>
        <row r="2">
          <cell r="C2" t="str">
            <v>陕西</v>
          </cell>
        </row>
        <row r="2">
          <cell r="I2" t="str">
            <v>MW0MW47253RBN</v>
          </cell>
        </row>
        <row r="2">
          <cell r="T2">
            <v>40</v>
          </cell>
        </row>
        <row r="3">
          <cell r="C3" t="str">
            <v>陕西</v>
          </cell>
        </row>
        <row r="3">
          <cell r="I3" t="str">
            <v>MW0MW47253DW5</v>
          </cell>
        </row>
        <row r="3">
          <cell r="T3">
            <v>150</v>
          </cell>
        </row>
        <row r="4">
          <cell r="C4" t="str">
            <v>陕西</v>
          </cell>
        </row>
        <row r="4">
          <cell r="I4" t="str">
            <v>MW0MW47253YA8</v>
          </cell>
        </row>
        <row r="4">
          <cell r="T4">
            <v>80</v>
          </cell>
        </row>
        <row r="5">
          <cell r="C5" t="str">
            <v>陕西</v>
          </cell>
        </row>
        <row r="5">
          <cell r="I5" t="str">
            <v>MW0MW47344RBT</v>
          </cell>
        </row>
        <row r="5">
          <cell r="T5">
            <v>80</v>
          </cell>
        </row>
        <row r="6">
          <cell r="C6" t="str">
            <v>陕西</v>
          </cell>
        </row>
        <row r="6">
          <cell r="I6" t="str">
            <v>MW0MW47344DW5</v>
          </cell>
        </row>
        <row r="6">
          <cell r="T6">
            <v>100</v>
          </cell>
        </row>
        <row r="7">
          <cell r="C7" t="str">
            <v>陕西</v>
          </cell>
        </row>
        <row r="7">
          <cell r="I7" t="str">
            <v>MW0MW47344MAT</v>
          </cell>
        </row>
        <row r="7">
          <cell r="T7">
            <v>40</v>
          </cell>
        </row>
        <row r="8">
          <cell r="C8" t="str">
            <v>陕西</v>
          </cell>
        </row>
        <row r="8">
          <cell r="I8" t="str">
            <v>MW0MW46831DW5</v>
          </cell>
        </row>
        <row r="8">
          <cell r="T8">
            <v>150</v>
          </cell>
        </row>
        <row r="9">
          <cell r="C9" t="str">
            <v>陕西</v>
          </cell>
        </row>
        <row r="9">
          <cell r="I9" t="str">
            <v>MW0MW46831AEH</v>
          </cell>
        </row>
        <row r="9">
          <cell r="T9">
            <v>200</v>
          </cell>
        </row>
        <row r="10">
          <cell r="C10" t="str">
            <v>陕西</v>
          </cell>
        </row>
        <row r="10">
          <cell r="I10" t="str">
            <v>MW0MW46668RBT</v>
          </cell>
        </row>
        <row r="10">
          <cell r="T10">
            <v>40</v>
          </cell>
        </row>
        <row r="11">
          <cell r="C11" t="str">
            <v>陕西</v>
          </cell>
        </row>
        <row r="11">
          <cell r="I11" t="str">
            <v>MW0MW46668DW5</v>
          </cell>
        </row>
        <row r="11">
          <cell r="T11">
            <v>80</v>
          </cell>
        </row>
        <row r="12">
          <cell r="C12" t="str">
            <v>陕西</v>
          </cell>
        </row>
        <row r="12">
          <cell r="I12" t="str">
            <v>MW0MW46858DW5</v>
          </cell>
        </row>
        <row r="12">
          <cell r="T12">
            <v>30</v>
          </cell>
        </row>
        <row r="13">
          <cell r="C13" t="str">
            <v>陕西</v>
          </cell>
        </row>
        <row r="13">
          <cell r="I13" t="str">
            <v>MW0MW46858PR2</v>
          </cell>
        </row>
        <row r="13">
          <cell r="T13">
            <v>20</v>
          </cell>
        </row>
        <row r="14">
          <cell r="C14" t="str">
            <v>陕西</v>
          </cell>
        </row>
        <row r="14">
          <cell r="I14" t="str">
            <v>MW0MW46471DW5</v>
          </cell>
        </row>
        <row r="14">
          <cell r="T14">
            <v>100</v>
          </cell>
        </row>
        <row r="15">
          <cell r="C15" t="str">
            <v>陕西</v>
          </cell>
        </row>
        <row r="15">
          <cell r="I15" t="str">
            <v>MW0MW46471AEH</v>
          </cell>
        </row>
        <row r="15">
          <cell r="T15">
            <v>70</v>
          </cell>
        </row>
        <row r="16">
          <cell r="C16" t="str">
            <v>陕西</v>
          </cell>
        </row>
        <row r="16">
          <cell r="I16" t="str">
            <v>MW0MW47753DW5</v>
          </cell>
        </row>
        <row r="16">
          <cell r="T16">
            <v>60</v>
          </cell>
        </row>
        <row r="17">
          <cell r="C17" t="str">
            <v>陕西</v>
          </cell>
        </row>
        <row r="17">
          <cell r="I17" t="str">
            <v>MW0MW47753AEH</v>
          </cell>
        </row>
        <row r="17">
          <cell r="T17">
            <v>40</v>
          </cell>
        </row>
        <row r="18">
          <cell r="C18" t="str">
            <v>陕西</v>
          </cell>
        </row>
        <row r="18">
          <cell r="I18" t="str">
            <v>MW0MW46362DW5</v>
          </cell>
        </row>
        <row r="19">
          <cell r="C19" t="str">
            <v>陕西</v>
          </cell>
        </row>
        <row r="19">
          <cell r="I19" t="str">
            <v>MW0MW46362GOP</v>
          </cell>
        </row>
        <row r="19">
          <cell r="T19">
            <v>30</v>
          </cell>
        </row>
        <row r="20">
          <cell r="C20" t="str">
            <v>陕西</v>
          </cell>
        </row>
        <row r="20">
          <cell r="I20" t="str">
            <v>MW0MW46897AEH</v>
          </cell>
        </row>
        <row r="21">
          <cell r="C21" t="str">
            <v>陕西</v>
          </cell>
        </row>
        <row r="21">
          <cell r="I21" t="str">
            <v>MW0MW47743RBN</v>
          </cell>
        </row>
        <row r="21">
          <cell r="T21">
            <v>30</v>
          </cell>
        </row>
        <row r="22">
          <cell r="C22" t="str">
            <v>陕西</v>
          </cell>
        </row>
        <row r="22">
          <cell r="I22" t="str">
            <v>MW0MW47743DW5</v>
          </cell>
        </row>
        <row r="22">
          <cell r="T22">
            <v>60</v>
          </cell>
        </row>
        <row r="23">
          <cell r="C23" t="str">
            <v>陕西</v>
          </cell>
        </row>
        <row r="23">
          <cell r="I23" t="str">
            <v>MW0MW463710HF</v>
          </cell>
        </row>
        <row r="23">
          <cell r="T23">
            <v>60</v>
          </cell>
        </row>
        <row r="24">
          <cell r="C24" t="str">
            <v>陕西</v>
          </cell>
        </row>
        <row r="24">
          <cell r="I24" t="str">
            <v>MW0MW46418DW5</v>
          </cell>
        </row>
        <row r="25">
          <cell r="C25" t="str">
            <v>陕西</v>
          </cell>
        </row>
        <row r="25">
          <cell r="I25" t="str">
            <v>MW0MW47022C30</v>
          </cell>
        </row>
        <row r="25">
          <cell r="T25">
            <v>20</v>
          </cell>
        </row>
        <row r="26">
          <cell r="C26" t="str">
            <v>陕西</v>
          </cell>
        </row>
        <row r="26">
          <cell r="I26" t="str">
            <v>MW0MW47744C9B</v>
          </cell>
        </row>
        <row r="27">
          <cell r="C27" t="str">
            <v>陕西</v>
          </cell>
        </row>
        <row r="27">
          <cell r="I27" t="str">
            <v>MW0MW47744DW5</v>
          </cell>
        </row>
        <row r="28">
          <cell r="C28" t="str">
            <v>陕西</v>
          </cell>
        </row>
        <row r="28">
          <cell r="I28" t="str">
            <v>MW0MW46372C9B</v>
          </cell>
        </row>
        <row r="28">
          <cell r="T28">
            <v>20</v>
          </cell>
        </row>
        <row r="29">
          <cell r="C29" t="str">
            <v>陕西</v>
          </cell>
        </row>
        <row r="29">
          <cell r="I29" t="str">
            <v>MW0MW44296GTV</v>
          </cell>
        </row>
        <row r="29">
          <cell r="T29">
            <v>20</v>
          </cell>
        </row>
        <row r="30">
          <cell r="C30" t="str">
            <v>陕西</v>
          </cell>
        </row>
        <row r="30">
          <cell r="I30" t="str">
            <v>MW0MW46830DW5</v>
          </cell>
        </row>
        <row r="31">
          <cell r="C31" t="str">
            <v>陕西</v>
          </cell>
        </row>
        <row r="31">
          <cell r="I31" t="str">
            <v>MW0MW464290AA</v>
          </cell>
        </row>
        <row r="31">
          <cell r="T31">
            <v>12</v>
          </cell>
        </row>
        <row r="32">
          <cell r="C32" t="str">
            <v>陕西</v>
          </cell>
        </row>
        <row r="32">
          <cell r="I32" t="str">
            <v>MW0MW464290A4</v>
          </cell>
        </row>
        <row r="32">
          <cell r="T32">
            <v>24</v>
          </cell>
        </row>
        <row r="33">
          <cell r="C33" t="str">
            <v>陕西</v>
          </cell>
        </row>
        <row r="33">
          <cell r="I33" t="str">
            <v>MW0MW46436DW5</v>
          </cell>
        </row>
        <row r="34">
          <cell r="C34" t="str">
            <v>陕西</v>
          </cell>
        </row>
        <row r="34">
          <cell r="I34" t="str">
            <v>MW0MW46436AEV</v>
          </cell>
        </row>
        <row r="34">
          <cell r="T34">
            <v>12</v>
          </cell>
        </row>
        <row r="35">
          <cell r="C35" t="str">
            <v>陕西</v>
          </cell>
        </row>
        <row r="35">
          <cell r="I35" t="str">
            <v>MW0MW47518YBR</v>
          </cell>
        </row>
        <row r="35">
          <cell r="T35">
            <v>300</v>
          </cell>
        </row>
        <row r="36">
          <cell r="C36" t="str">
            <v>陕西</v>
          </cell>
        </row>
        <row r="36">
          <cell r="I36" t="str">
            <v>MW0MW475180GY</v>
          </cell>
        </row>
        <row r="36">
          <cell r="T36">
            <v>60</v>
          </cell>
        </row>
        <row r="37">
          <cell r="C37" t="str">
            <v>陕西</v>
          </cell>
        </row>
        <row r="37">
          <cell r="I37" t="str">
            <v>MW0MW47518L2T</v>
          </cell>
        </row>
        <row r="37">
          <cell r="T37">
            <v>30</v>
          </cell>
        </row>
        <row r="38">
          <cell r="C38" t="str">
            <v>陕西</v>
          </cell>
        </row>
        <row r="38">
          <cell r="I38" t="str">
            <v>MW0MW42288C1Z</v>
          </cell>
        </row>
        <row r="39">
          <cell r="C39" t="str">
            <v>陕西</v>
          </cell>
        </row>
        <row r="39">
          <cell r="I39" t="str">
            <v>MW0MW42288DW5</v>
          </cell>
        </row>
        <row r="39">
          <cell r="T39">
            <v>50</v>
          </cell>
        </row>
        <row r="40">
          <cell r="C40" t="str">
            <v>陕西</v>
          </cell>
        </row>
        <row r="40">
          <cell r="I40" t="str">
            <v>MW0MW425260CD</v>
          </cell>
        </row>
        <row r="41">
          <cell r="C41" t="str">
            <v>陕西</v>
          </cell>
        </row>
        <row r="41">
          <cell r="I41" t="str">
            <v>MW0MW425260A5</v>
          </cell>
        </row>
        <row r="42">
          <cell r="C42" t="str">
            <v>陕西</v>
          </cell>
        </row>
        <row r="42">
          <cell r="I42" t="str">
            <v>MW0MW47529YBR</v>
          </cell>
        </row>
        <row r="42">
          <cell r="T42">
            <v>200</v>
          </cell>
        </row>
        <row r="43">
          <cell r="C43" t="str">
            <v>陕西</v>
          </cell>
        </row>
        <row r="43">
          <cell r="I43" t="str">
            <v>MW0MW47529RBT</v>
          </cell>
        </row>
        <row r="43">
          <cell r="T43">
            <v>150</v>
          </cell>
        </row>
        <row r="44">
          <cell r="C44" t="str">
            <v>陕西</v>
          </cell>
        </row>
        <row r="44">
          <cell r="I44" t="str">
            <v>MW0MW47529RBN</v>
          </cell>
        </row>
        <row r="44">
          <cell r="T44">
            <v>30</v>
          </cell>
        </row>
        <row r="45">
          <cell r="C45" t="str">
            <v>陕西</v>
          </cell>
        </row>
        <row r="45">
          <cell r="I45" t="str">
            <v>MW0MW47529XIX</v>
          </cell>
        </row>
        <row r="45">
          <cell r="T45">
            <v>40</v>
          </cell>
        </row>
        <row r="46">
          <cell r="C46" t="str">
            <v>陕西</v>
          </cell>
        </row>
        <row r="46">
          <cell r="I46" t="str">
            <v>MW0MW47529C14</v>
          </cell>
        </row>
        <row r="46">
          <cell r="T46">
            <v>100</v>
          </cell>
        </row>
        <row r="47">
          <cell r="C47" t="str">
            <v>陕西</v>
          </cell>
        </row>
        <row r="47">
          <cell r="I47" t="str">
            <v>MW0MW47529DCC</v>
          </cell>
        </row>
        <row r="47">
          <cell r="T47">
            <v>150</v>
          </cell>
        </row>
        <row r="48">
          <cell r="C48" t="str">
            <v>陕西</v>
          </cell>
        </row>
        <row r="48">
          <cell r="I48" t="str">
            <v>MW0MW475190A4</v>
          </cell>
        </row>
        <row r="49">
          <cell r="C49" t="str">
            <v>陕西</v>
          </cell>
        </row>
        <row r="49">
          <cell r="I49" t="str">
            <v>MW0MW475190EX</v>
          </cell>
        </row>
        <row r="49">
          <cell r="T49">
            <v>40</v>
          </cell>
        </row>
        <row r="50">
          <cell r="C50" t="str">
            <v>陕西</v>
          </cell>
        </row>
        <row r="50">
          <cell r="I50" t="str">
            <v>MW0MW475190FP</v>
          </cell>
        </row>
        <row r="50">
          <cell r="T50">
            <v>40</v>
          </cell>
        </row>
        <row r="51">
          <cell r="C51" t="str">
            <v>陕西</v>
          </cell>
        </row>
        <row r="51">
          <cell r="I51" t="str">
            <v>MW0MW464500MS</v>
          </cell>
        </row>
        <row r="52">
          <cell r="C52" t="str">
            <v>陕西</v>
          </cell>
        </row>
        <row r="52">
          <cell r="I52" t="str">
            <v>MW0MW464500LY</v>
          </cell>
        </row>
        <row r="52">
          <cell r="T52">
            <v>80</v>
          </cell>
        </row>
        <row r="53">
          <cell r="C53" t="str">
            <v>陕西</v>
          </cell>
        </row>
        <row r="53">
          <cell r="I53" t="str">
            <v>MW0MW46144YBR</v>
          </cell>
        </row>
        <row r="53">
          <cell r="T53">
            <v>30</v>
          </cell>
        </row>
        <row r="54">
          <cell r="C54" t="str">
            <v>陕西</v>
          </cell>
        </row>
        <row r="54">
          <cell r="I54" t="str">
            <v>MW0MW461440GY</v>
          </cell>
        </row>
        <row r="55">
          <cell r="C55" t="str">
            <v>陕西</v>
          </cell>
        </row>
        <row r="55">
          <cell r="I55" t="str">
            <v>MW0MW461010A6</v>
          </cell>
        </row>
        <row r="55">
          <cell r="T55">
            <v>40</v>
          </cell>
        </row>
        <row r="56">
          <cell r="C56" t="str">
            <v>陕西</v>
          </cell>
        </row>
        <row r="56">
          <cell r="I56" t="str">
            <v>MW0MW461010EV</v>
          </cell>
        </row>
        <row r="56">
          <cell r="T56">
            <v>20</v>
          </cell>
        </row>
        <row r="57">
          <cell r="C57" t="str">
            <v>陕西</v>
          </cell>
        </row>
        <row r="57">
          <cell r="I57" t="str">
            <v>MW0MW461210MS</v>
          </cell>
        </row>
        <row r="57">
          <cell r="T57">
            <v>40</v>
          </cell>
        </row>
        <row r="58">
          <cell r="C58" t="str">
            <v>陕西</v>
          </cell>
        </row>
        <row r="58">
          <cell r="I58" t="str">
            <v>MW0MW461390D1</v>
          </cell>
        </row>
        <row r="59">
          <cell r="C59" t="str">
            <v>陕西</v>
          </cell>
        </row>
        <row r="59">
          <cell r="I59" t="str">
            <v>MW0MW468500MS</v>
          </cell>
        </row>
        <row r="59">
          <cell r="T59">
            <v>80</v>
          </cell>
        </row>
        <row r="60">
          <cell r="C60" t="str">
            <v>陕西</v>
          </cell>
        </row>
        <row r="60">
          <cell r="I60" t="str">
            <v>MW0MW468890A4</v>
          </cell>
        </row>
        <row r="61">
          <cell r="C61" t="str">
            <v>陕西</v>
          </cell>
        </row>
        <row r="61">
          <cell r="I61" t="str">
            <v>MW0MW470190QJ</v>
          </cell>
        </row>
        <row r="61">
          <cell r="T61">
            <v>8</v>
          </cell>
        </row>
        <row r="62">
          <cell r="C62" t="str">
            <v>陕西</v>
          </cell>
        </row>
        <row r="62">
          <cell r="I62" t="str">
            <v>MW0MW41315YBS</v>
          </cell>
        </row>
        <row r="63">
          <cell r="C63" t="str">
            <v>陕西</v>
          </cell>
        </row>
        <row r="63">
          <cell r="I63" t="str">
            <v>MW0MW413150GY</v>
          </cell>
        </row>
        <row r="64">
          <cell r="C64" t="str">
            <v>陕西</v>
          </cell>
        </row>
        <row r="64">
          <cell r="I64" t="str">
            <v>MW0MW41315DW5</v>
          </cell>
        </row>
        <row r="65">
          <cell r="C65" t="str">
            <v>陕西</v>
          </cell>
        </row>
        <row r="65">
          <cell r="I65" t="str">
            <v>MW0MW413160A5</v>
          </cell>
        </row>
        <row r="65">
          <cell r="T65">
            <v>60</v>
          </cell>
        </row>
        <row r="66">
          <cell r="C66" t="str">
            <v>陕西</v>
          </cell>
        </row>
        <row r="66">
          <cell r="I66" t="str">
            <v>MW0MW413160CG</v>
          </cell>
        </row>
        <row r="67">
          <cell r="C67" t="str">
            <v>陕西</v>
          </cell>
        </row>
        <row r="67">
          <cell r="I67" t="str">
            <v>MW0MW413160A4</v>
          </cell>
        </row>
        <row r="68">
          <cell r="C68" t="str">
            <v>陕西</v>
          </cell>
        </row>
        <row r="68">
          <cell r="I68" t="str">
            <v>MW0MW461040MS</v>
          </cell>
        </row>
        <row r="69">
          <cell r="C69" t="str">
            <v>陕西</v>
          </cell>
        </row>
        <row r="69">
          <cell r="I69" t="str">
            <v>MW0MW461040MT</v>
          </cell>
        </row>
        <row r="70">
          <cell r="C70" t="str">
            <v>陕西</v>
          </cell>
        </row>
        <row r="70">
          <cell r="I70" t="str">
            <v>MW0MW461040LY</v>
          </cell>
        </row>
        <row r="71">
          <cell r="C71" t="str">
            <v>陕西</v>
          </cell>
        </row>
        <row r="71">
          <cell r="I71" t="str">
            <v>MW0MW461040QJ</v>
          </cell>
        </row>
        <row r="72">
          <cell r="C72" t="str">
            <v>陕西</v>
          </cell>
        </row>
        <row r="72">
          <cell r="I72" t="str">
            <v>MW0MW47508YBR</v>
          </cell>
        </row>
        <row r="72">
          <cell r="T72">
            <v>40</v>
          </cell>
        </row>
        <row r="73">
          <cell r="C73" t="str">
            <v>陕西</v>
          </cell>
        </row>
        <row r="73">
          <cell r="I73" t="str">
            <v>MW0MW47508C3Q</v>
          </cell>
        </row>
        <row r="74">
          <cell r="C74" t="str">
            <v>陕西</v>
          </cell>
        </row>
        <row r="74">
          <cell r="I74" t="str">
            <v>MW0MW47508DW5</v>
          </cell>
        </row>
        <row r="74">
          <cell r="T74">
            <v>60</v>
          </cell>
        </row>
        <row r="75">
          <cell r="C75" t="str">
            <v>陕西</v>
          </cell>
        </row>
        <row r="75">
          <cell r="I75" t="str">
            <v>MW0MW46857RBT</v>
          </cell>
        </row>
        <row r="76">
          <cell r="C76" t="str">
            <v>陕西</v>
          </cell>
        </row>
        <row r="76">
          <cell r="I76" t="str">
            <v>MW0MW46857DW5</v>
          </cell>
        </row>
        <row r="77">
          <cell r="C77" t="str">
            <v>陕西</v>
          </cell>
        </row>
        <row r="77">
          <cell r="I77" t="str">
            <v>MW0MW46857PR2</v>
          </cell>
        </row>
        <row r="78">
          <cell r="C78" t="str">
            <v>陕西</v>
          </cell>
        </row>
        <row r="78">
          <cell r="I78" t="str">
            <v>MW0MW46125C3I</v>
          </cell>
        </row>
        <row r="78">
          <cell r="T78">
            <v>30</v>
          </cell>
        </row>
        <row r="79">
          <cell r="C79" t="str">
            <v>陕西</v>
          </cell>
        </row>
        <row r="79">
          <cell r="I79" t="str">
            <v>MW0MW461130H7</v>
          </cell>
        </row>
        <row r="79">
          <cell r="T79">
            <v>20</v>
          </cell>
        </row>
        <row r="80">
          <cell r="C80" t="str">
            <v>陕西</v>
          </cell>
        </row>
        <row r="80">
          <cell r="I80" t="str">
            <v>MW0MW461130GY</v>
          </cell>
        </row>
        <row r="80">
          <cell r="T80">
            <v>20</v>
          </cell>
        </row>
        <row r="81">
          <cell r="C81" t="str">
            <v>陕西</v>
          </cell>
        </row>
        <row r="81">
          <cell r="I81" t="str">
            <v>MW0MW461470FA</v>
          </cell>
        </row>
        <row r="81">
          <cell r="T81">
            <v>10</v>
          </cell>
        </row>
        <row r="82">
          <cell r="C82" t="str">
            <v>陕西</v>
          </cell>
        </row>
        <row r="82">
          <cell r="I82" t="str">
            <v>MW0MW461470A4</v>
          </cell>
        </row>
        <row r="82">
          <cell r="T82">
            <v>30</v>
          </cell>
        </row>
        <row r="83">
          <cell r="C83" t="str">
            <v>陕西</v>
          </cell>
        </row>
        <row r="83">
          <cell r="I83" t="str">
            <v>MW0MW391670QY</v>
          </cell>
        </row>
        <row r="84">
          <cell r="C84" t="str">
            <v>陕西</v>
          </cell>
        </row>
        <row r="84">
          <cell r="I84" t="str">
            <v>MW0MW47533AEH</v>
          </cell>
        </row>
        <row r="84">
          <cell r="T84">
            <v>100</v>
          </cell>
        </row>
        <row r="85">
          <cell r="C85" t="str">
            <v>陕西</v>
          </cell>
        </row>
        <row r="85">
          <cell r="I85" t="str">
            <v>MW0MW47533DW5</v>
          </cell>
        </row>
        <row r="85">
          <cell r="T85">
            <v>150</v>
          </cell>
        </row>
        <row r="86">
          <cell r="C86" t="str">
            <v>陕西</v>
          </cell>
        </row>
        <row r="86">
          <cell r="I86" t="str">
            <v>MW0MW47533L2T</v>
          </cell>
        </row>
        <row r="86">
          <cell r="T86">
            <v>20</v>
          </cell>
        </row>
        <row r="87">
          <cell r="C87" t="str">
            <v>陕西</v>
          </cell>
        </row>
        <row r="87">
          <cell r="I87" t="str">
            <v>MW0MW47533XLD</v>
          </cell>
        </row>
        <row r="87">
          <cell r="T87">
            <v>20</v>
          </cell>
        </row>
        <row r="88">
          <cell r="C88" t="str">
            <v>陕西</v>
          </cell>
        </row>
        <row r="88">
          <cell r="I88" t="str">
            <v>MW0MW47533Z00</v>
          </cell>
        </row>
        <row r="88">
          <cell r="T88">
            <v>200</v>
          </cell>
        </row>
        <row r="89">
          <cell r="C89" t="str">
            <v>陕西</v>
          </cell>
        </row>
        <row r="89">
          <cell r="I89" t="str">
            <v>MW0MW475340A4</v>
          </cell>
        </row>
        <row r="89">
          <cell r="T89">
            <v>40</v>
          </cell>
        </row>
        <row r="90">
          <cell r="C90" t="str">
            <v>陕西</v>
          </cell>
        </row>
        <row r="90">
          <cell r="I90" t="str">
            <v>MW0MW475340AA</v>
          </cell>
        </row>
        <row r="90">
          <cell r="T90">
            <v>20</v>
          </cell>
        </row>
        <row r="91">
          <cell r="C91" t="str">
            <v>陕西</v>
          </cell>
        </row>
        <row r="91">
          <cell r="I91" t="str">
            <v>MW0MW47534BDS</v>
          </cell>
        </row>
        <row r="92">
          <cell r="C92" t="str">
            <v>陕西</v>
          </cell>
        </row>
        <row r="92">
          <cell r="I92" t="str">
            <v>MW0MW47534HGF</v>
          </cell>
        </row>
        <row r="93">
          <cell r="C93" t="str">
            <v>陕西</v>
          </cell>
        </row>
        <row r="93">
          <cell r="I93" t="str">
            <v>MW0MW47535DW4</v>
          </cell>
        </row>
        <row r="93">
          <cell r="T93">
            <v>80</v>
          </cell>
        </row>
        <row r="94">
          <cell r="C94" t="str">
            <v>陕西</v>
          </cell>
        </row>
        <row r="94">
          <cell r="I94" t="str">
            <v>MW0MW47535HGF</v>
          </cell>
        </row>
        <row r="94">
          <cell r="T94">
            <v>200</v>
          </cell>
        </row>
        <row r="95">
          <cell r="C95" t="str">
            <v>陕西</v>
          </cell>
        </row>
        <row r="95">
          <cell r="I95" t="str">
            <v>MW0MW463890AA</v>
          </cell>
        </row>
        <row r="96">
          <cell r="C96" t="str">
            <v>陕西</v>
          </cell>
        </row>
        <row r="96">
          <cell r="I96" t="str">
            <v>MW0MW46389Z00</v>
          </cell>
        </row>
        <row r="97">
          <cell r="C97" t="str">
            <v>陕西</v>
          </cell>
        </row>
        <row r="97">
          <cell r="I97" t="str">
            <v>MW0MW465340A4</v>
          </cell>
        </row>
        <row r="97">
          <cell r="T97">
            <v>40</v>
          </cell>
        </row>
        <row r="98">
          <cell r="C98" t="str">
            <v>陕西</v>
          </cell>
        </row>
        <row r="98">
          <cell r="I98" t="str">
            <v>MW0MW465340FA</v>
          </cell>
        </row>
        <row r="98">
          <cell r="T98">
            <v>60</v>
          </cell>
        </row>
        <row r="99">
          <cell r="C99" t="str">
            <v>陕西</v>
          </cell>
        </row>
        <row r="99">
          <cell r="I99" t="str">
            <v>MW0MW46391DW5</v>
          </cell>
        </row>
        <row r="100">
          <cell r="C100" t="str">
            <v>陕西</v>
          </cell>
        </row>
        <row r="100">
          <cell r="I100" t="str">
            <v>MW0MW46395DW5</v>
          </cell>
        </row>
        <row r="100">
          <cell r="T100">
            <v>60</v>
          </cell>
        </row>
        <row r="101">
          <cell r="C101" t="str">
            <v>陕西</v>
          </cell>
        </row>
        <row r="101">
          <cell r="I101" t="str">
            <v>MW0MW46395XJS</v>
          </cell>
        </row>
        <row r="101">
          <cell r="T101">
            <v>40</v>
          </cell>
        </row>
        <row r="102">
          <cell r="C102" t="str">
            <v>陕西</v>
          </cell>
        </row>
        <row r="102">
          <cell r="I102" t="str">
            <v>MW0MW46487AEH</v>
          </cell>
        </row>
        <row r="102">
          <cell r="T102">
            <v>80</v>
          </cell>
        </row>
        <row r="103">
          <cell r="C103" t="str">
            <v>陕西</v>
          </cell>
        </row>
        <row r="103">
          <cell r="I103" t="str">
            <v>MW0MW46487L20</v>
          </cell>
        </row>
        <row r="103">
          <cell r="T103">
            <v>30</v>
          </cell>
        </row>
        <row r="104">
          <cell r="C104" t="str">
            <v>陕西</v>
          </cell>
        </row>
        <row r="104">
          <cell r="I104" t="str">
            <v>MW0MW46488DW5</v>
          </cell>
        </row>
        <row r="105">
          <cell r="C105" t="str">
            <v>陕西</v>
          </cell>
        </row>
        <row r="105">
          <cell r="I105" t="str">
            <v>MW0MW46488Z00</v>
          </cell>
        </row>
        <row r="106">
          <cell r="C106" t="str">
            <v>陕西</v>
          </cell>
        </row>
        <row r="106">
          <cell r="I106" t="str">
            <v>MW0MW46529C14</v>
          </cell>
        </row>
        <row r="106">
          <cell r="T106">
            <v>40</v>
          </cell>
        </row>
        <row r="107">
          <cell r="C107" t="str">
            <v>陕西</v>
          </cell>
        </row>
        <row r="107">
          <cell r="I107" t="str">
            <v>MW0MW46529DW5</v>
          </cell>
        </row>
        <row r="107">
          <cell r="T107">
            <v>80</v>
          </cell>
        </row>
        <row r="108">
          <cell r="C108" t="str">
            <v>陕西</v>
          </cell>
        </row>
        <row r="108">
          <cell r="I108" t="str">
            <v>MW0MW412820A5</v>
          </cell>
        </row>
        <row r="108">
          <cell r="T108">
            <v>50</v>
          </cell>
        </row>
        <row r="109">
          <cell r="C109" t="str">
            <v>陕西</v>
          </cell>
        </row>
        <row r="109">
          <cell r="I109" t="str">
            <v>MW0MW412820CI</v>
          </cell>
        </row>
        <row r="110">
          <cell r="C110" t="str">
            <v>陕西</v>
          </cell>
        </row>
        <row r="110">
          <cell r="I110" t="str">
            <v>MW0MW412820CL</v>
          </cell>
        </row>
        <row r="110">
          <cell r="T110">
            <v>40</v>
          </cell>
        </row>
        <row r="111">
          <cell r="C111" t="str">
            <v>陕西</v>
          </cell>
        </row>
        <row r="111">
          <cell r="I111" t="str">
            <v>MW0MW41282ABS</v>
          </cell>
        </row>
        <row r="111">
          <cell r="T111">
            <v>80</v>
          </cell>
        </row>
        <row r="112">
          <cell r="C112" t="str">
            <v>陕西</v>
          </cell>
        </row>
        <row r="112">
          <cell r="I112" t="str">
            <v>MW0MW41282BDS</v>
          </cell>
        </row>
        <row r="113">
          <cell r="C113" t="str">
            <v>陕西</v>
          </cell>
        </row>
        <row r="113">
          <cell r="I113" t="str">
            <v>MW0MW41282C1Q</v>
          </cell>
        </row>
        <row r="113">
          <cell r="T113">
            <v>60</v>
          </cell>
        </row>
        <row r="114">
          <cell r="C114" t="str">
            <v>陕西</v>
          </cell>
        </row>
        <row r="114">
          <cell r="I114" t="str">
            <v>MW0MW41282C6E</v>
          </cell>
        </row>
        <row r="114">
          <cell r="T114">
            <v>60</v>
          </cell>
        </row>
        <row r="115">
          <cell r="C115" t="str">
            <v>陕西</v>
          </cell>
        </row>
        <row r="115">
          <cell r="I115" t="str">
            <v>MW0MW41282DBZ</v>
          </cell>
        </row>
        <row r="115">
          <cell r="T115">
            <v>40</v>
          </cell>
        </row>
        <row r="116">
          <cell r="C116" t="str">
            <v>陕西</v>
          </cell>
        </row>
        <row r="116">
          <cell r="I116" t="str">
            <v>MW0MW41282DW5</v>
          </cell>
        </row>
        <row r="116">
          <cell r="T116">
            <v>300</v>
          </cell>
        </row>
        <row r="117">
          <cell r="C117" t="str">
            <v>陕西</v>
          </cell>
        </row>
        <row r="117">
          <cell r="I117" t="str">
            <v>MW0MW41282HJT</v>
          </cell>
        </row>
        <row r="117">
          <cell r="T117">
            <v>60</v>
          </cell>
        </row>
        <row r="118">
          <cell r="C118" t="str">
            <v>陕西</v>
          </cell>
        </row>
        <row r="118">
          <cell r="I118" t="str">
            <v>MW0MW41282L20</v>
          </cell>
        </row>
        <row r="118">
          <cell r="T118">
            <v>40</v>
          </cell>
        </row>
        <row r="119">
          <cell r="C119" t="str">
            <v>陕西</v>
          </cell>
        </row>
        <row r="119">
          <cell r="I119" t="str">
            <v>MW0MW41282L2T</v>
          </cell>
        </row>
        <row r="120">
          <cell r="C120" t="str">
            <v>陕西</v>
          </cell>
        </row>
        <row r="120">
          <cell r="I120" t="str">
            <v>MW0MW41282P91</v>
          </cell>
        </row>
        <row r="120">
          <cell r="T120">
            <v>250</v>
          </cell>
        </row>
        <row r="121">
          <cell r="C121" t="str">
            <v>陕西</v>
          </cell>
        </row>
        <row r="121">
          <cell r="I121" t="str">
            <v>MW0MW41282RBN</v>
          </cell>
        </row>
        <row r="121">
          <cell r="T121">
            <v>40</v>
          </cell>
        </row>
        <row r="122">
          <cell r="C122" t="str">
            <v>陕西</v>
          </cell>
        </row>
        <row r="122">
          <cell r="I122" t="str">
            <v>MW0MW41282TOL</v>
          </cell>
        </row>
        <row r="123">
          <cell r="C123" t="str">
            <v>陕西</v>
          </cell>
        </row>
        <row r="123">
          <cell r="I123" t="str">
            <v>MW0MW41282VLP</v>
          </cell>
        </row>
        <row r="123">
          <cell r="T123">
            <v>100</v>
          </cell>
        </row>
        <row r="124">
          <cell r="C124" t="str">
            <v>陕西</v>
          </cell>
        </row>
        <row r="124">
          <cell r="I124" t="str">
            <v>MW0MW41282XIX</v>
          </cell>
        </row>
        <row r="124">
          <cell r="T124">
            <v>30</v>
          </cell>
        </row>
        <row r="125">
          <cell r="C125" t="str">
            <v>陕西</v>
          </cell>
        </row>
        <row r="125">
          <cell r="I125" t="str">
            <v>MW0MW41282YBR</v>
          </cell>
        </row>
        <row r="125">
          <cell r="T125">
            <v>150</v>
          </cell>
        </row>
        <row r="126">
          <cell r="C126" t="str">
            <v>陕西</v>
          </cell>
        </row>
        <row r="126">
          <cell r="I126" t="str">
            <v>MW0MW41282Z00</v>
          </cell>
        </row>
        <row r="126">
          <cell r="T126">
            <v>120</v>
          </cell>
        </row>
        <row r="127">
          <cell r="C127" t="str">
            <v>陕西</v>
          </cell>
        </row>
        <row r="127">
          <cell r="I127" t="str">
            <v>MW0MW41282ZF0</v>
          </cell>
        </row>
        <row r="128">
          <cell r="C128" t="str">
            <v>陕西</v>
          </cell>
        </row>
        <row r="128">
          <cell r="I128" t="str">
            <v>MW0MW46875DW5</v>
          </cell>
        </row>
        <row r="128">
          <cell r="T128">
            <v>400</v>
          </cell>
        </row>
        <row r="129">
          <cell r="C129" t="str">
            <v>陕西</v>
          </cell>
        </row>
        <row r="129">
          <cell r="I129" t="str">
            <v>MW0MW46875L20</v>
          </cell>
        </row>
        <row r="129">
          <cell r="T129">
            <v>30</v>
          </cell>
        </row>
        <row r="130">
          <cell r="C130" t="str">
            <v>陕西</v>
          </cell>
        </row>
        <row r="130">
          <cell r="I130" t="str">
            <v>MW0MW46875P91</v>
          </cell>
        </row>
        <row r="130">
          <cell r="T130">
            <v>60</v>
          </cell>
        </row>
        <row r="131">
          <cell r="C131" t="str">
            <v>陕西</v>
          </cell>
        </row>
        <row r="131">
          <cell r="I131" t="str">
            <v>MW0MW46875YBR</v>
          </cell>
        </row>
        <row r="131">
          <cell r="T131">
            <v>350</v>
          </cell>
        </row>
        <row r="132">
          <cell r="C132" t="str">
            <v>陕西</v>
          </cell>
        </row>
        <row r="132">
          <cell r="I132" t="str">
            <v>MW0MW47531ACL</v>
          </cell>
        </row>
        <row r="132">
          <cell r="T132">
            <v>300</v>
          </cell>
        </row>
        <row r="133">
          <cell r="C133" t="str">
            <v>陕西</v>
          </cell>
        </row>
        <row r="133">
          <cell r="I133" t="str">
            <v>MW0MW47531DW5</v>
          </cell>
        </row>
        <row r="133">
          <cell r="T133">
            <v>250</v>
          </cell>
        </row>
        <row r="134">
          <cell r="C134" t="str">
            <v>陕西</v>
          </cell>
        </row>
        <row r="134">
          <cell r="I134" t="str">
            <v>MW0MW47531MSX</v>
          </cell>
        </row>
        <row r="134">
          <cell r="T134">
            <v>30</v>
          </cell>
        </row>
        <row r="135">
          <cell r="C135" t="str">
            <v>陕西</v>
          </cell>
        </row>
        <row r="135">
          <cell r="I135" t="str">
            <v>MW0MW46469AEH</v>
          </cell>
        </row>
        <row r="136">
          <cell r="C136" t="str">
            <v>陕西</v>
          </cell>
        </row>
        <row r="136">
          <cell r="I136" t="str">
            <v>MW0MW46469C9B</v>
          </cell>
        </row>
        <row r="137">
          <cell r="C137" t="str">
            <v>陕西</v>
          </cell>
        </row>
        <row r="137">
          <cell r="I137" t="str">
            <v>MW0MW46469DW5</v>
          </cell>
        </row>
        <row r="138">
          <cell r="C138" t="str">
            <v>陕西</v>
          </cell>
        </row>
        <row r="138">
          <cell r="I138" t="str">
            <v>MW0MW42309BDS</v>
          </cell>
        </row>
        <row r="138">
          <cell r="T138">
            <v>200</v>
          </cell>
        </row>
        <row r="139">
          <cell r="C139" t="str">
            <v>陕西</v>
          </cell>
        </row>
        <row r="139">
          <cell r="I139" t="str">
            <v>MW0MW42309C4U</v>
          </cell>
        </row>
        <row r="140">
          <cell r="C140" t="str">
            <v>陕西</v>
          </cell>
        </row>
        <row r="140">
          <cell r="I140" t="str">
            <v>MW0MW42309YBR</v>
          </cell>
        </row>
        <row r="140">
          <cell r="T140">
            <v>150</v>
          </cell>
        </row>
        <row r="141">
          <cell r="C141" t="str">
            <v>陕西</v>
          </cell>
        </row>
        <row r="141">
          <cell r="I141" t="str">
            <v>MW0MW46872GVH</v>
          </cell>
        </row>
        <row r="142">
          <cell r="C142" t="str">
            <v>陕西</v>
          </cell>
        </row>
        <row r="142">
          <cell r="I142" t="str">
            <v>MW0MW46872VLP</v>
          </cell>
        </row>
        <row r="143">
          <cell r="C143" t="str">
            <v>陕西</v>
          </cell>
        </row>
        <row r="143">
          <cell r="I143" t="str">
            <v>MW0MW463360IM</v>
          </cell>
        </row>
        <row r="144">
          <cell r="C144" t="str">
            <v>陕西</v>
          </cell>
        </row>
        <row r="144">
          <cell r="I144" t="str">
            <v>MW0MW46336DW5</v>
          </cell>
        </row>
        <row r="145">
          <cell r="C145" t="str">
            <v>陕西</v>
          </cell>
        </row>
        <row r="145">
          <cell r="I145" t="str">
            <v>MW0MW46336Z00</v>
          </cell>
        </row>
        <row r="146">
          <cell r="C146" t="str">
            <v>陕西</v>
          </cell>
        </row>
        <row r="146">
          <cell r="I146" t="str">
            <v>MW0MW47532C1G</v>
          </cell>
        </row>
        <row r="147">
          <cell r="C147" t="str">
            <v>陕西</v>
          </cell>
        </row>
        <row r="147">
          <cell r="I147" t="str">
            <v>MW0MW47532C30</v>
          </cell>
        </row>
        <row r="148">
          <cell r="C148" t="str">
            <v>陕西</v>
          </cell>
        </row>
        <row r="148">
          <cell r="I148" t="str">
            <v>MW0MW47532ZF0</v>
          </cell>
        </row>
        <row r="149">
          <cell r="C149" t="str">
            <v>陕西</v>
          </cell>
        </row>
        <row r="149">
          <cell r="I149" t="str">
            <v>MW0MW46338C1Q</v>
          </cell>
        </row>
        <row r="150">
          <cell r="C150" t="str">
            <v>陕西</v>
          </cell>
        </row>
        <row r="150">
          <cell r="I150" t="str">
            <v>MW0MW46338DW5</v>
          </cell>
        </row>
        <row r="150">
          <cell r="T150">
            <v>60</v>
          </cell>
        </row>
        <row r="151">
          <cell r="C151" t="str">
            <v>陕西</v>
          </cell>
        </row>
        <row r="151">
          <cell r="I151" t="str">
            <v>MW0MW46338Z00</v>
          </cell>
        </row>
        <row r="151">
          <cell r="T151">
            <v>40</v>
          </cell>
        </row>
        <row r="152">
          <cell r="C152" t="str">
            <v>陕西</v>
          </cell>
        </row>
        <row r="152">
          <cell r="I152" t="str">
            <v>MW0MW46341AEH</v>
          </cell>
        </row>
        <row r="153">
          <cell r="C153" t="str">
            <v>陕西</v>
          </cell>
        </row>
        <row r="153">
          <cell r="I153" t="str">
            <v>MW0MW46341DW5</v>
          </cell>
        </row>
        <row r="154">
          <cell r="C154" t="str">
            <v>陕西</v>
          </cell>
        </row>
        <row r="154">
          <cell r="I154" t="str">
            <v>MW0MW46341Z00</v>
          </cell>
        </row>
        <row r="155">
          <cell r="C155" t="str">
            <v>陕西</v>
          </cell>
        </row>
        <row r="155">
          <cell r="I155" t="str">
            <v>MW0MW46347DW5</v>
          </cell>
        </row>
        <row r="156">
          <cell r="C156" t="str">
            <v>陕西</v>
          </cell>
        </row>
        <row r="156">
          <cell r="I156" t="str">
            <v>MW0MW46347Z00</v>
          </cell>
        </row>
        <row r="156">
          <cell r="T156">
            <v>12</v>
          </cell>
        </row>
        <row r="157">
          <cell r="C157" t="str">
            <v>陕西</v>
          </cell>
        </row>
        <row r="157">
          <cell r="I157" t="str">
            <v>MW0MW46350P91</v>
          </cell>
        </row>
        <row r="158">
          <cell r="C158" t="str">
            <v>陕西</v>
          </cell>
        </row>
        <row r="158">
          <cell r="I158" t="str">
            <v>MW0MW46350Z00</v>
          </cell>
        </row>
        <row r="159">
          <cell r="C159" t="str">
            <v>陕西</v>
          </cell>
        </row>
        <row r="159">
          <cell r="I159" t="str">
            <v>MW0MW46504DSM</v>
          </cell>
        </row>
        <row r="160">
          <cell r="C160" t="str">
            <v>陕西</v>
          </cell>
        </row>
        <row r="160">
          <cell r="I160" t="str">
            <v>MW0MW46504DW5</v>
          </cell>
        </row>
        <row r="161">
          <cell r="C161" t="str">
            <v>陕西</v>
          </cell>
        </row>
        <row r="161">
          <cell r="I161" t="str">
            <v>MW0MW46504Z00</v>
          </cell>
        </row>
        <row r="162">
          <cell r="C162" t="str">
            <v>陕西</v>
          </cell>
        </row>
        <row r="162">
          <cell r="I162" t="str">
            <v>MW0MW465050A5</v>
          </cell>
        </row>
        <row r="163">
          <cell r="C163" t="str">
            <v>陕西</v>
          </cell>
        </row>
        <row r="163">
          <cell r="I163" t="str">
            <v>MW0MW46505YBR</v>
          </cell>
        </row>
        <row r="164">
          <cell r="C164" t="str">
            <v>陕西</v>
          </cell>
        </row>
        <row r="164">
          <cell r="I164" t="str">
            <v>MW0MW46521C14</v>
          </cell>
        </row>
        <row r="165">
          <cell r="C165" t="str">
            <v>陕西</v>
          </cell>
        </row>
        <row r="165">
          <cell r="I165" t="str">
            <v>MW0MW46521DW5</v>
          </cell>
        </row>
        <row r="166">
          <cell r="C166" t="str">
            <v>陕西</v>
          </cell>
        </row>
        <row r="166">
          <cell r="I166" t="str">
            <v>MW0MW46525DW5</v>
          </cell>
        </row>
        <row r="167">
          <cell r="C167" t="str">
            <v>陕西</v>
          </cell>
        </row>
        <row r="167">
          <cell r="I167" t="str">
            <v>MW0MW46525XLD</v>
          </cell>
        </row>
        <row r="168">
          <cell r="C168" t="str">
            <v>陕西</v>
          </cell>
        </row>
        <row r="168">
          <cell r="I168" t="str">
            <v>MW0MW46525YBR</v>
          </cell>
        </row>
        <row r="169">
          <cell r="C169" t="str">
            <v>陕西</v>
          </cell>
        </row>
        <row r="169">
          <cell r="I169" t="str">
            <v>MW0MW46658ACL</v>
          </cell>
        </row>
        <row r="170">
          <cell r="C170" t="str">
            <v>陕西</v>
          </cell>
        </row>
        <row r="170">
          <cell r="I170" t="str">
            <v>MW0MW46658DW5</v>
          </cell>
        </row>
        <row r="171">
          <cell r="C171" t="str">
            <v>陕西</v>
          </cell>
        </row>
        <row r="171">
          <cell r="I171" t="str">
            <v>MW0MW466600A5</v>
          </cell>
        </row>
        <row r="171">
          <cell r="T171">
            <v>12</v>
          </cell>
        </row>
        <row r="172">
          <cell r="C172" t="str">
            <v>陕西</v>
          </cell>
        </row>
        <row r="172">
          <cell r="I172" t="str">
            <v>MW0MW45654DW5</v>
          </cell>
        </row>
        <row r="173">
          <cell r="C173" t="str">
            <v>陕西</v>
          </cell>
        </row>
        <row r="173">
          <cell r="I173" t="str">
            <v>MW0MW456540FA</v>
          </cell>
        </row>
        <row r="174">
          <cell r="C174" t="str">
            <v>陕西</v>
          </cell>
        </row>
        <row r="174">
          <cell r="I174" t="str">
            <v>MW0MW33202AEH</v>
          </cell>
        </row>
        <row r="175">
          <cell r="C175" t="str">
            <v>陕西</v>
          </cell>
        </row>
        <row r="175">
          <cell r="I175" t="str">
            <v>MW0MW33202C14</v>
          </cell>
        </row>
        <row r="175">
          <cell r="T175">
            <v>30</v>
          </cell>
        </row>
        <row r="176">
          <cell r="C176" t="str">
            <v>陕西</v>
          </cell>
        </row>
        <row r="176">
          <cell r="I176" t="str">
            <v>MW0MW33202DW5</v>
          </cell>
        </row>
        <row r="176">
          <cell r="T176">
            <v>100</v>
          </cell>
        </row>
        <row r="177">
          <cell r="C177" t="str">
            <v>陕西</v>
          </cell>
        </row>
        <row r="177">
          <cell r="I177" t="str">
            <v>MW0MW33202P91</v>
          </cell>
        </row>
        <row r="177">
          <cell r="T177">
            <v>50</v>
          </cell>
        </row>
        <row r="178">
          <cell r="C178" t="str">
            <v>陕西</v>
          </cell>
        </row>
        <row r="178">
          <cell r="I178" t="str">
            <v>MW0MW33202YBR</v>
          </cell>
        </row>
        <row r="178">
          <cell r="T178">
            <v>80</v>
          </cell>
        </row>
        <row r="179">
          <cell r="C179" t="str">
            <v>陕西</v>
          </cell>
        </row>
        <row r="179">
          <cell r="I179" t="str">
            <v>MW0MW46854BDS</v>
          </cell>
        </row>
        <row r="180">
          <cell r="C180" t="str">
            <v>陕西</v>
          </cell>
        </row>
        <row r="180">
          <cell r="I180" t="str">
            <v>MW0MW46854DW5</v>
          </cell>
        </row>
        <row r="181">
          <cell r="C181" t="str">
            <v>陕西</v>
          </cell>
        </row>
        <row r="181">
          <cell r="I181" t="str">
            <v>MW0MW46854YBR</v>
          </cell>
        </row>
        <row r="182">
          <cell r="C182" t="str">
            <v>陕西</v>
          </cell>
        </row>
        <row r="182">
          <cell r="I182" t="str">
            <v>MW0MW41170ACL</v>
          </cell>
        </row>
        <row r="182">
          <cell r="T182">
            <v>120</v>
          </cell>
        </row>
        <row r="183">
          <cell r="C183" t="str">
            <v>陕西</v>
          </cell>
        </row>
        <row r="183">
          <cell r="I183" t="str">
            <v>MW0MW41170DW5</v>
          </cell>
        </row>
        <row r="183">
          <cell r="T183">
            <v>160</v>
          </cell>
        </row>
        <row r="184">
          <cell r="C184" t="str">
            <v>陕西</v>
          </cell>
        </row>
        <row r="184">
          <cell r="I184" t="str">
            <v>MW0MW41170MSX</v>
          </cell>
        </row>
        <row r="184">
          <cell r="T184">
            <v>100</v>
          </cell>
        </row>
        <row r="185">
          <cell r="C185" t="str">
            <v>陕西</v>
          </cell>
        </row>
        <row r="185">
          <cell r="I185" t="str">
            <v>MW0MW42837ACL</v>
          </cell>
        </row>
        <row r="185">
          <cell r="T185">
            <v>80</v>
          </cell>
        </row>
        <row r="186">
          <cell r="C186" t="str">
            <v>陕西</v>
          </cell>
        </row>
        <row r="186">
          <cell r="I186" t="str">
            <v>MW0MW42837DW5</v>
          </cell>
        </row>
        <row r="186">
          <cell r="T186">
            <v>200</v>
          </cell>
        </row>
        <row r="187">
          <cell r="C187" t="str">
            <v>陕西</v>
          </cell>
        </row>
        <row r="187">
          <cell r="I187" t="str">
            <v>MW0MW42837Z00</v>
          </cell>
        </row>
        <row r="187">
          <cell r="T187">
            <v>300</v>
          </cell>
        </row>
        <row r="188">
          <cell r="C188" t="str">
            <v>陕西</v>
          </cell>
        </row>
        <row r="188">
          <cell r="I188" t="str">
            <v>MW0MW46210AEH</v>
          </cell>
        </row>
        <row r="189">
          <cell r="C189" t="str">
            <v>陕西</v>
          </cell>
        </row>
        <row r="189">
          <cell r="I189" t="str">
            <v>MW0MW46210DW5</v>
          </cell>
        </row>
        <row r="190">
          <cell r="C190" t="str">
            <v>陕西</v>
          </cell>
        </row>
        <row r="190">
          <cell r="I190" t="str">
            <v>MW0MW46210Z00</v>
          </cell>
        </row>
        <row r="191">
          <cell r="C191" t="str">
            <v>陕西</v>
          </cell>
        </row>
        <row r="191">
          <cell r="I191" t="str">
            <v>MW0MW46211BDS</v>
          </cell>
        </row>
        <row r="192">
          <cell r="C192" t="str">
            <v>陕西</v>
          </cell>
        </row>
        <row r="192">
          <cell r="I192" t="str">
            <v>MW0MW46211DW5</v>
          </cell>
        </row>
        <row r="193">
          <cell r="C193" t="str">
            <v>陕西</v>
          </cell>
        </row>
        <row r="193">
          <cell r="I193" t="str">
            <v>MW0MW46211YBR</v>
          </cell>
        </row>
        <row r="194">
          <cell r="C194" t="str">
            <v>陕西</v>
          </cell>
        </row>
        <row r="194">
          <cell r="I194" t="str">
            <v>MW0MW46222ACL</v>
          </cell>
        </row>
        <row r="195">
          <cell r="C195" t="str">
            <v>陕西</v>
          </cell>
        </row>
        <row r="195">
          <cell r="I195" t="str">
            <v>MW0MW46222C14</v>
          </cell>
        </row>
        <row r="196">
          <cell r="C196" t="str">
            <v>陕西</v>
          </cell>
        </row>
        <row r="196">
          <cell r="I196" t="str">
            <v>MW0MW46222DW5</v>
          </cell>
        </row>
        <row r="197">
          <cell r="C197" t="str">
            <v>陕西</v>
          </cell>
        </row>
        <row r="197">
          <cell r="I197" t="str">
            <v>MW0MW46222Z00</v>
          </cell>
        </row>
        <row r="198">
          <cell r="C198" t="str">
            <v>陕西</v>
          </cell>
        </row>
        <row r="198">
          <cell r="I198" t="str">
            <v>MW0MW461950A4</v>
          </cell>
        </row>
        <row r="198">
          <cell r="T198">
            <v>20</v>
          </cell>
        </row>
        <row r="199">
          <cell r="C199" t="str">
            <v>陕西</v>
          </cell>
        </row>
        <row r="199">
          <cell r="I199" t="str">
            <v>MW0MW46197DW5</v>
          </cell>
        </row>
        <row r="200">
          <cell r="C200" t="str">
            <v>陕西</v>
          </cell>
        </row>
        <row r="200">
          <cell r="I200" t="str">
            <v>MW0MW46197XIT</v>
          </cell>
        </row>
        <row r="201">
          <cell r="C201" t="str">
            <v>陕西</v>
          </cell>
        </row>
        <row r="201">
          <cell r="I201" t="str">
            <v>MW0MW46197YBR</v>
          </cell>
        </row>
        <row r="202">
          <cell r="C202" t="str">
            <v>陕西</v>
          </cell>
        </row>
        <row r="202">
          <cell r="I202" t="str">
            <v>MW0MW46198C14</v>
          </cell>
        </row>
        <row r="202">
          <cell r="T202">
            <v>40</v>
          </cell>
        </row>
        <row r="203">
          <cell r="C203" t="str">
            <v>陕西</v>
          </cell>
        </row>
        <row r="203">
          <cell r="I203" t="str">
            <v>MW0MW46198DW5</v>
          </cell>
        </row>
        <row r="203">
          <cell r="T203">
            <v>60</v>
          </cell>
        </row>
        <row r="204">
          <cell r="C204" t="str">
            <v>陕西</v>
          </cell>
        </row>
        <row r="204">
          <cell r="I204" t="str">
            <v>MW0MW46204DW5</v>
          </cell>
        </row>
        <row r="205">
          <cell r="C205" t="str">
            <v>陕西</v>
          </cell>
        </row>
        <row r="205">
          <cell r="I205" t="str">
            <v>MW0MW46204Z00</v>
          </cell>
        </row>
        <row r="206">
          <cell r="C206" t="str">
            <v>陕西</v>
          </cell>
        </row>
        <row r="206">
          <cell r="I206" t="str">
            <v>MW0MW46205DW5</v>
          </cell>
        </row>
        <row r="206">
          <cell r="T206">
            <v>20</v>
          </cell>
        </row>
        <row r="207">
          <cell r="C207" t="str">
            <v>陕西</v>
          </cell>
        </row>
        <row r="207">
          <cell r="I207" t="str">
            <v>MW0MW46205Z00</v>
          </cell>
        </row>
        <row r="207">
          <cell r="T207">
            <v>20</v>
          </cell>
        </row>
        <row r="208">
          <cell r="C208" t="str">
            <v>陕西</v>
          </cell>
        </row>
        <row r="208">
          <cell r="I208" t="str">
            <v>MW0MW46206DW5</v>
          </cell>
        </row>
        <row r="208">
          <cell r="T208">
            <v>20</v>
          </cell>
        </row>
        <row r="209">
          <cell r="C209" t="str">
            <v>陕西</v>
          </cell>
        </row>
        <row r="209">
          <cell r="I209" t="str">
            <v>MW0MW46206XIT</v>
          </cell>
        </row>
        <row r="210">
          <cell r="C210" t="str">
            <v>陕西</v>
          </cell>
        </row>
        <row r="210">
          <cell r="I210" t="str">
            <v>MW0MW46206Z00</v>
          </cell>
        </row>
        <row r="210">
          <cell r="T210">
            <v>20</v>
          </cell>
        </row>
        <row r="211">
          <cell r="C211" t="str">
            <v>陕西</v>
          </cell>
        </row>
        <row r="211">
          <cell r="I211" t="str">
            <v>MW0MW46207DW5</v>
          </cell>
        </row>
        <row r="212">
          <cell r="C212" t="str">
            <v>陕西</v>
          </cell>
        </row>
        <row r="212">
          <cell r="I212" t="str">
            <v>MW0MW46207P91</v>
          </cell>
        </row>
        <row r="212">
          <cell r="T212">
            <v>20</v>
          </cell>
        </row>
        <row r="213">
          <cell r="C213" t="str">
            <v>陕西</v>
          </cell>
        </row>
        <row r="213">
          <cell r="I213" t="str">
            <v>MW0MW46207Z00</v>
          </cell>
        </row>
        <row r="213">
          <cell r="T213">
            <v>20</v>
          </cell>
        </row>
        <row r="214">
          <cell r="C214" t="str">
            <v>陕西</v>
          </cell>
        </row>
        <row r="214">
          <cell r="I214" t="str">
            <v>MW0MW46216C9B</v>
          </cell>
        </row>
        <row r="215">
          <cell r="C215" t="str">
            <v>陕西</v>
          </cell>
        </row>
        <row r="215">
          <cell r="I215" t="str">
            <v>MW0MW46216Z00</v>
          </cell>
        </row>
        <row r="216">
          <cell r="C216" t="str">
            <v>陕西</v>
          </cell>
        </row>
        <row r="216">
          <cell r="I216" t="str">
            <v>MW0MW46227LZD</v>
          </cell>
        </row>
        <row r="217">
          <cell r="C217" t="str">
            <v>陕西</v>
          </cell>
        </row>
        <row r="217">
          <cell r="I217" t="str">
            <v>MW0MW46227TOL</v>
          </cell>
        </row>
        <row r="218">
          <cell r="C218" t="str">
            <v>陕西</v>
          </cell>
        </row>
        <row r="218">
          <cell r="I218" t="str">
            <v>MW0MW46227YBH</v>
          </cell>
        </row>
        <row r="219">
          <cell r="C219" t="str">
            <v>陕西</v>
          </cell>
        </row>
        <row r="219">
          <cell r="I219" t="str">
            <v>MW0MW46228C14</v>
          </cell>
        </row>
        <row r="220">
          <cell r="C220" t="str">
            <v>陕西</v>
          </cell>
        </row>
        <row r="220">
          <cell r="I220" t="str">
            <v>MW0MW46228DW5</v>
          </cell>
        </row>
        <row r="221">
          <cell r="C221" t="str">
            <v>陕西</v>
          </cell>
        </row>
        <row r="221">
          <cell r="I221" t="str">
            <v>MW0MW46228YBR</v>
          </cell>
        </row>
        <row r="222">
          <cell r="C222" t="str">
            <v>陕西</v>
          </cell>
        </row>
        <row r="222">
          <cell r="I222" t="str">
            <v>MW0MW462290A4</v>
          </cell>
        </row>
        <row r="223">
          <cell r="C223" t="str">
            <v>陕西</v>
          </cell>
        </row>
        <row r="223">
          <cell r="I223" t="str">
            <v>MW0MW46458DW5</v>
          </cell>
        </row>
        <row r="223">
          <cell r="T223">
            <v>60</v>
          </cell>
        </row>
        <row r="224">
          <cell r="C224" t="str">
            <v>陕西</v>
          </cell>
        </row>
        <row r="224">
          <cell r="I224" t="str">
            <v>MW0MW46458YBR</v>
          </cell>
        </row>
        <row r="224">
          <cell r="T224">
            <v>40</v>
          </cell>
        </row>
        <row r="225">
          <cell r="C225" t="str">
            <v>陕西</v>
          </cell>
        </row>
        <row r="225">
          <cell r="I225" t="str">
            <v>MW0MW46859DW5</v>
          </cell>
        </row>
        <row r="225">
          <cell r="T225">
            <v>80</v>
          </cell>
        </row>
        <row r="226">
          <cell r="C226" t="str">
            <v>陕西</v>
          </cell>
        </row>
        <row r="226">
          <cell r="I226" t="str">
            <v>MW0MW46859PR2</v>
          </cell>
        </row>
        <row r="226">
          <cell r="T226">
            <v>60</v>
          </cell>
        </row>
        <row r="227">
          <cell r="C227" t="str">
            <v>陕西</v>
          </cell>
        </row>
        <row r="227">
          <cell r="I227" t="str">
            <v>MW0MW46859YBR</v>
          </cell>
        </row>
        <row r="227">
          <cell r="T227">
            <v>60</v>
          </cell>
        </row>
        <row r="228">
          <cell r="C228" t="str">
            <v>陕西</v>
          </cell>
        </row>
        <row r="228">
          <cell r="I228" t="str">
            <v>MW0MW47377DW5</v>
          </cell>
        </row>
        <row r="229">
          <cell r="C229" t="str">
            <v>陕西</v>
          </cell>
        </row>
        <row r="229">
          <cell r="I229" t="str">
            <v>MW0MW47377YBR</v>
          </cell>
        </row>
        <row r="230">
          <cell r="C230" t="str">
            <v>陕西</v>
          </cell>
        </row>
        <row r="230">
          <cell r="I230" t="str">
            <v>MW0MW47713C14</v>
          </cell>
        </row>
        <row r="231">
          <cell r="C231" t="str">
            <v>陕西</v>
          </cell>
        </row>
        <row r="231">
          <cell r="I231" t="str">
            <v>MW0MW47713DW5</v>
          </cell>
        </row>
        <row r="232">
          <cell r="C232" t="str">
            <v>陕西</v>
          </cell>
        </row>
        <row r="232">
          <cell r="I232" t="str">
            <v>MW0MW477340A4</v>
          </cell>
        </row>
        <row r="233">
          <cell r="C233" t="str">
            <v>陕西</v>
          </cell>
        </row>
        <row r="233">
          <cell r="I233" t="str">
            <v>MW0MW47734DW5</v>
          </cell>
        </row>
        <row r="234">
          <cell r="C234" t="str">
            <v>陕西</v>
          </cell>
        </row>
        <row r="234">
          <cell r="I234" t="str">
            <v>MW0MW47734ZGY</v>
          </cell>
        </row>
        <row r="235">
          <cell r="C235" t="str">
            <v>陕西</v>
          </cell>
        </row>
        <row r="235">
          <cell r="I235" t="str">
            <v>MW0MW46239DW5</v>
          </cell>
        </row>
        <row r="236">
          <cell r="C236" t="str">
            <v>陕西</v>
          </cell>
        </row>
        <row r="236">
          <cell r="I236" t="str">
            <v>MW0MW46239P91</v>
          </cell>
        </row>
        <row r="237">
          <cell r="C237" t="str">
            <v>陕西</v>
          </cell>
        </row>
        <row r="237">
          <cell r="I237" t="str">
            <v>MW0MW462400CE</v>
          </cell>
        </row>
        <row r="238">
          <cell r="C238" t="str">
            <v>陕西</v>
          </cell>
        </row>
        <row r="238">
          <cell r="I238" t="str">
            <v>MW0MW462400EV</v>
          </cell>
        </row>
        <row r="239">
          <cell r="C239" t="str">
            <v>陕西</v>
          </cell>
        </row>
        <row r="239">
          <cell r="I239" t="str">
            <v>MW0MW46876DW5</v>
          </cell>
        </row>
        <row r="240">
          <cell r="C240" t="str">
            <v>陕西</v>
          </cell>
        </row>
        <row r="240">
          <cell r="I240" t="str">
            <v>MW0MW46876Z00</v>
          </cell>
        </row>
        <row r="241">
          <cell r="C241" t="str">
            <v>陕西</v>
          </cell>
        </row>
        <row r="241">
          <cell r="I241" t="str">
            <v>MW0MW42525RBT</v>
          </cell>
        </row>
        <row r="241">
          <cell r="T241">
            <v>150</v>
          </cell>
        </row>
        <row r="242">
          <cell r="C242" t="str">
            <v>陕西</v>
          </cell>
        </row>
        <row r="242">
          <cell r="I242" t="str">
            <v>MW0MW42525DW5</v>
          </cell>
        </row>
        <row r="242">
          <cell r="T242">
            <v>300</v>
          </cell>
        </row>
        <row r="243">
          <cell r="C243" t="str">
            <v>陕西</v>
          </cell>
        </row>
        <row r="243">
          <cell r="I243" t="str">
            <v>MW0MW47746BDS</v>
          </cell>
        </row>
        <row r="244">
          <cell r="C244" t="str">
            <v>陕西</v>
          </cell>
        </row>
        <row r="244">
          <cell r="I244" t="str">
            <v>MW0MW47746AEG</v>
          </cell>
        </row>
        <row r="245">
          <cell r="C245" t="str">
            <v>陕西</v>
          </cell>
        </row>
        <row r="245">
          <cell r="I245" t="str">
            <v>MW0MW47746DW5</v>
          </cell>
        </row>
        <row r="246">
          <cell r="C246" t="str">
            <v>陕西</v>
          </cell>
        </row>
        <row r="246">
          <cell r="I246" t="str">
            <v>MW0MW46856RBT</v>
          </cell>
        </row>
        <row r="247">
          <cell r="C247" t="str">
            <v>陕西</v>
          </cell>
        </row>
        <row r="247">
          <cell r="I247" t="str">
            <v>MW0MW46856DW5</v>
          </cell>
        </row>
        <row r="248">
          <cell r="C248" t="str">
            <v>陕西</v>
          </cell>
        </row>
        <row r="248">
          <cell r="I248" t="str">
            <v>MW0MW46856PR2</v>
          </cell>
        </row>
        <row r="249">
          <cell r="C249" t="str">
            <v>陕西</v>
          </cell>
        </row>
        <row r="249">
          <cell r="I249" t="str">
            <v>MW0MW47745AEG</v>
          </cell>
        </row>
        <row r="250">
          <cell r="C250" t="str">
            <v>陕西</v>
          </cell>
        </row>
        <row r="250">
          <cell r="I250" t="str">
            <v>MW0MW47745DW5</v>
          </cell>
        </row>
        <row r="251">
          <cell r="C251" t="str">
            <v>陕西</v>
          </cell>
        </row>
        <row r="251">
          <cell r="I251" t="str">
            <v>MW0MW46866ACL</v>
          </cell>
        </row>
        <row r="251">
          <cell r="T251">
            <v>120</v>
          </cell>
        </row>
        <row r="252">
          <cell r="C252" t="str">
            <v>陕西</v>
          </cell>
        </row>
        <row r="252">
          <cell r="I252" t="str">
            <v>MW0MW46866DW5</v>
          </cell>
        </row>
        <row r="252">
          <cell r="T252">
            <v>150</v>
          </cell>
        </row>
        <row r="253">
          <cell r="C253" t="str">
            <v>陕西</v>
          </cell>
        </row>
        <row r="253">
          <cell r="I253" t="str">
            <v>MW0MW40262YCF</v>
          </cell>
        </row>
        <row r="254">
          <cell r="C254" t="str">
            <v>陕西</v>
          </cell>
        </row>
        <row r="254">
          <cell r="I254" t="str">
            <v>MW0MW46863PR2</v>
          </cell>
        </row>
        <row r="255">
          <cell r="C255" t="str">
            <v>陕西</v>
          </cell>
        </row>
        <row r="255">
          <cell r="I255" t="str">
            <v>MW0MW46863BDS</v>
          </cell>
        </row>
        <row r="256">
          <cell r="C256" t="str">
            <v>陕西</v>
          </cell>
        </row>
        <row r="256">
          <cell r="I256" t="str">
            <v>MW0MW46864DW5</v>
          </cell>
        </row>
        <row r="256">
          <cell r="T256">
            <v>300</v>
          </cell>
        </row>
        <row r="257">
          <cell r="C257" t="str">
            <v>陕西</v>
          </cell>
        </row>
        <row r="257">
          <cell r="I257" t="str">
            <v>MW0MW46864PR2</v>
          </cell>
        </row>
        <row r="257">
          <cell r="T257">
            <v>60</v>
          </cell>
        </row>
        <row r="258">
          <cell r="C258" t="str">
            <v>陕西</v>
          </cell>
        </row>
        <row r="258">
          <cell r="I258" t="str">
            <v>MW0MW46864AEG</v>
          </cell>
        </row>
        <row r="258">
          <cell r="T258">
            <v>150</v>
          </cell>
        </row>
        <row r="259">
          <cell r="C259" t="str">
            <v>陕西</v>
          </cell>
        </row>
        <row r="259">
          <cell r="I259" t="str">
            <v>MW0MW46283DW5</v>
          </cell>
        </row>
        <row r="259">
          <cell r="T259">
            <v>250</v>
          </cell>
        </row>
        <row r="260">
          <cell r="C260" t="str">
            <v>陕西</v>
          </cell>
        </row>
        <row r="260">
          <cell r="I260" t="str">
            <v>MW0MW46283YA8</v>
          </cell>
        </row>
        <row r="260">
          <cell r="T260">
            <v>60</v>
          </cell>
        </row>
        <row r="261">
          <cell r="C261" t="str">
            <v>陕西</v>
          </cell>
        </row>
        <row r="261">
          <cell r="I261" t="str">
            <v>MW0MW46283AEH</v>
          </cell>
        </row>
        <row r="261">
          <cell r="T261">
            <v>200</v>
          </cell>
        </row>
        <row r="262">
          <cell r="C262" t="str">
            <v>陕西</v>
          </cell>
        </row>
        <row r="262">
          <cell r="I262" t="str">
            <v>MW0MW46295DW5</v>
          </cell>
        </row>
        <row r="262">
          <cell r="T262">
            <v>200</v>
          </cell>
        </row>
        <row r="263">
          <cell r="C263" t="str">
            <v>陕西</v>
          </cell>
        </row>
        <row r="263">
          <cell r="I263" t="str">
            <v>MW0MW46295AEG</v>
          </cell>
        </row>
        <row r="263">
          <cell r="T263">
            <v>180</v>
          </cell>
        </row>
        <row r="264">
          <cell r="C264" t="str">
            <v>陕西</v>
          </cell>
        </row>
        <row r="264">
          <cell r="I264" t="str">
            <v>MW0MW46295YA8</v>
          </cell>
        </row>
        <row r="264">
          <cell r="T264">
            <v>60</v>
          </cell>
        </row>
        <row r="265">
          <cell r="C265" t="str">
            <v>陕西</v>
          </cell>
        </row>
        <row r="265">
          <cell r="I265" t="str">
            <v>MW0MW44675DW5</v>
          </cell>
        </row>
        <row r="266">
          <cell r="C266" t="str">
            <v>陕西</v>
          </cell>
        </row>
        <row r="266">
          <cell r="I266" t="str">
            <v>MW0MW44675AEG</v>
          </cell>
        </row>
        <row r="267">
          <cell r="C267" t="str">
            <v>陕西</v>
          </cell>
        </row>
        <row r="267">
          <cell r="I267" t="str">
            <v>MW0MW46284RBN</v>
          </cell>
        </row>
        <row r="267">
          <cell r="T267">
            <v>30</v>
          </cell>
        </row>
        <row r="268">
          <cell r="C268" t="str">
            <v>陕西</v>
          </cell>
        </row>
        <row r="268">
          <cell r="I268" t="str">
            <v>MW0MW46284GOP</v>
          </cell>
        </row>
        <row r="268">
          <cell r="T268">
            <v>60</v>
          </cell>
        </row>
        <row r="269">
          <cell r="C269" t="str">
            <v>陕西</v>
          </cell>
        </row>
        <row r="269">
          <cell r="I269" t="str">
            <v>MW0MW46293AEH</v>
          </cell>
        </row>
        <row r="269">
          <cell r="T269">
            <v>12</v>
          </cell>
        </row>
        <row r="270">
          <cell r="C270" t="str">
            <v>陕西</v>
          </cell>
        </row>
        <row r="270">
          <cell r="I270" t="str">
            <v>MW0MW45300DCC</v>
          </cell>
        </row>
        <row r="270">
          <cell r="T270">
            <v>12</v>
          </cell>
        </row>
        <row r="271">
          <cell r="C271" t="str">
            <v>陕西</v>
          </cell>
        </row>
        <row r="271">
          <cell r="I271" t="str">
            <v>MW0MW464060A4</v>
          </cell>
        </row>
        <row r="272">
          <cell r="C272" t="str">
            <v>陕西</v>
          </cell>
        </row>
        <row r="272">
          <cell r="I272" t="str">
            <v>MW0MW46379DW5</v>
          </cell>
        </row>
        <row r="273">
          <cell r="C273" t="str">
            <v>陕西</v>
          </cell>
        </row>
        <row r="273">
          <cell r="I273" t="str">
            <v>MW0MW46379P91</v>
          </cell>
        </row>
        <row r="274">
          <cell r="C274" t="str">
            <v>陕西</v>
          </cell>
        </row>
        <row r="274">
          <cell r="I274" t="str">
            <v>MW0MW38910DW5</v>
          </cell>
        </row>
        <row r="274">
          <cell r="T274">
            <v>120</v>
          </cell>
        </row>
        <row r="275">
          <cell r="C275" t="str">
            <v>陕西</v>
          </cell>
        </row>
        <row r="275">
          <cell r="I275" t="str">
            <v>MW0MW38910RBT</v>
          </cell>
        </row>
        <row r="275">
          <cell r="T275">
            <v>100</v>
          </cell>
        </row>
        <row r="276">
          <cell r="C276" t="str">
            <v>陕西</v>
          </cell>
        </row>
        <row r="276">
          <cell r="I276" t="str">
            <v>MW0MW390351CY</v>
          </cell>
        </row>
        <row r="277">
          <cell r="C277" t="str">
            <v>陕西</v>
          </cell>
        </row>
        <row r="277">
          <cell r="I277" t="str">
            <v>MW0MW468621BT</v>
          </cell>
        </row>
        <row r="277">
          <cell r="T277">
            <v>150</v>
          </cell>
        </row>
        <row r="278">
          <cell r="C278" t="str">
            <v>陕西</v>
          </cell>
        </row>
        <row r="278">
          <cell r="I278" t="str">
            <v>MW0MW468621AI</v>
          </cell>
        </row>
        <row r="279">
          <cell r="C279" t="str">
            <v>陕西</v>
          </cell>
        </row>
        <row r="279">
          <cell r="I279" t="str">
            <v>MW0MW467071BU</v>
          </cell>
        </row>
        <row r="279">
          <cell r="T279">
            <v>80</v>
          </cell>
        </row>
        <row r="280">
          <cell r="C280" t="str">
            <v>陕西</v>
          </cell>
        </row>
        <row r="280">
          <cell r="I280" t="str">
            <v>MW0MW460591AD</v>
          </cell>
        </row>
        <row r="280">
          <cell r="T280">
            <v>60</v>
          </cell>
        </row>
        <row r="281">
          <cell r="C281" t="str">
            <v>陕西</v>
          </cell>
        </row>
        <row r="281">
          <cell r="I281" t="str">
            <v>MW0MW460761AQ</v>
          </cell>
        </row>
        <row r="282">
          <cell r="C282" t="str">
            <v>陕西</v>
          </cell>
        </row>
        <row r="282">
          <cell r="I282" t="str">
            <v>MW0MW460751AE</v>
          </cell>
        </row>
        <row r="282">
          <cell r="T282">
            <v>60</v>
          </cell>
        </row>
        <row r="283">
          <cell r="C283" t="str">
            <v>陕西</v>
          </cell>
        </row>
        <row r="283">
          <cell r="I283" t="str">
            <v>MW0MW460641BE</v>
          </cell>
        </row>
        <row r="283">
          <cell r="T283">
            <v>60</v>
          </cell>
        </row>
        <row r="284">
          <cell r="C284" t="str">
            <v>陕西</v>
          </cell>
        </row>
        <row r="284">
          <cell r="I284" t="str">
            <v>MW0MW46479DW5</v>
          </cell>
        </row>
        <row r="284">
          <cell r="T284">
            <v>40</v>
          </cell>
        </row>
        <row r="285">
          <cell r="C285" t="str">
            <v>陕西</v>
          </cell>
        </row>
        <row r="285">
          <cell r="I285" t="str">
            <v>MW0MW46479AEH</v>
          </cell>
        </row>
        <row r="285">
          <cell r="T285">
            <v>30</v>
          </cell>
        </row>
        <row r="286">
          <cell r="C286" t="str">
            <v>陕西</v>
          </cell>
        </row>
        <row r="286">
          <cell r="I286" t="str">
            <v>MW0MW47752RBT</v>
          </cell>
        </row>
        <row r="287">
          <cell r="C287" t="str">
            <v>陕西</v>
          </cell>
        </row>
        <row r="287">
          <cell r="I287" t="str">
            <v>MW0MW47752DW5</v>
          </cell>
        </row>
        <row r="288">
          <cell r="C288" t="str">
            <v>陕西</v>
          </cell>
        </row>
        <row r="288">
          <cell r="I288" t="str">
            <v>MW0MW47740DW5</v>
          </cell>
        </row>
        <row r="288">
          <cell r="T288">
            <v>60</v>
          </cell>
        </row>
        <row r="289">
          <cell r="C289" t="str">
            <v>陕西</v>
          </cell>
        </row>
        <row r="289">
          <cell r="I289" t="str">
            <v>MW0MW47740AEG</v>
          </cell>
        </row>
        <row r="289">
          <cell r="T289">
            <v>40</v>
          </cell>
        </row>
        <row r="290">
          <cell r="C290" t="str">
            <v>陕西</v>
          </cell>
        </row>
        <row r="290">
          <cell r="I290" t="str">
            <v>MW0MW44353C3I</v>
          </cell>
        </row>
        <row r="290">
          <cell r="T290">
            <v>40</v>
          </cell>
        </row>
        <row r="291">
          <cell r="C291" t="str">
            <v>陕西</v>
          </cell>
        </row>
        <row r="291">
          <cell r="I291" t="str">
            <v>MW0MW42352YCF</v>
          </cell>
        </row>
        <row r="291">
          <cell r="T291">
            <v>40</v>
          </cell>
        </row>
        <row r="292">
          <cell r="C292" t="str">
            <v>陕西</v>
          </cell>
        </row>
        <row r="292">
          <cell r="I292" t="str">
            <v>MW0MW470210QJ</v>
          </cell>
        </row>
        <row r="292">
          <cell r="T292">
            <v>8</v>
          </cell>
        </row>
        <row r="293">
          <cell r="C293" t="str">
            <v>陕西</v>
          </cell>
        </row>
        <row r="293">
          <cell r="I293" t="str">
            <v>MW0MW46303MSX</v>
          </cell>
        </row>
        <row r="293">
          <cell r="T293">
            <v>12</v>
          </cell>
        </row>
        <row r="294">
          <cell r="C294" t="str">
            <v>陕西</v>
          </cell>
        </row>
        <row r="294">
          <cell r="I294" t="str">
            <v>MW0MW46303AEH</v>
          </cell>
        </row>
        <row r="294">
          <cell r="T294">
            <v>20</v>
          </cell>
        </row>
        <row r="295">
          <cell r="C295" t="str">
            <v>陕西</v>
          </cell>
        </row>
        <row r="295">
          <cell r="I295" t="str">
            <v>MW0MW46877DW5</v>
          </cell>
        </row>
        <row r="295">
          <cell r="T295">
            <v>40</v>
          </cell>
        </row>
        <row r="296">
          <cell r="C296" t="str">
            <v>陕西</v>
          </cell>
        </row>
        <row r="296">
          <cell r="I296" t="str">
            <v>MW0MW46877Z00</v>
          </cell>
        </row>
        <row r="296">
          <cell r="T296">
            <v>20</v>
          </cell>
        </row>
        <row r="297">
          <cell r="C297" t="str">
            <v>陕西</v>
          </cell>
        </row>
        <row r="297">
          <cell r="I297" t="str">
            <v>UM0UM040910MT</v>
          </cell>
        </row>
        <row r="298">
          <cell r="C298" t="str">
            <v>陕西</v>
          </cell>
        </row>
        <row r="298">
          <cell r="I298" t="str">
            <v>UM0UM03935C7E</v>
          </cell>
        </row>
        <row r="299">
          <cell r="C299" t="str">
            <v>陕西</v>
          </cell>
        </row>
        <row r="299">
          <cell r="I299" t="str">
            <v>UM0UM0376809J</v>
          </cell>
        </row>
        <row r="300">
          <cell r="C300" t="str">
            <v>陕西</v>
          </cell>
        </row>
        <row r="300">
          <cell r="I300" t="str">
            <v>UM0UM03768068</v>
          </cell>
        </row>
        <row r="301">
          <cell r="C301" t="str">
            <v>陕西</v>
          </cell>
        </row>
        <row r="301">
          <cell r="I301" t="str">
            <v>UM0UM03755069</v>
          </cell>
        </row>
        <row r="301">
          <cell r="T301">
            <v>80</v>
          </cell>
        </row>
        <row r="302">
          <cell r="C302" t="str">
            <v>陕西</v>
          </cell>
        </row>
        <row r="302">
          <cell r="I302" t="str">
            <v>UM0UM0375506B</v>
          </cell>
        </row>
        <row r="302">
          <cell r="T302">
            <v>80</v>
          </cell>
        </row>
        <row r="303">
          <cell r="C303" t="str">
            <v>陕西</v>
          </cell>
        </row>
        <row r="303">
          <cell r="I303" t="str">
            <v>UM0UM0398106P</v>
          </cell>
        </row>
        <row r="304">
          <cell r="C304" t="str">
            <v>陕西</v>
          </cell>
        </row>
        <row r="304">
          <cell r="I304" t="str">
            <v>UM0UM0413906E</v>
          </cell>
        </row>
        <row r="305">
          <cell r="C305" t="str">
            <v>陕西</v>
          </cell>
        </row>
        <row r="305">
          <cell r="I305" t="str">
            <v>UM0UM0413906F</v>
          </cell>
        </row>
        <row r="306">
          <cell r="C306" t="str">
            <v>陕西</v>
          </cell>
        </row>
        <row r="306">
          <cell r="I306" t="str">
            <v>UM0UM038350TY</v>
          </cell>
        </row>
        <row r="307">
          <cell r="C307" t="str">
            <v>陕西</v>
          </cell>
        </row>
        <row r="307">
          <cell r="I307" t="str">
            <v>UM0UM039080Y3</v>
          </cell>
        </row>
        <row r="307">
          <cell r="T307">
            <v>60</v>
          </cell>
        </row>
        <row r="308">
          <cell r="C308" t="str">
            <v>陕西</v>
          </cell>
        </row>
        <row r="308">
          <cell r="I308" t="str">
            <v>UM0UM038890VA</v>
          </cell>
        </row>
        <row r="309">
          <cell r="C309" t="str">
            <v>陕西</v>
          </cell>
        </row>
        <row r="309">
          <cell r="I309" t="str">
            <v>UM0UM0388206K</v>
          </cell>
        </row>
        <row r="310">
          <cell r="C310" t="str">
            <v>陕西</v>
          </cell>
        </row>
        <row r="310">
          <cell r="I310" t="str">
            <v>UM0UM0388206I</v>
          </cell>
        </row>
        <row r="311">
          <cell r="C311" t="str">
            <v>陕西</v>
          </cell>
        </row>
        <row r="311">
          <cell r="I311" t="str">
            <v>UM0UM042150WE</v>
          </cell>
        </row>
        <row r="312">
          <cell r="C312" t="str">
            <v>陕西</v>
          </cell>
        </row>
        <row r="312">
          <cell r="I312" t="str">
            <v>UM0UM0387706I</v>
          </cell>
        </row>
        <row r="312">
          <cell r="T312">
            <v>60</v>
          </cell>
        </row>
        <row r="313">
          <cell r="C313" t="str">
            <v>陕西</v>
          </cell>
        </row>
        <row r="313">
          <cell r="I313" t="str">
            <v>UM0UM042310YV</v>
          </cell>
        </row>
        <row r="314">
          <cell r="C314" t="str">
            <v>陕西</v>
          </cell>
        </row>
        <row r="314">
          <cell r="I314" t="str">
            <v>WW0WW53302YBH</v>
          </cell>
        </row>
        <row r="314">
          <cell r="T314">
            <v>30</v>
          </cell>
        </row>
        <row r="315">
          <cell r="C315" t="str">
            <v>陕西</v>
          </cell>
        </row>
        <row r="315">
          <cell r="I315" t="str">
            <v>WW0WW54522ABN</v>
          </cell>
        </row>
        <row r="315">
          <cell r="T315">
            <v>40</v>
          </cell>
        </row>
        <row r="316">
          <cell r="C316" t="str">
            <v>陕西</v>
          </cell>
        </row>
        <row r="316">
          <cell r="I316" t="str">
            <v>WW0WW54522GSY</v>
          </cell>
        </row>
        <row r="316">
          <cell r="T316">
            <v>20</v>
          </cell>
        </row>
        <row r="317">
          <cell r="C317" t="str">
            <v>陕西</v>
          </cell>
        </row>
        <row r="317">
          <cell r="I317" t="str">
            <v>WW0WW53305ABN</v>
          </cell>
        </row>
        <row r="317">
          <cell r="T317">
            <v>30</v>
          </cell>
        </row>
        <row r="318">
          <cell r="C318" t="str">
            <v>陕西</v>
          </cell>
        </row>
        <row r="318">
          <cell r="I318" t="str">
            <v>WW0WW53305GSY</v>
          </cell>
        </row>
        <row r="318">
          <cell r="T318">
            <v>20</v>
          </cell>
        </row>
        <row r="319">
          <cell r="C319" t="str">
            <v>陕西</v>
          </cell>
        </row>
        <row r="319">
          <cell r="I319" t="str">
            <v>WW0WW53908ABN</v>
          </cell>
        </row>
        <row r="319">
          <cell r="T319">
            <v>80</v>
          </cell>
        </row>
        <row r="320">
          <cell r="C320" t="str">
            <v>陕西</v>
          </cell>
        </row>
        <row r="320">
          <cell r="I320" t="str">
            <v>WW0WW53908GSY</v>
          </cell>
        </row>
        <row r="320">
          <cell r="T320">
            <v>30</v>
          </cell>
        </row>
        <row r="321">
          <cell r="C321" t="str">
            <v>陕西</v>
          </cell>
        </row>
        <row r="321">
          <cell r="I321" t="str">
            <v>WW0WW53535H0C</v>
          </cell>
        </row>
        <row r="321">
          <cell r="T321">
            <v>40</v>
          </cell>
        </row>
        <row r="322">
          <cell r="C322" t="str">
            <v>陕西</v>
          </cell>
        </row>
        <row r="322">
          <cell r="I322" t="str">
            <v>WW0WW45725C1G</v>
          </cell>
        </row>
        <row r="322">
          <cell r="T322">
            <v>80</v>
          </cell>
        </row>
        <row r="323">
          <cell r="C323" t="str">
            <v>陕西</v>
          </cell>
        </row>
        <row r="323">
          <cell r="I323" t="str">
            <v>WW0WW45725RBT</v>
          </cell>
        </row>
        <row r="324">
          <cell r="C324" t="str">
            <v>陕西</v>
          </cell>
        </row>
        <row r="324">
          <cell r="I324" t="str">
            <v>WW0WW535460MW</v>
          </cell>
        </row>
        <row r="324">
          <cell r="T324">
            <v>12</v>
          </cell>
        </row>
        <row r="325">
          <cell r="C325" t="str">
            <v>陕西</v>
          </cell>
        </row>
        <row r="325">
          <cell r="I325" t="str">
            <v>WW0WW539570LD</v>
          </cell>
        </row>
        <row r="325">
          <cell r="T325">
            <v>60</v>
          </cell>
        </row>
        <row r="326">
          <cell r="C326" t="str">
            <v>陕西</v>
          </cell>
        </row>
        <row r="326">
          <cell r="I326" t="str">
            <v>WW0WW53620ABN</v>
          </cell>
        </row>
        <row r="326">
          <cell r="T326">
            <v>40</v>
          </cell>
        </row>
        <row r="327">
          <cell r="C327" t="str">
            <v>陕西</v>
          </cell>
        </row>
        <row r="327">
          <cell r="I327" t="str">
            <v>WW0WW53956ZHD</v>
          </cell>
        </row>
        <row r="328">
          <cell r="C328" t="str">
            <v>陕西</v>
          </cell>
        </row>
        <row r="328">
          <cell r="I328" t="str">
            <v>WW0WW53956YA8</v>
          </cell>
        </row>
        <row r="329">
          <cell r="C329" t="str">
            <v>陕西</v>
          </cell>
        </row>
        <row r="329">
          <cell r="I329" t="str">
            <v>WW0WW54103RBV</v>
          </cell>
        </row>
        <row r="329">
          <cell r="T329">
            <v>80</v>
          </cell>
        </row>
        <row r="330">
          <cell r="C330" t="str">
            <v>陕西</v>
          </cell>
        </row>
        <row r="330">
          <cell r="I330" t="str">
            <v>WW0WW54103C1G</v>
          </cell>
        </row>
        <row r="330">
          <cell r="T330">
            <v>30</v>
          </cell>
        </row>
        <row r="331">
          <cell r="C331" t="str">
            <v>陕西</v>
          </cell>
        </row>
        <row r="331">
          <cell r="I331" t="str">
            <v>WW0WW4726304K</v>
          </cell>
        </row>
        <row r="331">
          <cell r="T331">
            <v>20</v>
          </cell>
        </row>
        <row r="332">
          <cell r="C332" t="str">
            <v>陕西</v>
          </cell>
        </row>
        <row r="332">
          <cell r="I332" t="str">
            <v>WW0WW472630FV</v>
          </cell>
        </row>
        <row r="332">
          <cell r="T332">
            <v>40</v>
          </cell>
        </row>
        <row r="333">
          <cell r="C333" t="str">
            <v>陕西</v>
          </cell>
        </row>
        <row r="333">
          <cell r="I333" t="str">
            <v>WW0WW46111YCF</v>
          </cell>
        </row>
        <row r="334">
          <cell r="C334" t="str">
            <v>陕西</v>
          </cell>
        </row>
        <row r="334">
          <cell r="I334" t="str">
            <v>WW0WW499400CO</v>
          </cell>
        </row>
        <row r="335">
          <cell r="C335" t="str">
            <v>陕西</v>
          </cell>
        </row>
        <row r="335">
          <cell r="I335" t="str">
            <v>WW0WW50855ZHD</v>
          </cell>
        </row>
        <row r="336">
          <cell r="C336" t="str">
            <v>陕西</v>
          </cell>
        </row>
        <row r="336">
          <cell r="I336" t="str">
            <v>WW0WW4561203K</v>
          </cell>
        </row>
        <row r="337">
          <cell r="C337" t="str">
            <v>陕西</v>
          </cell>
        </row>
        <row r="337">
          <cell r="I337" t="str">
            <v>WW0WW44679YBH</v>
          </cell>
        </row>
        <row r="337">
          <cell r="T337">
            <v>350</v>
          </cell>
        </row>
        <row r="338">
          <cell r="C338" t="str">
            <v>陕西</v>
          </cell>
        </row>
        <row r="338">
          <cell r="I338" t="str">
            <v>WW0WW44679C7E</v>
          </cell>
        </row>
        <row r="338">
          <cell r="T338">
            <v>40</v>
          </cell>
        </row>
        <row r="339">
          <cell r="C339" t="str">
            <v>陕西</v>
          </cell>
        </row>
        <row r="339">
          <cell r="I339" t="str">
            <v>WW0WW44679C1P</v>
          </cell>
        </row>
        <row r="339">
          <cell r="T339">
            <v>150</v>
          </cell>
        </row>
        <row r="340">
          <cell r="C340" t="str">
            <v>陕西</v>
          </cell>
        </row>
        <row r="340">
          <cell r="I340" t="str">
            <v>WW0WW44679ABL</v>
          </cell>
        </row>
        <row r="340">
          <cell r="T340">
            <v>250</v>
          </cell>
        </row>
        <row r="341">
          <cell r="C341" t="str">
            <v>陕西</v>
          </cell>
        </row>
        <row r="341">
          <cell r="I341" t="str">
            <v>WW0WW44679GSY</v>
          </cell>
        </row>
        <row r="341">
          <cell r="T341">
            <v>60</v>
          </cell>
        </row>
        <row r="342">
          <cell r="C342" t="str">
            <v>陕西</v>
          </cell>
        </row>
        <row r="342">
          <cell r="I342" t="str">
            <v>WW0WW446790FZ</v>
          </cell>
        </row>
        <row r="342">
          <cell r="T342">
            <v>60</v>
          </cell>
        </row>
        <row r="343">
          <cell r="C343" t="str">
            <v>陕西</v>
          </cell>
        </row>
        <row r="343">
          <cell r="I343" t="str">
            <v>WW0WW446790ED</v>
          </cell>
        </row>
        <row r="343">
          <cell r="T343">
            <v>40</v>
          </cell>
        </row>
        <row r="344">
          <cell r="C344" t="str">
            <v>陕西</v>
          </cell>
        </row>
        <row r="344">
          <cell r="I344" t="str">
            <v>WW0WW4467907D</v>
          </cell>
        </row>
        <row r="344">
          <cell r="T344">
            <v>80</v>
          </cell>
        </row>
        <row r="345">
          <cell r="C345" t="str">
            <v>陕西</v>
          </cell>
        </row>
        <row r="345">
          <cell r="I345" t="str">
            <v>WW0WW529931AH</v>
          </cell>
        </row>
        <row r="345">
          <cell r="T345">
            <v>60</v>
          </cell>
        </row>
        <row r="346">
          <cell r="C346" t="str">
            <v>陕西</v>
          </cell>
        </row>
        <row r="346">
          <cell r="I346" t="str">
            <v>WW0WW539850AA</v>
          </cell>
        </row>
        <row r="346">
          <cell r="T346">
            <v>60</v>
          </cell>
        </row>
        <row r="347">
          <cell r="C347" t="str">
            <v>陕西</v>
          </cell>
        </row>
        <row r="347">
          <cell r="I347" t="str">
            <v>WW0WW5449307U</v>
          </cell>
        </row>
        <row r="347">
          <cell r="T347">
            <v>20</v>
          </cell>
        </row>
        <row r="348">
          <cell r="C348" t="str">
            <v>陕西</v>
          </cell>
        </row>
        <row r="348">
          <cell r="I348" t="str">
            <v>WW0WW544930FX</v>
          </cell>
        </row>
        <row r="348">
          <cell r="T348">
            <v>20</v>
          </cell>
        </row>
        <row r="349">
          <cell r="C349" t="str">
            <v>陕西</v>
          </cell>
        </row>
        <row r="349">
          <cell r="I349" t="str">
            <v>WW0WW535870FM</v>
          </cell>
        </row>
        <row r="349">
          <cell r="T349">
            <v>40</v>
          </cell>
        </row>
        <row r="350">
          <cell r="C350" t="str">
            <v>陕西</v>
          </cell>
        </row>
        <row r="350">
          <cell r="I350" t="str">
            <v>WW0WW535531BE</v>
          </cell>
        </row>
        <row r="350">
          <cell r="T350">
            <v>40</v>
          </cell>
        </row>
        <row r="351">
          <cell r="C351" t="str">
            <v>陕西</v>
          </cell>
        </row>
        <row r="351">
          <cell r="I351" t="str">
            <v>WW0WW53577GSY</v>
          </cell>
        </row>
        <row r="351">
          <cell r="T351">
            <v>12</v>
          </cell>
        </row>
        <row r="352">
          <cell r="C352" t="str">
            <v>陕西</v>
          </cell>
        </row>
        <row r="352">
          <cell r="I352" t="str">
            <v>WW0WW53577ABL</v>
          </cell>
        </row>
        <row r="352">
          <cell r="T352">
            <v>12</v>
          </cell>
        </row>
        <row r="353">
          <cell r="C353" t="str">
            <v>陕西</v>
          </cell>
        </row>
        <row r="353">
          <cell r="I353" t="str">
            <v>WW0WW49338C1G</v>
          </cell>
        </row>
        <row r="354">
          <cell r="C354" t="str">
            <v>陕西</v>
          </cell>
        </row>
        <row r="354">
          <cell r="I354" t="str">
            <v>WW0WW49338YBL</v>
          </cell>
        </row>
        <row r="354">
          <cell r="T354">
            <v>100</v>
          </cell>
        </row>
        <row r="355">
          <cell r="C355" t="str">
            <v>陕西</v>
          </cell>
        </row>
        <row r="355">
          <cell r="I355" t="str">
            <v>WW0WW49338TPG</v>
          </cell>
        </row>
        <row r="356">
          <cell r="C356" t="str">
            <v>陕西</v>
          </cell>
        </row>
        <row r="356">
          <cell r="I356" t="str">
            <v>WW0WW5478705A</v>
          </cell>
        </row>
        <row r="357">
          <cell r="C357" t="str">
            <v>陕西</v>
          </cell>
        </row>
        <row r="357">
          <cell r="I357" t="str">
            <v>WW0WW547870BF</v>
          </cell>
        </row>
        <row r="358">
          <cell r="C358" t="str">
            <v>陕西</v>
          </cell>
        </row>
        <row r="358">
          <cell r="I358" t="str">
            <v>WW0WW5478804S</v>
          </cell>
        </row>
        <row r="358">
          <cell r="T358">
            <v>30</v>
          </cell>
        </row>
        <row r="359">
          <cell r="C359" t="str">
            <v>陕西</v>
          </cell>
        </row>
        <row r="359">
          <cell r="I359" t="str">
            <v>WW0WW547880AP</v>
          </cell>
        </row>
        <row r="359">
          <cell r="T359">
            <v>50</v>
          </cell>
        </row>
        <row r="360">
          <cell r="C360" t="str">
            <v>陕西</v>
          </cell>
        </row>
        <row r="360">
          <cell r="I360" t="str">
            <v>WW0WW5356204S</v>
          </cell>
        </row>
        <row r="360">
          <cell r="T360">
            <v>30</v>
          </cell>
        </row>
        <row r="361">
          <cell r="C361" t="str">
            <v>陕西</v>
          </cell>
        </row>
        <row r="361">
          <cell r="I361" t="str">
            <v>WW0WW535620BF</v>
          </cell>
        </row>
        <row r="362">
          <cell r="C362" t="str">
            <v>陕西</v>
          </cell>
        </row>
        <row r="362">
          <cell r="I362" t="str">
            <v>WW0WW5350804P</v>
          </cell>
        </row>
        <row r="362">
          <cell r="T362">
            <v>30</v>
          </cell>
        </row>
        <row r="363">
          <cell r="C363" t="str">
            <v>陕西</v>
          </cell>
        </row>
        <row r="363">
          <cell r="I363" t="str">
            <v>WW0WW5350804Q</v>
          </cell>
        </row>
        <row r="363">
          <cell r="T363">
            <v>20</v>
          </cell>
        </row>
        <row r="364">
          <cell r="C364" t="str">
            <v>陕西</v>
          </cell>
        </row>
        <row r="364">
          <cell r="I364" t="str">
            <v>WW0WW4058704W</v>
          </cell>
        </row>
        <row r="365">
          <cell r="C365" t="str">
            <v>陕西</v>
          </cell>
        </row>
        <row r="365">
          <cell r="I365" t="str">
            <v>WW0WW405870FA</v>
          </cell>
        </row>
        <row r="366">
          <cell r="C366" t="str">
            <v>陕西</v>
          </cell>
        </row>
        <row r="366">
          <cell r="I366" t="str">
            <v>WW0WW40587YBL</v>
          </cell>
        </row>
        <row r="367">
          <cell r="C367" t="str">
            <v>陕西</v>
          </cell>
        </row>
        <row r="367">
          <cell r="I367" t="str">
            <v>WW0WW41893YCF</v>
          </cell>
        </row>
        <row r="367">
          <cell r="T367">
            <v>200</v>
          </cell>
        </row>
        <row r="368">
          <cell r="C368" t="str">
            <v>陕西</v>
          </cell>
        </row>
        <row r="368">
          <cell r="I368" t="str">
            <v>WW0WW418930AP</v>
          </cell>
        </row>
        <row r="368">
          <cell r="T368">
            <v>150</v>
          </cell>
        </row>
        <row r="369">
          <cell r="C369" t="str">
            <v>陕西</v>
          </cell>
        </row>
        <row r="369">
          <cell r="I369" t="str">
            <v>WW0WW53895YBL</v>
          </cell>
        </row>
        <row r="369">
          <cell r="T369">
            <v>300</v>
          </cell>
        </row>
        <row r="370">
          <cell r="C370" t="str">
            <v>陕西</v>
          </cell>
        </row>
        <row r="370">
          <cell r="I370" t="str">
            <v>WW0WW538950BJ</v>
          </cell>
        </row>
        <row r="370">
          <cell r="T370">
            <v>200</v>
          </cell>
        </row>
        <row r="371">
          <cell r="C371" t="str">
            <v>陕西</v>
          </cell>
        </row>
        <row r="371">
          <cell r="I371" t="str">
            <v>WW0WW5389504S</v>
          </cell>
        </row>
        <row r="371">
          <cell r="T371">
            <v>150</v>
          </cell>
        </row>
        <row r="372">
          <cell r="C372" t="str">
            <v>陕西</v>
          </cell>
        </row>
        <row r="372">
          <cell r="I372" t="str">
            <v>WW0WW5389403T</v>
          </cell>
        </row>
        <row r="372">
          <cell r="T372">
            <v>100</v>
          </cell>
        </row>
        <row r="373">
          <cell r="C373" t="str">
            <v>陕西</v>
          </cell>
        </row>
        <row r="373">
          <cell r="I373" t="str">
            <v>WW0WW53894YBL</v>
          </cell>
        </row>
        <row r="373">
          <cell r="T373">
            <v>100</v>
          </cell>
        </row>
        <row r="374">
          <cell r="C374" t="str">
            <v>陕西</v>
          </cell>
        </row>
        <row r="374">
          <cell r="I374" t="str">
            <v>WW0WW5389404S</v>
          </cell>
        </row>
        <row r="374">
          <cell r="T374">
            <v>60</v>
          </cell>
        </row>
        <row r="375">
          <cell r="C375" t="str">
            <v>陕西</v>
          </cell>
        </row>
        <row r="375">
          <cell r="I375" t="str">
            <v>WW0WW432240AP</v>
          </cell>
        </row>
        <row r="376">
          <cell r="C376" t="str">
            <v>陕西</v>
          </cell>
        </row>
        <row r="376">
          <cell r="I376" t="str">
            <v>WW0WW4322404S</v>
          </cell>
        </row>
        <row r="377">
          <cell r="C377" t="str">
            <v>陕西</v>
          </cell>
        </row>
        <row r="377">
          <cell r="I377" t="str">
            <v>WW0WW4322404X</v>
          </cell>
        </row>
        <row r="378">
          <cell r="C378" t="str">
            <v>陕西</v>
          </cell>
        </row>
        <row r="378">
          <cell r="I378" t="str">
            <v>WW0WW5358804W</v>
          </cell>
        </row>
        <row r="379">
          <cell r="C379" t="str">
            <v>陕西</v>
          </cell>
        </row>
        <row r="379">
          <cell r="I379" t="str">
            <v>WW0WW53588C1G</v>
          </cell>
        </row>
        <row r="380">
          <cell r="C380" t="str">
            <v>陕西</v>
          </cell>
        </row>
        <row r="380">
          <cell r="I380" t="str">
            <v>WW0WW53591C1G</v>
          </cell>
        </row>
        <row r="380">
          <cell r="T380">
            <v>30</v>
          </cell>
        </row>
        <row r="381">
          <cell r="C381" t="str">
            <v>陕西</v>
          </cell>
        </row>
        <row r="381">
          <cell r="I381" t="str">
            <v>WW0WW53591YBL</v>
          </cell>
        </row>
        <row r="381">
          <cell r="T381">
            <v>40</v>
          </cell>
        </row>
        <row r="382">
          <cell r="C382" t="str">
            <v>陕西</v>
          </cell>
        </row>
        <row r="382">
          <cell r="I382" t="str">
            <v>WW0WW5359304P</v>
          </cell>
        </row>
        <row r="383">
          <cell r="C383" t="str">
            <v>陕西</v>
          </cell>
        </row>
        <row r="383">
          <cell r="I383" t="str">
            <v>WW0WW53593YBL</v>
          </cell>
        </row>
        <row r="384">
          <cell r="C384" t="str">
            <v>陕西</v>
          </cell>
        </row>
        <row r="384">
          <cell r="I384" t="str">
            <v>WW0WW53773YBL</v>
          </cell>
        </row>
        <row r="385">
          <cell r="C385" t="str">
            <v>陕西</v>
          </cell>
        </row>
        <row r="385">
          <cell r="I385" t="str">
            <v>WW0WW53773C1G</v>
          </cell>
        </row>
        <row r="386">
          <cell r="C386" t="str">
            <v>陕西</v>
          </cell>
        </row>
        <row r="386">
          <cell r="I386" t="str">
            <v>WW0WW5479105A</v>
          </cell>
        </row>
        <row r="387">
          <cell r="C387" t="str">
            <v>陕西</v>
          </cell>
        </row>
        <row r="387">
          <cell r="I387" t="str">
            <v>WW0WW547910BF</v>
          </cell>
        </row>
        <row r="388">
          <cell r="C388" t="str">
            <v>陕西</v>
          </cell>
        </row>
        <row r="388">
          <cell r="I388" t="str">
            <v>WW0WW4924703L</v>
          </cell>
        </row>
        <row r="389">
          <cell r="C389" t="str">
            <v>陕西</v>
          </cell>
        </row>
        <row r="389">
          <cell r="I389" t="str">
            <v>WW0WW54822C1G</v>
          </cell>
        </row>
        <row r="389">
          <cell r="T389">
            <v>150</v>
          </cell>
        </row>
        <row r="390">
          <cell r="C390" t="str">
            <v>陕西</v>
          </cell>
        </row>
        <row r="390">
          <cell r="I390" t="str">
            <v>WW0WW54822C1O</v>
          </cell>
        </row>
        <row r="390">
          <cell r="T390">
            <v>150</v>
          </cell>
        </row>
        <row r="391">
          <cell r="C391" t="str">
            <v>陕西</v>
          </cell>
        </row>
        <row r="391">
          <cell r="I391" t="str">
            <v>WW0WW54822LV6</v>
          </cell>
        </row>
        <row r="391">
          <cell r="T391">
            <v>60</v>
          </cell>
        </row>
        <row r="392">
          <cell r="C392" t="str">
            <v>陕西</v>
          </cell>
        </row>
        <row r="392">
          <cell r="I392" t="str">
            <v>WW0WW54822Z00</v>
          </cell>
        </row>
        <row r="392">
          <cell r="T392">
            <v>250</v>
          </cell>
        </row>
        <row r="393">
          <cell r="C393" t="str">
            <v>陕西</v>
          </cell>
        </row>
        <row r="393">
          <cell r="I393" t="str">
            <v>WW0WW54822TOG</v>
          </cell>
        </row>
        <row r="393">
          <cell r="T393">
            <v>150</v>
          </cell>
        </row>
        <row r="394">
          <cell r="C394" t="str">
            <v>陕西</v>
          </cell>
        </row>
        <row r="394">
          <cell r="I394" t="str">
            <v>WW0WW54822ZHD</v>
          </cell>
        </row>
        <row r="394">
          <cell r="T394">
            <v>200</v>
          </cell>
        </row>
        <row r="395">
          <cell r="C395" t="str">
            <v>陕西</v>
          </cell>
        </row>
        <row r="395">
          <cell r="I395" t="str">
            <v>WW0WW54826ZHD</v>
          </cell>
        </row>
        <row r="395">
          <cell r="T395">
            <v>40</v>
          </cell>
        </row>
        <row r="396">
          <cell r="C396" t="str">
            <v>陕西</v>
          </cell>
        </row>
        <row r="396">
          <cell r="I396" t="str">
            <v>WW0WW54826TOG</v>
          </cell>
        </row>
        <row r="396">
          <cell r="T396">
            <v>40</v>
          </cell>
        </row>
        <row r="397">
          <cell r="C397" t="str">
            <v>陕西</v>
          </cell>
        </row>
        <row r="397">
          <cell r="I397" t="str">
            <v>WW0WW54826Z00</v>
          </cell>
        </row>
        <row r="397">
          <cell r="T397">
            <v>100</v>
          </cell>
        </row>
        <row r="398">
          <cell r="C398" t="str">
            <v>陕西</v>
          </cell>
        </row>
        <row r="398">
          <cell r="I398" t="str">
            <v>WW0WW54826C1O</v>
          </cell>
        </row>
        <row r="398">
          <cell r="T398">
            <v>40</v>
          </cell>
        </row>
        <row r="399">
          <cell r="C399" t="str">
            <v>陕西</v>
          </cell>
        </row>
        <row r="399">
          <cell r="I399" t="str">
            <v>WW0WW45707Z00</v>
          </cell>
        </row>
        <row r="399">
          <cell r="T399">
            <v>150</v>
          </cell>
        </row>
        <row r="400">
          <cell r="C400" t="str">
            <v>陕西</v>
          </cell>
        </row>
        <row r="400">
          <cell r="I400" t="str">
            <v>WW0WW45707C1O</v>
          </cell>
        </row>
        <row r="400">
          <cell r="T400">
            <v>150</v>
          </cell>
        </row>
        <row r="401">
          <cell r="C401" t="str">
            <v>陕西</v>
          </cell>
        </row>
        <row r="401">
          <cell r="I401" t="str">
            <v>WW0WW45707C1G</v>
          </cell>
        </row>
        <row r="401">
          <cell r="T401">
            <v>120</v>
          </cell>
        </row>
        <row r="402">
          <cell r="C402" t="str">
            <v>陕西</v>
          </cell>
        </row>
        <row r="402">
          <cell r="I402" t="str">
            <v>WW0WW54466Z00</v>
          </cell>
        </row>
        <row r="403">
          <cell r="C403" t="str">
            <v>陕西</v>
          </cell>
        </row>
        <row r="403">
          <cell r="I403" t="str">
            <v>WW0WW536140X5</v>
          </cell>
        </row>
        <row r="403">
          <cell r="T403">
            <v>30</v>
          </cell>
        </row>
        <row r="404">
          <cell r="C404" t="str">
            <v>陕西</v>
          </cell>
        </row>
        <row r="404">
          <cell r="I404" t="str">
            <v>WW0WW5361404T</v>
          </cell>
        </row>
        <row r="404">
          <cell r="T404">
            <v>100</v>
          </cell>
        </row>
        <row r="405">
          <cell r="C405" t="str">
            <v>陕西</v>
          </cell>
        </row>
        <row r="405">
          <cell r="I405" t="str">
            <v>WW0WW54490C1G</v>
          </cell>
        </row>
        <row r="405">
          <cell r="T405">
            <v>80</v>
          </cell>
        </row>
        <row r="406">
          <cell r="C406" t="str">
            <v>陕西</v>
          </cell>
        </row>
        <row r="406">
          <cell r="I406" t="str">
            <v>WW0WW54490Z00</v>
          </cell>
        </row>
        <row r="406">
          <cell r="T406">
            <v>80</v>
          </cell>
        </row>
        <row r="407">
          <cell r="C407" t="str">
            <v>陕西</v>
          </cell>
        </row>
        <row r="407">
          <cell r="I407" t="str">
            <v>WW0WW53153C1G</v>
          </cell>
        </row>
        <row r="407">
          <cell r="T407">
            <v>120</v>
          </cell>
        </row>
        <row r="408">
          <cell r="C408" t="str">
            <v>陕西</v>
          </cell>
        </row>
        <row r="408">
          <cell r="I408" t="str">
            <v>WW0WW53153Z00</v>
          </cell>
        </row>
        <row r="408">
          <cell r="T408">
            <v>250</v>
          </cell>
        </row>
        <row r="409">
          <cell r="C409" t="str">
            <v>陕西</v>
          </cell>
        </row>
        <row r="409">
          <cell r="I409" t="str">
            <v>WW0WW53153TOL</v>
          </cell>
        </row>
        <row r="409">
          <cell r="T409">
            <v>80</v>
          </cell>
        </row>
        <row r="410">
          <cell r="C410" t="str">
            <v>陕西</v>
          </cell>
        </row>
        <row r="410">
          <cell r="I410" t="str">
            <v>WW0WW53979TOL</v>
          </cell>
        </row>
        <row r="410">
          <cell r="T410">
            <v>40</v>
          </cell>
        </row>
        <row r="411">
          <cell r="C411" t="str">
            <v>陕西</v>
          </cell>
        </row>
        <row r="411">
          <cell r="I411" t="str">
            <v>WW0WW53979Z00</v>
          </cell>
        </row>
        <row r="411">
          <cell r="T411">
            <v>150</v>
          </cell>
        </row>
        <row r="412">
          <cell r="C412" t="str">
            <v>陕西</v>
          </cell>
        </row>
        <row r="412">
          <cell r="I412" t="str">
            <v>WW0WW5404304N</v>
          </cell>
        </row>
        <row r="412">
          <cell r="T412">
            <v>50</v>
          </cell>
        </row>
        <row r="413">
          <cell r="C413" t="str">
            <v>陕西</v>
          </cell>
        </row>
        <row r="413">
          <cell r="I413" t="str">
            <v>WW0WW540430AI</v>
          </cell>
        </row>
        <row r="413">
          <cell r="T413">
            <v>40</v>
          </cell>
        </row>
        <row r="414">
          <cell r="C414" t="str">
            <v>陕西</v>
          </cell>
        </row>
        <row r="414">
          <cell r="I414" t="str">
            <v>WW0WW53151Z00</v>
          </cell>
        </row>
        <row r="414">
          <cell r="T414">
            <v>40</v>
          </cell>
        </row>
        <row r="415">
          <cell r="C415" t="str">
            <v>陕西</v>
          </cell>
        </row>
        <row r="415">
          <cell r="I415" t="str">
            <v>WW0WW53151TOG</v>
          </cell>
        </row>
        <row r="415">
          <cell r="T415">
            <v>40</v>
          </cell>
        </row>
        <row r="416">
          <cell r="C416" t="str">
            <v>陕西</v>
          </cell>
        </row>
        <row r="416">
          <cell r="I416" t="str">
            <v>WW0WW531580BX</v>
          </cell>
        </row>
        <row r="416">
          <cell r="T416">
            <v>50</v>
          </cell>
        </row>
        <row r="417">
          <cell r="C417" t="str">
            <v>陕西</v>
          </cell>
        </row>
        <row r="417">
          <cell r="I417" t="str">
            <v>WW0WW531580BD</v>
          </cell>
        </row>
        <row r="417">
          <cell r="T417">
            <v>80</v>
          </cell>
        </row>
        <row r="418">
          <cell r="C418" t="str">
            <v>陕西</v>
          </cell>
        </row>
        <row r="418">
          <cell r="I418" t="str">
            <v>WW0WW5482507I</v>
          </cell>
        </row>
        <row r="419">
          <cell r="C419" t="str">
            <v>陕西</v>
          </cell>
        </row>
        <row r="419">
          <cell r="I419" t="str">
            <v>WW0WW548250AL</v>
          </cell>
        </row>
        <row r="419">
          <cell r="T419">
            <v>150</v>
          </cell>
        </row>
        <row r="420">
          <cell r="C420" t="str">
            <v>陕西</v>
          </cell>
        </row>
        <row r="420">
          <cell r="I420" t="str">
            <v>WW0WW53827Z00</v>
          </cell>
        </row>
        <row r="420">
          <cell r="T420">
            <v>40</v>
          </cell>
        </row>
        <row r="421">
          <cell r="C421" t="str">
            <v>陕西</v>
          </cell>
        </row>
        <row r="421">
          <cell r="I421" t="str">
            <v>WW0WW53827C1G</v>
          </cell>
        </row>
        <row r="421">
          <cell r="T421">
            <v>40</v>
          </cell>
        </row>
        <row r="422">
          <cell r="C422" t="str">
            <v>陕西</v>
          </cell>
        </row>
        <row r="422">
          <cell r="I422" t="str">
            <v>WW0WW531470BF</v>
          </cell>
        </row>
        <row r="423">
          <cell r="C423" t="str">
            <v>陕西</v>
          </cell>
        </row>
        <row r="423">
          <cell r="I423" t="str">
            <v>WW0WW53882C1G</v>
          </cell>
        </row>
        <row r="423">
          <cell r="T423">
            <v>20</v>
          </cell>
        </row>
        <row r="424">
          <cell r="C424" t="str">
            <v>陕西</v>
          </cell>
        </row>
        <row r="424">
          <cell r="I424" t="str">
            <v>WW0WW53882Z00</v>
          </cell>
        </row>
        <row r="424">
          <cell r="T424">
            <v>20</v>
          </cell>
        </row>
        <row r="425">
          <cell r="C425" t="str">
            <v>陕西</v>
          </cell>
        </row>
        <row r="425">
          <cell r="I425" t="str">
            <v>WW0WW5484603C</v>
          </cell>
        </row>
        <row r="425">
          <cell r="T425">
            <v>40</v>
          </cell>
        </row>
        <row r="426">
          <cell r="C426" t="str">
            <v>陕西</v>
          </cell>
        </row>
        <row r="426">
          <cell r="I426" t="str">
            <v>WW0WW548460AK</v>
          </cell>
        </row>
        <row r="426">
          <cell r="T426">
            <v>80</v>
          </cell>
        </row>
        <row r="427">
          <cell r="C427" t="str">
            <v>陕西</v>
          </cell>
        </row>
        <row r="427">
          <cell r="I427" t="str">
            <v>WW0WW53142Z00</v>
          </cell>
        </row>
        <row r="427">
          <cell r="T427">
            <v>150</v>
          </cell>
        </row>
        <row r="428">
          <cell r="C428" t="str">
            <v>陕西</v>
          </cell>
        </row>
        <row r="428">
          <cell r="I428" t="str">
            <v>WW0WW53142LV6</v>
          </cell>
        </row>
        <row r="428">
          <cell r="T428">
            <v>40</v>
          </cell>
        </row>
        <row r="429">
          <cell r="C429" t="str">
            <v>陕西</v>
          </cell>
        </row>
        <row r="429">
          <cell r="I429" t="str">
            <v>WW0WW49783Z00</v>
          </cell>
        </row>
        <row r="430">
          <cell r="C430" t="str">
            <v>陕西</v>
          </cell>
        </row>
        <row r="430">
          <cell r="I430" t="str">
            <v>WW0WW49783C1G</v>
          </cell>
        </row>
        <row r="431">
          <cell r="C431" t="str">
            <v>陕西</v>
          </cell>
        </row>
        <row r="431">
          <cell r="I431" t="str">
            <v>WW0WW49783AEG</v>
          </cell>
        </row>
        <row r="432">
          <cell r="C432" t="str">
            <v>陕西</v>
          </cell>
        </row>
        <row r="432">
          <cell r="I432" t="str">
            <v>WW0WW52486YBH</v>
          </cell>
        </row>
        <row r="432">
          <cell r="T432">
            <v>40</v>
          </cell>
        </row>
        <row r="433">
          <cell r="C433" t="str">
            <v>陕西</v>
          </cell>
        </row>
        <row r="433">
          <cell r="I433" t="str">
            <v>WW0WW54456AEG</v>
          </cell>
        </row>
        <row r="433">
          <cell r="T433">
            <v>60</v>
          </cell>
        </row>
        <row r="434">
          <cell r="C434" t="str">
            <v>陕西</v>
          </cell>
        </row>
        <row r="434">
          <cell r="I434" t="str">
            <v>WW0WW54456C1G</v>
          </cell>
        </row>
        <row r="434">
          <cell r="T434">
            <v>80</v>
          </cell>
        </row>
        <row r="435">
          <cell r="C435" t="str">
            <v>陕西</v>
          </cell>
        </row>
        <row r="435">
          <cell r="I435" t="str">
            <v>WW0WW54935YBH</v>
          </cell>
        </row>
        <row r="435">
          <cell r="T435">
            <v>100</v>
          </cell>
        </row>
        <row r="436">
          <cell r="C436" t="str">
            <v>陕西</v>
          </cell>
        </row>
        <row r="436">
          <cell r="I436" t="str">
            <v>WW0WW54935AEG</v>
          </cell>
        </row>
        <row r="436">
          <cell r="T436">
            <v>150</v>
          </cell>
        </row>
        <row r="437">
          <cell r="C437" t="str">
            <v>陕西</v>
          </cell>
        </row>
        <row r="437">
          <cell r="I437" t="str">
            <v>WW0WW54528AEG</v>
          </cell>
        </row>
        <row r="437">
          <cell r="T437">
            <v>30</v>
          </cell>
        </row>
        <row r="438">
          <cell r="C438" t="str">
            <v>陕西</v>
          </cell>
        </row>
        <row r="438">
          <cell r="I438" t="str">
            <v>WW0WW54528C1G</v>
          </cell>
        </row>
        <row r="439">
          <cell r="C439" t="str">
            <v>陕西</v>
          </cell>
        </row>
        <row r="439">
          <cell r="I439" t="str">
            <v>WW0WW49599AEG</v>
          </cell>
        </row>
        <row r="439">
          <cell r="T439">
            <v>100</v>
          </cell>
        </row>
        <row r="440">
          <cell r="C440" t="str">
            <v>陕西</v>
          </cell>
        </row>
        <row r="440">
          <cell r="I440" t="str">
            <v>WW0WW53585C7E</v>
          </cell>
        </row>
        <row r="440">
          <cell r="T440">
            <v>80</v>
          </cell>
        </row>
        <row r="441">
          <cell r="C441" t="str">
            <v>陕西</v>
          </cell>
        </row>
        <row r="441">
          <cell r="I441" t="str">
            <v>WW0WW53585ABL</v>
          </cell>
        </row>
        <row r="441">
          <cell r="T441">
            <v>200</v>
          </cell>
        </row>
        <row r="442">
          <cell r="C442" t="str">
            <v>陕西</v>
          </cell>
        </row>
        <row r="442">
          <cell r="I442" t="str">
            <v>WW0WW53585GSY</v>
          </cell>
        </row>
        <row r="442">
          <cell r="T442">
            <v>100</v>
          </cell>
        </row>
        <row r="443">
          <cell r="C443" t="str">
            <v>陕西</v>
          </cell>
        </row>
        <row r="443">
          <cell r="I443" t="str">
            <v>WW0WW545431C2</v>
          </cell>
        </row>
        <row r="443">
          <cell r="T443">
            <v>60</v>
          </cell>
        </row>
        <row r="444">
          <cell r="C444" t="str">
            <v>陕西</v>
          </cell>
        </row>
        <row r="444">
          <cell r="I444" t="str">
            <v>WW0WW5454310D</v>
          </cell>
        </row>
        <row r="444">
          <cell r="T444">
            <v>80</v>
          </cell>
        </row>
        <row r="445">
          <cell r="C445" t="str">
            <v>陕西</v>
          </cell>
        </row>
        <row r="445">
          <cell r="I445" t="str">
            <v>WW0WW540161C3</v>
          </cell>
        </row>
        <row r="446">
          <cell r="C446" t="str">
            <v>陕西</v>
          </cell>
        </row>
        <row r="446">
          <cell r="I446" t="str">
            <v>WW0WW540161CT</v>
          </cell>
        </row>
        <row r="447">
          <cell r="C447" t="str">
            <v>陕西</v>
          </cell>
        </row>
        <row r="447">
          <cell r="I447" t="str">
            <v>WW0WW5384210D</v>
          </cell>
        </row>
        <row r="447">
          <cell r="T447">
            <v>60</v>
          </cell>
        </row>
        <row r="448">
          <cell r="C448" t="str">
            <v>陕西</v>
          </cell>
        </row>
        <row r="448">
          <cell r="I448" t="str">
            <v>WW0WW53834YBH</v>
          </cell>
        </row>
        <row r="448">
          <cell r="T448">
            <v>60</v>
          </cell>
        </row>
        <row r="449">
          <cell r="C449" t="str">
            <v>陕西</v>
          </cell>
        </row>
        <row r="449">
          <cell r="I449" t="str">
            <v>WW0WW53901C1G</v>
          </cell>
        </row>
        <row r="450">
          <cell r="C450" t="str">
            <v>陕西</v>
          </cell>
        </row>
        <row r="450">
          <cell r="I450" t="str">
            <v>WW0WW5390104W</v>
          </cell>
        </row>
        <row r="451">
          <cell r="C451" t="str">
            <v>陕西</v>
          </cell>
        </row>
        <row r="451">
          <cell r="I451" t="str">
            <v>WW0WW54450C1G</v>
          </cell>
        </row>
        <row r="451">
          <cell r="T451">
            <v>40</v>
          </cell>
        </row>
        <row r="452">
          <cell r="C452" t="str">
            <v>陕西</v>
          </cell>
        </row>
        <row r="452">
          <cell r="I452" t="str">
            <v>WW0WW544500FE</v>
          </cell>
        </row>
        <row r="452">
          <cell r="T452">
            <v>40</v>
          </cell>
        </row>
        <row r="453">
          <cell r="C453" t="str">
            <v>陕西</v>
          </cell>
        </row>
        <row r="453">
          <cell r="I453" t="str">
            <v>WW0WW53627YBL</v>
          </cell>
        </row>
        <row r="453">
          <cell r="T453">
            <v>12</v>
          </cell>
        </row>
        <row r="454">
          <cell r="C454" t="str">
            <v>陕西</v>
          </cell>
        </row>
        <row r="454">
          <cell r="I454" t="str">
            <v>WW0WW53642C1G</v>
          </cell>
        </row>
        <row r="455">
          <cell r="C455" t="str">
            <v>陕西</v>
          </cell>
        </row>
        <row r="455">
          <cell r="I455" t="str">
            <v>WW0WW53880C1G</v>
          </cell>
        </row>
        <row r="455">
          <cell r="T455">
            <v>40</v>
          </cell>
        </row>
        <row r="456">
          <cell r="C456" t="str">
            <v>陕西</v>
          </cell>
        </row>
        <row r="456">
          <cell r="I456" t="str">
            <v>WW0WW53880XL8</v>
          </cell>
        </row>
        <row r="456">
          <cell r="T456">
            <v>8</v>
          </cell>
        </row>
        <row r="457">
          <cell r="C457" t="str">
            <v>陕西</v>
          </cell>
        </row>
        <row r="457">
          <cell r="I457" t="str">
            <v>WW0WW54434C7E</v>
          </cell>
        </row>
        <row r="458">
          <cell r="C458" t="str">
            <v>陕西</v>
          </cell>
        </row>
        <row r="458">
          <cell r="I458" t="str">
            <v>WW0WW54434ACJ</v>
          </cell>
        </row>
        <row r="459">
          <cell r="C459" t="str">
            <v>陕西</v>
          </cell>
        </row>
        <row r="459">
          <cell r="I459" t="str">
            <v>WW0WW53863C1G</v>
          </cell>
        </row>
        <row r="459">
          <cell r="T459">
            <v>30</v>
          </cell>
        </row>
        <row r="460">
          <cell r="C460" t="str">
            <v>陕西</v>
          </cell>
        </row>
        <row r="460">
          <cell r="I460" t="str">
            <v>WW0WW53863GSY</v>
          </cell>
        </row>
        <row r="460">
          <cell r="T460">
            <v>20</v>
          </cell>
        </row>
        <row r="461">
          <cell r="C461" t="str">
            <v>陕西</v>
          </cell>
        </row>
        <row r="461">
          <cell r="I461" t="str">
            <v>WW0WW548270FS</v>
          </cell>
        </row>
        <row r="461">
          <cell r="T461">
            <v>12</v>
          </cell>
        </row>
        <row r="462">
          <cell r="C462" t="str">
            <v>陕西</v>
          </cell>
        </row>
        <row r="462">
          <cell r="I462" t="str">
            <v>WW0WW548270CO</v>
          </cell>
        </row>
        <row r="462">
          <cell r="T462">
            <v>12</v>
          </cell>
        </row>
        <row r="463">
          <cell r="C463" t="str">
            <v>陕西</v>
          </cell>
        </row>
        <row r="463">
          <cell r="I463" t="str">
            <v>WW0WW5399004U</v>
          </cell>
        </row>
        <row r="464">
          <cell r="C464" t="str">
            <v>陕西</v>
          </cell>
        </row>
        <row r="464">
          <cell r="I464" t="str">
            <v>WW0WW54397C7E</v>
          </cell>
        </row>
        <row r="465">
          <cell r="C465" t="str">
            <v>陕西</v>
          </cell>
        </row>
        <row r="465">
          <cell r="I465" t="str">
            <v>WW0WW54397ACJ</v>
          </cell>
        </row>
        <row r="466">
          <cell r="C466" t="str">
            <v>陕西</v>
          </cell>
        </row>
        <row r="466">
          <cell r="I466" t="str">
            <v>WW0WW54186YBH</v>
          </cell>
        </row>
        <row r="466">
          <cell r="T466">
            <v>12</v>
          </cell>
        </row>
        <row r="467">
          <cell r="C467" t="str">
            <v>陕西</v>
          </cell>
        </row>
        <row r="467">
          <cell r="I467" t="str">
            <v>WW0WW53868C7E</v>
          </cell>
        </row>
        <row r="467">
          <cell r="T467">
            <v>12</v>
          </cell>
        </row>
        <row r="468">
          <cell r="C468" t="str">
            <v>陕西</v>
          </cell>
        </row>
        <row r="468">
          <cell r="I468" t="str">
            <v>WW0WW53868ABL</v>
          </cell>
        </row>
        <row r="468">
          <cell r="T468">
            <v>30</v>
          </cell>
        </row>
        <row r="469">
          <cell r="C469" t="str">
            <v>陕西</v>
          </cell>
        </row>
        <row r="469">
          <cell r="I469" t="str">
            <v>WW0WW54396GSY</v>
          </cell>
        </row>
        <row r="469">
          <cell r="T469">
            <v>60</v>
          </cell>
        </row>
        <row r="470">
          <cell r="C470" t="str">
            <v>陕西</v>
          </cell>
        </row>
        <row r="470">
          <cell r="I470" t="str">
            <v>WW0WW5439607D</v>
          </cell>
        </row>
        <row r="470">
          <cell r="T470">
            <v>40</v>
          </cell>
        </row>
        <row r="471">
          <cell r="C471" t="str">
            <v>陕西</v>
          </cell>
        </row>
        <row r="471">
          <cell r="I471" t="str">
            <v>WW0WW535491AJ</v>
          </cell>
        </row>
        <row r="471">
          <cell r="T471">
            <v>12</v>
          </cell>
        </row>
        <row r="472">
          <cell r="C472" t="str">
            <v>陕西</v>
          </cell>
        </row>
        <row r="472">
          <cell r="I472" t="str">
            <v>WW0WW44770AEG</v>
          </cell>
        </row>
        <row r="473">
          <cell r="C473" t="str">
            <v>陕西</v>
          </cell>
        </row>
        <row r="473">
          <cell r="I473" t="str">
            <v>WW0WW44770C1G</v>
          </cell>
        </row>
        <row r="474">
          <cell r="C474" t="str">
            <v>陕西</v>
          </cell>
        </row>
        <row r="474">
          <cell r="I474" t="str">
            <v>WW0WW53583C1P</v>
          </cell>
        </row>
        <row r="474">
          <cell r="T474">
            <v>40</v>
          </cell>
        </row>
        <row r="475">
          <cell r="C475" t="str">
            <v>陕西</v>
          </cell>
        </row>
        <row r="475">
          <cell r="I475" t="str">
            <v>WW0WW54847ABN</v>
          </cell>
        </row>
        <row r="475">
          <cell r="T475">
            <v>60</v>
          </cell>
        </row>
        <row r="476">
          <cell r="C476" t="str">
            <v>陕西</v>
          </cell>
        </row>
        <row r="476">
          <cell r="I476" t="str">
            <v>WW0WW54847GSY</v>
          </cell>
        </row>
        <row r="476">
          <cell r="T476">
            <v>60</v>
          </cell>
        </row>
        <row r="477">
          <cell r="C477" t="str">
            <v>陕西</v>
          </cell>
        </row>
        <row r="477">
          <cell r="I477" t="str">
            <v>WW0WW54045YBH</v>
          </cell>
        </row>
        <row r="477">
          <cell r="T477">
            <v>60</v>
          </cell>
        </row>
        <row r="478">
          <cell r="C478" t="str">
            <v>陕西</v>
          </cell>
        </row>
        <row r="478">
          <cell r="I478" t="str">
            <v>WW0WW44739AEG</v>
          </cell>
        </row>
        <row r="479">
          <cell r="C479" t="str">
            <v>陕西</v>
          </cell>
        </row>
        <row r="479">
          <cell r="I479" t="str">
            <v>WW0WW44739C1G</v>
          </cell>
        </row>
        <row r="480">
          <cell r="C480" t="str">
            <v>陕西</v>
          </cell>
        </row>
        <row r="480">
          <cell r="I480" t="str">
            <v>WW0WW54459AEG</v>
          </cell>
        </row>
        <row r="481">
          <cell r="C481" t="str">
            <v>陕西</v>
          </cell>
        </row>
        <row r="481">
          <cell r="I481" t="str">
            <v>WW0WW54459C1G</v>
          </cell>
        </row>
        <row r="482">
          <cell r="C482" t="str">
            <v>陕西</v>
          </cell>
        </row>
        <row r="482">
          <cell r="I482" t="str">
            <v>WW0WW54400ACJ</v>
          </cell>
        </row>
        <row r="482">
          <cell r="T482">
            <v>30</v>
          </cell>
        </row>
        <row r="483">
          <cell r="C483" t="str">
            <v>陕西</v>
          </cell>
        </row>
        <row r="483">
          <cell r="I483" t="str">
            <v>WW0WW489360FM</v>
          </cell>
        </row>
        <row r="483">
          <cell r="T483">
            <v>40</v>
          </cell>
        </row>
        <row r="484">
          <cell r="C484" t="str">
            <v>陕西</v>
          </cell>
        </row>
        <row r="484">
          <cell r="I484" t="str">
            <v>WW0WW54056ABL</v>
          </cell>
        </row>
        <row r="484">
          <cell r="T484">
            <v>30</v>
          </cell>
        </row>
        <row r="485">
          <cell r="C485" t="str">
            <v>陕西</v>
          </cell>
        </row>
        <row r="485">
          <cell r="I485" t="str">
            <v>WW0WW54056GSY</v>
          </cell>
        </row>
        <row r="485">
          <cell r="T485">
            <v>18</v>
          </cell>
        </row>
        <row r="486">
          <cell r="C486" t="str">
            <v>陕西</v>
          </cell>
        </row>
        <row r="486">
          <cell r="I486" t="str">
            <v>WW0WW53279C1G</v>
          </cell>
        </row>
        <row r="486">
          <cell r="T486">
            <v>40</v>
          </cell>
        </row>
        <row r="487">
          <cell r="C487" t="str">
            <v>陕西</v>
          </cell>
        </row>
        <row r="487">
          <cell r="I487" t="str">
            <v>WW0WW532790F8</v>
          </cell>
        </row>
        <row r="487">
          <cell r="T487">
            <v>40</v>
          </cell>
        </row>
        <row r="488">
          <cell r="C488" t="str">
            <v>陕西</v>
          </cell>
        </row>
        <row r="488">
          <cell r="I488" t="str">
            <v>WW0WW532351C2</v>
          </cell>
        </row>
        <row r="488">
          <cell r="T488">
            <v>12</v>
          </cell>
        </row>
        <row r="489">
          <cell r="C489" t="str">
            <v>陕西</v>
          </cell>
        </row>
        <row r="489">
          <cell r="I489" t="str">
            <v>WW0WW532381BE</v>
          </cell>
        </row>
        <row r="489">
          <cell r="T489">
            <v>40</v>
          </cell>
        </row>
        <row r="490">
          <cell r="C490" t="str">
            <v>新疆</v>
          </cell>
        </row>
        <row r="490">
          <cell r="I490" t="str">
            <v>MW0MW47253RBN</v>
          </cell>
        </row>
        <row r="490">
          <cell r="T490">
            <v>0</v>
          </cell>
        </row>
        <row r="491">
          <cell r="C491" t="str">
            <v>新疆</v>
          </cell>
        </row>
        <row r="491">
          <cell r="I491" t="str">
            <v>MW0MW47253DW5</v>
          </cell>
        </row>
        <row r="491">
          <cell r="T491">
            <v>60</v>
          </cell>
        </row>
        <row r="492">
          <cell r="C492" t="str">
            <v>新疆</v>
          </cell>
        </row>
        <row r="492">
          <cell r="I492" t="str">
            <v>MW0MW47253YA8</v>
          </cell>
        </row>
        <row r="492">
          <cell r="T492">
            <v>0</v>
          </cell>
        </row>
        <row r="493">
          <cell r="C493" t="str">
            <v>新疆</v>
          </cell>
        </row>
        <row r="493">
          <cell r="I493" t="str">
            <v>MW0MW47344RBT</v>
          </cell>
        </row>
        <row r="493">
          <cell r="T493">
            <v>20</v>
          </cell>
        </row>
        <row r="494">
          <cell r="C494" t="str">
            <v>新疆</v>
          </cell>
        </row>
        <row r="494">
          <cell r="I494" t="str">
            <v>MW0MW47344DW5</v>
          </cell>
        </row>
        <row r="494">
          <cell r="T494">
            <v>60</v>
          </cell>
        </row>
        <row r="495">
          <cell r="C495" t="str">
            <v>新疆</v>
          </cell>
        </row>
        <row r="495">
          <cell r="I495" t="str">
            <v>MW0MW47344MAT</v>
          </cell>
        </row>
        <row r="495">
          <cell r="T495">
            <v>0</v>
          </cell>
        </row>
        <row r="496">
          <cell r="C496" t="str">
            <v>新疆</v>
          </cell>
        </row>
        <row r="496">
          <cell r="I496" t="str">
            <v>MW0MW46831DW5</v>
          </cell>
        </row>
        <row r="496">
          <cell r="T496">
            <v>100</v>
          </cell>
        </row>
        <row r="497">
          <cell r="C497" t="str">
            <v>新疆</v>
          </cell>
        </row>
        <row r="497">
          <cell r="I497" t="str">
            <v>MW0MW46831AEH</v>
          </cell>
        </row>
        <row r="497">
          <cell r="T497">
            <v>60</v>
          </cell>
        </row>
        <row r="498">
          <cell r="C498" t="str">
            <v>新疆</v>
          </cell>
        </row>
        <row r="498">
          <cell r="I498" t="str">
            <v>MW0MW46668RBT</v>
          </cell>
        </row>
        <row r="498">
          <cell r="T498">
            <v>40</v>
          </cell>
        </row>
        <row r="499">
          <cell r="C499" t="str">
            <v>新疆</v>
          </cell>
        </row>
        <row r="499">
          <cell r="I499" t="str">
            <v>MW0MW46668DW5</v>
          </cell>
        </row>
        <row r="499">
          <cell r="T499">
            <v>80</v>
          </cell>
        </row>
        <row r="500">
          <cell r="C500" t="str">
            <v>新疆</v>
          </cell>
        </row>
        <row r="500">
          <cell r="I500" t="str">
            <v>MW0MW46858DW5</v>
          </cell>
        </row>
        <row r="500">
          <cell r="T500">
            <v>20</v>
          </cell>
        </row>
        <row r="501">
          <cell r="C501" t="str">
            <v>新疆</v>
          </cell>
        </row>
        <row r="501">
          <cell r="I501" t="str">
            <v>MW0MW46858PR2</v>
          </cell>
        </row>
        <row r="501">
          <cell r="T501">
            <v>20</v>
          </cell>
        </row>
        <row r="502">
          <cell r="C502" t="str">
            <v>新疆</v>
          </cell>
        </row>
        <row r="502">
          <cell r="I502" t="str">
            <v>MW0MW46471DW5</v>
          </cell>
        </row>
        <row r="502">
          <cell r="T502">
            <v>120</v>
          </cell>
        </row>
        <row r="503">
          <cell r="C503" t="str">
            <v>新疆</v>
          </cell>
        </row>
        <row r="503">
          <cell r="I503" t="str">
            <v>MW0MW46471AEH</v>
          </cell>
        </row>
        <row r="503">
          <cell r="T503">
            <v>60</v>
          </cell>
        </row>
        <row r="504">
          <cell r="C504" t="str">
            <v>新疆</v>
          </cell>
        </row>
        <row r="504">
          <cell r="I504" t="str">
            <v>MW0MW47753DW5</v>
          </cell>
        </row>
        <row r="504">
          <cell r="T504">
            <v>40</v>
          </cell>
        </row>
        <row r="505">
          <cell r="C505" t="str">
            <v>新疆</v>
          </cell>
        </row>
        <row r="505">
          <cell r="I505" t="str">
            <v>MW0MW47753AEH</v>
          </cell>
        </row>
        <row r="505">
          <cell r="T505">
            <v>20</v>
          </cell>
        </row>
        <row r="506">
          <cell r="C506" t="str">
            <v>新疆</v>
          </cell>
        </row>
        <row r="506">
          <cell r="I506" t="str">
            <v>MW0MW46362DW5</v>
          </cell>
        </row>
        <row r="506">
          <cell r="T506">
            <v>0</v>
          </cell>
        </row>
        <row r="507">
          <cell r="C507" t="str">
            <v>新疆</v>
          </cell>
        </row>
        <row r="507">
          <cell r="I507" t="str">
            <v>MW0MW46362GOP</v>
          </cell>
        </row>
        <row r="507">
          <cell r="T507">
            <v>20</v>
          </cell>
        </row>
        <row r="508">
          <cell r="C508" t="str">
            <v>新疆</v>
          </cell>
        </row>
        <row r="508">
          <cell r="I508" t="str">
            <v>MW0MW46897AEH</v>
          </cell>
        </row>
        <row r="508">
          <cell r="T508">
            <v>0</v>
          </cell>
        </row>
        <row r="509">
          <cell r="C509" t="str">
            <v>新疆</v>
          </cell>
        </row>
        <row r="509">
          <cell r="I509" t="str">
            <v>MW0MW47743RBN</v>
          </cell>
        </row>
        <row r="509">
          <cell r="T509">
            <v>20</v>
          </cell>
        </row>
        <row r="510">
          <cell r="C510" t="str">
            <v>新疆</v>
          </cell>
        </row>
        <row r="510">
          <cell r="I510" t="str">
            <v>MW0MW47743DW5</v>
          </cell>
        </row>
        <row r="510">
          <cell r="T510">
            <v>40</v>
          </cell>
        </row>
        <row r="511">
          <cell r="C511" t="str">
            <v>新疆</v>
          </cell>
        </row>
        <row r="511">
          <cell r="I511" t="str">
            <v>MW0MW463710HF</v>
          </cell>
        </row>
        <row r="511">
          <cell r="T511">
            <v>40</v>
          </cell>
        </row>
        <row r="512">
          <cell r="C512" t="str">
            <v>新疆</v>
          </cell>
        </row>
        <row r="512">
          <cell r="I512" t="str">
            <v>MW0MW46418DW5</v>
          </cell>
        </row>
        <row r="512">
          <cell r="T512">
            <v>60</v>
          </cell>
        </row>
        <row r="513">
          <cell r="C513" t="str">
            <v>新疆</v>
          </cell>
        </row>
        <row r="513">
          <cell r="I513" t="str">
            <v>MW0MW47022C30</v>
          </cell>
        </row>
        <row r="513">
          <cell r="T513">
            <v>6</v>
          </cell>
        </row>
        <row r="514">
          <cell r="C514" t="str">
            <v>新疆</v>
          </cell>
        </row>
        <row r="514">
          <cell r="I514" t="str">
            <v>MW0MW47744C9B</v>
          </cell>
        </row>
        <row r="514">
          <cell r="T514">
            <v>0</v>
          </cell>
        </row>
        <row r="515">
          <cell r="C515" t="str">
            <v>新疆</v>
          </cell>
        </row>
        <row r="515">
          <cell r="I515" t="str">
            <v>MW0MW47744DW5</v>
          </cell>
        </row>
        <row r="515">
          <cell r="T515">
            <v>0</v>
          </cell>
        </row>
        <row r="516">
          <cell r="C516" t="str">
            <v>新疆</v>
          </cell>
        </row>
        <row r="516">
          <cell r="I516" t="str">
            <v>MW0MW46372C9B</v>
          </cell>
        </row>
        <row r="516">
          <cell r="T516">
            <v>8</v>
          </cell>
        </row>
        <row r="517">
          <cell r="C517" t="str">
            <v>新疆</v>
          </cell>
        </row>
        <row r="517">
          <cell r="I517" t="str">
            <v>MW0MW44296GTV</v>
          </cell>
        </row>
        <row r="517">
          <cell r="T517">
            <v>6</v>
          </cell>
        </row>
        <row r="518">
          <cell r="C518" t="str">
            <v>新疆</v>
          </cell>
        </row>
        <row r="518">
          <cell r="I518" t="str">
            <v>MW0MW46830DW5</v>
          </cell>
        </row>
        <row r="518">
          <cell r="T518">
            <v>0</v>
          </cell>
        </row>
        <row r="519">
          <cell r="C519" t="str">
            <v>新疆</v>
          </cell>
        </row>
        <row r="519">
          <cell r="I519" t="str">
            <v>MW0MW464290AA</v>
          </cell>
        </row>
        <row r="519">
          <cell r="T519">
            <v>6</v>
          </cell>
        </row>
        <row r="520">
          <cell r="C520" t="str">
            <v>新疆</v>
          </cell>
        </row>
        <row r="520">
          <cell r="I520" t="str">
            <v>MW0MW464290A4</v>
          </cell>
        </row>
        <row r="520">
          <cell r="T520">
            <v>12</v>
          </cell>
        </row>
        <row r="521">
          <cell r="C521" t="str">
            <v>新疆</v>
          </cell>
        </row>
        <row r="521">
          <cell r="I521" t="str">
            <v>MW0MW46436DW5</v>
          </cell>
        </row>
        <row r="521">
          <cell r="T521">
            <v>0</v>
          </cell>
        </row>
        <row r="522">
          <cell r="C522" t="str">
            <v>新疆</v>
          </cell>
        </row>
        <row r="522">
          <cell r="I522" t="str">
            <v>MW0MW46436AEV</v>
          </cell>
        </row>
        <row r="522">
          <cell r="T522">
            <v>6</v>
          </cell>
        </row>
        <row r="523">
          <cell r="C523" t="str">
            <v>新疆</v>
          </cell>
        </row>
        <row r="523">
          <cell r="I523" t="str">
            <v>MW0MW47518YBR</v>
          </cell>
        </row>
        <row r="523">
          <cell r="T523">
            <v>50</v>
          </cell>
        </row>
        <row r="524">
          <cell r="C524" t="str">
            <v>新疆</v>
          </cell>
        </row>
        <row r="524">
          <cell r="I524" t="str">
            <v>MW0MW475180GY</v>
          </cell>
        </row>
        <row r="524">
          <cell r="T524">
            <v>0</v>
          </cell>
        </row>
        <row r="525">
          <cell r="C525" t="str">
            <v>新疆</v>
          </cell>
        </row>
        <row r="525">
          <cell r="I525" t="str">
            <v>MW0MW47518L2T</v>
          </cell>
        </row>
        <row r="525">
          <cell r="T525">
            <v>20</v>
          </cell>
        </row>
        <row r="526">
          <cell r="C526" t="str">
            <v>新疆</v>
          </cell>
        </row>
        <row r="526">
          <cell r="I526" t="str">
            <v>MW0MW42288C1Z</v>
          </cell>
        </row>
        <row r="526">
          <cell r="T526">
            <v>0</v>
          </cell>
        </row>
        <row r="527">
          <cell r="C527" t="str">
            <v>新疆</v>
          </cell>
        </row>
        <row r="527">
          <cell r="I527" t="str">
            <v>MW0MW42288DW5</v>
          </cell>
        </row>
        <row r="527">
          <cell r="T527">
            <v>40</v>
          </cell>
        </row>
        <row r="528">
          <cell r="C528" t="str">
            <v>新疆</v>
          </cell>
        </row>
        <row r="528">
          <cell r="I528" t="str">
            <v>MW0MW425260CD</v>
          </cell>
        </row>
        <row r="528">
          <cell r="T528">
            <v>0</v>
          </cell>
        </row>
        <row r="529">
          <cell r="C529" t="str">
            <v>新疆</v>
          </cell>
        </row>
        <row r="529">
          <cell r="I529" t="str">
            <v>MW0MW425260A5</v>
          </cell>
        </row>
        <row r="529">
          <cell r="T529">
            <v>0</v>
          </cell>
        </row>
        <row r="530">
          <cell r="C530" t="str">
            <v>新疆</v>
          </cell>
        </row>
        <row r="530">
          <cell r="I530" t="str">
            <v>MW0MW47529YBR</v>
          </cell>
        </row>
        <row r="530">
          <cell r="T530">
            <v>40</v>
          </cell>
        </row>
        <row r="531">
          <cell r="C531" t="str">
            <v>新疆</v>
          </cell>
        </row>
        <row r="531">
          <cell r="I531" t="str">
            <v>MW0MW47529RBT</v>
          </cell>
        </row>
        <row r="531">
          <cell r="T531">
            <v>80</v>
          </cell>
        </row>
        <row r="532">
          <cell r="C532" t="str">
            <v>新疆</v>
          </cell>
        </row>
        <row r="532">
          <cell r="I532" t="str">
            <v>MW0MW47529RBN</v>
          </cell>
        </row>
        <row r="532">
          <cell r="T532">
            <v>0</v>
          </cell>
        </row>
        <row r="533">
          <cell r="C533" t="str">
            <v>新疆</v>
          </cell>
        </row>
        <row r="533">
          <cell r="I533" t="str">
            <v>MW0MW47529XIX</v>
          </cell>
        </row>
        <row r="533">
          <cell r="T533">
            <v>20</v>
          </cell>
        </row>
        <row r="534">
          <cell r="C534" t="str">
            <v>新疆</v>
          </cell>
        </row>
        <row r="534">
          <cell r="I534" t="str">
            <v>MW0MW47529C14</v>
          </cell>
        </row>
        <row r="534">
          <cell r="T534">
            <v>20</v>
          </cell>
        </row>
        <row r="535">
          <cell r="C535" t="str">
            <v>新疆</v>
          </cell>
        </row>
        <row r="535">
          <cell r="I535" t="str">
            <v>MW0MW47529DCC</v>
          </cell>
        </row>
        <row r="535">
          <cell r="T535">
            <v>80</v>
          </cell>
        </row>
        <row r="536">
          <cell r="C536" t="str">
            <v>新疆</v>
          </cell>
        </row>
        <row r="536">
          <cell r="I536" t="str">
            <v>MW0MW475190A4</v>
          </cell>
        </row>
        <row r="536">
          <cell r="T536">
            <v>0</v>
          </cell>
        </row>
        <row r="537">
          <cell r="C537" t="str">
            <v>新疆</v>
          </cell>
        </row>
        <row r="537">
          <cell r="I537" t="str">
            <v>MW0MW475190EX</v>
          </cell>
        </row>
        <row r="537">
          <cell r="T537">
            <v>20</v>
          </cell>
        </row>
        <row r="538">
          <cell r="C538" t="str">
            <v>新疆</v>
          </cell>
        </row>
        <row r="538">
          <cell r="I538" t="str">
            <v>MW0MW475190FP</v>
          </cell>
        </row>
        <row r="538">
          <cell r="T538">
            <v>20</v>
          </cell>
        </row>
        <row r="539">
          <cell r="C539" t="str">
            <v>新疆</v>
          </cell>
        </row>
        <row r="539">
          <cell r="I539" t="str">
            <v>MW0MW464500MS</v>
          </cell>
        </row>
        <row r="539">
          <cell r="T539">
            <v>0</v>
          </cell>
        </row>
        <row r="540">
          <cell r="C540" t="str">
            <v>新疆</v>
          </cell>
        </row>
        <row r="540">
          <cell r="I540" t="str">
            <v>MW0MW464500LY</v>
          </cell>
        </row>
        <row r="540">
          <cell r="T540">
            <v>40</v>
          </cell>
        </row>
        <row r="541">
          <cell r="C541" t="str">
            <v>新疆</v>
          </cell>
        </row>
        <row r="541">
          <cell r="I541" t="str">
            <v>MW0MW46144YBR</v>
          </cell>
        </row>
        <row r="541">
          <cell r="T541">
            <v>0</v>
          </cell>
        </row>
        <row r="542">
          <cell r="C542" t="str">
            <v>新疆</v>
          </cell>
        </row>
        <row r="542">
          <cell r="I542" t="str">
            <v>MW0MW461440GY</v>
          </cell>
        </row>
        <row r="542">
          <cell r="T542">
            <v>0</v>
          </cell>
        </row>
        <row r="543">
          <cell r="C543" t="str">
            <v>新疆</v>
          </cell>
        </row>
        <row r="543">
          <cell r="I543" t="str">
            <v>MW0MW461010A6</v>
          </cell>
        </row>
        <row r="543">
          <cell r="T543">
            <v>20</v>
          </cell>
        </row>
        <row r="544">
          <cell r="C544" t="str">
            <v>新疆</v>
          </cell>
        </row>
        <row r="544">
          <cell r="I544" t="str">
            <v>MW0MW461010EV</v>
          </cell>
        </row>
        <row r="544">
          <cell r="T544">
            <v>15</v>
          </cell>
        </row>
        <row r="545">
          <cell r="C545" t="str">
            <v>新疆</v>
          </cell>
        </row>
        <row r="545">
          <cell r="I545" t="str">
            <v>MW0MW461210MS</v>
          </cell>
        </row>
        <row r="545">
          <cell r="T545">
            <v>20</v>
          </cell>
        </row>
        <row r="546">
          <cell r="C546" t="str">
            <v>新疆</v>
          </cell>
        </row>
        <row r="546">
          <cell r="I546" t="str">
            <v>MW0MW461390D1</v>
          </cell>
        </row>
        <row r="546">
          <cell r="T546">
            <v>0</v>
          </cell>
        </row>
        <row r="547">
          <cell r="C547" t="str">
            <v>新疆</v>
          </cell>
        </row>
        <row r="547">
          <cell r="I547" t="str">
            <v>MW0MW468500MS</v>
          </cell>
        </row>
        <row r="547">
          <cell r="T547">
            <v>50</v>
          </cell>
        </row>
        <row r="548">
          <cell r="C548" t="str">
            <v>新疆</v>
          </cell>
        </row>
        <row r="548">
          <cell r="I548" t="str">
            <v>MW0MW468890A4</v>
          </cell>
        </row>
        <row r="548">
          <cell r="T548">
            <v>0</v>
          </cell>
        </row>
        <row r="549">
          <cell r="C549" t="str">
            <v>新疆</v>
          </cell>
        </row>
        <row r="549">
          <cell r="I549" t="str">
            <v>MW0MW470190QJ</v>
          </cell>
        </row>
        <row r="549">
          <cell r="T549">
            <v>4</v>
          </cell>
        </row>
        <row r="550">
          <cell r="C550" t="str">
            <v>新疆</v>
          </cell>
        </row>
        <row r="550">
          <cell r="I550" t="str">
            <v>MW0MW41315YBS</v>
          </cell>
        </row>
        <row r="550">
          <cell r="T550">
            <v>0</v>
          </cell>
        </row>
        <row r="551">
          <cell r="C551" t="str">
            <v>新疆</v>
          </cell>
        </row>
        <row r="551">
          <cell r="I551" t="str">
            <v>MW0MW413150GY</v>
          </cell>
        </row>
        <row r="551">
          <cell r="T551">
            <v>0</v>
          </cell>
        </row>
        <row r="552">
          <cell r="C552" t="str">
            <v>新疆</v>
          </cell>
        </row>
        <row r="552">
          <cell r="I552" t="str">
            <v>MW0MW41315DW5</v>
          </cell>
        </row>
        <row r="552">
          <cell r="T552">
            <v>0</v>
          </cell>
        </row>
        <row r="553">
          <cell r="C553" t="str">
            <v>新疆</v>
          </cell>
        </row>
        <row r="553">
          <cell r="I553" t="str">
            <v>MW0MW413160A5</v>
          </cell>
        </row>
        <row r="553">
          <cell r="T553">
            <v>30</v>
          </cell>
        </row>
        <row r="554">
          <cell r="C554" t="str">
            <v>新疆</v>
          </cell>
        </row>
        <row r="554">
          <cell r="I554" t="str">
            <v>MW0MW413160CG</v>
          </cell>
        </row>
        <row r="554">
          <cell r="T554">
            <v>0</v>
          </cell>
        </row>
        <row r="555">
          <cell r="C555" t="str">
            <v>新疆</v>
          </cell>
        </row>
        <row r="555">
          <cell r="I555" t="str">
            <v>MW0MW413160A4</v>
          </cell>
        </row>
        <row r="555">
          <cell r="T555">
            <v>0</v>
          </cell>
        </row>
        <row r="556">
          <cell r="C556" t="str">
            <v>新疆</v>
          </cell>
        </row>
        <row r="556">
          <cell r="I556" t="str">
            <v>MW0MW461040MS</v>
          </cell>
        </row>
        <row r="556">
          <cell r="T556">
            <v>40</v>
          </cell>
        </row>
        <row r="557">
          <cell r="C557" t="str">
            <v>新疆</v>
          </cell>
        </row>
        <row r="557">
          <cell r="I557" t="str">
            <v>MW0MW461040MT</v>
          </cell>
        </row>
        <row r="557">
          <cell r="T557">
            <v>40</v>
          </cell>
        </row>
        <row r="558">
          <cell r="C558" t="str">
            <v>新疆</v>
          </cell>
        </row>
        <row r="558">
          <cell r="I558" t="str">
            <v>MW0MW461040LY</v>
          </cell>
        </row>
        <row r="558">
          <cell r="T558">
            <v>30</v>
          </cell>
        </row>
        <row r="559">
          <cell r="C559" t="str">
            <v>新疆</v>
          </cell>
        </row>
        <row r="559">
          <cell r="I559" t="str">
            <v>MW0MW461040QJ</v>
          </cell>
        </row>
        <row r="559">
          <cell r="T559">
            <v>0</v>
          </cell>
        </row>
        <row r="560">
          <cell r="C560" t="str">
            <v>新疆</v>
          </cell>
        </row>
        <row r="560">
          <cell r="I560" t="str">
            <v>MW0MW47508YBR</v>
          </cell>
        </row>
        <row r="560">
          <cell r="T560">
            <v>40</v>
          </cell>
        </row>
        <row r="561">
          <cell r="C561" t="str">
            <v>新疆</v>
          </cell>
        </row>
        <row r="561">
          <cell r="I561" t="str">
            <v>MW0MW47508C3Q</v>
          </cell>
        </row>
        <row r="561">
          <cell r="T561">
            <v>0</v>
          </cell>
        </row>
        <row r="562">
          <cell r="C562" t="str">
            <v>新疆</v>
          </cell>
        </row>
        <row r="562">
          <cell r="I562" t="str">
            <v>MW0MW47508DW5</v>
          </cell>
        </row>
        <row r="562">
          <cell r="T562">
            <v>60</v>
          </cell>
        </row>
        <row r="563">
          <cell r="C563" t="str">
            <v>新疆</v>
          </cell>
        </row>
        <row r="563">
          <cell r="I563" t="str">
            <v>MW0MW46857RBT</v>
          </cell>
        </row>
        <row r="563">
          <cell r="T563">
            <v>0</v>
          </cell>
        </row>
        <row r="564">
          <cell r="C564" t="str">
            <v>新疆</v>
          </cell>
        </row>
        <row r="564">
          <cell r="I564" t="str">
            <v>MW0MW46857DW5</v>
          </cell>
        </row>
        <row r="564">
          <cell r="T564">
            <v>0</v>
          </cell>
        </row>
        <row r="565">
          <cell r="C565" t="str">
            <v>新疆</v>
          </cell>
        </row>
        <row r="565">
          <cell r="I565" t="str">
            <v>MW0MW46857PR2</v>
          </cell>
        </row>
        <row r="565">
          <cell r="T565">
            <v>0</v>
          </cell>
        </row>
        <row r="566">
          <cell r="C566" t="str">
            <v>新疆</v>
          </cell>
        </row>
        <row r="566">
          <cell r="I566" t="str">
            <v>MW0MW46125C3I</v>
          </cell>
        </row>
        <row r="566">
          <cell r="T566">
            <v>30</v>
          </cell>
        </row>
        <row r="567">
          <cell r="C567" t="str">
            <v>新疆</v>
          </cell>
        </row>
        <row r="567">
          <cell r="I567" t="str">
            <v>MW0MW461130H7</v>
          </cell>
        </row>
        <row r="567">
          <cell r="T567">
            <v>12</v>
          </cell>
        </row>
        <row r="568">
          <cell r="C568" t="str">
            <v>新疆</v>
          </cell>
        </row>
        <row r="568">
          <cell r="I568" t="str">
            <v>MW0MW461130GY</v>
          </cell>
        </row>
        <row r="568">
          <cell r="T568">
            <v>12</v>
          </cell>
        </row>
        <row r="569">
          <cell r="C569" t="str">
            <v>新疆</v>
          </cell>
        </row>
        <row r="569">
          <cell r="I569" t="str">
            <v>MW0MW461470FA</v>
          </cell>
        </row>
        <row r="569">
          <cell r="T569">
            <v>6</v>
          </cell>
        </row>
        <row r="570">
          <cell r="C570" t="str">
            <v>新疆</v>
          </cell>
        </row>
        <row r="570">
          <cell r="I570" t="str">
            <v>MW0MW461470A4</v>
          </cell>
        </row>
        <row r="570">
          <cell r="T570">
            <v>12</v>
          </cell>
        </row>
        <row r="571">
          <cell r="C571" t="str">
            <v>新疆</v>
          </cell>
        </row>
        <row r="571">
          <cell r="I571" t="str">
            <v>MW0MW391670QY</v>
          </cell>
        </row>
        <row r="571">
          <cell r="T571">
            <v>0</v>
          </cell>
        </row>
        <row r="572">
          <cell r="C572" t="str">
            <v>新疆</v>
          </cell>
        </row>
        <row r="572">
          <cell r="I572" t="str">
            <v>MW0MW47533AEH</v>
          </cell>
        </row>
        <row r="572">
          <cell r="T572">
            <v>80</v>
          </cell>
        </row>
        <row r="573">
          <cell r="C573" t="str">
            <v>新疆</v>
          </cell>
        </row>
        <row r="573">
          <cell r="I573" t="str">
            <v>MW0MW47533DW5</v>
          </cell>
        </row>
        <row r="573">
          <cell r="T573">
            <v>120</v>
          </cell>
        </row>
        <row r="574">
          <cell r="C574" t="str">
            <v>新疆</v>
          </cell>
        </row>
        <row r="574">
          <cell r="I574" t="str">
            <v>MW0MW47533L2T</v>
          </cell>
        </row>
        <row r="574">
          <cell r="T574">
            <v>12</v>
          </cell>
        </row>
        <row r="575">
          <cell r="C575" t="str">
            <v>新疆</v>
          </cell>
        </row>
        <row r="575">
          <cell r="I575" t="str">
            <v>MW0MW47533XLD</v>
          </cell>
        </row>
        <row r="575">
          <cell r="T575">
            <v>12</v>
          </cell>
        </row>
        <row r="576">
          <cell r="C576" t="str">
            <v>新疆</v>
          </cell>
        </row>
        <row r="576">
          <cell r="I576" t="str">
            <v>MW0MW47533Z00</v>
          </cell>
        </row>
        <row r="576">
          <cell r="T576">
            <v>150</v>
          </cell>
        </row>
        <row r="577">
          <cell r="C577" t="str">
            <v>新疆</v>
          </cell>
        </row>
        <row r="577">
          <cell r="I577" t="str">
            <v>MW0MW475340A4</v>
          </cell>
        </row>
        <row r="577">
          <cell r="T577">
            <v>40</v>
          </cell>
        </row>
        <row r="578">
          <cell r="C578" t="str">
            <v>新疆</v>
          </cell>
        </row>
        <row r="578">
          <cell r="I578" t="str">
            <v>MW0MW475340AA</v>
          </cell>
        </row>
        <row r="578">
          <cell r="T578">
            <v>20</v>
          </cell>
        </row>
        <row r="579">
          <cell r="C579" t="str">
            <v>新疆</v>
          </cell>
        </row>
        <row r="579">
          <cell r="I579" t="str">
            <v>MW0MW47534BDS</v>
          </cell>
        </row>
        <row r="579">
          <cell r="T579">
            <v>0</v>
          </cell>
        </row>
        <row r="580">
          <cell r="C580" t="str">
            <v>新疆</v>
          </cell>
        </row>
        <row r="580">
          <cell r="I580" t="str">
            <v>MW0MW47534HGF</v>
          </cell>
        </row>
        <row r="580">
          <cell r="T580">
            <v>0</v>
          </cell>
        </row>
        <row r="581">
          <cell r="C581" t="str">
            <v>新疆</v>
          </cell>
        </row>
        <row r="581">
          <cell r="I581" t="str">
            <v>MW0MW47535DW4</v>
          </cell>
        </row>
        <row r="581">
          <cell r="T581">
            <v>60</v>
          </cell>
        </row>
        <row r="582">
          <cell r="C582" t="str">
            <v>新疆</v>
          </cell>
        </row>
        <row r="582">
          <cell r="I582" t="str">
            <v>MW0MW47535HGF</v>
          </cell>
        </row>
        <row r="582">
          <cell r="T582">
            <v>150</v>
          </cell>
        </row>
        <row r="583">
          <cell r="C583" t="str">
            <v>新疆</v>
          </cell>
        </row>
        <row r="583">
          <cell r="I583" t="str">
            <v>MW0MW463890AA</v>
          </cell>
        </row>
        <row r="583">
          <cell r="T583">
            <v>0</v>
          </cell>
        </row>
        <row r="584">
          <cell r="C584" t="str">
            <v>新疆</v>
          </cell>
        </row>
        <row r="584">
          <cell r="I584" t="str">
            <v>MW0MW46389Z00</v>
          </cell>
        </row>
        <row r="584">
          <cell r="T584">
            <v>20</v>
          </cell>
        </row>
        <row r="585">
          <cell r="C585" t="str">
            <v>新疆</v>
          </cell>
        </row>
        <row r="585">
          <cell r="I585" t="str">
            <v>MW0MW465340A4</v>
          </cell>
        </row>
        <row r="585">
          <cell r="T585">
            <v>0</v>
          </cell>
        </row>
        <row r="586">
          <cell r="C586" t="str">
            <v>新疆</v>
          </cell>
        </row>
        <row r="586">
          <cell r="I586" t="str">
            <v>MW0MW465340FA</v>
          </cell>
        </row>
        <row r="586">
          <cell r="T586">
            <v>12</v>
          </cell>
        </row>
        <row r="587">
          <cell r="C587" t="str">
            <v>新疆</v>
          </cell>
        </row>
        <row r="587">
          <cell r="I587" t="str">
            <v>MW0MW46391DW5</v>
          </cell>
        </row>
        <row r="587">
          <cell r="T587">
            <v>0</v>
          </cell>
        </row>
        <row r="588">
          <cell r="C588" t="str">
            <v>新疆</v>
          </cell>
        </row>
        <row r="588">
          <cell r="I588" t="str">
            <v>MW0MW46395DW5</v>
          </cell>
        </row>
        <row r="588">
          <cell r="T588">
            <v>40</v>
          </cell>
        </row>
        <row r="589">
          <cell r="C589" t="str">
            <v>新疆</v>
          </cell>
        </row>
        <row r="589">
          <cell r="I589" t="str">
            <v>MW0MW46395XJS</v>
          </cell>
        </row>
        <row r="589">
          <cell r="T589">
            <v>30</v>
          </cell>
        </row>
        <row r="590">
          <cell r="C590" t="str">
            <v>新疆</v>
          </cell>
        </row>
        <row r="590">
          <cell r="I590" t="str">
            <v>MW0MW46487AEH</v>
          </cell>
        </row>
        <row r="590">
          <cell r="T590">
            <v>30</v>
          </cell>
        </row>
        <row r="591">
          <cell r="C591" t="str">
            <v>新疆</v>
          </cell>
        </row>
        <row r="591">
          <cell r="I591" t="str">
            <v>MW0MW46487L20</v>
          </cell>
        </row>
        <row r="591">
          <cell r="T591">
            <v>20</v>
          </cell>
        </row>
        <row r="592">
          <cell r="C592" t="str">
            <v>新疆</v>
          </cell>
        </row>
        <row r="592">
          <cell r="I592" t="str">
            <v>MW0MW46488DW5</v>
          </cell>
        </row>
        <row r="592">
          <cell r="T592">
            <v>30</v>
          </cell>
        </row>
        <row r="593">
          <cell r="C593" t="str">
            <v>新疆</v>
          </cell>
        </row>
        <row r="593">
          <cell r="I593" t="str">
            <v>MW0MW46488Z00</v>
          </cell>
        </row>
        <row r="593">
          <cell r="T593">
            <v>20</v>
          </cell>
        </row>
        <row r="594">
          <cell r="C594" t="str">
            <v>新疆</v>
          </cell>
        </row>
        <row r="594">
          <cell r="I594" t="str">
            <v>MW0MW46529C14</v>
          </cell>
        </row>
        <row r="594">
          <cell r="T594">
            <v>40</v>
          </cell>
        </row>
        <row r="595">
          <cell r="C595" t="str">
            <v>新疆</v>
          </cell>
        </row>
        <row r="595">
          <cell r="I595" t="str">
            <v>MW0MW46529DW5</v>
          </cell>
        </row>
        <row r="595">
          <cell r="T595">
            <v>80</v>
          </cell>
        </row>
        <row r="596">
          <cell r="C596" t="str">
            <v>新疆</v>
          </cell>
        </row>
        <row r="596">
          <cell r="I596" t="str">
            <v>MW0MW412820A5</v>
          </cell>
        </row>
        <row r="596">
          <cell r="T596">
            <v>30</v>
          </cell>
        </row>
        <row r="597">
          <cell r="C597" t="str">
            <v>新疆</v>
          </cell>
        </row>
        <row r="597">
          <cell r="I597" t="str">
            <v>MW0MW412820CI</v>
          </cell>
        </row>
        <row r="597">
          <cell r="T597">
            <v>0</v>
          </cell>
        </row>
        <row r="598">
          <cell r="C598" t="str">
            <v>新疆</v>
          </cell>
        </row>
        <row r="598">
          <cell r="I598" t="str">
            <v>MW0MW412820CL</v>
          </cell>
        </row>
        <row r="598">
          <cell r="T598">
            <v>40</v>
          </cell>
        </row>
        <row r="599">
          <cell r="C599" t="str">
            <v>新疆</v>
          </cell>
        </row>
        <row r="599">
          <cell r="I599" t="str">
            <v>MW0MW41282ABS</v>
          </cell>
        </row>
        <row r="599">
          <cell r="T599">
            <v>60</v>
          </cell>
        </row>
        <row r="600">
          <cell r="C600" t="str">
            <v>新疆</v>
          </cell>
        </row>
        <row r="600">
          <cell r="I600" t="str">
            <v>MW0MW41282BDS</v>
          </cell>
        </row>
        <row r="600">
          <cell r="T600">
            <v>80</v>
          </cell>
        </row>
        <row r="601">
          <cell r="C601" t="str">
            <v>新疆</v>
          </cell>
        </row>
        <row r="601">
          <cell r="I601" t="str">
            <v>MW0MW41282C1Q</v>
          </cell>
        </row>
        <row r="601">
          <cell r="T601">
            <v>50</v>
          </cell>
        </row>
        <row r="602">
          <cell r="C602" t="str">
            <v>新疆</v>
          </cell>
        </row>
        <row r="602">
          <cell r="I602" t="str">
            <v>MW0MW41282C6E</v>
          </cell>
        </row>
        <row r="602">
          <cell r="T602">
            <v>40</v>
          </cell>
        </row>
        <row r="603">
          <cell r="C603" t="str">
            <v>新疆</v>
          </cell>
        </row>
        <row r="603">
          <cell r="I603" t="str">
            <v>MW0MW41282DBZ</v>
          </cell>
        </row>
        <row r="603">
          <cell r="T603">
            <v>60</v>
          </cell>
        </row>
        <row r="604">
          <cell r="C604" t="str">
            <v>新疆</v>
          </cell>
        </row>
        <row r="604">
          <cell r="I604" t="str">
            <v>MW0MW41282DW5</v>
          </cell>
        </row>
        <row r="604">
          <cell r="T604">
            <v>150</v>
          </cell>
        </row>
        <row r="605">
          <cell r="C605" t="str">
            <v>新疆</v>
          </cell>
        </row>
        <row r="605">
          <cell r="I605" t="str">
            <v>MW0MW41282HJT</v>
          </cell>
        </row>
        <row r="605">
          <cell r="T605">
            <v>20</v>
          </cell>
        </row>
        <row r="606">
          <cell r="C606" t="str">
            <v>新疆</v>
          </cell>
        </row>
        <row r="606">
          <cell r="I606" t="str">
            <v>MW0MW41282L20</v>
          </cell>
        </row>
        <row r="606">
          <cell r="T606">
            <v>30</v>
          </cell>
        </row>
        <row r="607">
          <cell r="C607" t="str">
            <v>新疆</v>
          </cell>
        </row>
        <row r="607">
          <cell r="I607" t="str">
            <v>MW0MW41282L2T</v>
          </cell>
        </row>
        <row r="607">
          <cell r="T607">
            <v>20</v>
          </cell>
        </row>
        <row r="608">
          <cell r="C608" t="str">
            <v>新疆</v>
          </cell>
        </row>
        <row r="608">
          <cell r="I608" t="str">
            <v>MW0MW41282P91</v>
          </cell>
        </row>
        <row r="608">
          <cell r="T608">
            <v>80</v>
          </cell>
        </row>
        <row r="609">
          <cell r="C609" t="str">
            <v>新疆</v>
          </cell>
        </row>
        <row r="609">
          <cell r="I609" t="str">
            <v>MW0MW41282RBN</v>
          </cell>
        </row>
        <row r="609">
          <cell r="T609">
            <v>40</v>
          </cell>
        </row>
        <row r="610">
          <cell r="C610" t="str">
            <v>新疆</v>
          </cell>
        </row>
        <row r="610">
          <cell r="I610" t="str">
            <v>MW0MW41282TOL</v>
          </cell>
        </row>
        <row r="610">
          <cell r="T610">
            <v>0</v>
          </cell>
        </row>
        <row r="611">
          <cell r="C611" t="str">
            <v>新疆</v>
          </cell>
        </row>
        <row r="611">
          <cell r="I611" t="str">
            <v>MW0MW41282VLP</v>
          </cell>
        </row>
        <row r="611">
          <cell r="T611">
            <v>80</v>
          </cell>
        </row>
        <row r="612">
          <cell r="C612" t="str">
            <v>新疆</v>
          </cell>
        </row>
        <row r="612">
          <cell r="I612" t="str">
            <v>MW0MW41282XIX</v>
          </cell>
        </row>
        <row r="612">
          <cell r="T612">
            <v>20</v>
          </cell>
        </row>
        <row r="613">
          <cell r="C613" t="str">
            <v>新疆</v>
          </cell>
        </row>
        <row r="613">
          <cell r="I613" t="str">
            <v>MW0MW41282YBR</v>
          </cell>
        </row>
        <row r="613">
          <cell r="T613">
            <v>0</v>
          </cell>
        </row>
        <row r="614">
          <cell r="C614" t="str">
            <v>新疆</v>
          </cell>
        </row>
        <row r="614">
          <cell r="I614" t="str">
            <v>MW0MW41282Z00</v>
          </cell>
        </row>
        <row r="614">
          <cell r="T614">
            <v>80</v>
          </cell>
        </row>
        <row r="615">
          <cell r="C615" t="str">
            <v>新疆</v>
          </cell>
        </row>
        <row r="615">
          <cell r="I615" t="str">
            <v>MW0MW41282ZF0</v>
          </cell>
        </row>
        <row r="615">
          <cell r="T615">
            <v>0</v>
          </cell>
        </row>
        <row r="616">
          <cell r="C616" t="str">
            <v>新疆</v>
          </cell>
        </row>
        <row r="616">
          <cell r="I616" t="str">
            <v>MW0MW46875DW5</v>
          </cell>
        </row>
        <row r="616">
          <cell r="T616">
            <v>300</v>
          </cell>
        </row>
        <row r="617">
          <cell r="C617" t="str">
            <v>新疆</v>
          </cell>
        </row>
        <row r="617">
          <cell r="I617" t="str">
            <v>MW0MW46875L20</v>
          </cell>
        </row>
        <row r="617">
          <cell r="T617">
            <v>20</v>
          </cell>
        </row>
        <row r="618">
          <cell r="C618" t="str">
            <v>新疆</v>
          </cell>
        </row>
        <row r="618">
          <cell r="I618" t="str">
            <v>MW0MW46875P91</v>
          </cell>
        </row>
        <row r="618">
          <cell r="T618">
            <v>120</v>
          </cell>
        </row>
        <row r="619">
          <cell r="C619" t="str">
            <v>新疆</v>
          </cell>
        </row>
        <row r="619">
          <cell r="I619" t="str">
            <v>MW0MW46875YBR</v>
          </cell>
        </row>
        <row r="619">
          <cell r="T619">
            <v>200</v>
          </cell>
        </row>
        <row r="620">
          <cell r="C620" t="str">
            <v>新疆</v>
          </cell>
        </row>
        <row r="620">
          <cell r="I620" t="str">
            <v>MW0MW47531ACL</v>
          </cell>
        </row>
        <row r="620">
          <cell r="T620">
            <v>100</v>
          </cell>
        </row>
        <row r="621">
          <cell r="C621" t="str">
            <v>新疆</v>
          </cell>
        </row>
        <row r="621">
          <cell r="I621" t="str">
            <v>MW0MW47531DW5</v>
          </cell>
        </row>
        <row r="621">
          <cell r="T621">
            <v>300</v>
          </cell>
        </row>
        <row r="622">
          <cell r="C622" t="str">
            <v>新疆</v>
          </cell>
        </row>
        <row r="622">
          <cell r="I622" t="str">
            <v>MW0MW47531MSX</v>
          </cell>
        </row>
        <row r="622">
          <cell r="T622">
            <v>50</v>
          </cell>
        </row>
        <row r="623">
          <cell r="C623" t="str">
            <v>新疆</v>
          </cell>
        </row>
        <row r="623">
          <cell r="I623" t="str">
            <v>MW0MW46469AEH</v>
          </cell>
        </row>
        <row r="623">
          <cell r="T623">
            <v>40</v>
          </cell>
        </row>
        <row r="624">
          <cell r="C624" t="str">
            <v>新疆</v>
          </cell>
        </row>
        <row r="624">
          <cell r="I624" t="str">
            <v>MW0MW46469C9B</v>
          </cell>
        </row>
        <row r="624">
          <cell r="T624">
            <v>0</v>
          </cell>
        </row>
        <row r="625">
          <cell r="C625" t="str">
            <v>新疆</v>
          </cell>
        </row>
        <row r="625">
          <cell r="I625" t="str">
            <v>MW0MW46469DW5</v>
          </cell>
        </row>
        <row r="625">
          <cell r="T625">
            <v>180</v>
          </cell>
        </row>
        <row r="626">
          <cell r="C626" t="str">
            <v>新疆</v>
          </cell>
        </row>
        <row r="626">
          <cell r="I626" t="str">
            <v>MW0MW42309BDS</v>
          </cell>
        </row>
        <row r="626">
          <cell r="T626">
            <v>150</v>
          </cell>
        </row>
        <row r="627">
          <cell r="C627" t="str">
            <v>新疆</v>
          </cell>
        </row>
        <row r="627">
          <cell r="I627" t="str">
            <v>MW0MW42309C4U</v>
          </cell>
        </row>
        <row r="627">
          <cell r="T627">
            <v>0</v>
          </cell>
        </row>
        <row r="628">
          <cell r="C628" t="str">
            <v>新疆</v>
          </cell>
        </row>
        <row r="628">
          <cell r="I628" t="str">
            <v>MW0MW42309YBR</v>
          </cell>
        </row>
        <row r="628">
          <cell r="T628">
            <v>80</v>
          </cell>
        </row>
        <row r="629">
          <cell r="C629" t="str">
            <v>新疆</v>
          </cell>
        </row>
        <row r="629">
          <cell r="I629" t="str">
            <v>MW0MW46872GVH</v>
          </cell>
        </row>
        <row r="629">
          <cell r="T629">
            <v>0</v>
          </cell>
        </row>
        <row r="630">
          <cell r="C630" t="str">
            <v>新疆</v>
          </cell>
        </row>
        <row r="630">
          <cell r="I630" t="str">
            <v>MW0MW46872VLP</v>
          </cell>
        </row>
        <row r="630">
          <cell r="T630">
            <v>0</v>
          </cell>
        </row>
        <row r="631">
          <cell r="C631" t="str">
            <v>新疆</v>
          </cell>
        </row>
        <row r="631">
          <cell r="I631" t="str">
            <v>MW0MW463360IM</v>
          </cell>
        </row>
        <row r="631">
          <cell r="T631">
            <v>0</v>
          </cell>
        </row>
        <row r="632">
          <cell r="C632" t="str">
            <v>新疆</v>
          </cell>
        </row>
        <row r="632">
          <cell r="I632" t="str">
            <v>MW0MW46336DW5</v>
          </cell>
        </row>
        <row r="632">
          <cell r="T632">
            <v>0</v>
          </cell>
        </row>
        <row r="633">
          <cell r="C633" t="str">
            <v>新疆</v>
          </cell>
        </row>
        <row r="633">
          <cell r="I633" t="str">
            <v>MW0MW46336Z00</v>
          </cell>
        </row>
        <row r="633">
          <cell r="T633">
            <v>0</v>
          </cell>
        </row>
        <row r="634">
          <cell r="C634" t="str">
            <v>新疆</v>
          </cell>
        </row>
        <row r="634">
          <cell r="I634" t="str">
            <v>MW0MW47532C1G</v>
          </cell>
        </row>
        <row r="634">
          <cell r="T634">
            <v>0</v>
          </cell>
        </row>
        <row r="635">
          <cell r="C635" t="str">
            <v>新疆</v>
          </cell>
        </row>
        <row r="635">
          <cell r="I635" t="str">
            <v>MW0MW47532C30</v>
          </cell>
        </row>
        <row r="635">
          <cell r="T635">
            <v>0</v>
          </cell>
        </row>
        <row r="636">
          <cell r="C636" t="str">
            <v>新疆</v>
          </cell>
        </row>
        <row r="636">
          <cell r="I636" t="str">
            <v>MW0MW47532ZF0</v>
          </cell>
        </row>
        <row r="636">
          <cell r="T636">
            <v>0</v>
          </cell>
        </row>
        <row r="637">
          <cell r="C637" t="str">
            <v>新疆</v>
          </cell>
        </row>
        <row r="637">
          <cell r="I637" t="str">
            <v>MW0MW46338C1Q</v>
          </cell>
        </row>
        <row r="637">
          <cell r="T637">
            <v>0</v>
          </cell>
        </row>
        <row r="638">
          <cell r="C638" t="str">
            <v>新疆</v>
          </cell>
        </row>
        <row r="638">
          <cell r="I638" t="str">
            <v>MW0MW46338DW5</v>
          </cell>
        </row>
        <row r="638">
          <cell r="T638">
            <v>20</v>
          </cell>
        </row>
        <row r="639">
          <cell r="C639" t="str">
            <v>新疆</v>
          </cell>
        </row>
        <row r="639">
          <cell r="I639" t="str">
            <v>MW0MW46338Z00</v>
          </cell>
        </row>
        <row r="639">
          <cell r="T639">
            <v>12</v>
          </cell>
        </row>
        <row r="640">
          <cell r="C640" t="str">
            <v>新疆</v>
          </cell>
        </row>
        <row r="640">
          <cell r="I640" t="str">
            <v>MW0MW46341AEH</v>
          </cell>
        </row>
        <row r="640">
          <cell r="T640">
            <v>0</v>
          </cell>
        </row>
        <row r="641">
          <cell r="C641" t="str">
            <v>新疆</v>
          </cell>
        </row>
        <row r="641">
          <cell r="I641" t="str">
            <v>MW0MW46341DW5</v>
          </cell>
        </row>
        <row r="641">
          <cell r="T641">
            <v>60</v>
          </cell>
        </row>
        <row r="642">
          <cell r="C642" t="str">
            <v>新疆</v>
          </cell>
        </row>
        <row r="642">
          <cell r="I642" t="str">
            <v>MW0MW46341Z00</v>
          </cell>
        </row>
        <row r="642">
          <cell r="T642">
            <v>30</v>
          </cell>
        </row>
        <row r="643">
          <cell r="C643" t="str">
            <v>新疆</v>
          </cell>
        </row>
        <row r="643">
          <cell r="I643" t="str">
            <v>MW0MW46347DW5</v>
          </cell>
        </row>
        <row r="643">
          <cell r="T643">
            <v>0</v>
          </cell>
        </row>
        <row r="644">
          <cell r="C644" t="str">
            <v>新疆</v>
          </cell>
        </row>
        <row r="644">
          <cell r="I644" t="str">
            <v>MW0MW46347Z00</v>
          </cell>
        </row>
        <row r="644">
          <cell r="T644">
            <v>0</v>
          </cell>
        </row>
        <row r="645">
          <cell r="C645" t="str">
            <v>新疆</v>
          </cell>
        </row>
        <row r="645">
          <cell r="I645" t="str">
            <v>MW0MW46350P91</v>
          </cell>
        </row>
        <row r="645">
          <cell r="T645">
            <v>0</v>
          </cell>
        </row>
        <row r="646">
          <cell r="C646" t="str">
            <v>新疆</v>
          </cell>
        </row>
        <row r="646">
          <cell r="I646" t="str">
            <v>MW0MW46350Z00</v>
          </cell>
        </row>
        <row r="646">
          <cell r="T646">
            <v>0</v>
          </cell>
        </row>
        <row r="647">
          <cell r="C647" t="str">
            <v>新疆</v>
          </cell>
        </row>
        <row r="647">
          <cell r="I647" t="str">
            <v>MW0MW46504DSM</v>
          </cell>
        </row>
        <row r="647">
          <cell r="T647">
            <v>40</v>
          </cell>
        </row>
        <row r="648">
          <cell r="C648" t="str">
            <v>新疆</v>
          </cell>
        </row>
        <row r="648">
          <cell r="I648" t="str">
            <v>MW0MW46504DW5</v>
          </cell>
        </row>
        <row r="648">
          <cell r="T648">
            <v>0</v>
          </cell>
        </row>
        <row r="649">
          <cell r="C649" t="str">
            <v>新疆</v>
          </cell>
        </row>
        <row r="649">
          <cell r="I649" t="str">
            <v>MW0MW46504Z00</v>
          </cell>
        </row>
        <row r="649">
          <cell r="T649">
            <v>0</v>
          </cell>
        </row>
        <row r="650">
          <cell r="C650" t="str">
            <v>新疆</v>
          </cell>
        </row>
        <row r="650">
          <cell r="I650" t="str">
            <v>MW0MW465050A5</v>
          </cell>
        </row>
        <row r="650">
          <cell r="T650">
            <v>0</v>
          </cell>
        </row>
        <row r="651">
          <cell r="C651" t="str">
            <v>新疆</v>
          </cell>
        </row>
        <row r="651">
          <cell r="I651" t="str">
            <v>MW0MW46505YBR</v>
          </cell>
        </row>
        <row r="651">
          <cell r="T651">
            <v>0</v>
          </cell>
        </row>
        <row r="652">
          <cell r="C652" t="str">
            <v>新疆</v>
          </cell>
        </row>
        <row r="652">
          <cell r="I652" t="str">
            <v>MW0MW46521C14</v>
          </cell>
        </row>
        <row r="652">
          <cell r="T652">
            <v>0</v>
          </cell>
        </row>
        <row r="653">
          <cell r="C653" t="str">
            <v>新疆</v>
          </cell>
        </row>
        <row r="653">
          <cell r="I653" t="str">
            <v>MW0MW46521DW5</v>
          </cell>
        </row>
        <row r="653">
          <cell r="T653">
            <v>0</v>
          </cell>
        </row>
        <row r="654">
          <cell r="C654" t="str">
            <v>新疆</v>
          </cell>
        </row>
        <row r="654">
          <cell r="I654" t="str">
            <v>MW0MW46525DW5</v>
          </cell>
        </row>
        <row r="654">
          <cell r="T654">
            <v>0</v>
          </cell>
        </row>
        <row r="655">
          <cell r="C655" t="str">
            <v>新疆</v>
          </cell>
        </row>
        <row r="655">
          <cell r="I655" t="str">
            <v>MW0MW46525XLD</v>
          </cell>
        </row>
        <row r="655">
          <cell r="T655">
            <v>0</v>
          </cell>
        </row>
        <row r="656">
          <cell r="C656" t="str">
            <v>新疆</v>
          </cell>
        </row>
        <row r="656">
          <cell r="I656" t="str">
            <v>MW0MW46525YBR</v>
          </cell>
        </row>
        <row r="656">
          <cell r="T656">
            <v>0</v>
          </cell>
        </row>
        <row r="657">
          <cell r="C657" t="str">
            <v>新疆</v>
          </cell>
        </row>
        <row r="657">
          <cell r="I657" t="str">
            <v>MW0MW46658ACL</v>
          </cell>
        </row>
        <row r="657">
          <cell r="T657">
            <v>0</v>
          </cell>
        </row>
        <row r="658">
          <cell r="C658" t="str">
            <v>新疆</v>
          </cell>
        </row>
        <row r="658">
          <cell r="I658" t="str">
            <v>MW0MW46658DW5</v>
          </cell>
        </row>
        <row r="658">
          <cell r="T658">
            <v>0</v>
          </cell>
        </row>
        <row r="659">
          <cell r="C659" t="str">
            <v>新疆</v>
          </cell>
        </row>
        <row r="659">
          <cell r="I659" t="str">
            <v>MW0MW466600A5</v>
          </cell>
        </row>
        <row r="659">
          <cell r="T659">
            <v>12</v>
          </cell>
        </row>
        <row r="660">
          <cell r="C660" t="str">
            <v>新疆</v>
          </cell>
        </row>
        <row r="660">
          <cell r="I660" t="str">
            <v>MW0MW45654DW5</v>
          </cell>
        </row>
        <row r="660">
          <cell r="T660">
            <v>60</v>
          </cell>
        </row>
        <row r="661">
          <cell r="C661" t="str">
            <v>新疆</v>
          </cell>
        </row>
        <row r="661">
          <cell r="I661" t="str">
            <v>MW0MW456540FA</v>
          </cell>
        </row>
        <row r="661">
          <cell r="T661">
            <v>40</v>
          </cell>
        </row>
        <row r="662">
          <cell r="C662" t="str">
            <v>新疆</v>
          </cell>
        </row>
        <row r="662">
          <cell r="I662" t="str">
            <v>MW0MW33202AEH</v>
          </cell>
        </row>
        <row r="662">
          <cell r="T662">
            <v>60</v>
          </cell>
        </row>
        <row r="663">
          <cell r="C663" t="str">
            <v>新疆</v>
          </cell>
        </row>
        <row r="663">
          <cell r="I663" t="str">
            <v>MW0MW33202C14</v>
          </cell>
        </row>
        <row r="663">
          <cell r="T663">
            <v>0</v>
          </cell>
        </row>
        <row r="664">
          <cell r="C664" t="str">
            <v>新疆</v>
          </cell>
        </row>
        <row r="664">
          <cell r="I664" t="str">
            <v>MW0MW33202DW5</v>
          </cell>
        </row>
        <row r="664">
          <cell r="T664">
            <v>0</v>
          </cell>
        </row>
        <row r="665">
          <cell r="C665" t="str">
            <v>新疆</v>
          </cell>
        </row>
        <row r="665">
          <cell r="I665" t="str">
            <v>MW0MW33202P91</v>
          </cell>
        </row>
        <row r="665">
          <cell r="T665">
            <v>60</v>
          </cell>
        </row>
        <row r="666">
          <cell r="C666" t="str">
            <v>新疆</v>
          </cell>
        </row>
        <row r="666">
          <cell r="I666" t="str">
            <v>MW0MW33202YBR</v>
          </cell>
        </row>
        <row r="666">
          <cell r="T666">
            <v>0</v>
          </cell>
        </row>
        <row r="667">
          <cell r="C667" t="str">
            <v>新疆</v>
          </cell>
        </row>
        <row r="667">
          <cell r="I667" t="str">
            <v>MW0MW46854BDS</v>
          </cell>
        </row>
        <row r="667">
          <cell r="T667">
            <v>100</v>
          </cell>
        </row>
        <row r="668">
          <cell r="C668" t="str">
            <v>新疆</v>
          </cell>
        </row>
        <row r="668">
          <cell r="I668" t="str">
            <v>MW0MW46854DW5</v>
          </cell>
        </row>
        <row r="668">
          <cell r="T668">
            <v>200</v>
          </cell>
        </row>
        <row r="669">
          <cell r="C669" t="str">
            <v>新疆</v>
          </cell>
        </row>
        <row r="669">
          <cell r="I669" t="str">
            <v>MW0MW46854YBR</v>
          </cell>
        </row>
        <row r="669">
          <cell r="T669">
            <v>300</v>
          </cell>
        </row>
        <row r="670">
          <cell r="C670" t="str">
            <v>新疆</v>
          </cell>
        </row>
        <row r="670">
          <cell r="I670" t="str">
            <v>MW0MW41170ACL</v>
          </cell>
        </row>
        <row r="670">
          <cell r="T670">
            <v>80</v>
          </cell>
        </row>
        <row r="671">
          <cell r="C671" t="str">
            <v>新疆</v>
          </cell>
        </row>
        <row r="671">
          <cell r="I671" t="str">
            <v>MW0MW41170DW5</v>
          </cell>
        </row>
        <row r="671">
          <cell r="T671">
            <v>150</v>
          </cell>
        </row>
        <row r="672">
          <cell r="C672" t="str">
            <v>新疆</v>
          </cell>
        </row>
        <row r="672">
          <cell r="I672" t="str">
            <v>MW0MW41170MSX</v>
          </cell>
        </row>
        <row r="672">
          <cell r="T672">
            <v>0</v>
          </cell>
        </row>
        <row r="673">
          <cell r="C673" t="str">
            <v>新疆</v>
          </cell>
        </row>
        <row r="673">
          <cell r="I673" t="str">
            <v>MW0MW42837ACL</v>
          </cell>
        </row>
        <row r="673">
          <cell r="T673">
            <v>80</v>
          </cell>
        </row>
        <row r="674">
          <cell r="C674" t="str">
            <v>新疆</v>
          </cell>
        </row>
        <row r="674">
          <cell r="I674" t="str">
            <v>MW0MW42837DW5</v>
          </cell>
        </row>
        <row r="674">
          <cell r="T674">
            <v>100</v>
          </cell>
        </row>
        <row r="675">
          <cell r="C675" t="str">
            <v>新疆</v>
          </cell>
        </row>
        <row r="675">
          <cell r="I675" t="str">
            <v>MW0MW42837Z00</v>
          </cell>
        </row>
        <row r="675">
          <cell r="T675">
            <v>100</v>
          </cell>
        </row>
        <row r="676">
          <cell r="C676" t="str">
            <v>新疆</v>
          </cell>
        </row>
        <row r="676">
          <cell r="I676" t="str">
            <v>MW0MW46210AEH</v>
          </cell>
        </row>
        <row r="676">
          <cell r="T676">
            <v>0</v>
          </cell>
        </row>
        <row r="677">
          <cell r="C677" t="str">
            <v>新疆</v>
          </cell>
        </row>
        <row r="677">
          <cell r="I677" t="str">
            <v>MW0MW46210DW5</v>
          </cell>
        </row>
        <row r="677">
          <cell r="T677">
            <v>60</v>
          </cell>
        </row>
        <row r="678">
          <cell r="C678" t="str">
            <v>新疆</v>
          </cell>
        </row>
        <row r="678">
          <cell r="I678" t="str">
            <v>MW0MW46210Z00</v>
          </cell>
        </row>
        <row r="678">
          <cell r="T678">
            <v>40</v>
          </cell>
        </row>
        <row r="679">
          <cell r="C679" t="str">
            <v>新疆</v>
          </cell>
        </row>
        <row r="679">
          <cell r="I679" t="str">
            <v>MW0MW46211BDS</v>
          </cell>
        </row>
        <row r="679">
          <cell r="T679">
            <v>0</v>
          </cell>
        </row>
        <row r="680">
          <cell r="C680" t="str">
            <v>新疆</v>
          </cell>
        </row>
        <row r="680">
          <cell r="I680" t="str">
            <v>MW0MW46211DW5</v>
          </cell>
        </row>
        <row r="680">
          <cell r="T680">
            <v>0</v>
          </cell>
        </row>
        <row r="681">
          <cell r="C681" t="str">
            <v>新疆</v>
          </cell>
        </row>
        <row r="681">
          <cell r="I681" t="str">
            <v>MW0MW46211YBR</v>
          </cell>
        </row>
        <row r="681">
          <cell r="T681">
            <v>0</v>
          </cell>
        </row>
        <row r="682">
          <cell r="C682" t="str">
            <v>新疆</v>
          </cell>
        </row>
        <row r="682">
          <cell r="I682" t="str">
            <v>MW0MW46222ACL</v>
          </cell>
        </row>
        <row r="682">
          <cell r="T682">
            <v>0</v>
          </cell>
        </row>
        <row r="683">
          <cell r="C683" t="str">
            <v>新疆</v>
          </cell>
        </row>
        <row r="683">
          <cell r="I683" t="str">
            <v>MW0MW46222C14</v>
          </cell>
        </row>
        <row r="683">
          <cell r="T683">
            <v>0</v>
          </cell>
        </row>
        <row r="684">
          <cell r="C684" t="str">
            <v>新疆</v>
          </cell>
        </row>
        <row r="684">
          <cell r="I684" t="str">
            <v>MW0MW46222DW5</v>
          </cell>
        </row>
        <row r="684">
          <cell r="T684">
            <v>0</v>
          </cell>
        </row>
        <row r="685">
          <cell r="C685" t="str">
            <v>新疆</v>
          </cell>
        </row>
        <row r="685">
          <cell r="I685" t="str">
            <v>MW0MW46222Z00</v>
          </cell>
        </row>
        <row r="685">
          <cell r="T685">
            <v>0</v>
          </cell>
        </row>
        <row r="686">
          <cell r="C686" t="str">
            <v>新疆</v>
          </cell>
        </row>
        <row r="686">
          <cell r="I686" t="str">
            <v>MW0MW461950A4</v>
          </cell>
        </row>
        <row r="686">
          <cell r="T686">
            <v>12</v>
          </cell>
        </row>
        <row r="687">
          <cell r="C687" t="str">
            <v>新疆</v>
          </cell>
        </row>
        <row r="687">
          <cell r="I687" t="str">
            <v>MW0MW46197DW5</v>
          </cell>
        </row>
        <row r="687">
          <cell r="T687">
            <v>0</v>
          </cell>
        </row>
        <row r="688">
          <cell r="C688" t="str">
            <v>新疆</v>
          </cell>
        </row>
        <row r="688">
          <cell r="I688" t="str">
            <v>MW0MW46197XIT</v>
          </cell>
        </row>
        <row r="688">
          <cell r="T688">
            <v>0</v>
          </cell>
        </row>
        <row r="689">
          <cell r="C689" t="str">
            <v>新疆</v>
          </cell>
        </row>
        <row r="689">
          <cell r="I689" t="str">
            <v>MW0MW46197YBR</v>
          </cell>
        </row>
        <row r="689">
          <cell r="T689">
            <v>0</v>
          </cell>
        </row>
        <row r="690">
          <cell r="C690" t="str">
            <v>新疆</v>
          </cell>
        </row>
        <row r="690">
          <cell r="I690" t="str">
            <v>MW0MW46198C14</v>
          </cell>
        </row>
        <row r="690">
          <cell r="T690">
            <v>30</v>
          </cell>
        </row>
        <row r="691">
          <cell r="C691" t="str">
            <v>新疆</v>
          </cell>
        </row>
        <row r="691">
          <cell r="I691" t="str">
            <v>MW0MW46198DW5</v>
          </cell>
        </row>
        <row r="691">
          <cell r="T691">
            <v>60</v>
          </cell>
        </row>
        <row r="692">
          <cell r="C692" t="str">
            <v>新疆</v>
          </cell>
        </row>
        <row r="692">
          <cell r="I692" t="str">
            <v>MW0MW46204DW5</v>
          </cell>
        </row>
        <row r="692">
          <cell r="T692">
            <v>40</v>
          </cell>
        </row>
        <row r="693">
          <cell r="C693" t="str">
            <v>新疆</v>
          </cell>
        </row>
        <row r="693">
          <cell r="I693" t="str">
            <v>MW0MW46204Z00</v>
          </cell>
        </row>
        <row r="693">
          <cell r="T693">
            <v>30</v>
          </cell>
        </row>
        <row r="694">
          <cell r="C694" t="str">
            <v>新疆</v>
          </cell>
        </row>
        <row r="694">
          <cell r="I694" t="str">
            <v>MW0MW46205DW5</v>
          </cell>
        </row>
        <row r="694">
          <cell r="T694">
            <v>0</v>
          </cell>
        </row>
        <row r="695">
          <cell r="C695" t="str">
            <v>新疆</v>
          </cell>
        </row>
        <row r="695">
          <cell r="I695" t="str">
            <v>MW0MW46205Z00</v>
          </cell>
        </row>
        <row r="695">
          <cell r="T695">
            <v>20</v>
          </cell>
        </row>
        <row r="696">
          <cell r="C696" t="str">
            <v>新疆</v>
          </cell>
        </row>
        <row r="696">
          <cell r="I696" t="str">
            <v>MW0MW46206DW5</v>
          </cell>
        </row>
        <row r="696">
          <cell r="T696">
            <v>12</v>
          </cell>
        </row>
        <row r="697">
          <cell r="C697" t="str">
            <v>新疆</v>
          </cell>
        </row>
        <row r="697">
          <cell r="I697" t="str">
            <v>MW0MW46206XIT</v>
          </cell>
        </row>
        <row r="697">
          <cell r="T697">
            <v>0</v>
          </cell>
        </row>
        <row r="698">
          <cell r="C698" t="str">
            <v>新疆</v>
          </cell>
        </row>
        <row r="698">
          <cell r="I698" t="str">
            <v>MW0MW46206Z00</v>
          </cell>
        </row>
        <row r="698">
          <cell r="T698">
            <v>12</v>
          </cell>
        </row>
        <row r="699">
          <cell r="C699" t="str">
            <v>新疆</v>
          </cell>
        </row>
        <row r="699">
          <cell r="I699" t="str">
            <v>MW0MW46207DW5</v>
          </cell>
        </row>
        <row r="699">
          <cell r="T699">
            <v>0</v>
          </cell>
        </row>
        <row r="700">
          <cell r="C700" t="str">
            <v>新疆</v>
          </cell>
        </row>
        <row r="700">
          <cell r="I700" t="str">
            <v>MW0MW46207P91</v>
          </cell>
        </row>
        <row r="700">
          <cell r="T700">
            <v>0</v>
          </cell>
        </row>
        <row r="701">
          <cell r="C701" t="str">
            <v>新疆</v>
          </cell>
        </row>
        <row r="701">
          <cell r="I701" t="str">
            <v>MW0MW46207Z00</v>
          </cell>
        </row>
        <row r="701">
          <cell r="T701">
            <v>0</v>
          </cell>
        </row>
        <row r="702">
          <cell r="C702" t="str">
            <v>新疆</v>
          </cell>
        </row>
        <row r="702">
          <cell r="I702" t="str">
            <v>MW0MW46216C9B</v>
          </cell>
        </row>
        <row r="702">
          <cell r="T702">
            <v>0</v>
          </cell>
        </row>
        <row r="703">
          <cell r="C703" t="str">
            <v>新疆</v>
          </cell>
        </row>
        <row r="703">
          <cell r="I703" t="str">
            <v>MW0MW46216Z00</v>
          </cell>
        </row>
        <row r="703">
          <cell r="T703">
            <v>0</v>
          </cell>
        </row>
        <row r="704">
          <cell r="C704" t="str">
            <v>新疆</v>
          </cell>
        </row>
        <row r="704">
          <cell r="I704" t="str">
            <v>MW0MW46227LZD</v>
          </cell>
        </row>
        <row r="704">
          <cell r="T704">
            <v>0</v>
          </cell>
        </row>
        <row r="705">
          <cell r="C705" t="str">
            <v>新疆</v>
          </cell>
        </row>
        <row r="705">
          <cell r="I705" t="str">
            <v>MW0MW46227TOL</v>
          </cell>
        </row>
        <row r="705">
          <cell r="T705">
            <v>0</v>
          </cell>
        </row>
        <row r="706">
          <cell r="C706" t="str">
            <v>新疆</v>
          </cell>
        </row>
        <row r="706">
          <cell r="I706" t="str">
            <v>MW0MW46227YBH</v>
          </cell>
        </row>
        <row r="706">
          <cell r="T706">
            <v>0</v>
          </cell>
        </row>
        <row r="707">
          <cell r="C707" t="str">
            <v>新疆</v>
          </cell>
        </row>
        <row r="707">
          <cell r="I707" t="str">
            <v>MW0MW46228C14</v>
          </cell>
        </row>
        <row r="707">
          <cell r="T707">
            <v>0</v>
          </cell>
        </row>
        <row r="708">
          <cell r="C708" t="str">
            <v>新疆</v>
          </cell>
        </row>
        <row r="708">
          <cell r="I708" t="str">
            <v>MW0MW46228DW5</v>
          </cell>
        </row>
        <row r="708">
          <cell r="T708">
            <v>0</v>
          </cell>
        </row>
        <row r="709">
          <cell r="C709" t="str">
            <v>新疆</v>
          </cell>
        </row>
        <row r="709">
          <cell r="I709" t="str">
            <v>MW0MW46228YBR</v>
          </cell>
        </row>
        <row r="709">
          <cell r="T709">
            <v>0</v>
          </cell>
        </row>
        <row r="710">
          <cell r="C710" t="str">
            <v>新疆</v>
          </cell>
        </row>
        <row r="710">
          <cell r="I710" t="str">
            <v>MW0MW462290A4</v>
          </cell>
        </row>
        <row r="710">
          <cell r="T710">
            <v>0</v>
          </cell>
        </row>
        <row r="711">
          <cell r="C711" t="str">
            <v>新疆</v>
          </cell>
        </row>
        <row r="711">
          <cell r="I711" t="str">
            <v>MW0MW46458DW5</v>
          </cell>
        </row>
        <row r="711">
          <cell r="T711">
            <v>60</v>
          </cell>
        </row>
        <row r="712">
          <cell r="C712" t="str">
            <v>新疆</v>
          </cell>
        </row>
        <row r="712">
          <cell r="I712" t="str">
            <v>MW0MW46458YBR</v>
          </cell>
        </row>
        <row r="712">
          <cell r="T712">
            <v>40</v>
          </cell>
        </row>
        <row r="713">
          <cell r="C713" t="str">
            <v>新疆</v>
          </cell>
        </row>
        <row r="713">
          <cell r="I713" t="str">
            <v>MW0MW46859DW5</v>
          </cell>
        </row>
        <row r="713">
          <cell r="T713">
            <v>80</v>
          </cell>
        </row>
        <row r="714">
          <cell r="C714" t="str">
            <v>新疆</v>
          </cell>
        </row>
        <row r="714">
          <cell r="I714" t="str">
            <v>MW0MW46859PR2</v>
          </cell>
        </row>
        <row r="714">
          <cell r="T714">
            <v>40</v>
          </cell>
        </row>
        <row r="715">
          <cell r="C715" t="str">
            <v>新疆</v>
          </cell>
        </row>
        <row r="715">
          <cell r="I715" t="str">
            <v>MW0MW46859YBR</v>
          </cell>
        </row>
        <row r="715">
          <cell r="T715">
            <v>50</v>
          </cell>
        </row>
        <row r="716">
          <cell r="C716" t="str">
            <v>新疆</v>
          </cell>
        </row>
        <row r="716">
          <cell r="I716" t="str">
            <v>MW0MW47377DW5</v>
          </cell>
        </row>
        <row r="716">
          <cell r="T716">
            <v>0</v>
          </cell>
        </row>
        <row r="717">
          <cell r="C717" t="str">
            <v>新疆</v>
          </cell>
        </row>
        <row r="717">
          <cell r="I717" t="str">
            <v>MW0MW47377YBR</v>
          </cell>
        </row>
        <row r="717">
          <cell r="T717">
            <v>0</v>
          </cell>
        </row>
        <row r="718">
          <cell r="C718" t="str">
            <v>新疆</v>
          </cell>
        </row>
        <row r="718">
          <cell r="I718" t="str">
            <v>MW0MW47713C14</v>
          </cell>
        </row>
        <row r="718">
          <cell r="T718">
            <v>0</v>
          </cell>
        </row>
        <row r="719">
          <cell r="C719" t="str">
            <v>新疆</v>
          </cell>
        </row>
        <row r="719">
          <cell r="I719" t="str">
            <v>MW0MW47713DW5</v>
          </cell>
        </row>
        <row r="719">
          <cell r="T719">
            <v>0</v>
          </cell>
        </row>
        <row r="720">
          <cell r="C720" t="str">
            <v>新疆</v>
          </cell>
        </row>
        <row r="720">
          <cell r="I720" t="str">
            <v>MW0MW477340A4</v>
          </cell>
        </row>
        <row r="720">
          <cell r="T720">
            <v>0</v>
          </cell>
        </row>
        <row r="721">
          <cell r="C721" t="str">
            <v>新疆</v>
          </cell>
        </row>
        <row r="721">
          <cell r="I721" t="str">
            <v>MW0MW47734DW5</v>
          </cell>
        </row>
        <row r="721">
          <cell r="T721">
            <v>0</v>
          </cell>
        </row>
        <row r="722">
          <cell r="C722" t="str">
            <v>新疆</v>
          </cell>
        </row>
        <row r="722">
          <cell r="I722" t="str">
            <v>MW0MW47734ZGY</v>
          </cell>
        </row>
        <row r="722">
          <cell r="T722">
            <v>0</v>
          </cell>
        </row>
        <row r="723">
          <cell r="C723" t="str">
            <v>新疆</v>
          </cell>
        </row>
        <row r="723">
          <cell r="I723" t="str">
            <v>MW0MW46239DW5</v>
          </cell>
        </row>
        <row r="723">
          <cell r="T723">
            <v>0</v>
          </cell>
        </row>
        <row r="724">
          <cell r="C724" t="str">
            <v>新疆</v>
          </cell>
        </row>
        <row r="724">
          <cell r="I724" t="str">
            <v>MW0MW46239P91</v>
          </cell>
        </row>
        <row r="724">
          <cell r="T724">
            <v>0</v>
          </cell>
        </row>
        <row r="725">
          <cell r="C725" t="str">
            <v>新疆</v>
          </cell>
        </row>
        <row r="725">
          <cell r="I725" t="str">
            <v>MW0MW462400CE</v>
          </cell>
        </row>
        <row r="725">
          <cell r="T725">
            <v>0</v>
          </cell>
        </row>
        <row r="726">
          <cell r="C726" t="str">
            <v>新疆</v>
          </cell>
        </row>
        <row r="726">
          <cell r="I726" t="str">
            <v>MW0MW462400EV</v>
          </cell>
        </row>
        <row r="726">
          <cell r="T726">
            <v>0</v>
          </cell>
        </row>
        <row r="727">
          <cell r="C727" t="str">
            <v>新疆</v>
          </cell>
        </row>
        <row r="727">
          <cell r="I727" t="str">
            <v>MW0MW46876DW5</v>
          </cell>
        </row>
        <row r="727">
          <cell r="T727">
            <v>0</v>
          </cell>
        </row>
        <row r="728">
          <cell r="C728" t="str">
            <v>新疆</v>
          </cell>
        </row>
        <row r="728">
          <cell r="I728" t="str">
            <v>MW0MW46876Z00</v>
          </cell>
        </row>
        <row r="728">
          <cell r="T728">
            <v>0</v>
          </cell>
        </row>
        <row r="729">
          <cell r="C729" t="str">
            <v>新疆</v>
          </cell>
        </row>
        <row r="729">
          <cell r="I729" t="str">
            <v>MW0MW42525RBT</v>
          </cell>
        </row>
        <row r="729">
          <cell r="T729">
            <v>0</v>
          </cell>
        </row>
        <row r="730">
          <cell r="C730" t="str">
            <v>新疆</v>
          </cell>
        </row>
        <row r="730">
          <cell r="I730" t="str">
            <v>MW0MW42525DW5</v>
          </cell>
        </row>
        <row r="730">
          <cell r="T730">
            <v>150</v>
          </cell>
        </row>
        <row r="731">
          <cell r="C731" t="str">
            <v>新疆</v>
          </cell>
        </row>
        <row r="731">
          <cell r="I731" t="str">
            <v>MW0MW47746BDS</v>
          </cell>
        </row>
        <row r="731">
          <cell r="T731">
            <v>0</v>
          </cell>
        </row>
        <row r="732">
          <cell r="C732" t="str">
            <v>新疆</v>
          </cell>
        </row>
        <row r="732">
          <cell r="I732" t="str">
            <v>MW0MW47746AEG</v>
          </cell>
        </row>
        <row r="732">
          <cell r="T732">
            <v>0</v>
          </cell>
        </row>
        <row r="733">
          <cell r="C733" t="str">
            <v>新疆</v>
          </cell>
        </row>
        <row r="733">
          <cell r="I733" t="str">
            <v>MW0MW47746DW5</v>
          </cell>
        </row>
        <row r="733">
          <cell r="T733">
            <v>0</v>
          </cell>
        </row>
        <row r="734">
          <cell r="C734" t="str">
            <v>新疆</v>
          </cell>
        </row>
        <row r="734">
          <cell r="I734" t="str">
            <v>MW0MW46856RBT</v>
          </cell>
        </row>
        <row r="734">
          <cell r="T734">
            <v>0</v>
          </cell>
        </row>
        <row r="735">
          <cell r="C735" t="str">
            <v>新疆</v>
          </cell>
        </row>
        <row r="735">
          <cell r="I735" t="str">
            <v>MW0MW46856DW5</v>
          </cell>
        </row>
        <row r="735">
          <cell r="T735">
            <v>60</v>
          </cell>
        </row>
        <row r="736">
          <cell r="C736" t="str">
            <v>新疆</v>
          </cell>
        </row>
        <row r="736">
          <cell r="I736" t="str">
            <v>MW0MW46856PR2</v>
          </cell>
        </row>
        <row r="736">
          <cell r="T736">
            <v>40</v>
          </cell>
        </row>
        <row r="737">
          <cell r="C737" t="str">
            <v>新疆</v>
          </cell>
        </row>
        <row r="737">
          <cell r="I737" t="str">
            <v>MW0MW47745AEG</v>
          </cell>
        </row>
        <row r="737">
          <cell r="T737">
            <v>0</v>
          </cell>
        </row>
        <row r="738">
          <cell r="C738" t="str">
            <v>新疆</v>
          </cell>
        </row>
        <row r="738">
          <cell r="I738" t="str">
            <v>MW0MW47745DW5</v>
          </cell>
        </row>
        <row r="738">
          <cell r="T738">
            <v>0</v>
          </cell>
        </row>
        <row r="739">
          <cell r="C739" t="str">
            <v>新疆</v>
          </cell>
        </row>
        <row r="739">
          <cell r="I739" t="str">
            <v>MW0MW46866ACL</v>
          </cell>
        </row>
        <row r="739">
          <cell r="T739">
            <v>40</v>
          </cell>
        </row>
        <row r="740">
          <cell r="C740" t="str">
            <v>新疆</v>
          </cell>
        </row>
        <row r="740">
          <cell r="I740" t="str">
            <v>MW0MW46866DW5</v>
          </cell>
        </row>
        <row r="740">
          <cell r="T740">
            <v>80</v>
          </cell>
        </row>
        <row r="741">
          <cell r="C741" t="str">
            <v>新疆</v>
          </cell>
        </row>
        <row r="741">
          <cell r="I741" t="str">
            <v>MW0MW40262YCF</v>
          </cell>
        </row>
        <row r="741">
          <cell r="T741">
            <v>0</v>
          </cell>
        </row>
        <row r="742">
          <cell r="C742" t="str">
            <v>新疆</v>
          </cell>
        </row>
        <row r="742">
          <cell r="I742" t="str">
            <v>MW0MW46863PR2</v>
          </cell>
        </row>
        <row r="742">
          <cell r="T742">
            <v>80</v>
          </cell>
        </row>
        <row r="743">
          <cell r="C743" t="str">
            <v>新疆</v>
          </cell>
        </row>
        <row r="743">
          <cell r="I743" t="str">
            <v>MW0MW46863BDS</v>
          </cell>
        </row>
        <row r="743">
          <cell r="T743">
            <v>100</v>
          </cell>
        </row>
        <row r="744">
          <cell r="C744" t="str">
            <v>新疆</v>
          </cell>
        </row>
        <row r="744">
          <cell r="I744" t="str">
            <v>MW0MW46864DW5</v>
          </cell>
        </row>
        <row r="744">
          <cell r="T744">
            <v>250</v>
          </cell>
        </row>
        <row r="745">
          <cell r="C745" t="str">
            <v>新疆</v>
          </cell>
        </row>
        <row r="745">
          <cell r="I745" t="str">
            <v>MW0MW46864PR2</v>
          </cell>
        </row>
        <row r="745">
          <cell r="T745">
            <v>80</v>
          </cell>
        </row>
        <row r="746">
          <cell r="C746" t="str">
            <v>新疆</v>
          </cell>
        </row>
        <row r="746">
          <cell r="I746" t="str">
            <v>MW0MW46864AEG</v>
          </cell>
        </row>
        <row r="746">
          <cell r="T746">
            <v>100</v>
          </cell>
        </row>
        <row r="747">
          <cell r="C747" t="str">
            <v>新疆</v>
          </cell>
        </row>
        <row r="747">
          <cell r="I747" t="str">
            <v>MW0MW46283DW5</v>
          </cell>
        </row>
        <row r="747">
          <cell r="T747">
            <v>150</v>
          </cell>
        </row>
        <row r="748">
          <cell r="C748" t="str">
            <v>新疆</v>
          </cell>
        </row>
        <row r="748">
          <cell r="I748" t="str">
            <v>MW0MW46283YA8</v>
          </cell>
        </row>
        <row r="748">
          <cell r="T748">
            <v>20</v>
          </cell>
        </row>
        <row r="749">
          <cell r="C749" t="str">
            <v>新疆</v>
          </cell>
        </row>
        <row r="749">
          <cell r="I749" t="str">
            <v>MW0MW46283AEH</v>
          </cell>
        </row>
        <row r="749">
          <cell r="T749">
            <v>80</v>
          </cell>
        </row>
        <row r="750">
          <cell r="C750" t="str">
            <v>新疆</v>
          </cell>
        </row>
        <row r="750">
          <cell r="I750" t="str">
            <v>MW0MW46295DW5</v>
          </cell>
        </row>
        <row r="750">
          <cell r="T750">
            <v>100</v>
          </cell>
        </row>
        <row r="751">
          <cell r="C751" t="str">
            <v>新疆</v>
          </cell>
        </row>
        <row r="751">
          <cell r="I751" t="str">
            <v>MW0MW46295AEG</v>
          </cell>
        </row>
        <row r="751">
          <cell r="T751">
            <v>60</v>
          </cell>
        </row>
        <row r="752">
          <cell r="C752" t="str">
            <v>新疆</v>
          </cell>
        </row>
        <row r="752">
          <cell r="I752" t="str">
            <v>MW0MW46295YA8</v>
          </cell>
        </row>
        <row r="752">
          <cell r="T752">
            <v>40</v>
          </cell>
        </row>
        <row r="753">
          <cell r="C753" t="str">
            <v>新疆</v>
          </cell>
        </row>
        <row r="753">
          <cell r="I753" t="str">
            <v>MW0MW44675DW5</v>
          </cell>
        </row>
        <row r="753">
          <cell r="T753">
            <v>0</v>
          </cell>
        </row>
        <row r="754">
          <cell r="C754" t="str">
            <v>新疆</v>
          </cell>
        </row>
        <row r="754">
          <cell r="I754" t="str">
            <v>MW0MW44675AEG</v>
          </cell>
        </row>
        <row r="754">
          <cell r="T754">
            <v>0</v>
          </cell>
        </row>
        <row r="755">
          <cell r="C755" t="str">
            <v>新疆</v>
          </cell>
        </row>
        <row r="755">
          <cell r="I755" t="str">
            <v>MW0MW46284RBN</v>
          </cell>
        </row>
        <row r="755">
          <cell r="T755">
            <v>20</v>
          </cell>
        </row>
        <row r="756">
          <cell r="C756" t="str">
            <v>新疆</v>
          </cell>
        </row>
        <row r="756">
          <cell r="I756" t="str">
            <v>MW0MW46284GOP</v>
          </cell>
        </row>
        <row r="756">
          <cell r="T756">
            <v>40</v>
          </cell>
        </row>
        <row r="757">
          <cell r="C757" t="str">
            <v>新疆</v>
          </cell>
        </row>
        <row r="757">
          <cell r="I757" t="str">
            <v>MW0MW46293AEH</v>
          </cell>
        </row>
        <row r="757">
          <cell r="T757">
            <v>0</v>
          </cell>
        </row>
        <row r="758">
          <cell r="C758" t="str">
            <v>新疆</v>
          </cell>
        </row>
        <row r="758">
          <cell r="I758" t="str">
            <v>MW0MW45300DCC</v>
          </cell>
        </row>
        <row r="758">
          <cell r="T758">
            <v>0</v>
          </cell>
        </row>
        <row r="759">
          <cell r="C759" t="str">
            <v>新疆</v>
          </cell>
        </row>
        <row r="759">
          <cell r="I759" t="str">
            <v>MW0MW464060A4</v>
          </cell>
        </row>
        <row r="759">
          <cell r="T759">
            <v>0</v>
          </cell>
        </row>
        <row r="760">
          <cell r="C760" t="str">
            <v>新疆</v>
          </cell>
        </row>
        <row r="760">
          <cell r="I760" t="str">
            <v>MW0MW46379DW5</v>
          </cell>
        </row>
        <row r="760">
          <cell r="T760">
            <v>0</v>
          </cell>
        </row>
        <row r="761">
          <cell r="C761" t="str">
            <v>新疆</v>
          </cell>
        </row>
        <row r="761">
          <cell r="I761" t="str">
            <v>MW0MW46379P91</v>
          </cell>
        </row>
        <row r="761">
          <cell r="T761">
            <v>0</v>
          </cell>
        </row>
        <row r="762">
          <cell r="C762" t="str">
            <v>新疆</v>
          </cell>
        </row>
        <row r="762">
          <cell r="I762" t="str">
            <v>MW0MW38910DW5</v>
          </cell>
        </row>
        <row r="762">
          <cell r="T762">
            <v>60</v>
          </cell>
        </row>
        <row r="763">
          <cell r="C763" t="str">
            <v>新疆</v>
          </cell>
        </row>
        <row r="763">
          <cell r="I763" t="str">
            <v>MW0MW38910RBT</v>
          </cell>
        </row>
        <row r="763">
          <cell r="T763">
            <v>40</v>
          </cell>
        </row>
        <row r="764">
          <cell r="C764" t="str">
            <v>新疆</v>
          </cell>
        </row>
        <row r="764">
          <cell r="I764" t="str">
            <v>MW0MW390351CY</v>
          </cell>
        </row>
        <row r="764">
          <cell r="T764">
            <v>0</v>
          </cell>
        </row>
        <row r="765">
          <cell r="C765" t="str">
            <v>新疆</v>
          </cell>
        </row>
        <row r="765">
          <cell r="I765" t="str">
            <v>MW0MW468621BT</v>
          </cell>
        </row>
        <row r="765">
          <cell r="T765">
            <v>60</v>
          </cell>
        </row>
        <row r="766">
          <cell r="C766" t="str">
            <v>新疆</v>
          </cell>
        </row>
        <row r="766">
          <cell r="I766" t="str">
            <v>MW0MW468621AI</v>
          </cell>
        </row>
        <row r="766">
          <cell r="T766">
            <v>0</v>
          </cell>
        </row>
        <row r="767">
          <cell r="C767" t="str">
            <v>新疆</v>
          </cell>
        </row>
        <row r="767">
          <cell r="I767" t="str">
            <v>MW0MW467071BU</v>
          </cell>
        </row>
        <row r="767">
          <cell r="T767">
            <v>60</v>
          </cell>
        </row>
        <row r="768">
          <cell r="C768" t="str">
            <v>新疆</v>
          </cell>
        </row>
        <row r="768">
          <cell r="I768" t="str">
            <v>MW0MW460591AD</v>
          </cell>
        </row>
        <row r="768">
          <cell r="T768">
            <v>0</v>
          </cell>
        </row>
        <row r="769">
          <cell r="C769" t="str">
            <v>新疆</v>
          </cell>
        </row>
        <row r="769">
          <cell r="I769" t="str">
            <v>MW0MW460761AQ</v>
          </cell>
        </row>
        <row r="769">
          <cell r="T769">
            <v>0</v>
          </cell>
        </row>
        <row r="770">
          <cell r="C770" t="str">
            <v>新疆</v>
          </cell>
        </row>
        <row r="770">
          <cell r="I770" t="str">
            <v>MW0MW460751AE</v>
          </cell>
        </row>
        <row r="770">
          <cell r="T770">
            <v>0</v>
          </cell>
        </row>
        <row r="771">
          <cell r="C771" t="str">
            <v>新疆</v>
          </cell>
        </row>
        <row r="771">
          <cell r="I771" t="str">
            <v>MW0MW460641BE</v>
          </cell>
        </row>
        <row r="771">
          <cell r="T771">
            <v>30</v>
          </cell>
        </row>
        <row r="772">
          <cell r="C772" t="str">
            <v>新疆</v>
          </cell>
        </row>
        <row r="772">
          <cell r="I772" t="str">
            <v>MW0MW46479DW5</v>
          </cell>
        </row>
        <row r="772">
          <cell r="T772">
            <v>60</v>
          </cell>
        </row>
        <row r="773">
          <cell r="C773" t="str">
            <v>新疆</v>
          </cell>
        </row>
        <row r="773">
          <cell r="I773" t="str">
            <v>MW0MW46479AEH</v>
          </cell>
        </row>
        <row r="773">
          <cell r="T773">
            <v>40</v>
          </cell>
        </row>
        <row r="774">
          <cell r="C774" t="str">
            <v>新疆</v>
          </cell>
        </row>
        <row r="774">
          <cell r="I774" t="str">
            <v>MW0MW47752RBT</v>
          </cell>
        </row>
        <row r="774">
          <cell r="T774">
            <v>20</v>
          </cell>
        </row>
        <row r="775">
          <cell r="C775" t="str">
            <v>新疆</v>
          </cell>
        </row>
        <row r="775">
          <cell r="I775" t="str">
            <v>MW0MW47752DW5</v>
          </cell>
        </row>
        <row r="775">
          <cell r="T775">
            <v>30</v>
          </cell>
        </row>
        <row r="776">
          <cell r="C776" t="str">
            <v>新疆</v>
          </cell>
        </row>
        <row r="776">
          <cell r="I776" t="str">
            <v>MW0MW47740DW5</v>
          </cell>
        </row>
        <row r="776">
          <cell r="T776">
            <v>100</v>
          </cell>
        </row>
        <row r="777">
          <cell r="C777" t="str">
            <v>新疆</v>
          </cell>
        </row>
        <row r="777">
          <cell r="I777" t="str">
            <v>MW0MW47740AEG</v>
          </cell>
        </row>
        <row r="777">
          <cell r="T777">
            <v>60</v>
          </cell>
        </row>
        <row r="778">
          <cell r="C778" t="str">
            <v>新疆</v>
          </cell>
        </row>
        <row r="778">
          <cell r="I778" t="str">
            <v>MW0MW44353C3I</v>
          </cell>
        </row>
        <row r="778">
          <cell r="T778">
            <v>20</v>
          </cell>
        </row>
        <row r="779">
          <cell r="C779" t="str">
            <v>新疆</v>
          </cell>
        </row>
        <row r="779">
          <cell r="I779" t="str">
            <v>MW0MW42352YCF</v>
          </cell>
        </row>
        <row r="779">
          <cell r="T779">
            <v>0</v>
          </cell>
        </row>
        <row r="780">
          <cell r="C780" t="str">
            <v>新疆</v>
          </cell>
        </row>
        <row r="780">
          <cell r="I780" t="str">
            <v>MW0MW470210QJ</v>
          </cell>
        </row>
        <row r="780">
          <cell r="T780">
            <v>0</v>
          </cell>
        </row>
        <row r="781">
          <cell r="C781" t="str">
            <v>新疆</v>
          </cell>
        </row>
        <row r="781">
          <cell r="I781" t="str">
            <v>MW0MW46303MSX</v>
          </cell>
        </row>
        <row r="781">
          <cell r="T781">
            <v>20</v>
          </cell>
        </row>
        <row r="782">
          <cell r="C782" t="str">
            <v>新疆</v>
          </cell>
        </row>
        <row r="782">
          <cell r="I782" t="str">
            <v>MW0MW46303AEH</v>
          </cell>
        </row>
        <row r="782">
          <cell r="T782">
            <v>30</v>
          </cell>
        </row>
        <row r="783">
          <cell r="C783" t="str">
            <v>新疆</v>
          </cell>
        </row>
        <row r="783">
          <cell r="I783" t="str">
            <v>MW0MW46877DW5</v>
          </cell>
        </row>
        <row r="783">
          <cell r="T783">
            <v>0</v>
          </cell>
        </row>
        <row r="784">
          <cell r="C784" t="str">
            <v>新疆</v>
          </cell>
        </row>
        <row r="784">
          <cell r="I784" t="str">
            <v>MW0MW46877Z00</v>
          </cell>
        </row>
        <row r="784">
          <cell r="T784">
            <v>0</v>
          </cell>
        </row>
        <row r="785">
          <cell r="C785" t="str">
            <v>新疆</v>
          </cell>
        </row>
        <row r="785">
          <cell r="I785" t="str">
            <v>UM0UM040910MT</v>
          </cell>
        </row>
        <row r="785">
          <cell r="T785">
            <v>0</v>
          </cell>
        </row>
        <row r="786">
          <cell r="C786" t="str">
            <v>新疆</v>
          </cell>
        </row>
        <row r="786">
          <cell r="I786" t="str">
            <v>UM0UM03935C7E</v>
          </cell>
        </row>
        <row r="786">
          <cell r="T786">
            <v>0</v>
          </cell>
        </row>
        <row r="787">
          <cell r="C787" t="str">
            <v>新疆</v>
          </cell>
        </row>
        <row r="787">
          <cell r="I787" t="str">
            <v>UM0UM0376809J</v>
          </cell>
        </row>
        <row r="787">
          <cell r="T787">
            <v>0</v>
          </cell>
        </row>
        <row r="788">
          <cell r="C788" t="str">
            <v>新疆</v>
          </cell>
        </row>
        <row r="788">
          <cell r="I788" t="str">
            <v>UM0UM03768068</v>
          </cell>
        </row>
        <row r="788">
          <cell r="T788">
            <v>0</v>
          </cell>
        </row>
        <row r="789">
          <cell r="C789" t="str">
            <v>新疆</v>
          </cell>
        </row>
        <row r="789">
          <cell r="I789" t="str">
            <v>UM0UM03755069</v>
          </cell>
        </row>
        <row r="789">
          <cell r="T789">
            <v>80</v>
          </cell>
        </row>
        <row r="790">
          <cell r="C790" t="str">
            <v>新疆</v>
          </cell>
        </row>
        <row r="790">
          <cell r="I790" t="str">
            <v>UM0UM0375506B</v>
          </cell>
        </row>
        <row r="790">
          <cell r="T790">
            <v>80</v>
          </cell>
        </row>
        <row r="791">
          <cell r="C791" t="str">
            <v>新疆</v>
          </cell>
        </row>
        <row r="791">
          <cell r="I791" t="str">
            <v>UM0UM0398106P</v>
          </cell>
        </row>
        <row r="791">
          <cell r="T791">
            <v>0</v>
          </cell>
        </row>
        <row r="792">
          <cell r="C792" t="str">
            <v>新疆</v>
          </cell>
        </row>
        <row r="792">
          <cell r="I792" t="str">
            <v>UM0UM0413906E</v>
          </cell>
        </row>
        <row r="792">
          <cell r="T792">
            <v>0</v>
          </cell>
        </row>
        <row r="793">
          <cell r="C793" t="str">
            <v>新疆</v>
          </cell>
        </row>
        <row r="793">
          <cell r="I793" t="str">
            <v>UM0UM0413906F</v>
          </cell>
        </row>
        <row r="793">
          <cell r="T793">
            <v>0</v>
          </cell>
        </row>
        <row r="794">
          <cell r="C794" t="str">
            <v>新疆</v>
          </cell>
        </row>
        <row r="794">
          <cell r="I794" t="str">
            <v>UM0UM038350TY</v>
          </cell>
        </row>
        <row r="794">
          <cell r="T794">
            <v>0</v>
          </cell>
        </row>
        <row r="795">
          <cell r="C795" t="str">
            <v>新疆</v>
          </cell>
        </row>
        <row r="795">
          <cell r="I795" t="str">
            <v>UM0UM039080Y3</v>
          </cell>
        </row>
        <row r="795">
          <cell r="T795">
            <v>0</v>
          </cell>
        </row>
        <row r="796">
          <cell r="C796" t="str">
            <v>新疆</v>
          </cell>
        </row>
        <row r="796">
          <cell r="I796" t="str">
            <v>UM0UM038890VA</v>
          </cell>
        </row>
        <row r="796">
          <cell r="T796">
            <v>0</v>
          </cell>
        </row>
        <row r="797">
          <cell r="C797" t="str">
            <v>新疆</v>
          </cell>
        </row>
        <row r="797">
          <cell r="I797" t="str">
            <v>UM0UM0388206K</v>
          </cell>
        </row>
        <row r="797">
          <cell r="T797">
            <v>0</v>
          </cell>
        </row>
        <row r="798">
          <cell r="C798" t="str">
            <v>新疆</v>
          </cell>
        </row>
        <row r="798">
          <cell r="I798" t="str">
            <v>UM0UM0388206I</v>
          </cell>
        </row>
        <row r="798">
          <cell r="T798">
            <v>50</v>
          </cell>
        </row>
        <row r="799">
          <cell r="C799" t="str">
            <v>新疆</v>
          </cell>
        </row>
        <row r="799">
          <cell r="I799" t="str">
            <v>UM0UM042150WE</v>
          </cell>
        </row>
        <row r="799">
          <cell r="T799">
            <v>0</v>
          </cell>
        </row>
        <row r="800">
          <cell r="C800" t="str">
            <v>新疆</v>
          </cell>
        </row>
        <row r="800">
          <cell r="I800" t="str">
            <v>UM0UM0387706I</v>
          </cell>
        </row>
        <row r="800">
          <cell r="T800">
            <v>80</v>
          </cell>
        </row>
        <row r="801">
          <cell r="C801" t="str">
            <v>新疆</v>
          </cell>
        </row>
        <row r="801">
          <cell r="I801" t="str">
            <v>UM0UM042310YV</v>
          </cell>
        </row>
        <row r="801">
          <cell r="T801">
            <v>0</v>
          </cell>
        </row>
        <row r="802">
          <cell r="C802" t="str">
            <v>新疆</v>
          </cell>
        </row>
        <row r="802">
          <cell r="I802" t="str">
            <v>WW0WW53302YBH</v>
          </cell>
        </row>
        <row r="802">
          <cell r="T802">
            <v>20</v>
          </cell>
        </row>
        <row r="803">
          <cell r="C803" t="str">
            <v>新疆</v>
          </cell>
        </row>
        <row r="803">
          <cell r="I803" t="str">
            <v>WW0WW54522ABN</v>
          </cell>
        </row>
        <row r="803">
          <cell r="T803">
            <v>20</v>
          </cell>
        </row>
        <row r="804">
          <cell r="C804" t="str">
            <v>新疆</v>
          </cell>
        </row>
        <row r="804">
          <cell r="I804" t="str">
            <v>WW0WW54522GSY</v>
          </cell>
        </row>
        <row r="804">
          <cell r="T804">
            <v>8</v>
          </cell>
        </row>
        <row r="805">
          <cell r="C805" t="str">
            <v>新疆</v>
          </cell>
        </row>
        <row r="805">
          <cell r="I805" t="str">
            <v>WW0WW53305ABN</v>
          </cell>
        </row>
        <row r="805">
          <cell r="T805">
            <v>12</v>
          </cell>
        </row>
        <row r="806">
          <cell r="C806" t="str">
            <v>新疆</v>
          </cell>
        </row>
        <row r="806">
          <cell r="I806" t="str">
            <v>WW0WW53305GSY</v>
          </cell>
        </row>
        <row r="806">
          <cell r="T806">
            <v>8</v>
          </cell>
        </row>
        <row r="807">
          <cell r="C807" t="str">
            <v>新疆</v>
          </cell>
        </row>
        <row r="807">
          <cell r="I807" t="str">
            <v>WW0WW53908ABN</v>
          </cell>
        </row>
        <row r="807">
          <cell r="T807">
            <v>40</v>
          </cell>
        </row>
        <row r="808">
          <cell r="C808" t="str">
            <v>新疆</v>
          </cell>
        </row>
        <row r="808">
          <cell r="I808" t="str">
            <v>WW0WW53908GSY</v>
          </cell>
        </row>
        <row r="808">
          <cell r="T808">
            <v>12</v>
          </cell>
        </row>
        <row r="809">
          <cell r="C809" t="str">
            <v>新疆</v>
          </cell>
        </row>
        <row r="809">
          <cell r="I809" t="str">
            <v>WW0WW53535H0C</v>
          </cell>
        </row>
        <row r="809">
          <cell r="T809">
            <v>12</v>
          </cell>
        </row>
        <row r="810">
          <cell r="C810" t="str">
            <v>新疆</v>
          </cell>
        </row>
        <row r="810">
          <cell r="I810" t="str">
            <v>WW0WW45725C1G</v>
          </cell>
        </row>
        <row r="810">
          <cell r="T810">
            <v>0</v>
          </cell>
        </row>
        <row r="811">
          <cell r="C811" t="str">
            <v>新疆</v>
          </cell>
        </row>
        <row r="811">
          <cell r="I811" t="str">
            <v>WW0WW45725RBT</v>
          </cell>
        </row>
        <row r="811">
          <cell r="T811">
            <v>0</v>
          </cell>
        </row>
        <row r="812">
          <cell r="C812" t="str">
            <v>新疆</v>
          </cell>
        </row>
        <row r="812">
          <cell r="I812" t="str">
            <v>WW0WW535460MW</v>
          </cell>
        </row>
        <row r="812">
          <cell r="T812">
            <v>0</v>
          </cell>
        </row>
        <row r="813">
          <cell r="C813" t="str">
            <v>新疆</v>
          </cell>
        </row>
        <row r="813">
          <cell r="I813" t="str">
            <v>WW0WW539570LD</v>
          </cell>
        </row>
        <row r="813">
          <cell r="T813">
            <v>40</v>
          </cell>
        </row>
        <row r="814">
          <cell r="C814" t="str">
            <v>新疆</v>
          </cell>
        </row>
        <row r="814">
          <cell r="I814" t="str">
            <v>WW0WW53620ABN</v>
          </cell>
        </row>
        <row r="814">
          <cell r="T814">
            <v>20</v>
          </cell>
        </row>
        <row r="815">
          <cell r="C815" t="str">
            <v>新疆</v>
          </cell>
        </row>
        <row r="815">
          <cell r="I815" t="str">
            <v>WW0WW53956ZHD</v>
          </cell>
        </row>
        <row r="815">
          <cell r="T815">
            <v>0</v>
          </cell>
        </row>
        <row r="816">
          <cell r="C816" t="str">
            <v>新疆</v>
          </cell>
        </row>
        <row r="816">
          <cell r="I816" t="str">
            <v>WW0WW53956YA8</v>
          </cell>
        </row>
        <row r="816">
          <cell r="T816">
            <v>0</v>
          </cell>
        </row>
        <row r="817">
          <cell r="C817" t="str">
            <v>新疆</v>
          </cell>
        </row>
        <row r="817">
          <cell r="I817" t="str">
            <v>WW0WW54103RBV</v>
          </cell>
        </row>
        <row r="817">
          <cell r="T817">
            <v>60</v>
          </cell>
        </row>
        <row r="818">
          <cell r="C818" t="str">
            <v>新疆</v>
          </cell>
        </row>
        <row r="818">
          <cell r="I818" t="str">
            <v>WW0WW54103C1G</v>
          </cell>
        </row>
        <row r="818">
          <cell r="T818">
            <v>0</v>
          </cell>
        </row>
        <row r="819">
          <cell r="C819" t="str">
            <v>新疆</v>
          </cell>
        </row>
        <row r="819">
          <cell r="I819" t="str">
            <v>WW0WW4726304K</v>
          </cell>
        </row>
        <row r="819">
          <cell r="T819">
            <v>20</v>
          </cell>
        </row>
        <row r="820">
          <cell r="C820" t="str">
            <v>新疆</v>
          </cell>
        </row>
        <row r="820">
          <cell r="I820" t="str">
            <v>WW0WW472630FV</v>
          </cell>
        </row>
        <row r="820">
          <cell r="T820">
            <v>30</v>
          </cell>
        </row>
        <row r="821">
          <cell r="C821" t="str">
            <v>新疆</v>
          </cell>
        </row>
        <row r="821">
          <cell r="I821" t="str">
            <v>WW0WW46111YCF</v>
          </cell>
        </row>
        <row r="821">
          <cell r="T821">
            <v>60</v>
          </cell>
        </row>
        <row r="822">
          <cell r="C822" t="str">
            <v>新疆</v>
          </cell>
        </row>
        <row r="822">
          <cell r="I822" t="str">
            <v>WW0WW499400CO</v>
          </cell>
        </row>
        <row r="822">
          <cell r="T822">
            <v>0</v>
          </cell>
        </row>
        <row r="823">
          <cell r="C823" t="str">
            <v>新疆</v>
          </cell>
        </row>
        <row r="823">
          <cell r="I823" t="str">
            <v>WW0WW50855ZHD</v>
          </cell>
        </row>
        <row r="823">
          <cell r="T823">
            <v>0</v>
          </cell>
        </row>
        <row r="824">
          <cell r="C824" t="str">
            <v>新疆</v>
          </cell>
        </row>
        <row r="824">
          <cell r="I824" t="str">
            <v>WW0WW4561203K</v>
          </cell>
        </row>
        <row r="824">
          <cell r="T824">
            <v>0</v>
          </cell>
        </row>
        <row r="825">
          <cell r="C825" t="str">
            <v>新疆</v>
          </cell>
        </row>
        <row r="825">
          <cell r="I825" t="str">
            <v>WW0WW44679YBH</v>
          </cell>
        </row>
        <row r="825">
          <cell r="T825">
            <v>200</v>
          </cell>
        </row>
        <row r="826">
          <cell r="C826" t="str">
            <v>新疆</v>
          </cell>
        </row>
        <row r="826">
          <cell r="I826" t="str">
            <v>WW0WW44679C7E</v>
          </cell>
        </row>
        <row r="826">
          <cell r="T826">
            <v>50</v>
          </cell>
        </row>
        <row r="827">
          <cell r="C827" t="str">
            <v>新疆</v>
          </cell>
        </row>
        <row r="827">
          <cell r="I827" t="str">
            <v>WW0WW44679C1P</v>
          </cell>
        </row>
        <row r="827">
          <cell r="T827">
            <v>60</v>
          </cell>
        </row>
        <row r="828">
          <cell r="C828" t="str">
            <v>新疆</v>
          </cell>
        </row>
        <row r="828">
          <cell r="I828" t="str">
            <v>WW0WW44679ABL</v>
          </cell>
        </row>
        <row r="828">
          <cell r="T828">
            <v>80</v>
          </cell>
        </row>
        <row r="829">
          <cell r="C829" t="str">
            <v>新疆</v>
          </cell>
        </row>
        <row r="829">
          <cell r="I829" t="str">
            <v>WW0WW44679GSY</v>
          </cell>
        </row>
        <row r="829">
          <cell r="T829">
            <v>50</v>
          </cell>
        </row>
        <row r="830">
          <cell r="C830" t="str">
            <v>新疆</v>
          </cell>
        </row>
        <row r="830">
          <cell r="I830" t="str">
            <v>WW0WW446790FZ</v>
          </cell>
        </row>
        <row r="830">
          <cell r="T830">
            <v>30</v>
          </cell>
        </row>
        <row r="831">
          <cell r="C831" t="str">
            <v>新疆</v>
          </cell>
        </row>
        <row r="831">
          <cell r="I831" t="str">
            <v>WW0WW446790ED</v>
          </cell>
        </row>
        <row r="831">
          <cell r="T831">
            <v>30</v>
          </cell>
        </row>
        <row r="832">
          <cell r="C832" t="str">
            <v>新疆</v>
          </cell>
        </row>
        <row r="832">
          <cell r="I832" t="str">
            <v>WW0WW4467907D</v>
          </cell>
        </row>
        <row r="832">
          <cell r="T832">
            <v>40</v>
          </cell>
        </row>
        <row r="833">
          <cell r="C833" t="str">
            <v>新疆</v>
          </cell>
        </row>
        <row r="833">
          <cell r="I833" t="str">
            <v>WW0WW529931AH</v>
          </cell>
        </row>
        <row r="833">
          <cell r="T833">
            <v>40</v>
          </cell>
        </row>
        <row r="834">
          <cell r="C834" t="str">
            <v>新疆</v>
          </cell>
        </row>
        <row r="834">
          <cell r="I834" t="str">
            <v>WW0WW539850AA</v>
          </cell>
        </row>
        <row r="834">
          <cell r="T834">
            <v>40</v>
          </cell>
        </row>
        <row r="835">
          <cell r="C835" t="str">
            <v>新疆</v>
          </cell>
        </row>
        <row r="835">
          <cell r="I835" t="str">
            <v>WW0WW5449307U</v>
          </cell>
        </row>
        <row r="835">
          <cell r="T835">
            <v>0</v>
          </cell>
        </row>
        <row r="836">
          <cell r="C836" t="str">
            <v>新疆</v>
          </cell>
        </row>
        <row r="836">
          <cell r="I836" t="str">
            <v>WW0WW544930FX</v>
          </cell>
        </row>
        <row r="836">
          <cell r="T836">
            <v>12</v>
          </cell>
        </row>
        <row r="837">
          <cell r="C837" t="str">
            <v>新疆</v>
          </cell>
        </row>
        <row r="837">
          <cell r="I837" t="str">
            <v>WW0WW535870FM</v>
          </cell>
        </row>
        <row r="837">
          <cell r="T837">
            <v>30</v>
          </cell>
        </row>
        <row r="838">
          <cell r="C838" t="str">
            <v>新疆</v>
          </cell>
        </row>
        <row r="838">
          <cell r="I838" t="str">
            <v>WW0WW535531BE</v>
          </cell>
        </row>
        <row r="838">
          <cell r="T838">
            <v>30</v>
          </cell>
        </row>
        <row r="839">
          <cell r="C839" t="str">
            <v>新疆</v>
          </cell>
        </row>
        <row r="839">
          <cell r="I839" t="str">
            <v>WW0WW53577GSY</v>
          </cell>
        </row>
        <row r="839">
          <cell r="T839">
            <v>6</v>
          </cell>
        </row>
        <row r="840">
          <cell r="C840" t="str">
            <v>新疆</v>
          </cell>
        </row>
        <row r="840">
          <cell r="I840" t="str">
            <v>WW0WW53577ABL</v>
          </cell>
        </row>
        <row r="840">
          <cell r="T840">
            <v>6</v>
          </cell>
        </row>
        <row r="841">
          <cell r="C841" t="str">
            <v>新疆</v>
          </cell>
        </row>
        <row r="841">
          <cell r="I841" t="str">
            <v>WW0WW49338C1G</v>
          </cell>
        </row>
        <row r="841">
          <cell r="T841">
            <v>0</v>
          </cell>
        </row>
        <row r="842">
          <cell r="C842" t="str">
            <v>新疆</v>
          </cell>
        </row>
        <row r="842">
          <cell r="I842" t="str">
            <v>WW0WW49338YBL</v>
          </cell>
        </row>
        <row r="842">
          <cell r="T842">
            <v>150</v>
          </cell>
        </row>
        <row r="843">
          <cell r="C843" t="str">
            <v>新疆</v>
          </cell>
        </row>
        <row r="843">
          <cell r="I843" t="str">
            <v>WW0WW49338TPG</v>
          </cell>
        </row>
        <row r="843">
          <cell r="T843">
            <v>0</v>
          </cell>
        </row>
        <row r="844">
          <cell r="C844" t="str">
            <v>新疆</v>
          </cell>
        </row>
        <row r="844">
          <cell r="I844" t="str">
            <v>WW0WW5478705A</v>
          </cell>
        </row>
        <row r="844">
          <cell r="T844">
            <v>0</v>
          </cell>
        </row>
        <row r="845">
          <cell r="C845" t="str">
            <v>新疆</v>
          </cell>
        </row>
        <row r="845">
          <cell r="I845" t="str">
            <v>WW0WW547870BF</v>
          </cell>
        </row>
        <row r="845">
          <cell r="T845">
            <v>0</v>
          </cell>
        </row>
        <row r="846">
          <cell r="C846" t="str">
            <v>新疆</v>
          </cell>
        </row>
        <row r="846">
          <cell r="I846" t="str">
            <v>WW0WW5478804S</v>
          </cell>
        </row>
        <row r="846">
          <cell r="T846">
            <v>20</v>
          </cell>
        </row>
        <row r="847">
          <cell r="C847" t="str">
            <v>新疆</v>
          </cell>
        </row>
        <row r="847">
          <cell r="I847" t="str">
            <v>WW0WW547880AP</v>
          </cell>
        </row>
        <row r="847">
          <cell r="T847">
            <v>30</v>
          </cell>
        </row>
        <row r="848">
          <cell r="C848" t="str">
            <v>新疆</v>
          </cell>
        </row>
        <row r="848">
          <cell r="I848" t="str">
            <v>WW0WW5356204S</v>
          </cell>
        </row>
        <row r="848">
          <cell r="T848">
            <v>0</v>
          </cell>
        </row>
        <row r="849">
          <cell r="C849" t="str">
            <v>新疆</v>
          </cell>
        </row>
        <row r="849">
          <cell r="I849" t="str">
            <v>WW0WW535620BF</v>
          </cell>
        </row>
        <row r="849">
          <cell r="T849">
            <v>0</v>
          </cell>
        </row>
        <row r="850">
          <cell r="C850" t="str">
            <v>新疆</v>
          </cell>
        </row>
        <row r="850">
          <cell r="I850" t="str">
            <v>WW0WW5350804P</v>
          </cell>
        </row>
        <row r="850">
          <cell r="T850">
            <v>0</v>
          </cell>
        </row>
        <row r="851">
          <cell r="C851" t="str">
            <v>新疆</v>
          </cell>
        </row>
        <row r="851">
          <cell r="I851" t="str">
            <v>WW0WW5350804Q</v>
          </cell>
        </row>
        <row r="851">
          <cell r="T851">
            <v>12</v>
          </cell>
        </row>
        <row r="852">
          <cell r="C852" t="str">
            <v>新疆</v>
          </cell>
        </row>
        <row r="852">
          <cell r="I852" t="str">
            <v>WW0WW4058704W</v>
          </cell>
        </row>
        <row r="852">
          <cell r="T852">
            <v>60</v>
          </cell>
        </row>
        <row r="853">
          <cell r="C853" t="str">
            <v>新疆</v>
          </cell>
        </row>
        <row r="853">
          <cell r="I853" t="str">
            <v>WW0WW405870FA</v>
          </cell>
        </row>
        <row r="853">
          <cell r="T853">
            <v>0</v>
          </cell>
        </row>
        <row r="854">
          <cell r="C854" t="str">
            <v>新疆</v>
          </cell>
        </row>
        <row r="854">
          <cell r="I854" t="str">
            <v>WW0WW40587YBL</v>
          </cell>
        </row>
        <row r="854">
          <cell r="T854">
            <v>0</v>
          </cell>
        </row>
        <row r="855">
          <cell r="C855" t="str">
            <v>新疆</v>
          </cell>
        </row>
        <row r="855">
          <cell r="I855" t="str">
            <v>WW0WW41893YCF</v>
          </cell>
        </row>
        <row r="855">
          <cell r="T855">
            <v>100</v>
          </cell>
        </row>
        <row r="856">
          <cell r="C856" t="str">
            <v>新疆</v>
          </cell>
        </row>
        <row r="856">
          <cell r="I856" t="str">
            <v>WW0WW418930AP</v>
          </cell>
        </row>
        <row r="856">
          <cell r="T856">
            <v>80</v>
          </cell>
        </row>
        <row r="857">
          <cell r="C857" t="str">
            <v>新疆</v>
          </cell>
        </row>
        <row r="857">
          <cell r="I857" t="str">
            <v>WW0WW53895YBL</v>
          </cell>
        </row>
        <row r="857">
          <cell r="T857">
            <v>200</v>
          </cell>
        </row>
        <row r="858">
          <cell r="C858" t="str">
            <v>新疆</v>
          </cell>
        </row>
        <row r="858">
          <cell r="I858" t="str">
            <v>WW0WW538950BJ</v>
          </cell>
        </row>
        <row r="858">
          <cell r="T858">
            <v>80</v>
          </cell>
        </row>
        <row r="859">
          <cell r="C859" t="str">
            <v>新疆</v>
          </cell>
        </row>
        <row r="859">
          <cell r="I859" t="str">
            <v>WW0WW5389504S</v>
          </cell>
        </row>
        <row r="859">
          <cell r="T859">
            <v>80</v>
          </cell>
        </row>
        <row r="860">
          <cell r="C860" t="str">
            <v>新疆</v>
          </cell>
        </row>
        <row r="860">
          <cell r="I860" t="str">
            <v>WW0WW5389403T</v>
          </cell>
        </row>
        <row r="860">
          <cell r="T860">
            <v>60</v>
          </cell>
        </row>
        <row r="861">
          <cell r="C861" t="str">
            <v>新疆</v>
          </cell>
        </row>
        <row r="861">
          <cell r="I861" t="str">
            <v>WW0WW53894YBL</v>
          </cell>
        </row>
        <row r="861">
          <cell r="T861">
            <v>80</v>
          </cell>
        </row>
        <row r="862">
          <cell r="C862" t="str">
            <v>新疆</v>
          </cell>
        </row>
        <row r="862">
          <cell r="I862" t="str">
            <v>WW0WW5389404S</v>
          </cell>
        </row>
        <row r="862">
          <cell r="T862">
            <v>0</v>
          </cell>
        </row>
        <row r="863">
          <cell r="C863" t="str">
            <v>新疆</v>
          </cell>
        </row>
        <row r="863">
          <cell r="I863" t="str">
            <v>WW0WW432240AP</v>
          </cell>
        </row>
        <row r="863">
          <cell r="T863">
            <v>0</v>
          </cell>
        </row>
        <row r="864">
          <cell r="C864" t="str">
            <v>新疆</v>
          </cell>
        </row>
        <row r="864">
          <cell r="I864" t="str">
            <v>WW0WW4322404S</v>
          </cell>
        </row>
        <row r="864">
          <cell r="T864">
            <v>0</v>
          </cell>
        </row>
        <row r="865">
          <cell r="C865" t="str">
            <v>新疆</v>
          </cell>
        </row>
        <row r="865">
          <cell r="I865" t="str">
            <v>WW0WW4322404X</v>
          </cell>
        </row>
        <row r="865">
          <cell r="T865">
            <v>0</v>
          </cell>
        </row>
        <row r="866">
          <cell r="C866" t="str">
            <v>新疆</v>
          </cell>
        </row>
        <row r="866">
          <cell r="I866" t="str">
            <v>WW0WW5358804W</v>
          </cell>
        </row>
        <row r="866">
          <cell r="T866">
            <v>80</v>
          </cell>
        </row>
        <row r="867">
          <cell r="C867" t="str">
            <v>新疆</v>
          </cell>
        </row>
        <row r="867">
          <cell r="I867" t="str">
            <v>WW0WW53588C1G</v>
          </cell>
        </row>
        <row r="867">
          <cell r="T867">
            <v>60</v>
          </cell>
        </row>
        <row r="868">
          <cell r="C868" t="str">
            <v>新疆</v>
          </cell>
        </row>
        <row r="868">
          <cell r="I868" t="str">
            <v>WW0WW53591C1G</v>
          </cell>
        </row>
        <row r="868">
          <cell r="T868">
            <v>0</v>
          </cell>
        </row>
        <row r="869">
          <cell r="C869" t="str">
            <v>新疆</v>
          </cell>
        </row>
        <row r="869">
          <cell r="I869" t="str">
            <v>WW0WW53591YBL</v>
          </cell>
        </row>
        <row r="869">
          <cell r="T869">
            <v>0</v>
          </cell>
        </row>
        <row r="870">
          <cell r="C870" t="str">
            <v>新疆</v>
          </cell>
        </row>
        <row r="870">
          <cell r="I870" t="str">
            <v>WW0WW5359304P</v>
          </cell>
        </row>
        <row r="870">
          <cell r="T870">
            <v>0</v>
          </cell>
        </row>
        <row r="871">
          <cell r="C871" t="str">
            <v>新疆</v>
          </cell>
        </row>
        <row r="871">
          <cell r="I871" t="str">
            <v>WW0WW53593YBL</v>
          </cell>
        </row>
        <row r="871">
          <cell r="T871">
            <v>0</v>
          </cell>
        </row>
        <row r="872">
          <cell r="C872" t="str">
            <v>新疆</v>
          </cell>
        </row>
        <row r="872">
          <cell r="I872" t="str">
            <v>WW0WW53773YBL</v>
          </cell>
        </row>
        <row r="872">
          <cell r="T872">
            <v>40</v>
          </cell>
        </row>
        <row r="873">
          <cell r="C873" t="str">
            <v>新疆</v>
          </cell>
        </row>
        <row r="873">
          <cell r="I873" t="str">
            <v>WW0WW53773C1G</v>
          </cell>
        </row>
        <row r="873">
          <cell r="T873">
            <v>40</v>
          </cell>
        </row>
        <row r="874">
          <cell r="C874" t="str">
            <v>新疆</v>
          </cell>
        </row>
        <row r="874">
          <cell r="I874" t="str">
            <v>WW0WW5479105A</v>
          </cell>
        </row>
        <row r="874">
          <cell r="T874">
            <v>0</v>
          </cell>
        </row>
        <row r="875">
          <cell r="C875" t="str">
            <v>新疆</v>
          </cell>
        </row>
        <row r="875">
          <cell r="I875" t="str">
            <v>WW0WW547910BF</v>
          </cell>
        </row>
        <row r="875">
          <cell r="T875">
            <v>0</v>
          </cell>
        </row>
        <row r="876">
          <cell r="C876" t="str">
            <v>新疆</v>
          </cell>
        </row>
        <row r="876">
          <cell r="I876" t="str">
            <v>WW0WW4924703L</v>
          </cell>
        </row>
        <row r="876">
          <cell r="T876">
            <v>0</v>
          </cell>
        </row>
        <row r="877">
          <cell r="C877" t="str">
            <v>新疆</v>
          </cell>
        </row>
        <row r="877">
          <cell r="I877" t="str">
            <v>WW0WW54822C1G</v>
          </cell>
        </row>
        <row r="877">
          <cell r="T877">
            <v>80</v>
          </cell>
        </row>
        <row r="878">
          <cell r="C878" t="str">
            <v>新疆</v>
          </cell>
        </row>
        <row r="878">
          <cell r="I878" t="str">
            <v>WW0WW54822C1O</v>
          </cell>
        </row>
        <row r="878">
          <cell r="T878">
            <v>80</v>
          </cell>
        </row>
        <row r="879">
          <cell r="C879" t="str">
            <v>新疆</v>
          </cell>
        </row>
        <row r="879">
          <cell r="I879" t="str">
            <v>WW0WW54822LV6</v>
          </cell>
        </row>
        <row r="879">
          <cell r="T879">
            <v>30</v>
          </cell>
        </row>
        <row r="880">
          <cell r="C880" t="str">
            <v>新疆</v>
          </cell>
        </row>
        <row r="880">
          <cell r="I880" t="str">
            <v>WW0WW54822Z00</v>
          </cell>
        </row>
        <row r="880">
          <cell r="T880">
            <v>200</v>
          </cell>
        </row>
        <row r="881">
          <cell r="C881" t="str">
            <v>新疆</v>
          </cell>
        </row>
        <row r="881">
          <cell r="I881" t="str">
            <v>WW0WW54822TOG</v>
          </cell>
        </row>
        <row r="881">
          <cell r="T881">
            <v>50</v>
          </cell>
        </row>
        <row r="882">
          <cell r="C882" t="str">
            <v>新疆</v>
          </cell>
        </row>
        <row r="882">
          <cell r="I882" t="str">
            <v>WW0WW54822ZHD</v>
          </cell>
        </row>
        <row r="882">
          <cell r="T882">
            <v>80</v>
          </cell>
        </row>
        <row r="883">
          <cell r="C883" t="str">
            <v>新疆</v>
          </cell>
        </row>
        <row r="883">
          <cell r="I883" t="str">
            <v>WW0WW54826ZHD</v>
          </cell>
        </row>
        <row r="883">
          <cell r="T883">
            <v>30</v>
          </cell>
        </row>
        <row r="884">
          <cell r="C884" t="str">
            <v>新疆</v>
          </cell>
        </row>
        <row r="884">
          <cell r="I884" t="str">
            <v>WW0WW54826TOG</v>
          </cell>
        </row>
        <row r="884">
          <cell r="T884">
            <v>20</v>
          </cell>
        </row>
        <row r="885">
          <cell r="C885" t="str">
            <v>新疆</v>
          </cell>
        </row>
        <row r="885">
          <cell r="I885" t="str">
            <v>WW0WW54826Z00</v>
          </cell>
        </row>
        <row r="885">
          <cell r="T885">
            <v>80</v>
          </cell>
        </row>
        <row r="886">
          <cell r="C886" t="str">
            <v>新疆</v>
          </cell>
        </row>
        <row r="886">
          <cell r="I886" t="str">
            <v>WW0WW54826C1O</v>
          </cell>
        </row>
        <row r="886">
          <cell r="T886">
            <v>30</v>
          </cell>
        </row>
        <row r="887">
          <cell r="C887" t="str">
            <v>新疆</v>
          </cell>
        </row>
        <row r="887">
          <cell r="I887" t="str">
            <v>WW0WW45707Z00</v>
          </cell>
        </row>
        <row r="887">
          <cell r="T887">
            <v>100</v>
          </cell>
        </row>
        <row r="888">
          <cell r="C888" t="str">
            <v>新疆</v>
          </cell>
        </row>
        <row r="888">
          <cell r="I888" t="str">
            <v>WW0WW45707C1O</v>
          </cell>
        </row>
        <row r="888">
          <cell r="T888">
            <v>50</v>
          </cell>
        </row>
        <row r="889">
          <cell r="C889" t="str">
            <v>新疆</v>
          </cell>
        </row>
        <row r="889">
          <cell r="I889" t="str">
            <v>WW0WW45707C1G</v>
          </cell>
        </row>
        <row r="889">
          <cell r="T889">
            <v>40</v>
          </cell>
        </row>
        <row r="890">
          <cell r="C890" t="str">
            <v>新疆</v>
          </cell>
        </row>
        <row r="890">
          <cell r="I890" t="str">
            <v>WW0WW54466Z00</v>
          </cell>
        </row>
        <row r="890">
          <cell r="T890">
            <v>0</v>
          </cell>
        </row>
        <row r="891">
          <cell r="C891" t="str">
            <v>新疆</v>
          </cell>
        </row>
        <row r="891">
          <cell r="I891" t="str">
            <v>WW0WW536140X5</v>
          </cell>
        </row>
        <row r="891">
          <cell r="T891">
            <v>20</v>
          </cell>
        </row>
        <row r="892">
          <cell r="C892" t="str">
            <v>新疆</v>
          </cell>
        </row>
        <row r="892">
          <cell r="I892" t="str">
            <v>WW0WW5361404T</v>
          </cell>
        </row>
        <row r="892">
          <cell r="T892">
            <v>80</v>
          </cell>
        </row>
        <row r="893">
          <cell r="C893" t="str">
            <v>新疆</v>
          </cell>
        </row>
        <row r="893">
          <cell r="I893" t="str">
            <v>WW0WW54490C1G</v>
          </cell>
        </row>
        <row r="893">
          <cell r="T893">
            <v>60</v>
          </cell>
        </row>
        <row r="894">
          <cell r="C894" t="str">
            <v>新疆</v>
          </cell>
        </row>
        <row r="894">
          <cell r="I894" t="str">
            <v>WW0WW54490Z00</v>
          </cell>
        </row>
        <row r="894">
          <cell r="T894">
            <v>100</v>
          </cell>
        </row>
        <row r="895">
          <cell r="C895" t="str">
            <v>新疆</v>
          </cell>
        </row>
        <row r="895">
          <cell r="I895" t="str">
            <v>WW0WW53153C1G</v>
          </cell>
        </row>
        <row r="895">
          <cell r="T895">
            <v>60</v>
          </cell>
        </row>
        <row r="896">
          <cell r="C896" t="str">
            <v>新疆</v>
          </cell>
        </row>
        <row r="896">
          <cell r="I896" t="str">
            <v>WW0WW53153Z00</v>
          </cell>
        </row>
        <row r="896">
          <cell r="T896">
            <v>120</v>
          </cell>
        </row>
        <row r="897">
          <cell r="C897" t="str">
            <v>新疆</v>
          </cell>
        </row>
        <row r="897">
          <cell r="I897" t="str">
            <v>WW0WW53153TOL</v>
          </cell>
        </row>
        <row r="897">
          <cell r="T897">
            <v>60</v>
          </cell>
        </row>
        <row r="898">
          <cell r="C898" t="str">
            <v>新疆</v>
          </cell>
        </row>
        <row r="898">
          <cell r="I898" t="str">
            <v>WW0WW53979TOL</v>
          </cell>
        </row>
        <row r="898">
          <cell r="T898">
            <v>30</v>
          </cell>
        </row>
        <row r="899">
          <cell r="C899" t="str">
            <v>新疆</v>
          </cell>
        </row>
        <row r="899">
          <cell r="I899" t="str">
            <v>WW0WW53979Z00</v>
          </cell>
        </row>
        <row r="899">
          <cell r="T899">
            <v>80</v>
          </cell>
        </row>
        <row r="900">
          <cell r="C900" t="str">
            <v>新疆</v>
          </cell>
        </row>
        <row r="900">
          <cell r="I900" t="str">
            <v>WW0WW5404304N</v>
          </cell>
        </row>
        <row r="900">
          <cell r="T900">
            <v>40</v>
          </cell>
        </row>
        <row r="901">
          <cell r="C901" t="str">
            <v>新疆</v>
          </cell>
        </row>
        <row r="901">
          <cell r="I901" t="str">
            <v>WW0WW540430AI</v>
          </cell>
        </row>
        <row r="901">
          <cell r="T901">
            <v>20</v>
          </cell>
        </row>
        <row r="902">
          <cell r="C902" t="str">
            <v>新疆</v>
          </cell>
        </row>
        <row r="902">
          <cell r="I902" t="str">
            <v>WW0WW53151Z00</v>
          </cell>
        </row>
        <row r="902">
          <cell r="T902">
            <v>40</v>
          </cell>
        </row>
        <row r="903">
          <cell r="C903" t="str">
            <v>新疆</v>
          </cell>
        </row>
        <row r="903">
          <cell r="I903" t="str">
            <v>WW0WW53151TOG</v>
          </cell>
        </row>
        <row r="903">
          <cell r="T903">
            <v>20</v>
          </cell>
        </row>
        <row r="904">
          <cell r="C904" t="str">
            <v>新疆</v>
          </cell>
        </row>
        <row r="904">
          <cell r="I904" t="str">
            <v>WW0WW531580BX</v>
          </cell>
        </row>
        <row r="904">
          <cell r="T904">
            <v>20</v>
          </cell>
        </row>
        <row r="905">
          <cell r="C905" t="str">
            <v>新疆</v>
          </cell>
        </row>
        <row r="905">
          <cell r="I905" t="str">
            <v>WW0WW531580BD</v>
          </cell>
        </row>
        <row r="905">
          <cell r="T905">
            <v>40</v>
          </cell>
        </row>
        <row r="906">
          <cell r="C906" t="str">
            <v>新疆</v>
          </cell>
        </row>
        <row r="906">
          <cell r="I906" t="str">
            <v>WW0WW5482507I</v>
          </cell>
        </row>
        <row r="906">
          <cell r="T906">
            <v>0</v>
          </cell>
        </row>
        <row r="907">
          <cell r="C907" t="str">
            <v>新疆</v>
          </cell>
        </row>
        <row r="907">
          <cell r="I907" t="str">
            <v>WW0WW548250AL</v>
          </cell>
        </row>
        <row r="907">
          <cell r="T907">
            <v>60</v>
          </cell>
        </row>
        <row r="908">
          <cell r="C908" t="str">
            <v>新疆</v>
          </cell>
        </row>
        <row r="908">
          <cell r="I908" t="str">
            <v>WW0WW53827Z00</v>
          </cell>
        </row>
        <row r="908">
          <cell r="T908">
            <v>20</v>
          </cell>
        </row>
        <row r="909">
          <cell r="C909" t="str">
            <v>新疆</v>
          </cell>
        </row>
        <row r="909">
          <cell r="I909" t="str">
            <v>WW0WW53827C1G</v>
          </cell>
        </row>
        <row r="909">
          <cell r="T909">
            <v>15</v>
          </cell>
        </row>
        <row r="910">
          <cell r="C910" t="str">
            <v>新疆</v>
          </cell>
        </row>
        <row r="910">
          <cell r="I910" t="str">
            <v>WW0WW531470BF</v>
          </cell>
        </row>
        <row r="910">
          <cell r="T910">
            <v>0</v>
          </cell>
        </row>
        <row r="911">
          <cell r="C911" t="str">
            <v>新疆</v>
          </cell>
        </row>
        <row r="911">
          <cell r="I911" t="str">
            <v>WW0WW53882C1G</v>
          </cell>
        </row>
        <row r="911">
          <cell r="T911">
            <v>12</v>
          </cell>
        </row>
        <row r="912">
          <cell r="C912" t="str">
            <v>新疆</v>
          </cell>
        </row>
        <row r="912">
          <cell r="I912" t="str">
            <v>WW0WW53882Z00</v>
          </cell>
        </row>
        <row r="912">
          <cell r="T912">
            <v>12</v>
          </cell>
        </row>
        <row r="913">
          <cell r="C913" t="str">
            <v>新疆</v>
          </cell>
        </row>
        <row r="913">
          <cell r="I913" t="str">
            <v>WW0WW5484603C</v>
          </cell>
        </row>
        <row r="913">
          <cell r="T913">
            <v>20</v>
          </cell>
        </row>
        <row r="914">
          <cell r="C914" t="str">
            <v>新疆</v>
          </cell>
        </row>
        <row r="914">
          <cell r="I914" t="str">
            <v>WW0WW548460AK</v>
          </cell>
        </row>
        <row r="914">
          <cell r="T914">
            <v>20</v>
          </cell>
        </row>
        <row r="915">
          <cell r="C915" t="str">
            <v>新疆</v>
          </cell>
        </row>
        <row r="915">
          <cell r="I915" t="str">
            <v>WW0WW53142Z00</v>
          </cell>
        </row>
        <row r="915">
          <cell r="T915">
            <v>30</v>
          </cell>
        </row>
        <row r="916">
          <cell r="C916" t="str">
            <v>新疆</v>
          </cell>
        </row>
        <row r="916">
          <cell r="I916" t="str">
            <v>WW0WW53142LV6</v>
          </cell>
        </row>
        <row r="916">
          <cell r="T916">
            <v>20</v>
          </cell>
        </row>
        <row r="917">
          <cell r="C917" t="str">
            <v>新疆</v>
          </cell>
        </row>
        <row r="917">
          <cell r="I917" t="str">
            <v>WW0WW49783Z00</v>
          </cell>
        </row>
        <row r="917">
          <cell r="T917">
            <v>0</v>
          </cell>
        </row>
        <row r="918">
          <cell r="C918" t="str">
            <v>新疆</v>
          </cell>
        </row>
        <row r="918">
          <cell r="I918" t="str">
            <v>WW0WW49783C1G</v>
          </cell>
        </row>
        <row r="918">
          <cell r="T918">
            <v>0</v>
          </cell>
        </row>
        <row r="919">
          <cell r="C919" t="str">
            <v>新疆</v>
          </cell>
        </row>
        <row r="919">
          <cell r="I919" t="str">
            <v>WW0WW49783AEG</v>
          </cell>
        </row>
        <row r="919">
          <cell r="T919">
            <v>0</v>
          </cell>
        </row>
        <row r="920">
          <cell r="C920" t="str">
            <v>新疆</v>
          </cell>
        </row>
        <row r="920">
          <cell r="I920" t="str">
            <v>WW0WW52486YBH</v>
          </cell>
        </row>
        <row r="920">
          <cell r="T920">
            <v>0</v>
          </cell>
        </row>
        <row r="921">
          <cell r="C921" t="str">
            <v>新疆</v>
          </cell>
        </row>
        <row r="921">
          <cell r="I921" t="str">
            <v>WW0WW54456AEG</v>
          </cell>
        </row>
        <row r="921">
          <cell r="T921">
            <v>80</v>
          </cell>
        </row>
        <row r="922">
          <cell r="C922" t="str">
            <v>新疆</v>
          </cell>
        </row>
        <row r="922">
          <cell r="I922" t="str">
            <v>WW0WW54456C1G</v>
          </cell>
        </row>
        <row r="922">
          <cell r="T922">
            <v>40</v>
          </cell>
        </row>
        <row r="923">
          <cell r="C923" t="str">
            <v>新疆</v>
          </cell>
        </row>
        <row r="923">
          <cell r="I923" t="str">
            <v>WW0WW54935YBH</v>
          </cell>
        </row>
        <row r="923">
          <cell r="T923">
            <v>60</v>
          </cell>
        </row>
        <row r="924">
          <cell r="C924" t="str">
            <v>新疆</v>
          </cell>
        </row>
        <row r="924">
          <cell r="I924" t="str">
            <v>WW0WW54935AEG</v>
          </cell>
        </row>
        <row r="924">
          <cell r="T924">
            <v>120</v>
          </cell>
        </row>
        <row r="925">
          <cell r="C925" t="str">
            <v>新疆</v>
          </cell>
        </row>
        <row r="925">
          <cell r="I925" t="str">
            <v>WW0WW54528AEG</v>
          </cell>
        </row>
        <row r="925">
          <cell r="T925">
            <v>40</v>
          </cell>
        </row>
        <row r="926">
          <cell r="C926" t="str">
            <v>新疆</v>
          </cell>
        </row>
        <row r="926">
          <cell r="I926" t="str">
            <v>WW0WW54528C1G</v>
          </cell>
        </row>
        <row r="926">
          <cell r="T926">
            <v>0</v>
          </cell>
        </row>
        <row r="927">
          <cell r="C927" t="str">
            <v>新疆</v>
          </cell>
        </row>
        <row r="927">
          <cell r="I927" t="str">
            <v>WW0WW49599AEG</v>
          </cell>
        </row>
        <row r="927">
          <cell r="T927">
            <v>0</v>
          </cell>
        </row>
        <row r="928">
          <cell r="C928" t="str">
            <v>新疆</v>
          </cell>
        </row>
        <row r="928">
          <cell r="I928" t="str">
            <v>WW0WW53585C7E</v>
          </cell>
        </row>
        <row r="928">
          <cell r="T928">
            <v>30</v>
          </cell>
        </row>
        <row r="929">
          <cell r="C929" t="str">
            <v>新疆</v>
          </cell>
        </row>
        <row r="929">
          <cell r="I929" t="str">
            <v>WW0WW53585ABL</v>
          </cell>
        </row>
        <row r="929">
          <cell r="T929">
            <v>60</v>
          </cell>
        </row>
        <row r="930">
          <cell r="C930" t="str">
            <v>新疆</v>
          </cell>
        </row>
        <row r="930">
          <cell r="I930" t="str">
            <v>WW0WW53585GSY</v>
          </cell>
        </row>
        <row r="930">
          <cell r="T930">
            <v>30</v>
          </cell>
        </row>
        <row r="931">
          <cell r="C931" t="str">
            <v>新疆</v>
          </cell>
        </row>
        <row r="931">
          <cell r="I931" t="str">
            <v>WW0WW545431C2</v>
          </cell>
        </row>
        <row r="931">
          <cell r="T931">
            <v>40</v>
          </cell>
        </row>
        <row r="932">
          <cell r="C932" t="str">
            <v>新疆</v>
          </cell>
        </row>
        <row r="932">
          <cell r="I932" t="str">
            <v>WW0WW5454310D</v>
          </cell>
        </row>
        <row r="932">
          <cell r="T932">
            <v>0</v>
          </cell>
        </row>
        <row r="933">
          <cell r="C933" t="str">
            <v>新疆</v>
          </cell>
        </row>
        <row r="933">
          <cell r="I933" t="str">
            <v>WW0WW540161C3</v>
          </cell>
        </row>
        <row r="933">
          <cell r="T933">
            <v>0</v>
          </cell>
        </row>
        <row r="934">
          <cell r="C934" t="str">
            <v>新疆</v>
          </cell>
        </row>
        <row r="934">
          <cell r="I934" t="str">
            <v>WW0WW540161CT</v>
          </cell>
        </row>
        <row r="934">
          <cell r="T934">
            <v>0</v>
          </cell>
        </row>
        <row r="935">
          <cell r="C935" t="str">
            <v>新疆</v>
          </cell>
        </row>
        <row r="935">
          <cell r="I935" t="str">
            <v>WW0WW5384210D</v>
          </cell>
        </row>
        <row r="935">
          <cell r="T935">
            <v>12</v>
          </cell>
        </row>
        <row r="936">
          <cell r="C936" t="str">
            <v>新疆</v>
          </cell>
        </row>
        <row r="936">
          <cell r="I936" t="str">
            <v>WW0WW53834YBH</v>
          </cell>
        </row>
        <row r="936">
          <cell r="T936">
            <v>12</v>
          </cell>
        </row>
        <row r="937">
          <cell r="C937" t="str">
            <v>新疆</v>
          </cell>
        </row>
        <row r="937">
          <cell r="I937" t="str">
            <v>WW0WW53901C1G</v>
          </cell>
        </row>
        <row r="937">
          <cell r="T937">
            <v>0</v>
          </cell>
        </row>
        <row r="938">
          <cell r="C938" t="str">
            <v>新疆</v>
          </cell>
        </row>
        <row r="938">
          <cell r="I938" t="str">
            <v>WW0WW5390104W</v>
          </cell>
        </row>
        <row r="938">
          <cell r="T938">
            <v>0</v>
          </cell>
        </row>
        <row r="939">
          <cell r="C939" t="str">
            <v>新疆</v>
          </cell>
        </row>
        <row r="939">
          <cell r="I939" t="str">
            <v>WW0WW54450C1G</v>
          </cell>
        </row>
        <row r="939">
          <cell r="T939">
            <v>20</v>
          </cell>
        </row>
        <row r="940">
          <cell r="C940" t="str">
            <v>新疆</v>
          </cell>
        </row>
        <row r="940">
          <cell r="I940" t="str">
            <v>WW0WW544500FE</v>
          </cell>
        </row>
        <row r="940">
          <cell r="T940">
            <v>20</v>
          </cell>
        </row>
        <row r="941">
          <cell r="C941" t="str">
            <v>新疆</v>
          </cell>
        </row>
        <row r="941">
          <cell r="I941" t="str">
            <v>WW0WW53627YBL</v>
          </cell>
        </row>
        <row r="941">
          <cell r="T941">
            <v>0</v>
          </cell>
        </row>
        <row r="942">
          <cell r="C942" t="str">
            <v>新疆</v>
          </cell>
        </row>
        <row r="942">
          <cell r="I942" t="str">
            <v>WW0WW53642C1G</v>
          </cell>
        </row>
        <row r="942">
          <cell r="T942">
            <v>0</v>
          </cell>
        </row>
        <row r="943">
          <cell r="C943" t="str">
            <v>新疆</v>
          </cell>
        </row>
        <row r="943">
          <cell r="I943" t="str">
            <v>WW0WW53880C1G</v>
          </cell>
        </row>
        <row r="943">
          <cell r="T943">
            <v>30</v>
          </cell>
        </row>
        <row r="944">
          <cell r="C944" t="str">
            <v>新疆</v>
          </cell>
        </row>
        <row r="944">
          <cell r="I944" t="str">
            <v>WW0WW53880XL8</v>
          </cell>
        </row>
        <row r="944">
          <cell r="T944">
            <v>3</v>
          </cell>
        </row>
        <row r="945">
          <cell r="C945" t="str">
            <v>新疆</v>
          </cell>
        </row>
        <row r="945">
          <cell r="I945" t="str">
            <v>WW0WW54434C7E</v>
          </cell>
        </row>
        <row r="945">
          <cell r="T945">
            <v>0</v>
          </cell>
        </row>
        <row r="946">
          <cell r="C946" t="str">
            <v>新疆</v>
          </cell>
        </row>
        <row r="946">
          <cell r="I946" t="str">
            <v>WW0WW54434ACJ</v>
          </cell>
        </row>
        <row r="946">
          <cell r="T946">
            <v>0</v>
          </cell>
        </row>
        <row r="947">
          <cell r="C947" t="str">
            <v>新疆</v>
          </cell>
        </row>
        <row r="947">
          <cell r="I947" t="str">
            <v>WW0WW53863C1G</v>
          </cell>
        </row>
        <row r="947">
          <cell r="T947">
            <v>12</v>
          </cell>
        </row>
        <row r="948">
          <cell r="C948" t="str">
            <v>新疆</v>
          </cell>
        </row>
        <row r="948">
          <cell r="I948" t="str">
            <v>WW0WW53863GSY</v>
          </cell>
        </row>
        <row r="948">
          <cell r="T948">
            <v>6</v>
          </cell>
        </row>
        <row r="949">
          <cell r="C949" t="str">
            <v>新疆</v>
          </cell>
        </row>
        <row r="949">
          <cell r="I949" t="str">
            <v>WW0WW548270FS</v>
          </cell>
        </row>
        <row r="949">
          <cell r="T949">
            <v>6</v>
          </cell>
        </row>
        <row r="950">
          <cell r="C950" t="str">
            <v>新疆</v>
          </cell>
        </row>
        <row r="950">
          <cell r="I950" t="str">
            <v>WW0WW548270CO</v>
          </cell>
        </row>
        <row r="950">
          <cell r="T950">
            <v>6</v>
          </cell>
        </row>
        <row r="951">
          <cell r="C951" t="str">
            <v>新疆</v>
          </cell>
        </row>
        <row r="951">
          <cell r="I951" t="str">
            <v>WW0WW5399004U</v>
          </cell>
        </row>
        <row r="951">
          <cell r="T951">
            <v>0</v>
          </cell>
        </row>
        <row r="952">
          <cell r="C952" t="str">
            <v>新疆</v>
          </cell>
        </row>
        <row r="952">
          <cell r="I952" t="str">
            <v>WW0WW54397C7E</v>
          </cell>
        </row>
        <row r="952">
          <cell r="T952">
            <v>0</v>
          </cell>
        </row>
        <row r="953">
          <cell r="C953" t="str">
            <v>新疆</v>
          </cell>
        </row>
        <row r="953">
          <cell r="I953" t="str">
            <v>WW0WW54397ACJ</v>
          </cell>
        </row>
        <row r="953">
          <cell r="T953">
            <v>0</v>
          </cell>
        </row>
        <row r="954">
          <cell r="C954" t="str">
            <v>新疆</v>
          </cell>
        </row>
        <row r="954">
          <cell r="I954" t="str">
            <v>WW0WW54186YBH</v>
          </cell>
        </row>
        <row r="954">
          <cell r="T954">
            <v>0</v>
          </cell>
        </row>
        <row r="955">
          <cell r="C955" t="str">
            <v>新疆</v>
          </cell>
        </row>
        <row r="955">
          <cell r="I955" t="str">
            <v>WW0WW53868C7E</v>
          </cell>
        </row>
        <row r="955">
          <cell r="T955">
            <v>0</v>
          </cell>
        </row>
        <row r="956">
          <cell r="C956" t="str">
            <v>新疆</v>
          </cell>
        </row>
        <row r="956">
          <cell r="I956" t="str">
            <v>WW0WW53868ABL</v>
          </cell>
        </row>
        <row r="956">
          <cell r="T956">
            <v>15</v>
          </cell>
        </row>
        <row r="957">
          <cell r="C957" t="str">
            <v>新疆</v>
          </cell>
        </row>
        <row r="957">
          <cell r="I957" t="str">
            <v>WW0WW54396GSY</v>
          </cell>
        </row>
        <row r="957">
          <cell r="T957">
            <v>30</v>
          </cell>
        </row>
        <row r="958">
          <cell r="C958" t="str">
            <v>新疆</v>
          </cell>
        </row>
        <row r="958">
          <cell r="I958" t="str">
            <v>WW0WW5439607D</v>
          </cell>
        </row>
        <row r="958">
          <cell r="T958">
            <v>12</v>
          </cell>
        </row>
        <row r="959">
          <cell r="C959" t="str">
            <v>新疆</v>
          </cell>
        </row>
        <row r="959">
          <cell r="I959" t="str">
            <v>WW0WW535491AJ</v>
          </cell>
        </row>
        <row r="959">
          <cell r="T959">
            <v>6</v>
          </cell>
        </row>
        <row r="960">
          <cell r="C960" t="str">
            <v>新疆</v>
          </cell>
        </row>
        <row r="960">
          <cell r="I960" t="str">
            <v>WW0WW44770AEG</v>
          </cell>
        </row>
        <row r="960">
          <cell r="T960">
            <v>0</v>
          </cell>
        </row>
        <row r="961">
          <cell r="C961" t="str">
            <v>新疆</v>
          </cell>
        </row>
        <row r="961">
          <cell r="I961" t="str">
            <v>WW0WW44770C1G</v>
          </cell>
        </row>
        <row r="961">
          <cell r="T961">
            <v>0</v>
          </cell>
        </row>
        <row r="962">
          <cell r="C962" t="str">
            <v>新疆</v>
          </cell>
        </row>
        <row r="962">
          <cell r="I962" t="str">
            <v>WW0WW53583C1P</v>
          </cell>
        </row>
        <row r="962">
          <cell r="T962">
            <v>40</v>
          </cell>
        </row>
        <row r="963">
          <cell r="C963" t="str">
            <v>新疆</v>
          </cell>
        </row>
        <row r="963">
          <cell r="I963" t="str">
            <v>WW0WW54847ABN</v>
          </cell>
        </row>
        <row r="963">
          <cell r="T963">
            <v>20</v>
          </cell>
        </row>
        <row r="964">
          <cell r="C964" t="str">
            <v>新疆</v>
          </cell>
        </row>
        <row r="964">
          <cell r="I964" t="str">
            <v>WW0WW54847GSY</v>
          </cell>
        </row>
        <row r="964">
          <cell r="T964">
            <v>20</v>
          </cell>
        </row>
        <row r="965">
          <cell r="C965" t="str">
            <v>新疆</v>
          </cell>
        </row>
        <row r="965">
          <cell r="I965" t="str">
            <v>WW0WW54045YBH</v>
          </cell>
        </row>
        <row r="965">
          <cell r="T965">
            <v>20</v>
          </cell>
        </row>
        <row r="966">
          <cell r="C966" t="str">
            <v>新疆</v>
          </cell>
        </row>
        <row r="966">
          <cell r="I966" t="str">
            <v>WW0WW44739AEG</v>
          </cell>
        </row>
        <row r="966">
          <cell r="T966">
            <v>0</v>
          </cell>
        </row>
        <row r="967">
          <cell r="C967" t="str">
            <v>新疆</v>
          </cell>
        </row>
        <row r="967">
          <cell r="I967" t="str">
            <v>WW0WW44739C1G</v>
          </cell>
        </row>
        <row r="967">
          <cell r="T967">
            <v>0</v>
          </cell>
        </row>
        <row r="968">
          <cell r="C968" t="str">
            <v>新疆</v>
          </cell>
        </row>
        <row r="968">
          <cell r="I968" t="str">
            <v>WW0WW54459AEG</v>
          </cell>
        </row>
        <row r="968">
          <cell r="T968">
            <v>0</v>
          </cell>
        </row>
        <row r="969">
          <cell r="C969" t="str">
            <v>新疆</v>
          </cell>
        </row>
        <row r="969">
          <cell r="I969" t="str">
            <v>WW0WW54459C1G</v>
          </cell>
        </row>
        <row r="969">
          <cell r="T969">
            <v>0</v>
          </cell>
        </row>
        <row r="970">
          <cell r="C970" t="str">
            <v>新疆</v>
          </cell>
        </row>
        <row r="970">
          <cell r="I970" t="str">
            <v>WW0WW54400ACJ</v>
          </cell>
        </row>
        <row r="970">
          <cell r="T970">
            <v>12</v>
          </cell>
        </row>
        <row r="971">
          <cell r="C971" t="str">
            <v>新疆</v>
          </cell>
        </row>
        <row r="971">
          <cell r="I971" t="str">
            <v>WW0WW489360FM</v>
          </cell>
        </row>
        <row r="971">
          <cell r="T971">
            <v>20</v>
          </cell>
        </row>
        <row r="972">
          <cell r="C972" t="str">
            <v>新疆</v>
          </cell>
        </row>
        <row r="972">
          <cell r="I972" t="str">
            <v>WW0WW54056ABL</v>
          </cell>
        </row>
        <row r="972">
          <cell r="T972">
            <v>12</v>
          </cell>
        </row>
        <row r="973">
          <cell r="C973" t="str">
            <v>新疆</v>
          </cell>
        </row>
        <row r="973">
          <cell r="I973" t="str">
            <v>WW0WW54056GSY</v>
          </cell>
        </row>
        <row r="973">
          <cell r="T973">
            <v>6</v>
          </cell>
        </row>
        <row r="974">
          <cell r="C974" t="str">
            <v>新疆</v>
          </cell>
        </row>
        <row r="974">
          <cell r="I974" t="str">
            <v>WW0WW53279C1G</v>
          </cell>
        </row>
        <row r="974">
          <cell r="T974">
            <v>20</v>
          </cell>
        </row>
        <row r="975">
          <cell r="C975" t="str">
            <v>新疆</v>
          </cell>
        </row>
        <row r="975">
          <cell r="I975" t="str">
            <v>WW0WW532790F8</v>
          </cell>
        </row>
        <row r="975">
          <cell r="T975">
            <v>20</v>
          </cell>
        </row>
        <row r="976">
          <cell r="C976" t="str">
            <v>新疆</v>
          </cell>
        </row>
        <row r="976">
          <cell r="I976" t="str">
            <v>WW0WW532351C2</v>
          </cell>
        </row>
        <row r="976">
          <cell r="T976">
            <v>6</v>
          </cell>
        </row>
        <row r="977">
          <cell r="C977" t="str">
            <v>新疆</v>
          </cell>
        </row>
        <row r="977">
          <cell r="I977" t="str">
            <v>WW0WW532381BE</v>
          </cell>
        </row>
        <row r="977">
          <cell r="T977">
            <v>30</v>
          </cell>
        </row>
        <row r="978">
          <cell r="C978" t="str">
            <v>陕西</v>
          </cell>
        </row>
        <row r="978">
          <cell r="I978" t="str">
            <v>AM0AM12531C2A</v>
          </cell>
        </row>
        <row r="979">
          <cell r="C979" t="str">
            <v>陕西</v>
          </cell>
        </row>
        <row r="979">
          <cell r="I979" t="str">
            <v>AM0AM12531XLM</v>
          </cell>
        </row>
        <row r="980">
          <cell r="C980" t="str">
            <v>陕西</v>
          </cell>
        </row>
        <row r="980">
          <cell r="I980" t="str">
            <v>AW0AW19741ACL</v>
          </cell>
        </row>
        <row r="980">
          <cell r="T980">
            <v>100</v>
          </cell>
        </row>
        <row r="981">
          <cell r="C981" t="str">
            <v>陕西</v>
          </cell>
        </row>
        <row r="981">
          <cell r="I981" t="str">
            <v>AW0AW19741TOL</v>
          </cell>
        </row>
        <row r="981">
          <cell r="T981">
            <v>60</v>
          </cell>
        </row>
        <row r="982">
          <cell r="C982" t="str">
            <v>陕西</v>
          </cell>
        </row>
        <row r="982">
          <cell r="I982" t="str">
            <v>AW0AW19741C30</v>
          </cell>
        </row>
        <row r="982">
          <cell r="T982">
            <v>60</v>
          </cell>
        </row>
        <row r="983">
          <cell r="C983" t="str">
            <v>陕西</v>
          </cell>
        </row>
        <row r="983">
          <cell r="I983" t="str">
            <v>AW0AW197450K4</v>
          </cell>
        </row>
        <row r="983">
          <cell r="T983">
            <v>20</v>
          </cell>
        </row>
        <row r="984">
          <cell r="C984" t="str">
            <v>陕西</v>
          </cell>
        </row>
        <row r="984">
          <cell r="I984" t="str">
            <v>AW0AW197490GY</v>
          </cell>
        </row>
        <row r="984">
          <cell r="T984">
            <v>15</v>
          </cell>
        </row>
        <row r="985">
          <cell r="C985" t="str">
            <v>陕西</v>
          </cell>
        </row>
        <row r="985">
          <cell r="I985" t="str">
            <v>AW0AW191160F4</v>
          </cell>
        </row>
        <row r="985">
          <cell r="T985">
            <v>20</v>
          </cell>
        </row>
        <row r="986">
          <cell r="C986" t="str">
            <v>陕西</v>
          </cell>
        </row>
        <row r="986">
          <cell r="I986" t="str">
            <v>AM0AM15130BDS</v>
          </cell>
        </row>
        <row r="986">
          <cell r="T986">
            <v>15</v>
          </cell>
        </row>
        <row r="987">
          <cell r="C987" t="str">
            <v>陕西</v>
          </cell>
        </row>
        <row r="987">
          <cell r="I987" t="str">
            <v>AM0AM15133BDS</v>
          </cell>
        </row>
        <row r="987">
          <cell r="T987">
            <v>15</v>
          </cell>
        </row>
        <row r="988">
          <cell r="C988" t="str">
            <v>陕西</v>
          </cell>
        </row>
        <row r="988">
          <cell r="I988" t="str">
            <v>AM0AM151360K4</v>
          </cell>
        </row>
        <row r="988">
          <cell r="T988">
            <v>5</v>
          </cell>
        </row>
        <row r="989">
          <cell r="C989" t="str">
            <v>陕西</v>
          </cell>
        </row>
        <row r="989">
          <cell r="I989" t="str">
            <v>AW0AW197270K4</v>
          </cell>
        </row>
        <row r="989">
          <cell r="T989">
            <v>20</v>
          </cell>
        </row>
        <row r="990">
          <cell r="C990" t="str">
            <v>陕西</v>
          </cell>
        </row>
        <row r="990">
          <cell r="I990" t="str">
            <v>AW0AW18368TQJ</v>
          </cell>
        </row>
        <row r="990">
          <cell r="T990">
            <v>10</v>
          </cell>
        </row>
        <row r="991">
          <cell r="C991" t="str">
            <v>陕西</v>
          </cell>
        </row>
        <row r="991">
          <cell r="I991" t="str">
            <v>AW0AW18368CDS</v>
          </cell>
        </row>
        <row r="991">
          <cell r="T991">
            <v>10</v>
          </cell>
        </row>
        <row r="992">
          <cell r="C992" t="str">
            <v>陕西</v>
          </cell>
        </row>
        <row r="992">
          <cell r="I992" t="str">
            <v>AW0AW19328DW6</v>
          </cell>
        </row>
        <row r="992">
          <cell r="T992">
            <v>10</v>
          </cell>
        </row>
        <row r="993">
          <cell r="C993" t="str">
            <v>陕西</v>
          </cell>
        </row>
        <row r="993">
          <cell r="I993" t="str">
            <v>AW0AW19723DW6</v>
          </cell>
        </row>
        <row r="993">
          <cell r="T993">
            <v>10</v>
          </cell>
        </row>
        <row r="994">
          <cell r="C994" t="str">
            <v>陕西</v>
          </cell>
        </row>
        <row r="994">
          <cell r="I994" t="str">
            <v>AW0AW19698GB8</v>
          </cell>
        </row>
        <row r="994">
          <cell r="T994">
            <v>15</v>
          </cell>
        </row>
        <row r="995">
          <cell r="C995" t="str">
            <v>陕西</v>
          </cell>
        </row>
        <row r="995">
          <cell r="I995" t="str">
            <v>AW0AW19698DW6</v>
          </cell>
        </row>
        <row r="995">
          <cell r="T995">
            <v>15</v>
          </cell>
        </row>
        <row r="996">
          <cell r="C996" t="str">
            <v>陕西</v>
          </cell>
        </row>
        <row r="996">
          <cell r="I996" t="str">
            <v>FM0FM05367061</v>
          </cell>
        </row>
        <row r="996">
          <cell r="T996">
            <v>20</v>
          </cell>
        </row>
        <row r="997">
          <cell r="C997" t="str">
            <v>陕西</v>
          </cell>
        </row>
        <row r="997">
          <cell r="I997" t="str">
            <v>FW0FW09691YBL</v>
          </cell>
        </row>
        <row r="998">
          <cell r="C998" t="str">
            <v>陕西</v>
          </cell>
        </row>
        <row r="998">
          <cell r="I998" t="str">
            <v>FW0FW09820DW6</v>
          </cell>
        </row>
        <row r="999">
          <cell r="C999" t="str">
            <v>陕西</v>
          </cell>
        </row>
        <row r="999">
          <cell r="I999" t="str">
            <v>FW0FW09820GQP</v>
          </cell>
        </row>
        <row r="1000">
          <cell r="C1000" t="str">
            <v>陕西</v>
          </cell>
        </row>
        <row r="1000">
          <cell r="I1000" t="str">
            <v>27STHM04069</v>
          </cell>
        </row>
        <row r="1000">
          <cell r="T1000">
            <v>50</v>
          </cell>
        </row>
        <row r="1001">
          <cell r="C1001" t="str">
            <v>陕西</v>
          </cell>
        </row>
        <row r="1001">
          <cell r="I1001" t="str">
            <v>27STHM04094</v>
          </cell>
        </row>
        <row r="1001">
          <cell r="T1001">
            <v>50</v>
          </cell>
        </row>
        <row r="1002">
          <cell r="C1002" t="str">
            <v>陕西</v>
          </cell>
        </row>
        <row r="1002">
          <cell r="I1002" t="str">
            <v>27STHM04095</v>
          </cell>
        </row>
        <row r="1002">
          <cell r="T1002">
            <v>50</v>
          </cell>
        </row>
        <row r="1003">
          <cell r="C1003" t="str">
            <v>陕西</v>
          </cell>
        </row>
        <row r="1003">
          <cell r="I1003" t="str">
            <v>27STHM05069</v>
          </cell>
        </row>
        <row r="1003">
          <cell r="T1003">
            <v>20</v>
          </cell>
        </row>
        <row r="1004">
          <cell r="C1004" t="str">
            <v>陕西</v>
          </cell>
        </row>
        <row r="1004">
          <cell r="I1004" t="str">
            <v>27STHM05024</v>
          </cell>
        </row>
        <row r="1004">
          <cell r="T1004">
            <v>20</v>
          </cell>
        </row>
        <row r="1005">
          <cell r="C1005" t="str">
            <v>陕西</v>
          </cell>
        </row>
        <row r="1005">
          <cell r="I1005" t="str">
            <v>TS001016416</v>
          </cell>
        </row>
        <row r="1005">
          <cell r="T1005">
            <v>50</v>
          </cell>
        </row>
        <row r="1006">
          <cell r="C1006" t="str">
            <v>陕西</v>
          </cell>
        </row>
        <row r="1006">
          <cell r="I1006" t="str">
            <v>TS001016078</v>
          </cell>
        </row>
        <row r="1006">
          <cell r="T1006">
            <v>50</v>
          </cell>
        </row>
        <row r="1007">
          <cell r="C1007" t="str">
            <v>陕西</v>
          </cell>
        </row>
        <row r="1007">
          <cell r="I1007" t="str">
            <v>TS001016100</v>
          </cell>
        </row>
        <row r="1007">
          <cell r="T1007">
            <v>50</v>
          </cell>
        </row>
        <row r="1008">
          <cell r="C1008" t="str">
            <v>陕西</v>
          </cell>
        </row>
        <row r="1008">
          <cell r="I1008" t="str">
            <v>27STHM07068</v>
          </cell>
        </row>
        <row r="1008">
          <cell r="T1008">
            <v>50</v>
          </cell>
        </row>
        <row r="1009">
          <cell r="C1009" t="str">
            <v>陕西</v>
          </cell>
        </row>
        <row r="1009">
          <cell r="I1009" t="str">
            <v>27STHM07090</v>
          </cell>
        </row>
        <row r="1009">
          <cell r="T1009">
            <v>50</v>
          </cell>
        </row>
        <row r="1010">
          <cell r="C1010" t="str">
            <v>陕西</v>
          </cell>
        </row>
        <row r="1010">
          <cell r="I1010" t="str">
            <v>27STHM07093</v>
          </cell>
        </row>
        <row r="1010">
          <cell r="T1010">
            <v>50</v>
          </cell>
        </row>
        <row r="1011">
          <cell r="C1011" t="str">
            <v>陕西</v>
          </cell>
        </row>
        <row r="1011">
          <cell r="I1011" t="str">
            <v>27STHM07098</v>
          </cell>
        </row>
        <row r="1011">
          <cell r="T1011">
            <v>50</v>
          </cell>
        </row>
        <row r="1012">
          <cell r="C1012" t="str">
            <v>陕西</v>
          </cell>
        </row>
        <row r="1012">
          <cell r="I1012" t="str">
            <v>27STHW01068</v>
          </cell>
        </row>
        <row r="1012">
          <cell r="T1012">
            <v>50</v>
          </cell>
        </row>
        <row r="1013">
          <cell r="C1013" t="str">
            <v>陕西</v>
          </cell>
        </row>
        <row r="1013">
          <cell r="I1013" t="str">
            <v>27STHW01090</v>
          </cell>
        </row>
        <row r="1013">
          <cell r="T1013">
            <v>50</v>
          </cell>
        </row>
        <row r="1014">
          <cell r="C1014" t="str">
            <v>陕西</v>
          </cell>
        </row>
        <row r="1014">
          <cell r="I1014" t="str">
            <v>27STHW01093</v>
          </cell>
        </row>
        <row r="1014">
          <cell r="T1014">
            <v>50</v>
          </cell>
        </row>
        <row r="1015">
          <cell r="C1015" t="str">
            <v>陕西</v>
          </cell>
        </row>
        <row r="1015">
          <cell r="I1015" t="str">
            <v>27STHW02027</v>
          </cell>
        </row>
        <row r="1015">
          <cell r="T1015">
            <v>50</v>
          </cell>
        </row>
        <row r="1016">
          <cell r="C1016" t="str">
            <v>陕西</v>
          </cell>
        </row>
        <row r="1016">
          <cell r="I1016" t="str">
            <v>27STHW02068</v>
          </cell>
        </row>
        <row r="1016">
          <cell r="T1016">
            <v>50</v>
          </cell>
        </row>
        <row r="1017">
          <cell r="C1017" t="str">
            <v>陕西</v>
          </cell>
        </row>
        <row r="1017">
          <cell r="I1017" t="str">
            <v>27STHW02091</v>
          </cell>
        </row>
        <row r="1017">
          <cell r="T1017">
            <v>100</v>
          </cell>
        </row>
        <row r="1018">
          <cell r="C1018" t="str">
            <v>陕西</v>
          </cell>
        </row>
        <row r="1018">
          <cell r="I1018" t="str">
            <v>TS00103F090</v>
          </cell>
        </row>
        <row r="1018">
          <cell r="T1018">
            <v>50</v>
          </cell>
        </row>
        <row r="1019">
          <cell r="C1019" t="str">
            <v>陕西</v>
          </cell>
        </row>
        <row r="1019">
          <cell r="I1019" t="str">
            <v>TS00103F098</v>
          </cell>
        </row>
        <row r="1019">
          <cell r="T1019">
            <v>50</v>
          </cell>
        </row>
        <row r="1020">
          <cell r="C1020" t="str">
            <v>陕西</v>
          </cell>
        </row>
        <row r="1020">
          <cell r="I1020" t="str">
            <v>MW0MW44353AEG</v>
          </cell>
        </row>
        <row r="1020">
          <cell r="T1020">
            <v>60</v>
          </cell>
        </row>
        <row r="1021">
          <cell r="C1021" t="str">
            <v>陕西</v>
          </cell>
        </row>
        <row r="1021">
          <cell r="I1021" t="str">
            <v>MW0MW44353MAT</v>
          </cell>
        </row>
        <row r="1022">
          <cell r="C1022" t="str">
            <v>陕西</v>
          </cell>
        </row>
        <row r="1022">
          <cell r="I1022" t="str">
            <v>MW0MW44353YA8</v>
          </cell>
        </row>
        <row r="1022">
          <cell r="T1022">
            <v>60</v>
          </cell>
        </row>
        <row r="1023">
          <cell r="C1023" t="str">
            <v>新疆</v>
          </cell>
        </row>
        <row r="1023">
          <cell r="I1023" t="str">
            <v>AW0AW19698DW6</v>
          </cell>
        </row>
        <row r="1023">
          <cell r="T1023">
            <v>6</v>
          </cell>
        </row>
        <row r="1024">
          <cell r="C1024" t="str">
            <v>新疆</v>
          </cell>
        </row>
        <row r="1024">
          <cell r="I1024" t="str">
            <v>AW0AW19698GB8</v>
          </cell>
        </row>
        <row r="1024">
          <cell r="T1024">
            <v>6</v>
          </cell>
        </row>
        <row r="1025">
          <cell r="C1025" t="str">
            <v>新疆</v>
          </cell>
        </row>
        <row r="1025">
          <cell r="I1025" t="str">
            <v>AW0AW19723DW6</v>
          </cell>
        </row>
        <row r="1025">
          <cell r="T1025">
            <v>4</v>
          </cell>
        </row>
        <row r="1026">
          <cell r="C1026" t="str">
            <v>新疆</v>
          </cell>
        </row>
        <row r="1026">
          <cell r="I1026" t="str">
            <v>AM0AM151360K4</v>
          </cell>
        </row>
        <row r="1026">
          <cell r="T1026">
            <v>3</v>
          </cell>
        </row>
        <row r="1027">
          <cell r="C1027" t="str">
            <v>新疆</v>
          </cell>
        </row>
        <row r="1027">
          <cell r="I1027" t="str">
            <v>AW0AW197450K4</v>
          </cell>
        </row>
        <row r="1027">
          <cell r="T1027">
            <v>12</v>
          </cell>
        </row>
        <row r="1028">
          <cell r="C1028" t="str">
            <v>新疆</v>
          </cell>
        </row>
        <row r="1028">
          <cell r="I1028" t="str">
            <v>AW0AW197490GY</v>
          </cell>
        </row>
        <row r="1028">
          <cell r="T1028">
            <v>12</v>
          </cell>
        </row>
        <row r="1029">
          <cell r="C1029" t="str">
            <v>新疆</v>
          </cell>
        </row>
        <row r="1029">
          <cell r="I1029" t="str">
            <v>AW0AW191160F4</v>
          </cell>
        </row>
        <row r="1029">
          <cell r="T1029">
            <v>12</v>
          </cell>
        </row>
        <row r="1030">
          <cell r="C1030" t="str">
            <v>陕西</v>
          </cell>
        </row>
        <row r="1030">
          <cell r="I1030" t="str">
            <v>DM0DM240481AB</v>
          </cell>
        </row>
        <row r="1031">
          <cell r="C1031" t="str">
            <v>陕西</v>
          </cell>
        </row>
        <row r="1031">
          <cell r="I1031" t="str">
            <v>DM0DM24127YBH</v>
          </cell>
        </row>
        <row r="1032">
          <cell r="C1032" t="str">
            <v>陕西</v>
          </cell>
        </row>
        <row r="1032">
          <cell r="I1032" t="str">
            <v>DM0DM24127YBL</v>
          </cell>
        </row>
        <row r="1033">
          <cell r="C1033" t="str">
            <v>陕西</v>
          </cell>
        </row>
        <row r="1033">
          <cell r="I1033" t="str">
            <v>DM0DM24101C1G</v>
          </cell>
        </row>
        <row r="1034">
          <cell r="C1034" t="str">
            <v>陕西</v>
          </cell>
        </row>
        <row r="1034">
          <cell r="I1034" t="str">
            <v>DM0DM24368XLE</v>
          </cell>
        </row>
        <row r="1035">
          <cell r="C1035" t="str">
            <v>陕西</v>
          </cell>
        </row>
        <row r="1035">
          <cell r="I1035" t="str">
            <v>DM0DM240061AB</v>
          </cell>
        </row>
        <row r="1036">
          <cell r="C1036" t="str">
            <v>陕西</v>
          </cell>
        </row>
        <row r="1036">
          <cell r="I1036" t="str">
            <v>DW0DW243281AB</v>
          </cell>
        </row>
        <row r="1036">
          <cell r="T1036">
            <v>6</v>
          </cell>
        </row>
        <row r="1037">
          <cell r="C1037" t="str">
            <v>陕西</v>
          </cell>
        </row>
        <row r="1037">
          <cell r="I1037" t="str">
            <v>DW0DW241870FD</v>
          </cell>
        </row>
        <row r="1037">
          <cell r="T1037">
            <v>20</v>
          </cell>
        </row>
        <row r="1038">
          <cell r="C1038" t="str">
            <v>陕西</v>
          </cell>
        </row>
        <row r="1038">
          <cell r="I1038" t="str">
            <v>DW0DW241880EY</v>
          </cell>
        </row>
        <row r="1038">
          <cell r="T1038">
            <v>30</v>
          </cell>
        </row>
        <row r="1039">
          <cell r="C1039" t="str">
            <v>陕西</v>
          </cell>
        </row>
        <row r="1039">
          <cell r="I1039" t="str">
            <v>DW0DW241880FD</v>
          </cell>
        </row>
        <row r="1039">
          <cell r="T1039">
            <v>30</v>
          </cell>
        </row>
        <row r="1040">
          <cell r="C1040" t="str">
            <v>陕西</v>
          </cell>
        </row>
        <row r="1040">
          <cell r="I1040" t="str">
            <v>DW0DW24001YBL</v>
          </cell>
        </row>
        <row r="1040">
          <cell r="T1040">
            <v>30</v>
          </cell>
        </row>
        <row r="1041">
          <cell r="C1041" t="str">
            <v>陕西</v>
          </cell>
        </row>
        <row r="1041">
          <cell r="I1041" t="str">
            <v>DW0DW237950AQ</v>
          </cell>
        </row>
        <row r="1041">
          <cell r="T1041">
            <v>40</v>
          </cell>
        </row>
        <row r="1042">
          <cell r="C1042" t="str">
            <v>陕西</v>
          </cell>
        </row>
        <row r="1042">
          <cell r="I1042" t="str">
            <v>DW0DW237950D9</v>
          </cell>
        </row>
        <row r="1042">
          <cell r="T1042">
            <v>50</v>
          </cell>
        </row>
        <row r="1043">
          <cell r="C1043" t="str">
            <v>陕西</v>
          </cell>
        </row>
        <row r="1043">
          <cell r="I1043" t="str">
            <v>DW0DW243251BK</v>
          </cell>
        </row>
        <row r="1044">
          <cell r="C1044" t="str">
            <v>陕西</v>
          </cell>
        </row>
        <row r="1044">
          <cell r="I1044" t="str">
            <v>DW0DW24513C1G</v>
          </cell>
        </row>
        <row r="1045">
          <cell r="C1045" t="str">
            <v>陕西</v>
          </cell>
        </row>
        <row r="1045">
          <cell r="I1045" t="str">
            <v>DW0DW24513XLE</v>
          </cell>
        </row>
        <row r="1046">
          <cell r="C1046" t="str">
            <v>新疆</v>
          </cell>
        </row>
        <row r="1046">
          <cell r="I1046" t="str">
            <v>AW0AW19741ACL</v>
          </cell>
        </row>
        <row r="1046">
          <cell r="T1046">
            <v>30</v>
          </cell>
        </row>
        <row r="1047">
          <cell r="C1047" t="str">
            <v>新疆</v>
          </cell>
        </row>
        <row r="1047">
          <cell r="I1047" t="str">
            <v>AW0AW19741TOL</v>
          </cell>
        </row>
        <row r="1047">
          <cell r="T1047">
            <v>20</v>
          </cell>
        </row>
        <row r="1048">
          <cell r="C1048" t="str">
            <v>新疆</v>
          </cell>
        </row>
        <row r="1048">
          <cell r="I1048" t="str">
            <v>AW0AW19741C30</v>
          </cell>
        </row>
        <row r="1048">
          <cell r="T1048">
            <v>20</v>
          </cell>
        </row>
        <row r="1049">
          <cell r="C1049" t="str">
            <v>新疆</v>
          </cell>
        </row>
        <row r="1049">
          <cell r="I1049" t="str">
            <v>DW0DW242411AB</v>
          </cell>
        </row>
        <row r="1049">
          <cell r="T1049">
            <v>0</v>
          </cell>
        </row>
        <row r="1050">
          <cell r="C1050" t="str">
            <v>陕西</v>
          </cell>
        </row>
        <row r="1050">
          <cell r="I1050" t="str">
            <v>DW0DW242501AB</v>
          </cell>
        </row>
        <row r="1050">
          <cell r="T1050">
            <v>6</v>
          </cell>
        </row>
        <row r="1051">
          <cell r="C1051" t="str">
            <v>新疆</v>
          </cell>
        </row>
        <row r="1051">
          <cell r="I1051" t="str">
            <v>DW0DW241880EY</v>
          </cell>
        </row>
        <row r="1051">
          <cell r="T1051">
            <v>30</v>
          </cell>
        </row>
        <row r="1052">
          <cell r="C1052" t="str">
            <v>新疆</v>
          </cell>
        </row>
        <row r="1052">
          <cell r="I1052" t="str">
            <v>DW0DW241910GZ</v>
          </cell>
        </row>
        <row r="1052">
          <cell r="T1052">
            <v>12</v>
          </cell>
        </row>
        <row r="1053">
          <cell r="C1053" t="str">
            <v>新疆</v>
          </cell>
        </row>
        <row r="1053">
          <cell r="I1053" t="str">
            <v>DW0DW24001YBL</v>
          </cell>
        </row>
        <row r="1053">
          <cell r="T1053">
            <v>80</v>
          </cell>
        </row>
        <row r="1054">
          <cell r="C1054" t="str">
            <v>新疆</v>
          </cell>
        </row>
        <row r="1054">
          <cell r="I1054" t="str">
            <v>DW0DW24491YBH</v>
          </cell>
        </row>
        <row r="1054">
          <cell r="T1054">
            <v>20</v>
          </cell>
        </row>
        <row r="1055">
          <cell r="C1055" t="str">
            <v>新疆</v>
          </cell>
        </row>
        <row r="1055">
          <cell r="I1055" t="str">
            <v>DW0DW24491TG8</v>
          </cell>
        </row>
        <row r="1055">
          <cell r="T1055">
            <v>12</v>
          </cell>
        </row>
        <row r="1056">
          <cell r="C1056" t="str">
            <v>新疆</v>
          </cell>
        </row>
        <row r="1056">
          <cell r="I1056" t="str">
            <v>DW0DW237950D9</v>
          </cell>
        </row>
        <row r="1056">
          <cell r="T1056">
            <v>40</v>
          </cell>
        </row>
        <row r="1057">
          <cell r="C1057" t="str">
            <v>新疆</v>
          </cell>
        </row>
        <row r="1057">
          <cell r="I1057" t="str">
            <v>DW0DW24502P08</v>
          </cell>
        </row>
        <row r="1057">
          <cell r="T1057">
            <v>6</v>
          </cell>
        </row>
        <row r="1058">
          <cell r="C1058" t="str">
            <v>新疆</v>
          </cell>
        </row>
        <row r="1058">
          <cell r="I1058" t="str">
            <v>DW0DW24502F00</v>
          </cell>
        </row>
        <row r="1058">
          <cell r="T1058">
            <v>6</v>
          </cell>
        </row>
        <row r="1059">
          <cell r="C1059" t="str">
            <v>新疆</v>
          </cell>
        </row>
        <row r="1059">
          <cell r="I1059" t="str">
            <v>DW0DW24503YBL</v>
          </cell>
        </row>
        <row r="1059">
          <cell r="T1059">
            <v>12</v>
          </cell>
        </row>
        <row r="1060">
          <cell r="C1060" t="str">
            <v>新疆</v>
          </cell>
        </row>
        <row r="1060">
          <cell r="I1060" t="str">
            <v>DW0DW24516C1G</v>
          </cell>
        </row>
        <row r="1060">
          <cell r="T1060">
            <v>30</v>
          </cell>
        </row>
        <row r="1061">
          <cell r="C1061" t="str">
            <v>新疆</v>
          </cell>
        </row>
        <row r="1061">
          <cell r="I1061" t="str">
            <v>DW0DW242631BK</v>
          </cell>
        </row>
        <row r="1061">
          <cell r="T1061">
            <v>20</v>
          </cell>
        </row>
        <row r="1062">
          <cell r="C1062" t="str">
            <v>陕西</v>
          </cell>
        </row>
        <row r="1062">
          <cell r="I1062" t="str">
            <v>DW0DW24014VMY</v>
          </cell>
        </row>
        <row r="1062">
          <cell r="T1062">
            <v>12</v>
          </cell>
        </row>
        <row r="1063">
          <cell r="C1063" t="str">
            <v>陕西</v>
          </cell>
        </row>
        <row r="1063">
          <cell r="I1063" t="str">
            <v>DW0DW24491YBH</v>
          </cell>
        </row>
        <row r="1063">
          <cell r="T1063">
            <v>15</v>
          </cell>
        </row>
        <row r="1064">
          <cell r="C1064" t="str">
            <v>陕西</v>
          </cell>
        </row>
        <row r="1064">
          <cell r="I1064" t="str">
            <v>DW0DW24491TG8</v>
          </cell>
        </row>
        <row r="1064">
          <cell r="T1064">
            <v>10</v>
          </cell>
        </row>
        <row r="1065">
          <cell r="C1065" t="str">
            <v>陕西</v>
          </cell>
        </row>
        <row r="1065">
          <cell r="I1065" t="str">
            <v>DW0DW24516C1G</v>
          </cell>
        </row>
        <row r="1065">
          <cell r="T1065">
            <v>20</v>
          </cell>
        </row>
        <row r="1066">
          <cell r="C1066" t="str">
            <v>陕西</v>
          </cell>
        </row>
        <row r="1066">
          <cell r="I1066" t="str">
            <v>DW0DW242631BK</v>
          </cell>
        </row>
        <row r="1066">
          <cell r="T1066">
            <v>30</v>
          </cell>
        </row>
        <row r="1067">
          <cell r="C1067" t="str">
            <v>陕西</v>
          </cell>
        </row>
        <row r="1067">
          <cell r="I1067" t="str">
            <v>DW0DW244661A5</v>
          </cell>
        </row>
        <row r="1067">
          <cell r="T1067">
            <v>40</v>
          </cell>
        </row>
        <row r="1068">
          <cell r="C1068" t="str">
            <v>陕西</v>
          </cell>
        </row>
        <row r="1068">
          <cell r="I1068" t="str">
            <v>E367895041083</v>
          </cell>
        </row>
        <row r="1068">
          <cell r="T1068">
            <v>100</v>
          </cell>
        </row>
        <row r="1069">
          <cell r="C1069" t="str">
            <v>陕西</v>
          </cell>
        </row>
        <row r="1069">
          <cell r="I1069" t="str">
            <v>E367895041403</v>
          </cell>
        </row>
        <row r="1069">
          <cell r="T1069">
            <v>100</v>
          </cell>
        </row>
        <row r="1070">
          <cell r="C1070" t="str">
            <v>新疆</v>
          </cell>
        </row>
        <row r="1070">
          <cell r="I1070" t="str">
            <v>DM0DM24365YBL</v>
          </cell>
        </row>
        <row r="1070">
          <cell r="T1070">
            <v>40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4372"/>
  <sheetViews>
    <sheetView tabSelected="1" topLeftCell="D1" workbookViewId="0">
      <pane ySplit="1" topLeftCell="A1427" activePane="bottomLeft" state="frozen"/>
      <selection/>
      <selection pane="bottomLeft" activeCell="H1444" sqref="H1444"/>
    </sheetView>
  </sheetViews>
  <sheetFormatPr defaultColWidth="9" defaultRowHeight="13.5"/>
  <cols>
    <col min="5" max="5" width="18" customWidth="1"/>
    <col min="6" max="6" width="36.125" customWidth="1"/>
    <col min="7" max="7" width="16.375" customWidth="1"/>
    <col min="8" max="8" width="17.25" customWidth="1"/>
    <col min="9" max="14" width="9" hidden="1" customWidth="1"/>
    <col min="15" max="17" width="8.875" customWidth="1"/>
  </cols>
  <sheetData>
    <row r="1" ht="18" spans="1:28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5" t="s">
        <v>11</v>
      </c>
      <c r="M1" s="5" t="s">
        <v>12</v>
      </c>
      <c r="N1" s="5" t="s">
        <v>13</v>
      </c>
      <c r="O1" s="4" t="s">
        <v>14</v>
      </c>
      <c r="P1" s="6" t="s">
        <v>15</v>
      </c>
      <c r="Q1" s="5" t="s">
        <v>16</v>
      </c>
      <c r="R1" s="7" t="s">
        <v>17</v>
      </c>
      <c r="S1" s="7" t="s">
        <v>18</v>
      </c>
      <c r="T1" s="7" t="s">
        <v>19</v>
      </c>
      <c r="U1" s="8" t="s">
        <v>20</v>
      </c>
      <c r="V1" s="8" t="s">
        <v>21</v>
      </c>
      <c r="W1" s="8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ht="14.25" spans="1:28">
      <c r="A2" s="5" t="s">
        <v>28</v>
      </c>
      <c r="B2" s="5" t="s">
        <v>29</v>
      </c>
      <c r="C2" s="5">
        <v>2027</v>
      </c>
      <c r="D2" s="5" t="s">
        <v>30</v>
      </c>
      <c r="E2" s="9" t="s">
        <v>31</v>
      </c>
      <c r="F2" s="9" t="s">
        <v>32</v>
      </c>
      <c r="G2" s="9" t="s">
        <v>33</v>
      </c>
      <c r="H2" s="9" t="s">
        <v>34</v>
      </c>
      <c r="I2" s="9" t="s">
        <v>35</v>
      </c>
      <c r="J2" s="9" t="s">
        <v>36</v>
      </c>
      <c r="K2" s="9">
        <v>1190</v>
      </c>
      <c r="L2" s="9"/>
      <c r="M2" s="9"/>
      <c r="N2" s="9"/>
      <c r="O2" s="9" t="s">
        <v>37</v>
      </c>
      <c r="P2" s="9" t="s">
        <v>38</v>
      </c>
      <c r="Q2" s="9"/>
      <c r="R2" s="10">
        <f t="shared" ref="R2:R65" si="0">SUMIFS(Q:Q,E:E,E2)</f>
        <v>0</v>
      </c>
      <c r="S2" s="10">
        <f>SUMIFS([1]Sheet1!$T:$T,[1]Sheet1!$I:$I,E2,[1]Sheet1!$C:$C,A2)</f>
        <v>0</v>
      </c>
      <c r="T2" s="10">
        <f t="shared" ref="T2:T65" si="1">R2-S2</f>
        <v>0</v>
      </c>
      <c r="U2" s="9"/>
      <c r="V2" s="9"/>
      <c r="W2" s="9"/>
      <c r="X2" t="s">
        <v>39</v>
      </c>
      <c r="Y2" t="s">
        <v>40</v>
      </c>
      <c r="Z2" t="s">
        <v>41</v>
      </c>
      <c r="AB2" t="str">
        <f>MID(E2,6,5)</f>
        <v>41531</v>
      </c>
    </row>
    <row r="3" ht="14.25" spans="1:28">
      <c r="A3" s="5" t="s">
        <v>28</v>
      </c>
      <c r="B3" s="5" t="s">
        <v>29</v>
      </c>
      <c r="C3" s="5">
        <v>2027</v>
      </c>
      <c r="D3" s="5" t="s">
        <v>30</v>
      </c>
      <c r="E3" s="9" t="s">
        <v>31</v>
      </c>
      <c r="F3" s="9" t="s">
        <v>32</v>
      </c>
      <c r="G3" s="9" t="s">
        <v>33</v>
      </c>
      <c r="H3" s="9" t="s">
        <v>34</v>
      </c>
      <c r="I3" s="9" t="s">
        <v>35</v>
      </c>
      <c r="J3" s="9" t="s">
        <v>36</v>
      </c>
      <c r="K3" s="9">
        <v>1190</v>
      </c>
      <c r="L3" s="9"/>
      <c r="M3" s="9"/>
      <c r="N3" s="9"/>
      <c r="O3" s="9" t="s">
        <v>37</v>
      </c>
      <c r="P3" s="9" t="s">
        <v>42</v>
      </c>
      <c r="Q3" s="9"/>
      <c r="R3" s="10"/>
      <c r="S3" s="10"/>
      <c r="T3" s="10"/>
      <c r="U3" s="9"/>
      <c r="X3" t="s">
        <v>39</v>
      </c>
      <c r="Y3" t="s">
        <v>40</v>
      </c>
      <c r="Z3" t="s">
        <v>41</v>
      </c>
      <c r="AB3" t="str">
        <f t="shared" ref="AB3:AB66" si="2">MID(E3,6,5)</f>
        <v>41531</v>
      </c>
    </row>
    <row r="4" ht="14.25" spans="1:28">
      <c r="A4" s="5" t="s">
        <v>28</v>
      </c>
      <c r="B4" s="5" t="s">
        <v>29</v>
      </c>
      <c r="C4" s="5">
        <v>2027</v>
      </c>
      <c r="D4" s="5" t="s">
        <v>30</v>
      </c>
      <c r="E4" s="9" t="s">
        <v>31</v>
      </c>
      <c r="F4" s="9" t="s">
        <v>32</v>
      </c>
      <c r="G4" s="9" t="s">
        <v>33</v>
      </c>
      <c r="H4" s="9" t="s">
        <v>34</v>
      </c>
      <c r="I4" s="9" t="s">
        <v>35</v>
      </c>
      <c r="J4" s="9" t="s">
        <v>36</v>
      </c>
      <c r="K4" s="9">
        <v>1190</v>
      </c>
      <c r="L4" s="9"/>
      <c r="M4" s="9"/>
      <c r="N4" s="9"/>
      <c r="O4" s="9" t="s">
        <v>37</v>
      </c>
      <c r="P4" s="9" t="s">
        <v>43</v>
      </c>
      <c r="Q4" s="9"/>
      <c r="R4" s="10"/>
      <c r="S4" s="10"/>
      <c r="T4" s="10"/>
      <c r="U4" s="9"/>
      <c r="X4" t="s">
        <v>39</v>
      </c>
      <c r="Y4" t="s">
        <v>40</v>
      </c>
      <c r="Z4" t="s">
        <v>41</v>
      </c>
      <c r="AB4" t="str">
        <f t="shared" si="2"/>
        <v>41531</v>
      </c>
    </row>
    <row r="5" ht="14.25" spans="1:28">
      <c r="A5" s="5" t="s">
        <v>28</v>
      </c>
      <c r="B5" s="5" t="s">
        <v>29</v>
      </c>
      <c r="C5" s="5">
        <v>2027</v>
      </c>
      <c r="D5" s="5" t="s">
        <v>30</v>
      </c>
      <c r="E5" s="9" t="s">
        <v>31</v>
      </c>
      <c r="F5" s="9" t="s">
        <v>32</v>
      </c>
      <c r="G5" s="9" t="s">
        <v>33</v>
      </c>
      <c r="H5" s="9" t="s">
        <v>34</v>
      </c>
      <c r="I5" s="9" t="s">
        <v>35</v>
      </c>
      <c r="J5" s="9" t="s">
        <v>36</v>
      </c>
      <c r="K5" s="9">
        <v>1190</v>
      </c>
      <c r="L5" s="9"/>
      <c r="M5" s="9"/>
      <c r="N5" s="9"/>
      <c r="O5" s="9" t="s">
        <v>37</v>
      </c>
      <c r="P5" s="9" t="s">
        <v>44</v>
      </c>
      <c r="Q5" s="9"/>
      <c r="R5" s="10"/>
      <c r="S5" s="10"/>
      <c r="T5" s="10"/>
      <c r="U5" s="9"/>
      <c r="X5" t="s">
        <v>39</v>
      </c>
      <c r="Y5" t="s">
        <v>40</v>
      </c>
      <c r="Z5" t="s">
        <v>41</v>
      </c>
      <c r="AB5" t="str">
        <f t="shared" si="2"/>
        <v>41531</v>
      </c>
    </row>
    <row r="6" ht="14.25" spans="1:28">
      <c r="A6" s="5" t="s">
        <v>28</v>
      </c>
      <c r="B6" s="5" t="s">
        <v>29</v>
      </c>
      <c r="C6" s="5">
        <v>2027</v>
      </c>
      <c r="D6" s="5" t="s">
        <v>30</v>
      </c>
      <c r="E6" s="9" t="s">
        <v>31</v>
      </c>
      <c r="F6" s="9" t="s">
        <v>32</v>
      </c>
      <c r="G6" s="9" t="s">
        <v>33</v>
      </c>
      <c r="H6" s="9" t="s">
        <v>34</v>
      </c>
      <c r="I6" s="9" t="s">
        <v>35</v>
      </c>
      <c r="J6" s="9" t="s">
        <v>36</v>
      </c>
      <c r="K6" s="9">
        <v>1190</v>
      </c>
      <c r="L6" s="9"/>
      <c r="M6" s="9"/>
      <c r="N6" s="9"/>
      <c r="O6" s="9" t="s">
        <v>37</v>
      </c>
      <c r="P6" s="9" t="s">
        <v>45</v>
      </c>
      <c r="Q6" s="9"/>
      <c r="R6" s="10"/>
      <c r="S6" s="10"/>
      <c r="T6" s="10"/>
      <c r="U6" s="9"/>
      <c r="X6" t="s">
        <v>39</v>
      </c>
      <c r="Y6" t="s">
        <v>40</v>
      </c>
      <c r="Z6" t="s">
        <v>41</v>
      </c>
      <c r="AB6" t="str">
        <f t="shared" si="2"/>
        <v>41531</v>
      </c>
    </row>
    <row r="7" ht="14.25" spans="1:28">
      <c r="A7" s="5" t="s">
        <v>28</v>
      </c>
      <c r="B7" s="5" t="s">
        <v>29</v>
      </c>
      <c r="C7" s="5">
        <v>2027</v>
      </c>
      <c r="D7" s="5" t="s">
        <v>30</v>
      </c>
      <c r="E7" s="9" t="s">
        <v>31</v>
      </c>
      <c r="F7" s="9" t="s">
        <v>32</v>
      </c>
      <c r="G7" s="9" t="s">
        <v>33</v>
      </c>
      <c r="H7" s="9" t="s">
        <v>34</v>
      </c>
      <c r="I7" s="9" t="s">
        <v>35</v>
      </c>
      <c r="J7" s="9" t="s">
        <v>36</v>
      </c>
      <c r="K7" s="9">
        <v>1190</v>
      </c>
      <c r="L7" s="9"/>
      <c r="M7" s="9"/>
      <c r="N7" s="9"/>
      <c r="O7" s="9" t="s">
        <v>37</v>
      </c>
      <c r="P7" s="9" t="s">
        <v>46</v>
      </c>
      <c r="Q7" s="9"/>
      <c r="R7" s="10"/>
      <c r="S7" s="10"/>
      <c r="T7" s="10"/>
      <c r="U7" s="9"/>
      <c r="X7" t="s">
        <v>39</v>
      </c>
      <c r="Y7" t="s">
        <v>40</v>
      </c>
      <c r="Z7" t="s">
        <v>41</v>
      </c>
      <c r="AB7" t="str">
        <f t="shared" si="2"/>
        <v>41531</v>
      </c>
    </row>
    <row r="8" ht="14.25" spans="1:28">
      <c r="A8" s="5" t="s">
        <v>28</v>
      </c>
      <c r="B8" s="5" t="s">
        <v>29</v>
      </c>
      <c r="C8" s="5">
        <v>2027</v>
      </c>
      <c r="D8" s="5" t="s">
        <v>30</v>
      </c>
      <c r="E8" s="9" t="s">
        <v>47</v>
      </c>
      <c r="F8" s="9" t="s">
        <v>32</v>
      </c>
      <c r="G8" s="9" t="s">
        <v>48</v>
      </c>
      <c r="H8" s="9" t="s">
        <v>49</v>
      </c>
      <c r="I8" s="9" t="s">
        <v>35</v>
      </c>
      <c r="J8" s="9" t="s">
        <v>36</v>
      </c>
      <c r="K8" s="9">
        <v>1190</v>
      </c>
      <c r="L8" s="9"/>
      <c r="M8" s="9"/>
      <c r="N8" s="9"/>
      <c r="O8" s="9" t="s">
        <v>37</v>
      </c>
      <c r="P8" s="9" t="s">
        <v>38</v>
      </c>
      <c r="Q8" s="9"/>
      <c r="R8" s="10">
        <f t="shared" si="0"/>
        <v>0</v>
      </c>
      <c r="S8" s="10">
        <f>SUMIFS([1]Sheet1!$T:$T,[1]Sheet1!$I:$I,E8,[1]Sheet1!$C:$C,A8)</f>
        <v>0</v>
      </c>
      <c r="T8" s="10">
        <f t="shared" si="1"/>
        <v>0</v>
      </c>
      <c r="U8" s="9"/>
      <c r="X8" t="s">
        <v>50</v>
      </c>
      <c r="Y8" t="s">
        <v>40</v>
      </c>
      <c r="Z8" t="s">
        <v>41</v>
      </c>
      <c r="AB8" t="str">
        <f t="shared" si="2"/>
        <v>41531</v>
      </c>
    </row>
    <row r="9" ht="14.25" spans="1:28">
      <c r="A9" s="5" t="s">
        <v>28</v>
      </c>
      <c r="B9" s="5" t="s">
        <v>29</v>
      </c>
      <c r="C9" s="5">
        <v>2027</v>
      </c>
      <c r="D9" s="5" t="s">
        <v>30</v>
      </c>
      <c r="E9" s="9" t="s">
        <v>47</v>
      </c>
      <c r="F9" s="9" t="s">
        <v>32</v>
      </c>
      <c r="G9" s="9" t="s">
        <v>48</v>
      </c>
      <c r="H9" s="9" t="s">
        <v>49</v>
      </c>
      <c r="I9" s="9" t="s">
        <v>35</v>
      </c>
      <c r="J9" s="9" t="s">
        <v>36</v>
      </c>
      <c r="K9" s="9">
        <v>1190</v>
      </c>
      <c r="L9" s="9"/>
      <c r="M9" s="9"/>
      <c r="N9" s="9"/>
      <c r="O9" s="9" t="s">
        <v>37</v>
      </c>
      <c r="P9" s="9" t="s">
        <v>42</v>
      </c>
      <c r="Q9" s="9"/>
      <c r="R9" s="10"/>
      <c r="S9" s="10"/>
      <c r="T9" s="10"/>
      <c r="U9" s="9"/>
      <c r="X9" t="s">
        <v>50</v>
      </c>
      <c r="Y9" t="s">
        <v>40</v>
      </c>
      <c r="Z9" t="s">
        <v>41</v>
      </c>
      <c r="AB9" t="str">
        <f t="shared" si="2"/>
        <v>41531</v>
      </c>
    </row>
    <row r="10" ht="14.25" spans="1:28">
      <c r="A10" s="5" t="s">
        <v>28</v>
      </c>
      <c r="B10" s="5" t="s">
        <v>29</v>
      </c>
      <c r="C10" s="5">
        <v>2027</v>
      </c>
      <c r="D10" s="5" t="s">
        <v>30</v>
      </c>
      <c r="E10" s="9" t="s">
        <v>47</v>
      </c>
      <c r="F10" s="9" t="s">
        <v>32</v>
      </c>
      <c r="G10" s="9" t="s">
        <v>48</v>
      </c>
      <c r="H10" s="9" t="s">
        <v>49</v>
      </c>
      <c r="I10" s="9" t="s">
        <v>35</v>
      </c>
      <c r="J10" s="9" t="s">
        <v>36</v>
      </c>
      <c r="K10" s="9">
        <v>1190</v>
      </c>
      <c r="L10" s="9"/>
      <c r="M10" s="9"/>
      <c r="N10" s="9"/>
      <c r="O10" s="9" t="s">
        <v>37</v>
      </c>
      <c r="P10" s="9" t="s">
        <v>43</v>
      </c>
      <c r="Q10" s="9"/>
      <c r="R10" s="10"/>
      <c r="S10" s="10"/>
      <c r="T10" s="10"/>
      <c r="U10" s="9"/>
      <c r="X10" t="s">
        <v>50</v>
      </c>
      <c r="Y10" t="s">
        <v>40</v>
      </c>
      <c r="Z10" t="s">
        <v>41</v>
      </c>
      <c r="AB10" t="str">
        <f t="shared" si="2"/>
        <v>41531</v>
      </c>
    </row>
    <row r="11" ht="14.25" spans="1:28">
      <c r="A11" s="5" t="s">
        <v>28</v>
      </c>
      <c r="B11" s="5" t="s">
        <v>29</v>
      </c>
      <c r="C11" s="5">
        <v>2027</v>
      </c>
      <c r="D11" s="5" t="s">
        <v>30</v>
      </c>
      <c r="E11" s="9" t="s">
        <v>47</v>
      </c>
      <c r="F11" s="9" t="s">
        <v>32</v>
      </c>
      <c r="G11" s="9" t="s">
        <v>48</v>
      </c>
      <c r="H11" s="9" t="s">
        <v>49</v>
      </c>
      <c r="I11" s="9" t="s">
        <v>35</v>
      </c>
      <c r="J11" s="9" t="s">
        <v>36</v>
      </c>
      <c r="K11" s="9">
        <v>1190</v>
      </c>
      <c r="L11" s="9"/>
      <c r="M11" s="9"/>
      <c r="N11" s="9"/>
      <c r="O11" s="9" t="s">
        <v>37</v>
      </c>
      <c r="P11" s="9" t="s">
        <v>44</v>
      </c>
      <c r="Q11" s="9"/>
      <c r="R11" s="10"/>
      <c r="S11" s="10"/>
      <c r="T11" s="10"/>
      <c r="U11" s="9"/>
      <c r="X11" t="s">
        <v>50</v>
      </c>
      <c r="Y11" t="s">
        <v>40</v>
      </c>
      <c r="Z11" t="s">
        <v>41</v>
      </c>
      <c r="AB11" t="str">
        <f t="shared" si="2"/>
        <v>41531</v>
      </c>
    </row>
    <row r="12" ht="14.25" spans="1:28">
      <c r="A12" s="5" t="s">
        <v>28</v>
      </c>
      <c r="B12" s="5" t="s">
        <v>29</v>
      </c>
      <c r="C12" s="5">
        <v>2027</v>
      </c>
      <c r="D12" s="5" t="s">
        <v>30</v>
      </c>
      <c r="E12" s="9" t="s">
        <v>47</v>
      </c>
      <c r="F12" s="9" t="s">
        <v>32</v>
      </c>
      <c r="G12" s="9" t="s">
        <v>48</v>
      </c>
      <c r="H12" s="9" t="s">
        <v>49</v>
      </c>
      <c r="I12" s="9" t="s">
        <v>35</v>
      </c>
      <c r="J12" s="9" t="s">
        <v>36</v>
      </c>
      <c r="K12" s="9">
        <v>1190</v>
      </c>
      <c r="L12" s="9"/>
      <c r="M12" s="9"/>
      <c r="N12" s="9"/>
      <c r="O12" s="9" t="s">
        <v>37</v>
      </c>
      <c r="P12" s="9" t="s">
        <v>45</v>
      </c>
      <c r="Q12" s="9"/>
      <c r="R12" s="10"/>
      <c r="S12" s="10"/>
      <c r="T12" s="10"/>
      <c r="U12" s="9"/>
      <c r="X12" t="s">
        <v>50</v>
      </c>
      <c r="Y12" t="s">
        <v>40</v>
      </c>
      <c r="Z12" t="s">
        <v>41</v>
      </c>
      <c r="AB12" t="str">
        <f t="shared" si="2"/>
        <v>41531</v>
      </c>
    </row>
    <row r="13" ht="14.25" spans="1:28">
      <c r="A13" s="5" t="s">
        <v>28</v>
      </c>
      <c r="B13" s="5" t="s">
        <v>29</v>
      </c>
      <c r="C13" s="5">
        <v>2027</v>
      </c>
      <c r="D13" s="5" t="s">
        <v>30</v>
      </c>
      <c r="E13" s="9" t="s">
        <v>47</v>
      </c>
      <c r="F13" s="9" t="s">
        <v>32</v>
      </c>
      <c r="G13" s="9" t="s">
        <v>48</v>
      </c>
      <c r="H13" s="9" t="s">
        <v>49</v>
      </c>
      <c r="I13" s="9" t="s">
        <v>35</v>
      </c>
      <c r="J13" s="9" t="s">
        <v>36</v>
      </c>
      <c r="K13" s="9">
        <v>1190</v>
      </c>
      <c r="L13" s="9"/>
      <c r="M13" s="9"/>
      <c r="N13" s="9"/>
      <c r="O13" s="9" t="s">
        <v>37</v>
      </c>
      <c r="P13" s="9" t="s">
        <v>46</v>
      </c>
      <c r="Q13" s="9"/>
      <c r="R13" s="10"/>
      <c r="S13" s="10"/>
      <c r="T13" s="10"/>
      <c r="U13" s="9"/>
      <c r="X13" t="s">
        <v>50</v>
      </c>
      <c r="Y13" t="s">
        <v>40</v>
      </c>
      <c r="Z13" t="s">
        <v>41</v>
      </c>
      <c r="AB13" t="str">
        <f t="shared" si="2"/>
        <v>41531</v>
      </c>
    </row>
    <row r="14" ht="14.25" spans="1:28">
      <c r="A14" s="5" t="s">
        <v>28</v>
      </c>
      <c r="B14" s="5" t="s">
        <v>29</v>
      </c>
      <c r="C14" s="5">
        <v>2027</v>
      </c>
      <c r="D14" s="5" t="s">
        <v>30</v>
      </c>
      <c r="E14" s="9" t="s">
        <v>51</v>
      </c>
      <c r="F14" s="9" t="s">
        <v>32</v>
      </c>
      <c r="G14" s="9" t="s">
        <v>52</v>
      </c>
      <c r="H14" s="9" t="s">
        <v>53</v>
      </c>
      <c r="I14" s="9" t="s">
        <v>35</v>
      </c>
      <c r="J14" s="9" t="s">
        <v>36</v>
      </c>
      <c r="K14" s="9">
        <v>1190</v>
      </c>
      <c r="L14" s="9"/>
      <c r="M14" s="9"/>
      <c r="N14" s="9"/>
      <c r="O14" s="9" t="s">
        <v>37</v>
      </c>
      <c r="P14" s="9" t="s">
        <v>38</v>
      </c>
      <c r="Q14" s="9"/>
      <c r="R14" s="10">
        <f t="shared" si="0"/>
        <v>0</v>
      </c>
      <c r="S14" s="10">
        <f>SUMIFS([1]Sheet1!$T:$T,[1]Sheet1!$I:$I,E14,[1]Sheet1!$C:$C,A14)</f>
        <v>0</v>
      </c>
      <c r="T14" s="10">
        <f t="shared" si="1"/>
        <v>0</v>
      </c>
      <c r="U14" s="9"/>
      <c r="X14" t="s">
        <v>54</v>
      </c>
      <c r="Y14" t="s">
        <v>40</v>
      </c>
      <c r="Z14" t="s">
        <v>41</v>
      </c>
      <c r="AB14" t="str">
        <f t="shared" si="2"/>
        <v>41531</v>
      </c>
    </row>
    <row r="15" ht="14.25" spans="1:28">
      <c r="A15" s="5" t="s">
        <v>28</v>
      </c>
      <c r="B15" s="5" t="s">
        <v>29</v>
      </c>
      <c r="C15" s="5">
        <v>2027</v>
      </c>
      <c r="D15" s="5" t="s">
        <v>30</v>
      </c>
      <c r="E15" s="9" t="s">
        <v>51</v>
      </c>
      <c r="F15" s="9" t="s">
        <v>32</v>
      </c>
      <c r="G15" s="9" t="s">
        <v>52</v>
      </c>
      <c r="H15" s="9" t="s">
        <v>53</v>
      </c>
      <c r="I15" s="9" t="s">
        <v>35</v>
      </c>
      <c r="J15" s="9" t="s">
        <v>36</v>
      </c>
      <c r="K15" s="9">
        <v>1190</v>
      </c>
      <c r="L15" s="9"/>
      <c r="M15" s="9"/>
      <c r="N15" s="9"/>
      <c r="O15" s="9" t="s">
        <v>37</v>
      </c>
      <c r="P15" s="9" t="s">
        <v>42</v>
      </c>
      <c r="Q15" s="9"/>
      <c r="R15" s="10"/>
      <c r="S15" s="10"/>
      <c r="T15" s="10"/>
      <c r="U15" s="9"/>
      <c r="X15" t="s">
        <v>54</v>
      </c>
      <c r="Y15" t="s">
        <v>40</v>
      </c>
      <c r="Z15" t="s">
        <v>41</v>
      </c>
      <c r="AB15" t="str">
        <f t="shared" si="2"/>
        <v>41531</v>
      </c>
    </row>
    <row r="16" ht="14.25" spans="1:28">
      <c r="A16" s="5" t="s">
        <v>28</v>
      </c>
      <c r="B16" s="5" t="s">
        <v>29</v>
      </c>
      <c r="C16" s="5">
        <v>2027</v>
      </c>
      <c r="D16" s="5" t="s">
        <v>30</v>
      </c>
      <c r="E16" s="9" t="s">
        <v>51</v>
      </c>
      <c r="F16" s="9" t="s">
        <v>32</v>
      </c>
      <c r="G16" s="9" t="s">
        <v>52</v>
      </c>
      <c r="H16" s="9" t="s">
        <v>53</v>
      </c>
      <c r="I16" s="9" t="s">
        <v>35</v>
      </c>
      <c r="J16" s="9" t="s">
        <v>36</v>
      </c>
      <c r="K16" s="9">
        <v>1190</v>
      </c>
      <c r="L16" s="9"/>
      <c r="M16" s="9"/>
      <c r="N16" s="9"/>
      <c r="O16" s="9" t="s">
        <v>37</v>
      </c>
      <c r="P16" s="9" t="s">
        <v>43</v>
      </c>
      <c r="Q16" s="11"/>
      <c r="R16" s="10"/>
      <c r="S16" s="10"/>
      <c r="T16" s="10"/>
      <c r="U16" s="9"/>
      <c r="X16" t="s">
        <v>54</v>
      </c>
      <c r="Y16" t="s">
        <v>40</v>
      </c>
      <c r="Z16" t="s">
        <v>41</v>
      </c>
      <c r="AB16" t="str">
        <f t="shared" si="2"/>
        <v>41531</v>
      </c>
    </row>
    <row r="17" ht="14.25" spans="1:28">
      <c r="A17" s="5" t="s">
        <v>28</v>
      </c>
      <c r="B17" s="5" t="s">
        <v>29</v>
      </c>
      <c r="C17" s="5">
        <v>2027</v>
      </c>
      <c r="D17" s="5" t="s">
        <v>30</v>
      </c>
      <c r="E17" s="9" t="s">
        <v>51</v>
      </c>
      <c r="F17" s="9" t="s">
        <v>32</v>
      </c>
      <c r="G17" s="9" t="s">
        <v>52</v>
      </c>
      <c r="H17" s="9" t="s">
        <v>53</v>
      </c>
      <c r="I17" s="9" t="s">
        <v>35</v>
      </c>
      <c r="J17" s="9" t="s">
        <v>36</v>
      </c>
      <c r="K17" s="9">
        <v>1190</v>
      </c>
      <c r="L17" s="9"/>
      <c r="M17" s="9"/>
      <c r="N17" s="9"/>
      <c r="O17" s="9" t="s">
        <v>37</v>
      </c>
      <c r="P17" s="9" t="s">
        <v>44</v>
      </c>
      <c r="Q17" s="11"/>
      <c r="R17" s="10"/>
      <c r="S17" s="10"/>
      <c r="T17" s="10"/>
      <c r="U17" s="9"/>
      <c r="X17" t="s">
        <v>54</v>
      </c>
      <c r="Y17" t="s">
        <v>40</v>
      </c>
      <c r="Z17" t="s">
        <v>41</v>
      </c>
      <c r="AB17" t="str">
        <f t="shared" si="2"/>
        <v>41531</v>
      </c>
    </row>
    <row r="18" ht="14.25" spans="1:28">
      <c r="A18" s="5" t="s">
        <v>28</v>
      </c>
      <c r="B18" s="5" t="s">
        <v>29</v>
      </c>
      <c r="C18" s="5">
        <v>2027</v>
      </c>
      <c r="D18" s="5" t="s">
        <v>30</v>
      </c>
      <c r="E18" s="9" t="s">
        <v>51</v>
      </c>
      <c r="F18" s="9" t="s">
        <v>32</v>
      </c>
      <c r="G18" s="9" t="s">
        <v>52</v>
      </c>
      <c r="H18" s="9" t="s">
        <v>53</v>
      </c>
      <c r="I18" s="9" t="s">
        <v>35</v>
      </c>
      <c r="J18" s="9" t="s">
        <v>36</v>
      </c>
      <c r="K18" s="9">
        <v>1190</v>
      </c>
      <c r="L18" s="9"/>
      <c r="M18" s="9"/>
      <c r="N18" s="9"/>
      <c r="O18" s="9" t="s">
        <v>37</v>
      </c>
      <c r="P18" s="9" t="s">
        <v>45</v>
      </c>
      <c r="Q18" s="11"/>
      <c r="R18" s="10"/>
      <c r="S18" s="10"/>
      <c r="T18" s="10"/>
      <c r="U18" s="9"/>
      <c r="X18" t="s">
        <v>54</v>
      </c>
      <c r="Y18" t="s">
        <v>40</v>
      </c>
      <c r="Z18" t="s">
        <v>41</v>
      </c>
      <c r="AB18" t="str">
        <f t="shared" si="2"/>
        <v>41531</v>
      </c>
    </row>
    <row r="19" ht="14.25" spans="1:28">
      <c r="A19" s="5" t="s">
        <v>28</v>
      </c>
      <c r="B19" s="5" t="s">
        <v>29</v>
      </c>
      <c r="C19" s="5">
        <v>2027</v>
      </c>
      <c r="D19" s="5" t="s">
        <v>30</v>
      </c>
      <c r="E19" s="9" t="s">
        <v>51</v>
      </c>
      <c r="F19" s="9" t="s">
        <v>32</v>
      </c>
      <c r="G19" s="9" t="s">
        <v>52</v>
      </c>
      <c r="H19" s="9" t="s">
        <v>53</v>
      </c>
      <c r="I19" s="9" t="s">
        <v>35</v>
      </c>
      <c r="J19" s="9" t="s">
        <v>36</v>
      </c>
      <c r="K19" s="9">
        <v>1190</v>
      </c>
      <c r="L19" s="9"/>
      <c r="M19" s="9"/>
      <c r="N19" s="9"/>
      <c r="O19" s="9" t="s">
        <v>37</v>
      </c>
      <c r="P19" s="9" t="s">
        <v>46</v>
      </c>
      <c r="Q19" s="11"/>
      <c r="R19" s="10"/>
      <c r="S19" s="10"/>
      <c r="T19" s="10"/>
      <c r="U19" s="9"/>
      <c r="X19" t="s">
        <v>54</v>
      </c>
      <c r="Y19" t="s">
        <v>40</v>
      </c>
      <c r="Z19" t="s">
        <v>41</v>
      </c>
      <c r="AB19" t="str">
        <f t="shared" si="2"/>
        <v>41531</v>
      </c>
    </row>
    <row r="20" ht="14.25" spans="1:28">
      <c r="A20" s="5" t="s">
        <v>28</v>
      </c>
      <c r="B20" s="5" t="s">
        <v>29</v>
      </c>
      <c r="C20" s="5">
        <v>2027</v>
      </c>
      <c r="D20" s="5" t="s">
        <v>30</v>
      </c>
      <c r="E20" s="9" t="s">
        <v>55</v>
      </c>
      <c r="F20" s="9" t="s">
        <v>32</v>
      </c>
      <c r="G20" s="9" t="s">
        <v>56</v>
      </c>
      <c r="H20" s="9" t="s">
        <v>57</v>
      </c>
      <c r="I20" s="9" t="s">
        <v>35</v>
      </c>
      <c r="J20" s="9" t="s">
        <v>36</v>
      </c>
      <c r="K20" s="9">
        <v>1190</v>
      </c>
      <c r="L20" s="9"/>
      <c r="M20" s="9"/>
      <c r="N20" s="9"/>
      <c r="O20" s="9" t="s">
        <v>37</v>
      </c>
      <c r="P20" s="9" t="s">
        <v>38</v>
      </c>
      <c r="Q20" s="11"/>
      <c r="R20" s="10">
        <f t="shared" si="0"/>
        <v>0</v>
      </c>
      <c r="S20" s="10">
        <f>SUMIFS([1]Sheet1!$T:$T,[1]Sheet1!$I:$I,E20,[1]Sheet1!$C:$C,A20)</f>
        <v>0</v>
      </c>
      <c r="T20" s="10">
        <f t="shared" si="1"/>
        <v>0</v>
      </c>
      <c r="U20" s="9"/>
      <c r="X20" t="s">
        <v>58</v>
      </c>
      <c r="Y20" t="s">
        <v>40</v>
      </c>
      <c r="Z20" t="s">
        <v>41</v>
      </c>
      <c r="AB20" t="str">
        <f t="shared" si="2"/>
        <v>41531</v>
      </c>
    </row>
    <row r="21" ht="14.25" spans="1:28">
      <c r="A21" s="5" t="s">
        <v>28</v>
      </c>
      <c r="B21" s="5" t="s">
        <v>29</v>
      </c>
      <c r="C21" s="5">
        <v>2027</v>
      </c>
      <c r="D21" s="5" t="s">
        <v>30</v>
      </c>
      <c r="E21" s="9" t="s">
        <v>55</v>
      </c>
      <c r="F21" s="9" t="s">
        <v>32</v>
      </c>
      <c r="G21" s="9" t="s">
        <v>56</v>
      </c>
      <c r="H21" s="9" t="s">
        <v>57</v>
      </c>
      <c r="I21" s="9" t="s">
        <v>35</v>
      </c>
      <c r="J21" s="9" t="s">
        <v>36</v>
      </c>
      <c r="K21" s="9">
        <v>1190</v>
      </c>
      <c r="L21" s="9"/>
      <c r="M21" s="9"/>
      <c r="N21" s="9"/>
      <c r="O21" s="9" t="s">
        <v>37</v>
      </c>
      <c r="P21" s="9" t="s">
        <v>42</v>
      </c>
      <c r="Q21" s="11"/>
      <c r="R21" s="10"/>
      <c r="S21" s="10"/>
      <c r="T21" s="10"/>
      <c r="U21" s="9"/>
      <c r="X21" t="s">
        <v>58</v>
      </c>
      <c r="Y21" t="s">
        <v>40</v>
      </c>
      <c r="Z21" t="s">
        <v>41</v>
      </c>
      <c r="AB21" t="str">
        <f t="shared" si="2"/>
        <v>41531</v>
      </c>
    </row>
    <row r="22" ht="14.25" spans="1:28">
      <c r="A22" s="5" t="s">
        <v>28</v>
      </c>
      <c r="B22" s="5" t="s">
        <v>29</v>
      </c>
      <c r="C22" s="5">
        <v>2027</v>
      </c>
      <c r="D22" s="5" t="s">
        <v>30</v>
      </c>
      <c r="E22" s="9" t="s">
        <v>55</v>
      </c>
      <c r="F22" s="9" t="s">
        <v>32</v>
      </c>
      <c r="G22" s="9" t="s">
        <v>56</v>
      </c>
      <c r="H22" s="9" t="s">
        <v>57</v>
      </c>
      <c r="I22" s="9" t="s">
        <v>35</v>
      </c>
      <c r="J22" s="9" t="s">
        <v>36</v>
      </c>
      <c r="K22" s="9">
        <v>1190</v>
      </c>
      <c r="L22" s="9"/>
      <c r="M22" s="9"/>
      <c r="N22" s="9"/>
      <c r="O22" s="9" t="s">
        <v>37</v>
      </c>
      <c r="P22" s="9" t="s">
        <v>43</v>
      </c>
      <c r="Q22" s="9"/>
      <c r="R22" s="10"/>
      <c r="S22" s="10"/>
      <c r="T22" s="10"/>
      <c r="U22" s="9"/>
      <c r="X22" t="s">
        <v>58</v>
      </c>
      <c r="Y22" t="s">
        <v>40</v>
      </c>
      <c r="Z22" t="s">
        <v>41</v>
      </c>
      <c r="AB22" t="str">
        <f t="shared" si="2"/>
        <v>41531</v>
      </c>
    </row>
    <row r="23" ht="14.25" spans="1:28">
      <c r="A23" s="5" t="s">
        <v>28</v>
      </c>
      <c r="B23" s="5" t="s">
        <v>29</v>
      </c>
      <c r="C23" s="5">
        <v>2027</v>
      </c>
      <c r="D23" s="5" t="s">
        <v>30</v>
      </c>
      <c r="E23" s="9" t="s">
        <v>55</v>
      </c>
      <c r="F23" s="9" t="s">
        <v>32</v>
      </c>
      <c r="G23" s="9" t="s">
        <v>56</v>
      </c>
      <c r="H23" s="9" t="s">
        <v>57</v>
      </c>
      <c r="I23" s="9" t="s">
        <v>35</v>
      </c>
      <c r="J23" s="9" t="s">
        <v>36</v>
      </c>
      <c r="K23" s="9">
        <v>1190</v>
      </c>
      <c r="L23" s="9"/>
      <c r="M23" s="9"/>
      <c r="N23" s="9"/>
      <c r="O23" s="9" t="s">
        <v>37</v>
      </c>
      <c r="P23" s="9" t="s">
        <v>44</v>
      </c>
      <c r="Q23" s="9"/>
      <c r="R23" s="10"/>
      <c r="S23" s="10"/>
      <c r="T23" s="10"/>
      <c r="U23" s="9"/>
      <c r="X23" t="s">
        <v>58</v>
      </c>
      <c r="Y23" t="s">
        <v>40</v>
      </c>
      <c r="Z23" t="s">
        <v>41</v>
      </c>
      <c r="AB23" t="str">
        <f t="shared" si="2"/>
        <v>41531</v>
      </c>
    </row>
    <row r="24" ht="14.25" spans="1:28">
      <c r="A24" s="5" t="s">
        <v>28</v>
      </c>
      <c r="B24" s="5" t="s">
        <v>29</v>
      </c>
      <c r="C24" s="5">
        <v>2027</v>
      </c>
      <c r="D24" s="5" t="s">
        <v>30</v>
      </c>
      <c r="E24" s="9" t="s">
        <v>55</v>
      </c>
      <c r="F24" s="9" t="s">
        <v>32</v>
      </c>
      <c r="G24" s="9" t="s">
        <v>56</v>
      </c>
      <c r="H24" s="9" t="s">
        <v>57</v>
      </c>
      <c r="I24" s="9" t="s">
        <v>35</v>
      </c>
      <c r="J24" s="9" t="s">
        <v>36</v>
      </c>
      <c r="K24" s="9">
        <v>1190</v>
      </c>
      <c r="L24" s="9"/>
      <c r="M24" s="9"/>
      <c r="N24" s="9"/>
      <c r="O24" s="9" t="s">
        <v>37</v>
      </c>
      <c r="P24" s="9" t="s">
        <v>45</v>
      </c>
      <c r="Q24" s="9"/>
      <c r="R24" s="10"/>
      <c r="S24" s="10"/>
      <c r="T24" s="10"/>
      <c r="U24" s="9"/>
      <c r="X24" t="s">
        <v>58</v>
      </c>
      <c r="Y24" t="s">
        <v>40</v>
      </c>
      <c r="Z24" t="s">
        <v>41</v>
      </c>
      <c r="AB24" t="str">
        <f t="shared" si="2"/>
        <v>41531</v>
      </c>
    </row>
    <row r="25" ht="14.25" spans="1:28">
      <c r="A25" s="5" t="s">
        <v>28</v>
      </c>
      <c r="B25" s="5" t="s">
        <v>29</v>
      </c>
      <c r="C25" s="5">
        <v>2027</v>
      </c>
      <c r="D25" s="5" t="s">
        <v>30</v>
      </c>
      <c r="E25" s="9" t="s">
        <v>55</v>
      </c>
      <c r="F25" s="9" t="s">
        <v>32</v>
      </c>
      <c r="G25" s="9" t="s">
        <v>56</v>
      </c>
      <c r="H25" s="9" t="s">
        <v>57</v>
      </c>
      <c r="I25" s="9" t="s">
        <v>35</v>
      </c>
      <c r="J25" s="9" t="s">
        <v>36</v>
      </c>
      <c r="K25" s="9">
        <v>1190</v>
      </c>
      <c r="L25" s="9"/>
      <c r="M25" s="9"/>
      <c r="N25" s="9"/>
      <c r="O25" s="9" t="s">
        <v>37</v>
      </c>
      <c r="P25" s="9" t="s">
        <v>46</v>
      </c>
      <c r="Q25" s="9"/>
      <c r="R25" s="10"/>
      <c r="S25" s="10"/>
      <c r="T25" s="10"/>
      <c r="U25" s="9"/>
      <c r="X25" t="s">
        <v>58</v>
      </c>
      <c r="Y25" t="s">
        <v>40</v>
      </c>
      <c r="Z25" t="s">
        <v>41</v>
      </c>
      <c r="AB25" t="str">
        <f t="shared" si="2"/>
        <v>41531</v>
      </c>
    </row>
    <row r="26" ht="14.25" spans="1:28">
      <c r="A26" s="5" t="s">
        <v>28</v>
      </c>
      <c r="B26" s="5" t="s">
        <v>29</v>
      </c>
      <c r="C26" s="5">
        <v>2027</v>
      </c>
      <c r="D26" s="5" t="s">
        <v>30</v>
      </c>
      <c r="E26" s="9" t="s">
        <v>59</v>
      </c>
      <c r="F26" s="9" t="s">
        <v>32</v>
      </c>
      <c r="G26" s="9" t="s">
        <v>60</v>
      </c>
      <c r="H26" s="9" t="s">
        <v>61</v>
      </c>
      <c r="I26" s="9" t="s">
        <v>35</v>
      </c>
      <c r="J26" s="9" t="s">
        <v>36</v>
      </c>
      <c r="K26" s="9">
        <v>1190</v>
      </c>
      <c r="L26" s="9"/>
      <c r="M26" s="9"/>
      <c r="N26" s="9"/>
      <c r="O26" s="9" t="s">
        <v>37</v>
      </c>
      <c r="P26" s="9" t="s">
        <v>38</v>
      </c>
      <c r="Q26" s="9"/>
      <c r="R26" s="10">
        <f t="shared" si="0"/>
        <v>0</v>
      </c>
      <c r="S26" s="10">
        <f>SUMIFS([1]Sheet1!$T:$T,[1]Sheet1!$I:$I,E26,[1]Sheet1!$C:$C,A26)</f>
        <v>0</v>
      </c>
      <c r="T26" s="10">
        <f t="shared" si="1"/>
        <v>0</v>
      </c>
      <c r="U26" s="9"/>
      <c r="X26" t="s">
        <v>62</v>
      </c>
      <c r="Y26" t="s">
        <v>40</v>
      </c>
      <c r="Z26" t="s">
        <v>41</v>
      </c>
      <c r="AB26" t="str">
        <f t="shared" si="2"/>
        <v>41531</v>
      </c>
    </row>
    <row r="27" ht="14.25" spans="1:28">
      <c r="A27" s="5" t="s">
        <v>28</v>
      </c>
      <c r="B27" s="5" t="s">
        <v>29</v>
      </c>
      <c r="C27" s="5">
        <v>2027</v>
      </c>
      <c r="D27" s="5" t="s">
        <v>30</v>
      </c>
      <c r="E27" s="9" t="s">
        <v>59</v>
      </c>
      <c r="F27" s="9" t="s">
        <v>32</v>
      </c>
      <c r="G27" s="9" t="s">
        <v>60</v>
      </c>
      <c r="H27" s="9" t="s">
        <v>61</v>
      </c>
      <c r="I27" s="9" t="s">
        <v>35</v>
      </c>
      <c r="J27" s="9" t="s">
        <v>36</v>
      </c>
      <c r="K27" s="9">
        <v>1190</v>
      </c>
      <c r="L27" s="9"/>
      <c r="M27" s="9"/>
      <c r="N27" s="9"/>
      <c r="O27" s="9" t="s">
        <v>37</v>
      </c>
      <c r="P27" s="9" t="s">
        <v>42</v>
      </c>
      <c r="Q27" s="9"/>
      <c r="R27" s="10"/>
      <c r="S27" s="10"/>
      <c r="T27" s="10"/>
      <c r="U27" s="9"/>
      <c r="X27" t="s">
        <v>62</v>
      </c>
      <c r="Y27" t="s">
        <v>40</v>
      </c>
      <c r="Z27" t="s">
        <v>41</v>
      </c>
      <c r="AB27" t="str">
        <f t="shared" si="2"/>
        <v>41531</v>
      </c>
    </row>
    <row r="28" ht="14.25" spans="1:28">
      <c r="A28" s="5" t="s">
        <v>28</v>
      </c>
      <c r="B28" s="5" t="s">
        <v>29</v>
      </c>
      <c r="C28" s="5">
        <v>2027</v>
      </c>
      <c r="D28" s="5" t="s">
        <v>30</v>
      </c>
      <c r="E28" s="9" t="s">
        <v>59</v>
      </c>
      <c r="F28" s="9" t="s">
        <v>32</v>
      </c>
      <c r="G28" s="9" t="s">
        <v>60</v>
      </c>
      <c r="H28" s="9" t="s">
        <v>61</v>
      </c>
      <c r="I28" s="9" t="s">
        <v>35</v>
      </c>
      <c r="J28" s="9" t="s">
        <v>36</v>
      </c>
      <c r="K28" s="9">
        <v>1190</v>
      </c>
      <c r="L28" s="9"/>
      <c r="M28" s="9"/>
      <c r="N28" s="9"/>
      <c r="O28" s="9" t="s">
        <v>37</v>
      </c>
      <c r="P28" s="9" t="s">
        <v>43</v>
      </c>
      <c r="Q28" s="9"/>
      <c r="R28" s="10"/>
      <c r="S28" s="10"/>
      <c r="T28" s="10"/>
      <c r="U28" s="9"/>
      <c r="X28" t="s">
        <v>62</v>
      </c>
      <c r="Y28" t="s">
        <v>40</v>
      </c>
      <c r="Z28" t="s">
        <v>41</v>
      </c>
      <c r="AB28" t="str">
        <f t="shared" si="2"/>
        <v>41531</v>
      </c>
    </row>
    <row r="29" ht="14.25" spans="1:28">
      <c r="A29" s="5" t="s">
        <v>28</v>
      </c>
      <c r="B29" s="5" t="s">
        <v>29</v>
      </c>
      <c r="C29" s="5">
        <v>2027</v>
      </c>
      <c r="D29" s="5" t="s">
        <v>30</v>
      </c>
      <c r="E29" s="9" t="s">
        <v>59</v>
      </c>
      <c r="F29" s="9" t="s">
        <v>32</v>
      </c>
      <c r="G29" s="9" t="s">
        <v>60</v>
      </c>
      <c r="H29" s="9" t="s">
        <v>61</v>
      </c>
      <c r="I29" s="9" t="s">
        <v>35</v>
      </c>
      <c r="J29" s="9" t="s">
        <v>36</v>
      </c>
      <c r="K29" s="9">
        <v>1190</v>
      </c>
      <c r="L29" s="9"/>
      <c r="M29" s="9"/>
      <c r="N29" s="9"/>
      <c r="O29" s="9" t="s">
        <v>37</v>
      </c>
      <c r="P29" s="9" t="s">
        <v>44</v>
      </c>
      <c r="Q29" s="9"/>
      <c r="R29" s="10"/>
      <c r="S29" s="10"/>
      <c r="T29" s="10"/>
      <c r="U29" s="9"/>
      <c r="X29" t="s">
        <v>62</v>
      </c>
      <c r="Y29" t="s">
        <v>40</v>
      </c>
      <c r="Z29" t="s">
        <v>41</v>
      </c>
      <c r="AB29" t="str">
        <f t="shared" si="2"/>
        <v>41531</v>
      </c>
    </row>
    <row r="30" ht="14.25" spans="1:28">
      <c r="A30" s="5" t="s">
        <v>28</v>
      </c>
      <c r="B30" s="5" t="s">
        <v>29</v>
      </c>
      <c r="C30" s="5">
        <v>2027</v>
      </c>
      <c r="D30" s="5" t="s">
        <v>30</v>
      </c>
      <c r="E30" s="9" t="s">
        <v>59</v>
      </c>
      <c r="F30" s="9" t="s">
        <v>32</v>
      </c>
      <c r="G30" s="9" t="s">
        <v>60</v>
      </c>
      <c r="H30" s="9" t="s">
        <v>61</v>
      </c>
      <c r="I30" s="9" t="s">
        <v>35</v>
      </c>
      <c r="J30" s="9" t="s">
        <v>36</v>
      </c>
      <c r="K30" s="9">
        <v>1190</v>
      </c>
      <c r="L30" s="9"/>
      <c r="M30" s="9"/>
      <c r="N30" s="9"/>
      <c r="O30" s="9" t="s">
        <v>37</v>
      </c>
      <c r="P30" s="9" t="s">
        <v>45</v>
      </c>
      <c r="Q30" s="9"/>
      <c r="R30" s="10"/>
      <c r="S30" s="10"/>
      <c r="T30" s="10"/>
      <c r="U30" s="9"/>
      <c r="X30" t="s">
        <v>62</v>
      </c>
      <c r="Y30" t="s">
        <v>40</v>
      </c>
      <c r="Z30" t="s">
        <v>41</v>
      </c>
      <c r="AB30" t="str">
        <f t="shared" si="2"/>
        <v>41531</v>
      </c>
    </row>
    <row r="31" ht="14.25" spans="1:28">
      <c r="A31" s="5" t="s">
        <v>28</v>
      </c>
      <c r="B31" s="5" t="s">
        <v>29</v>
      </c>
      <c r="C31" s="5">
        <v>2027</v>
      </c>
      <c r="D31" s="5" t="s">
        <v>30</v>
      </c>
      <c r="E31" s="9" t="s">
        <v>59</v>
      </c>
      <c r="F31" s="9" t="s">
        <v>32</v>
      </c>
      <c r="G31" s="9" t="s">
        <v>60</v>
      </c>
      <c r="H31" s="9" t="s">
        <v>61</v>
      </c>
      <c r="I31" s="9" t="s">
        <v>35</v>
      </c>
      <c r="J31" s="9" t="s">
        <v>36</v>
      </c>
      <c r="K31" s="9">
        <v>1190</v>
      </c>
      <c r="L31" s="9"/>
      <c r="M31" s="9"/>
      <c r="N31" s="9"/>
      <c r="O31" s="9" t="s">
        <v>37</v>
      </c>
      <c r="P31" s="9" t="s">
        <v>46</v>
      </c>
      <c r="Q31" s="9"/>
      <c r="R31" s="10"/>
      <c r="S31" s="10"/>
      <c r="T31" s="10"/>
      <c r="U31" s="9"/>
      <c r="X31" t="s">
        <v>62</v>
      </c>
      <c r="Y31" t="s">
        <v>40</v>
      </c>
      <c r="Z31" t="s">
        <v>41</v>
      </c>
      <c r="AB31" t="str">
        <f t="shared" si="2"/>
        <v>41531</v>
      </c>
    </row>
    <row r="32" ht="14.25" spans="1:28">
      <c r="A32" s="5" t="s">
        <v>28</v>
      </c>
      <c r="B32" s="5" t="s">
        <v>29</v>
      </c>
      <c r="C32" s="5">
        <v>2027</v>
      </c>
      <c r="D32" s="5" t="s">
        <v>30</v>
      </c>
      <c r="E32" s="9" t="s">
        <v>63</v>
      </c>
      <c r="F32" s="9" t="s">
        <v>64</v>
      </c>
      <c r="G32" s="9" t="s">
        <v>65</v>
      </c>
      <c r="H32" s="9" t="s">
        <v>66</v>
      </c>
      <c r="I32" s="9" t="s">
        <v>35</v>
      </c>
      <c r="J32" s="9" t="s">
        <v>67</v>
      </c>
      <c r="K32" s="9">
        <v>1190</v>
      </c>
      <c r="L32" s="9"/>
      <c r="M32" s="9"/>
      <c r="N32" s="9"/>
      <c r="O32" s="9" t="s">
        <v>68</v>
      </c>
      <c r="P32" s="9" t="s">
        <v>69</v>
      </c>
      <c r="Q32" s="9"/>
      <c r="R32" s="10">
        <f t="shared" si="0"/>
        <v>0</v>
      </c>
      <c r="S32" s="10">
        <f>SUMIFS([1]Sheet1!$T:$T,[1]Sheet1!$I:$I,E32,[1]Sheet1!$C:$C,A32)</f>
        <v>60</v>
      </c>
      <c r="T32" s="10">
        <f t="shared" si="1"/>
        <v>-60</v>
      </c>
      <c r="U32" s="9"/>
      <c r="X32" t="s">
        <v>70</v>
      </c>
      <c r="Y32" t="s">
        <v>40</v>
      </c>
      <c r="Z32" t="s">
        <v>71</v>
      </c>
      <c r="AB32" t="str">
        <f t="shared" si="2"/>
        <v>44353</v>
      </c>
    </row>
    <row r="33" ht="14.25" spans="1:28">
      <c r="A33" s="5" t="s">
        <v>28</v>
      </c>
      <c r="B33" s="5" t="s">
        <v>29</v>
      </c>
      <c r="C33" s="5">
        <v>2027</v>
      </c>
      <c r="D33" s="5" t="s">
        <v>30</v>
      </c>
      <c r="E33" s="9" t="s">
        <v>63</v>
      </c>
      <c r="F33" s="9" t="s">
        <v>64</v>
      </c>
      <c r="G33" s="9" t="s">
        <v>65</v>
      </c>
      <c r="H33" s="9" t="s">
        <v>66</v>
      </c>
      <c r="I33" s="9" t="s">
        <v>35</v>
      </c>
      <c r="J33" s="9" t="s">
        <v>67</v>
      </c>
      <c r="K33" s="9">
        <v>1190</v>
      </c>
      <c r="L33" s="9"/>
      <c r="M33" s="9"/>
      <c r="N33" s="9"/>
      <c r="O33" s="9" t="s">
        <v>68</v>
      </c>
      <c r="P33" s="9" t="s">
        <v>72</v>
      </c>
      <c r="Q33" s="9"/>
      <c r="R33" s="10"/>
      <c r="S33" s="10"/>
      <c r="T33" s="10"/>
      <c r="U33" s="9"/>
      <c r="X33" t="s">
        <v>70</v>
      </c>
      <c r="Y33" t="s">
        <v>40</v>
      </c>
      <c r="Z33" t="s">
        <v>71</v>
      </c>
      <c r="AB33" t="str">
        <f t="shared" si="2"/>
        <v>44353</v>
      </c>
    </row>
    <row r="34" ht="14.25" spans="1:28">
      <c r="A34" s="5" t="s">
        <v>28</v>
      </c>
      <c r="B34" s="5" t="s">
        <v>29</v>
      </c>
      <c r="C34" s="5">
        <v>2027</v>
      </c>
      <c r="D34" s="5" t="s">
        <v>30</v>
      </c>
      <c r="E34" s="9" t="s">
        <v>63</v>
      </c>
      <c r="F34" s="9" t="s">
        <v>64</v>
      </c>
      <c r="G34" s="9" t="s">
        <v>65</v>
      </c>
      <c r="H34" s="9" t="s">
        <v>66</v>
      </c>
      <c r="I34" s="9" t="s">
        <v>35</v>
      </c>
      <c r="J34" s="9" t="s">
        <v>67</v>
      </c>
      <c r="K34" s="9">
        <v>1190</v>
      </c>
      <c r="L34" s="9"/>
      <c r="M34" s="9"/>
      <c r="N34" s="9"/>
      <c r="O34" s="9" t="s">
        <v>68</v>
      </c>
      <c r="P34" s="9" t="s">
        <v>73</v>
      </c>
      <c r="Q34" s="9"/>
      <c r="R34" s="10"/>
      <c r="S34" s="10"/>
      <c r="T34" s="10"/>
      <c r="U34" s="9"/>
      <c r="X34" t="s">
        <v>70</v>
      </c>
      <c r="Y34" t="s">
        <v>40</v>
      </c>
      <c r="Z34" t="s">
        <v>71</v>
      </c>
      <c r="AB34" t="str">
        <f t="shared" si="2"/>
        <v>44353</v>
      </c>
    </row>
    <row r="35" ht="14.25" spans="1:28">
      <c r="A35" s="5" t="s">
        <v>28</v>
      </c>
      <c r="B35" s="5" t="s">
        <v>29</v>
      </c>
      <c r="C35" s="5">
        <v>2027</v>
      </c>
      <c r="D35" s="5" t="s">
        <v>30</v>
      </c>
      <c r="E35" s="9" t="s">
        <v>63</v>
      </c>
      <c r="F35" s="9" t="s">
        <v>64</v>
      </c>
      <c r="G35" s="9" t="s">
        <v>65</v>
      </c>
      <c r="H35" s="9" t="s">
        <v>66</v>
      </c>
      <c r="I35" s="9" t="s">
        <v>35</v>
      </c>
      <c r="J35" s="9" t="s">
        <v>67</v>
      </c>
      <c r="K35" s="9">
        <v>1190</v>
      </c>
      <c r="L35" s="9"/>
      <c r="M35" s="9"/>
      <c r="N35" s="9"/>
      <c r="O35" s="9" t="s">
        <v>68</v>
      </c>
      <c r="P35" s="9" t="s">
        <v>74</v>
      </c>
      <c r="Q35" s="9"/>
      <c r="R35" s="10"/>
      <c r="S35" s="10"/>
      <c r="T35" s="10"/>
      <c r="U35" s="9"/>
      <c r="X35" t="s">
        <v>70</v>
      </c>
      <c r="Y35" t="s">
        <v>40</v>
      </c>
      <c r="Z35" t="s">
        <v>71</v>
      </c>
      <c r="AB35" t="str">
        <f t="shared" si="2"/>
        <v>44353</v>
      </c>
    </row>
    <row r="36" ht="14.25" spans="1:28">
      <c r="A36" s="5" t="s">
        <v>28</v>
      </c>
      <c r="B36" s="5" t="s">
        <v>29</v>
      </c>
      <c r="C36" s="5">
        <v>2027</v>
      </c>
      <c r="D36" s="5" t="s">
        <v>30</v>
      </c>
      <c r="E36" s="9" t="s">
        <v>63</v>
      </c>
      <c r="F36" s="9" t="s">
        <v>64</v>
      </c>
      <c r="G36" s="9" t="s">
        <v>65</v>
      </c>
      <c r="H36" s="9" t="s">
        <v>66</v>
      </c>
      <c r="I36" s="9" t="s">
        <v>35</v>
      </c>
      <c r="J36" s="9" t="s">
        <v>67</v>
      </c>
      <c r="K36" s="9">
        <v>1190</v>
      </c>
      <c r="L36" s="9"/>
      <c r="M36" s="9"/>
      <c r="N36" s="9"/>
      <c r="O36" s="9" t="s">
        <v>68</v>
      </c>
      <c r="P36" s="9" t="s">
        <v>75</v>
      </c>
      <c r="Q36" s="9"/>
      <c r="R36" s="10"/>
      <c r="S36" s="10"/>
      <c r="T36" s="10"/>
      <c r="U36" s="9"/>
      <c r="X36" t="s">
        <v>70</v>
      </c>
      <c r="Y36" t="s">
        <v>40</v>
      </c>
      <c r="Z36" t="s">
        <v>71</v>
      </c>
      <c r="AB36" t="str">
        <f t="shared" si="2"/>
        <v>44353</v>
      </c>
    </row>
    <row r="37" ht="14.25" spans="1:28">
      <c r="A37" s="5" t="s">
        <v>28</v>
      </c>
      <c r="B37" s="5" t="s">
        <v>29</v>
      </c>
      <c r="C37" s="5">
        <v>2027</v>
      </c>
      <c r="D37" s="5" t="s">
        <v>30</v>
      </c>
      <c r="E37" s="9" t="s">
        <v>63</v>
      </c>
      <c r="F37" s="9" t="s">
        <v>64</v>
      </c>
      <c r="G37" s="9" t="s">
        <v>65</v>
      </c>
      <c r="H37" s="9" t="s">
        <v>66</v>
      </c>
      <c r="I37" s="9" t="s">
        <v>35</v>
      </c>
      <c r="J37" s="9" t="s">
        <v>67</v>
      </c>
      <c r="K37" s="9">
        <v>1190</v>
      </c>
      <c r="L37" s="9"/>
      <c r="M37" s="9"/>
      <c r="N37" s="9"/>
      <c r="O37" s="9" t="s">
        <v>68</v>
      </c>
      <c r="P37" s="9" t="s">
        <v>76</v>
      </c>
      <c r="Q37" s="9"/>
      <c r="R37" s="10"/>
      <c r="S37" s="10"/>
      <c r="T37" s="10"/>
      <c r="U37" s="9"/>
      <c r="X37" t="s">
        <v>70</v>
      </c>
      <c r="Y37" t="s">
        <v>40</v>
      </c>
      <c r="Z37" t="s">
        <v>71</v>
      </c>
      <c r="AB37" t="str">
        <f t="shared" si="2"/>
        <v>44353</v>
      </c>
    </row>
    <row r="38" ht="14.25" spans="1:28">
      <c r="A38" s="5" t="s">
        <v>28</v>
      </c>
      <c r="B38" s="5" t="s">
        <v>29</v>
      </c>
      <c r="C38" s="5">
        <v>2027</v>
      </c>
      <c r="D38" s="5" t="s">
        <v>30</v>
      </c>
      <c r="E38" s="9" t="s">
        <v>63</v>
      </c>
      <c r="F38" s="9" t="s">
        <v>64</v>
      </c>
      <c r="G38" s="9" t="s">
        <v>65</v>
      </c>
      <c r="H38" s="9" t="s">
        <v>66</v>
      </c>
      <c r="I38" s="9" t="s">
        <v>35</v>
      </c>
      <c r="J38" s="9" t="s">
        <v>67</v>
      </c>
      <c r="K38" s="9">
        <v>1190</v>
      </c>
      <c r="L38" s="9"/>
      <c r="M38" s="9"/>
      <c r="N38" s="9"/>
      <c r="O38" s="9" t="s">
        <v>68</v>
      </c>
      <c r="P38" s="9" t="s">
        <v>77</v>
      </c>
      <c r="Q38" s="9"/>
      <c r="R38" s="10"/>
      <c r="S38" s="10"/>
      <c r="T38" s="10"/>
      <c r="U38" s="9"/>
      <c r="X38" t="s">
        <v>70</v>
      </c>
      <c r="Y38" t="s">
        <v>40</v>
      </c>
      <c r="Z38" t="s">
        <v>71</v>
      </c>
      <c r="AB38" t="str">
        <f t="shared" si="2"/>
        <v>44353</v>
      </c>
    </row>
    <row r="39" ht="14.25" spans="1:28">
      <c r="A39" s="5" t="s">
        <v>28</v>
      </c>
      <c r="B39" s="5" t="s">
        <v>29</v>
      </c>
      <c r="C39" s="5">
        <v>2027</v>
      </c>
      <c r="D39" s="5" t="s">
        <v>30</v>
      </c>
      <c r="E39" s="9" t="s">
        <v>63</v>
      </c>
      <c r="F39" s="9" t="s">
        <v>64</v>
      </c>
      <c r="G39" s="9" t="s">
        <v>65</v>
      </c>
      <c r="H39" s="9" t="s">
        <v>66</v>
      </c>
      <c r="I39" s="9" t="s">
        <v>35</v>
      </c>
      <c r="J39" s="9" t="s">
        <v>67</v>
      </c>
      <c r="K39" s="9">
        <v>1190</v>
      </c>
      <c r="L39" s="9"/>
      <c r="M39" s="9"/>
      <c r="N39" s="9"/>
      <c r="O39" s="9" t="s">
        <v>68</v>
      </c>
      <c r="P39" s="9" t="s">
        <v>78</v>
      </c>
      <c r="Q39" s="9"/>
      <c r="R39" s="10"/>
      <c r="S39" s="10"/>
      <c r="T39" s="10"/>
      <c r="U39" s="9"/>
      <c r="X39" t="s">
        <v>70</v>
      </c>
      <c r="Y39" t="s">
        <v>40</v>
      </c>
      <c r="Z39" t="s">
        <v>71</v>
      </c>
      <c r="AB39" t="str">
        <f t="shared" si="2"/>
        <v>44353</v>
      </c>
    </row>
    <row r="40" ht="14.25" spans="1:28">
      <c r="A40" s="5" t="s">
        <v>28</v>
      </c>
      <c r="B40" s="5" t="s">
        <v>29</v>
      </c>
      <c r="C40" s="5">
        <v>2027</v>
      </c>
      <c r="D40" s="5" t="s">
        <v>30</v>
      </c>
      <c r="E40" s="9" t="s">
        <v>63</v>
      </c>
      <c r="F40" s="9" t="s">
        <v>64</v>
      </c>
      <c r="G40" s="9" t="s">
        <v>65</v>
      </c>
      <c r="H40" s="9" t="s">
        <v>66</v>
      </c>
      <c r="I40" s="9" t="s">
        <v>35</v>
      </c>
      <c r="J40" s="9" t="s">
        <v>67</v>
      </c>
      <c r="K40" s="9">
        <v>1190</v>
      </c>
      <c r="L40" s="9"/>
      <c r="M40" s="9"/>
      <c r="N40" s="9"/>
      <c r="O40" s="9" t="s">
        <v>68</v>
      </c>
      <c r="P40" s="9" t="s">
        <v>79</v>
      </c>
      <c r="Q40" s="11"/>
      <c r="R40" s="10"/>
      <c r="S40" s="10"/>
      <c r="T40" s="10"/>
      <c r="U40" s="9"/>
      <c r="X40" t="s">
        <v>70</v>
      </c>
      <c r="Y40" t="s">
        <v>40</v>
      </c>
      <c r="Z40" t="s">
        <v>71</v>
      </c>
      <c r="AB40" t="str">
        <f t="shared" si="2"/>
        <v>44353</v>
      </c>
    </row>
    <row r="41" ht="14.25" spans="1:28">
      <c r="A41" s="5" t="s">
        <v>28</v>
      </c>
      <c r="B41" s="5" t="s">
        <v>29</v>
      </c>
      <c r="C41" s="5">
        <v>2027</v>
      </c>
      <c r="D41" s="5" t="s">
        <v>30</v>
      </c>
      <c r="E41" s="9" t="s">
        <v>80</v>
      </c>
      <c r="F41" s="9" t="s">
        <v>64</v>
      </c>
      <c r="G41" s="9" t="s">
        <v>81</v>
      </c>
      <c r="H41" s="9" t="s">
        <v>82</v>
      </c>
      <c r="I41" s="9" t="s">
        <v>35</v>
      </c>
      <c r="J41" s="9" t="s">
        <v>67</v>
      </c>
      <c r="K41" s="9">
        <v>1190</v>
      </c>
      <c r="L41" s="9"/>
      <c r="M41" s="9"/>
      <c r="N41" s="9"/>
      <c r="O41" s="9" t="s">
        <v>68</v>
      </c>
      <c r="P41" s="9" t="s">
        <v>69</v>
      </c>
      <c r="Q41" s="11"/>
      <c r="R41" s="10">
        <f t="shared" si="0"/>
        <v>0</v>
      </c>
      <c r="S41" s="10">
        <f>SUMIFS([1]Sheet1!$T:$T,[1]Sheet1!$I:$I,E41,[1]Sheet1!$C:$C,A41)</f>
        <v>0</v>
      </c>
      <c r="T41" s="10">
        <f t="shared" si="1"/>
        <v>0</v>
      </c>
      <c r="U41" s="9"/>
      <c r="X41" t="s">
        <v>54</v>
      </c>
      <c r="Y41" t="s">
        <v>40</v>
      </c>
      <c r="Z41" t="s">
        <v>71</v>
      </c>
      <c r="AB41" t="str">
        <f t="shared" si="2"/>
        <v>44353</v>
      </c>
    </row>
    <row r="42" ht="14.25" spans="1:28">
      <c r="A42" s="5" t="s">
        <v>28</v>
      </c>
      <c r="B42" s="5" t="s">
        <v>29</v>
      </c>
      <c r="C42" s="5">
        <v>2027</v>
      </c>
      <c r="D42" s="5" t="s">
        <v>30</v>
      </c>
      <c r="E42" s="9" t="s">
        <v>80</v>
      </c>
      <c r="F42" s="9" t="s">
        <v>64</v>
      </c>
      <c r="G42" s="9" t="s">
        <v>81</v>
      </c>
      <c r="H42" s="9" t="s">
        <v>82</v>
      </c>
      <c r="I42" s="9" t="s">
        <v>35</v>
      </c>
      <c r="J42" s="9" t="s">
        <v>67</v>
      </c>
      <c r="K42" s="9">
        <v>1190</v>
      </c>
      <c r="L42" s="9"/>
      <c r="M42" s="9"/>
      <c r="N42" s="9"/>
      <c r="O42" s="9" t="s">
        <v>68</v>
      </c>
      <c r="P42" s="9" t="s">
        <v>72</v>
      </c>
      <c r="Q42" s="11"/>
      <c r="R42" s="10"/>
      <c r="S42" s="10"/>
      <c r="T42" s="10"/>
      <c r="U42" s="9"/>
      <c r="X42" t="s">
        <v>54</v>
      </c>
      <c r="Y42" t="s">
        <v>40</v>
      </c>
      <c r="Z42" t="s">
        <v>71</v>
      </c>
      <c r="AB42" t="str">
        <f t="shared" si="2"/>
        <v>44353</v>
      </c>
    </row>
    <row r="43" ht="14.25" spans="1:28">
      <c r="A43" s="5" t="s">
        <v>28</v>
      </c>
      <c r="B43" s="5" t="s">
        <v>29</v>
      </c>
      <c r="C43" s="5">
        <v>2027</v>
      </c>
      <c r="D43" s="5" t="s">
        <v>30</v>
      </c>
      <c r="E43" s="9" t="s">
        <v>80</v>
      </c>
      <c r="F43" s="9" t="s">
        <v>64</v>
      </c>
      <c r="G43" s="9" t="s">
        <v>81</v>
      </c>
      <c r="H43" s="9" t="s">
        <v>82</v>
      </c>
      <c r="I43" s="9" t="s">
        <v>35</v>
      </c>
      <c r="J43" s="9" t="s">
        <v>67</v>
      </c>
      <c r="K43" s="9">
        <v>1190</v>
      </c>
      <c r="L43" s="9"/>
      <c r="M43" s="9"/>
      <c r="N43" s="9"/>
      <c r="O43" s="9" t="s">
        <v>68</v>
      </c>
      <c r="P43" s="9" t="s">
        <v>73</v>
      </c>
      <c r="Q43" s="11"/>
      <c r="R43" s="10"/>
      <c r="S43" s="10"/>
      <c r="T43" s="10"/>
      <c r="U43" s="9"/>
      <c r="X43" t="s">
        <v>54</v>
      </c>
      <c r="Y43" t="s">
        <v>40</v>
      </c>
      <c r="Z43" t="s">
        <v>71</v>
      </c>
      <c r="AB43" t="str">
        <f t="shared" si="2"/>
        <v>44353</v>
      </c>
    </row>
    <row r="44" ht="14.25" spans="1:28">
      <c r="A44" s="5" t="s">
        <v>28</v>
      </c>
      <c r="B44" s="5" t="s">
        <v>29</v>
      </c>
      <c r="C44" s="5">
        <v>2027</v>
      </c>
      <c r="D44" s="5" t="s">
        <v>30</v>
      </c>
      <c r="E44" s="9" t="s">
        <v>80</v>
      </c>
      <c r="F44" s="9" t="s">
        <v>64</v>
      </c>
      <c r="G44" s="9" t="s">
        <v>81</v>
      </c>
      <c r="H44" s="9" t="s">
        <v>82</v>
      </c>
      <c r="I44" s="9" t="s">
        <v>35</v>
      </c>
      <c r="J44" s="9" t="s">
        <v>67</v>
      </c>
      <c r="K44" s="9">
        <v>1190</v>
      </c>
      <c r="L44" s="9"/>
      <c r="M44" s="9"/>
      <c r="N44" s="9"/>
      <c r="O44" s="9" t="s">
        <v>68</v>
      </c>
      <c r="P44" s="9" t="s">
        <v>74</v>
      </c>
      <c r="Q44" s="11"/>
      <c r="R44" s="10"/>
      <c r="S44" s="10"/>
      <c r="T44" s="10"/>
      <c r="U44" s="9"/>
      <c r="X44" t="s">
        <v>54</v>
      </c>
      <c r="Y44" t="s">
        <v>40</v>
      </c>
      <c r="Z44" t="s">
        <v>71</v>
      </c>
      <c r="AB44" t="str">
        <f t="shared" si="2"/>
        <v>44353</v>
      </c>
    </row>
    <row r="45" ht="14.25" spans="1:28">
      <c r="A45" s="5" t="s">
        <v>28</v>
      </c>
      <c r="B45" s="5" t="s">
        <v>29</v>
      </c>
      <c r="C45" s="5">
        <v>2027</v>
      </c>
      <c r="D45" s="5" t="s">
        <v>30</v>
      </c>
      <c r="E45" s="9" t="s">
        <v>80</v>
      </c>
      <c r="F45" s="9" t="s">
        <v>64</v>
      </c>
      <c r="G45" s="9" t="s">
        <v>81</v>
      </c>
      <c r="H45" s="9" t="s">
        <v>82</v>
      </c>
      <c r="I45" s="9" t="s">
        <v>35</v>
      </c>
      <c r="J45" s="9" t="s">
        <v>67</v>
      </c>
      <c r="K45" s="9">
        <v>1190</v>
      </c>
      <c r="L45" s="9"/>
      <c r="M45" s="9"/>
      <c r="N45" s="9"/>
      <c r="O45" s="9" t="s">
        <v>68</v>
      </c>
      <c r="P45" s="9" t="s">
        <v>75</v>
      </c>
      <c r="Q45" s="11"/>
      <c r="R45" s="10"/>
      <c r="S45" s="10"/>
      <c r="T45" s="10"/>
      <c r="U45" s="9"/>
      <c r="X45" t="s">
        <v>54</v>
      </c>
      <c r="Y45" t="s">
        <v>40</v>
      </c>
      <c r="Z45" t="s">
        <v>71</v>
      </c>
      <c r="AB45" t="str">
        <f t="shared" si="2"/>
        <v>44353</v>
      </c>
    </row>
    <row r="46" ht="14.25" spans="1:28">
      <c r="A46" s="5" t="s">
        <v>28</v>
      </c>
      <c r="B46" s="5" t="s">
        <v>29</v>
      </c>
      <c r="C46" s="5">
        <v>2027</v>
      </c>
      <c r="D46" s="5" t="s">
        <v>30</v>
      </c>
      <c r="E46" s="9" t="s">
        <v>80</v>
      </c>
      <c r="F46" s="9" t="s">
        <v>64</v>
      </c>
      <c r="G46" s="9" t="s">
        <v>81</v>
      </c>
      <c r="H46" s="9" t="s">
        <v>82</v>
      </c>
      <c r="I46" s="9" t="s">
        <v>35</v>
      </c>
      <c r="J46" s="9" t="s">
        <v>67</v>
      </c>
      <c r="K46" s="9">
        <v>1190</v>
      </c>
      <c r="L46" s="9"/>
      <c r="M46" s="9"/>
      <c r="N46" s="9"/>
      <c r="O46" s="9" t="s">
        <v>68</v>
      </c>
      <c r="P46" s="9" t="s">
        <v>76</v>
      </c>
      <c r="Q46" s="9"/>
      <c r="R46" s="10"/>
      <c r="S46" s="10"/>
      <c r="T46" s="10"/>
      <c r="U46" s="9"/>
      <c r="X46" t="s">
        <v>54</v>
      </c>
      <c r="Y46" t="s">
        <v>40</v>
      </c>
      <c r="Z46" t="s">
        <v>71</v>
      </c>
      <c r="AB46" t="str">
        <f t="shared" si="2"/>
        <v>44353</v>
      </c>
    </row>
    <row r="47" ht="14.25" spans="1:28">
      <c r="A47" s="5" t="s">
        <v>28</v>
      </c>
      <c r="B47" s="5" t="s">
        <v>29</v>
      </c>
      <c r="C47" s="5">
        <v>2027</v>
      </c>
      <c r="D47" s="5" t="s">
        <v>30</v>
      </c>
      <c r="E47" s="9" t="s">
        <v>80</v>
      </c>
      <c r="F47" s="9" t="s">
        <v>64</v>
      </c>
      <c r="G47" s="9" t="s">
        <v>81</v>
      </c>
      <c r="H47" s="9" t="s">
        <v>82</v>
      </c>
      <c r="I47" s="9" t="s">
        <v>35</v>
      </c>
      <c r="J47" s="9" t="s">
        <v>67</v>
      </c>
      <c r="K47" s="9">
        <v>1190</v>
      </c>
      <c r="L47" s="9"/>
      <c r="M47" s="9"/>
      <c r="N47" s="9"/>
      <c r="O47" s="9" t="s">
        <v>68</v>
      </c>
      <c r="P47" s="9" t="s">
        <v>77</v>
      </c>
      <c r="Q47" s="9"/>
      <c r="R47" s="10"/>
      <c r="S47" s="10"/>
      <c r="T47" s="10"/>
      <c r="U47" s="9"/>
      <c r="X47" t="s">
        <v>54</v>
      </c>
      <c r="Y47" t="s">
        <v>40</v>
      </c>
      <c r="Z47" t="s">
        <v>71</v>
      </c>
      <c r="AB47" t="str">
        <f t="shared" si="2"/>
        <v>44353</v>
      </c>
    </row>
    <row r="48" ht="14.25" spans="1:28">
      <c r="A48" s="5" t="s">
        <v>28</v>
      </c>
      <c r="B48" s="5" t="s">
        <v>29</v>
      </c>
      <c r="C48" s="5">
        <v>2027</v>
      </c>
      <c r="D48" s="5" t="s">
        <v>30</v>
      </c>
      <c r="E48" s="9" t="s">
        <v>80</v>
      </c>
      <c r="F48" s="9" t="s">
        <v>64</v>
      </c>
      <c r="G48" s="9" t="s">
        <v>81</v>
      </c>
      <c r="H48" s="9" t="s">
        <v>82</v>
      </c>
      <c r="I48" s="9" t="s">
        <v>35</v>
      </c>
      <c r="J48" s="9" t="s">
        <v>67</v>
      </c>
      <c r="K48" s="9">
        <v>1190</v>
      </c>
      <c r="L48" s="9"/>
      <c r="M48" s="9"/>
      <c r="N48" s="9"/>
      <c r="O48" s="9" t="s">
        <v>68</v>
      </c>
      <c r="P48" s="9" t="s">
        <v>78</v>
      </c>
      <c r="Q48" s="9"/>
      <c r="R48" s="10"/>
      <c r="S48" s="10"/>
      <c r="T48" s="10"/>
      <c r="U48" s="9"/>
      <c r="X48" t="s">
        <v>54</v>
      </c>
      <c r="Y48" t="s">
        <v>40</v>
      </c>
      <c r="Z48" t="s">
        <v>71</v>
      </c>
      <c r="AB48" t="str">
        <f t="shared" si="2"/>
        <v>44353</v>
      </c>
    </row>
    <row r="49" ht="14.25" spans="1:28">
      <c r="A49" s="5" t="s">
        <v>28</v>
      </c>
      <c r="B49" s="5" t="s">
        <v>29</v>
      </c>
      <c r="C49" s="5">
        <v>2027</v>
      </c>
      <c r="D49" s="5" t="s">
        <v>30</v>
      </c>
      <c r="E49" s="9" t="s">
        <v>80</v>
      </c>
      <c r="F49" s="9" t="s">
        <v>64</v>
      </c>
      <c r="G49" s="9" t="s">
        <v>81</v>
      </c>
      <c r="H49" s="9" t="s">
        <v>82</v>
      </c>
      <c r="I49" s="9" t="s">
        <v>35</v>
      </c>
      <c r="J49" s="9" t="s">
        <v>67</v>
      </c>
      <c r="K49" s="9">
        <v>1190</v>
      </c>
      <c r="L49" s="9"/>
      <c r="M49" s="9"/>
      <c r="N49" s="9"/>
      <c r="O49" s="9" t="s">
        <v>68</v>
      </c>
      <c r="P49" s="9" t="s">
        <v>79</v>
      </c>
      <c r="Q49" s="9"/>
      <c r="R49" s="10"/>
      <c r="S49" s="10"/>
      <c r="T49" s="10"/>
      <c r="U49" s="9"/>
      <c r="X49" t="s">
        <v>54</v>
      </c>
      <c r="Y49" t="s">
        <v>40</v>
      </c>
      <c r="Z49" t="s">
        <v>71</v>
      </c>
      <c r="AB49" t="str">
        <f t="shared" si="2"/>
        <v>44353</v>
      </c>
    </row>
    <row r="50" ht="14.25" spans="1:28">
      <c r="A50" s="5" t="s">
        <v>28</v>
      </c>
      <c r="B50" s="5" t="s">
        <v>29</v>
      </c>
      <c r="C50" s="5">
        <v>2027</v>
      </c>
      <c r="D50" s="5" t="s">
        <v>30</v>
      </c>
      <c r="E50" s="9" t="s">
        <v>83</v>
      </c>
      <c r="F50" s="9" t="s">
        <v>64</v>
      </c>
      <c r="G50" s="9" t="s">
        <v>84</v>
      </c>
      <c r="H50" s="9" t="s">
        <v>85</v>
      </c>
      <c r="I50" s="9" t="s">
        <v>35</v>
      </c>
      <c r="J50" s="9" t="s">
        <v>67</v>
      </c>
      <c r="K50" s="9">
        <v>1190</v>
      </c>
      <c r="L50" s="9"/>
      <c r="M50" s="9"/>
      <c r="N50" s="9"/>
      <c r="O50" s="9" t="s">
        <v>68</v>
      </c>
      <c r="P50" s="9" t="s">
        <v>69</v>
      </c>
      <c r="Q50" s="9"/>
      <c r="R50" s="10">
        <f t="shared" si="0"/>
        <v>0</v>
      </c>
      <c r="S50" s="10">
        <f>SUMIFS([1]Sheet1!$T:$T,[1]Sheet1!$I:$I,E50,[1]Sheet1!$C:$C,A50)</f>
        <v>60</v>
      </c>
      <c r="T50" s="10">
        <f t="shared" si="1"/>
        <v>-60</v>
      </c>
      <c r="U50" s="9"/>
      <c r="X50" t="s">
        <v>86</v>
      </c>
      <c r="Y50" t="s">
        <v>40</v>
      </c>
      <c r="Z50" t="s">
        <v>71</v>
      </c>
      <c r="AB50" t="str">
        <f t="shared" si="2"/>
        <v>44353</v>
      </c>
    </row>
    <row r="51" ht="14.25" spans="1:28">
      <c r="A51" s="5" t="s">
        <v>28</v>
      </c>
      <c r="B51" s="5" t="s">
        <v>29</v>
      </c>
      <c r="C51" s="5">
        <v>2027</v>
      </c>
      <c r="D51" s="5" t="s">
        <v>30</v>
      </c>
      <c r="E51" s="9" t="s">
        <v>83</v>
      </c>
      <c r="F51" s="9" t="s">
        <v>64</v>
      </c>
      <c r="G51" s="9" t="s">
        <v>84</v>
      </c>
      <c r="H51" s="9" t="s">
        <v>85</v>
      </c>
      <c r="I51" s="9" t="s">
        <v>35</v>
      </c>
      <c r="J51" s="9" t="s">
        <v>67</v>
      </c>
      <c r="K51" s="9">
        <v>1190</v>
      </c>
      <c r="L51" s="9"/>
      <c r="M51" s="9"/>
      <c r="N51" s="9"/>
      <c r="O51" s="9" t="s">
        <v>68</v>
      </c>
      <c r="P51" s="9" t="s">
        <v>72</v>
      </c>
      <c r="Q51" s="9"/>
      <c r="R51" s="10"/>
      <c r="S51" s="10"/>
      <c r="T51" s="10"/>
      <c r="U51" s="9"/>
      <c r="X51" t="s">
        <v>86</v>
      </c>
      <c r="Y51" t="s">
        <v>40</v>
      </c>
      <c r="Z51" t="s">
        <v>71</v>
      </c>
      <c r="AB51" t="str">
        <f t="shared" si="2"/>
        <v>44353</v>
      </c>
    </row>
    <row r="52" ht="14.25" spans="1:28">
      <c r="A52" s="5" t="s">
        <v>28</v>
      </c>
      <c r="B52" s="5" t="s">
        <v>29</v>
      </c>
      <c r="C52" s="5">
        <v>2027</v>
      </c>
      <c r="D52" s="5" t="s">
        <v>30</v>
      </c>
      <c r="E52" s="9" t="s">
        <v>83</v>
      </c>
      <c r="F52" s="9" t="s">
        <v>64</v>
      </c>
      <c r="G52" s="9" t="s">
        <v>84</v>
      </c>
      <c r="H52" s="9" t="s">
        <v>85</v>
      </c>
      <c r="I52" s="9" t="s">
        <v>35</v>
      </c>
      <c r="J52" s="9" t="s">
        <v>67</v>
      </c>
      <c r="K52" s="9">
        <v>1190</v>
      </c>
      <c r="L52" s="9"/>
      <c r="M52" s="9"/>
      <c r="N52" s="9"/>
      <c r="O52" s="9" t="s">
        <v>68</v>
      </c>
      <c r="P52" s="9" t="s">
        <v>73</v>
      </c>
      <c r="Q52" s="9"/>
      <c r="R52" s="10"/>
      <c r="S52" s="10"/>
      <c r="T52" s="10"/>
      <c r="U52" s="9"/>
      <c r="X52" t="s">
        <v>86</v>
      </c>
      <c r="Y52" t="s">
        <v>40</v>
      </c>
      <c r="Z52" t="s">
        <v>71</v>
      </c>
      <c r="AB52" t="str">
        <f t="shared" si="2"/>
        <v>44353</v>
      </c>
    </row>
    <row r="53" ht="14.25" spans="1:28">
      <c r="A53" s="5" t="s">
        <v>28</v>
      </c>
      <c r="B53" s="5" t="s">
        <v>29</v>
      </c>
      <c r="C53" s="5">
        <v>2027</v>
      </c>
      <c r="D53" s="5" t="s">
        <v>30</v>
      </c>
      <c r="E53" s="9" t="s">
        <v>83</v>
      </c>
      <c r="F53" s="9" t="s">
        <v>64</v>
      </c>
      <c r="G53" s="9" t="s">
        <v>84</v>
      </c>
      <c r="H53" s="9" t="s">
        <v>85</v>
      </c>
      <c r="I53" s="9" t="s">
        <v>35</v>
      </c>
      <c r="J53" s="9" t="s">
        <v>67</v>
      </c>
      <c r="K53" s="9">
        <v>1190</v>
      </c>
      <c r="L53" s="9"/>
      <c r="M53" s="9"/>
      <c r="N53" s="9"/>
      <c r="O53" s="9" t="s">
        <v>68</v>
      </c>
      <c r="P53" s="9" t="s">
        <v>74</v>
      </c>
      <c r="Q53" s="9"/>
      <c r="R53" s="10"/>
      <c r="S53" s="10"/>
      <c r="T53" s="10"/>
      <c r="U53" s="9"/>
      <c r="X53" t="s">
        <v>86</v>
      </c>
      <c r="Y53" t="s">
        <v>40</v>
      </c>
      <c r="Z53" t="s">
        <v>71</v>
      </c>
      <c r="AB53" t="str">
        <f t="shared" si="2"/>
        <v>44353</v>
      </c>
    </row>
    <row r="54" ht="14.25" spans="1:28">
      <c r="A54" s="5" t="s">
        <v>28</v>
      </c>
      <c r="B54" s="5" t="s">
        <v>29</v>
      </c>
      <c r="C54" s="5">
        <v>2027</v>
      </c>
      <c r="D54" s="5" t="s">
        <v>30</v>
      </c>
      <c r="E54" s="9" t="s">
        <v>83</v>
      </c>
      <c r="F54" s="9" t="s">
        <v>64</v>
      </c>
      <c r="G54" s="9" t="s">
        <v>84</v>
      </c>
      <c r="H54" s="9" t="s">
        <v>85</v>
      </c>
      <c r="I54" s="9" t="s">
        <v>35</v>
      </c>
      <c r="J54" s="9" t="s">
        <v>67</v>
      </c>
      <c r="K54" s="9">
        <v>1190</v>
      </c>
      <c r="L54" s="9"/>
      <c r="M54" s="9"/>
      <c r="N54" s="9"/>
      <c r="O54" s="9" t="s">
        <v>68</v>
      </c>
      <c r="P54" s="9" t="s">
        <v>75</v>
      </c>
      <c r="Q54" s="9"/>
      <c r="R54" s="10"/>
      <c r="S54" s="10"/>
      <c r="T54" s="10"/>
      <c r="U54" s="9"/>
      <c r="X54" t="s">
        <v>86</v>
      </c>
      <c r="Y54" t="s">
        <v>40</v>
      </c>
      <c r="Z54" t="s">
        <v>71</v>
      </c>
      <c r="AB54" t="str">
        <f t="shared" si="2"/>
        <v>44353</v>
      </c>
    </row>
    <row r="55" ht="14.25" spans="1:28">
      <c r="A55" s="5" t="s">
        <v>28</v>
      </c>
      <c r="B55" s="5" t="s">
        <v>29</v>
      </c>
      <c r="C55" s="5">
        <v>2027</v>
      </c>
      <c r="D55" s="5" t="s">
        <v>30</v>
      </c>
      <c r="E55" s="9" t="s">
        <v>83</v>
      </c>
      <c r="F55" s="9" t="s">
        <v>64</v>
      </c>
      <c r="G55" s="9" t="s">
        <v>84</v>
      </c>
      <c r="H55" s="9" t="s">
        <v>85</v>
      </c>
      <c r="I55" s="9" t="s">
        <v>35</v>
      </c>
      <c r="J55" s="9" t="s">
        <v>67</v>
      </c>
      <c r="K55" s="9">
        <v>1190</v>
      </c>
      <c r="L55" s="9"/>
      <c r="M55" s="9"/>
      <c r="N55" s="9"/>
      <c r="O55" s="9" t="s">
        <v>68</v>
      </c>
      <c r="P55" s="9" t="s">
        <v>76</v>
      </c>
      <c r="Q55" s="9"/>
      <c r="R55" s="10"/>
      <c r="S55" s="10"/>
      <c r="T55" s="10"/>
      <c r="U55" s="9"/>
      <c r="X55" t="s">
        <v>86</v>
      </c>
      <c r="Y55" t="s">
        <v>40</v>
      </c>
      <c r="Z55" t="s">
        <v>71</v>
      </c>
      <c r="AB55" t="str">
        <f t="shared" si="2"/>
        <v>44353</v>
      </c>
    </row>
    <row r="56" ht="14.25" spans="1:28">
      <c r="A56" s="5" t="s">
        <v>28</v>
      </c>
      <c r="B56" s="5" t="s">
        <v>29</v>
      </c>
      <c r="C56" s="5">
        <v>2027</v>
      </c>
      <c r="D56" s="5" t="s">
        <v>30</v>
      </c>
      <c r="E56" s="9" t="s">
        <v>83</v>
      </c>
      <c r="F56" s="9" t="s">
        <v>64</v>
      </c>
      <c r="G56" s="9" t="s">
        <v>84</v>
      </c>
      <c r="H56" s="9" t="s">
        <v>85</v>
      </c>
      <c r="I56" s="9" t="s">
        <v>35</v>
      </c>
      <c r="J56" s="9" t="s">
        <v>67</v>
      </c>
      <c r="K56" s="9">
        <v>1190</v>
      </c>
      <c r="L56" s="9"/>
      <c r="M56" s="9"/>
      <c r="N56" s="9"/>
      <c r="O56" s="9" t="s">
        <v>68</v>
      </c>
      <c r="P56" s="9" t="s">
        <v>77</v>
      </c>
      <c r="Q56" s="9"/>
      <c r="R56" s="10"/>
      <c r="S56" s="10"/>
      <c r="T56" s="10"/>
      <c r="U56" s="9"/>
      <c r="X56" t="s">
        <v>86</v>
      </c>
      <c r="Y56" t="s">
        <v>40</v>
      </c>
      <c r="Z56" t="s">
        <v>71</v>
      </c>
      <c r="AB56" t="str">
        <f t="shared" si="2"/>
        <v>44353</v>
      </c>
    </row>
    <row r="57" ht="14.25" spans="1:28">
      <c r="A57" s="5" t="s">
        <v>28</v>
      </c>
      <c r="B57" s="5" t="s">
        <v>29</v>
      </c>
      <c r="C57" s="5">
        <v>2027</v>
      </c>
      <c r="D57" s="5" t="s">
        <v>30</v>
      </c>
      <c r="E57" s="9" t="s">
        <v>83</v>
      </c>
      <c r="F57" s="9" t="s">
        <v>64</v>
      </c>
      <c r="G57" s="9" t="s">
        <v>84</v>
      </c>
      <c r="H57" s="9" t="s">
        <v>85</v>
      </c>
      <c r="I57" s="9" t="s">
        <v>35</v>
      </c>
      <c r="J57" s="9" t="s">
        <v>67</v>
      </c>
      <c r="K57" s="9">
        <v>1190</v>
      </c>
      <c r="L57" s="9"/>
      <c r="M57" s="9"/>
      <c r="N57" s="9"/>
      <c r="O57" s="9" t="s">
        <v>68</v>
      </c>
      <c r="P57" s="9" t="s">
        <v>78</v>
      </c>
      <c r="Q57" s="9"/>
      <c r="R57" s="10"/>
      <c r="S57" s="10"/>
      <c r="T57" s="10"/>
      <c r="U57" s="9"/>
      <c r="X57" t="s">
        <v>86</v>
      </c>
      <c r="Y57" t="s">
        <v>40</v>
      </c>
      <c r="Z57" t="s">
        <v>71</v>
      </c>
      <c r="AB57" t="str">
        <f t="shared" si="2"/>
        <v>44353</v>
      </c>
    </row>
    <row r="58" ht="14.25" spans="1:28">
      <c r="A58" s="5" t="s">
        <v>28</v>
      </c>
      <c r="B58" s="5" t="s">
        <v>29</v>
      </c>
      <c r="C58" s="5">
        <v>2027</v>
      </c>
      <c r="D58" s="5" t="s">
        <v>30</v>
      </c>
      <c r="E58" s="9" t="s">
        <v>83</v>
      </c>
      <c r="F58" s="9" t="s">
        <v>64</v>
      </c>
      <c r="G58" s="9" t="s">
        <v>84</v>
      </c>
      <c r="H58" s="9" t="s">
        <v>85</v>
      </c>
      <c r="I58" s="9" t="s">
        <v>35</v>
      </c>
      <c r="J58" s="9" t="s">
        <v>67</v>
      </c>
      <c r="K58" s="9">
        <v>1190</v>
      </c>
      <c r="L58" s="9"/>
      <c r="M58" s="9"/>
      <c r="N58" s="9"/>
      <c r="O58" s="9" t="s">
        <v>68</v>
      </c>
      <c r="P58" s="9" t="s">
        <v>79</v>
      </c>
      <c r="Q58" s="11"/>
      <c r="R58" s="10"/>
      <c r="S58" s="10"/>
      <c r="T58" s="10"/>
      <c r="U58" s="9"/>
      <c r="X58" t="s">
        <v>86</v>
      </c>
      <c r="Y58" t="s">
        <v>40</v>
      </c>
      <c r="Z58" t="s">
        <v>71</v>
      </c>
      <c r="AB58" t="str">
        <f t="shared" si="2"/>
        <v>44353</v>
      </c>
    </row>
    <row r="59" ht="14.25" spans="1:28">
      <c r="A59" s="5" t="s">
        <v>28</v>
      </c>
      <c r="B59" s="5" t="s">
        <v>29</v>
      </c>
      <c r="C59" s="5">
        <v>2027</v>
      </c>
      <c r="D59" s="5" t="s">
        <v>30</v>
      </c>
      <c r="E59" s="9" t="s">
        <v>87</v>
      </c>
      <c r="F59" s="9" t="s">
        <v>88</v>
      </c>
      <c r="G59" s="9" t="s">
        <v>89</v>
      </c>
      <c r="H59" s="9" t="s">
        <v>90</v>
      </c>
      <c r="I59" s="9" t="s">
        <v>35</v>
      </c>
      <c r="J59" s="9" t="s">
        <v>36</v>
      </c>
      <c r="K59" s="9">
        <v>1190</v>
      </c>
      <c r="L59" s="9"/>
      <c r="M59" s="9"/>
      <c r="N59" s="9"/>
      <c r="O59" s="9" t="s">
        <v>37</v>
      </c>
      <c r="P59" s="9" t="s">
        <v>38</v>
      </c>
      <c r="Q59" s="11"/>
      <c r="R59" s="10">
        <f t="shared" si="0"/>
        <v>0</v>
      </c>
      <c r="S59" s="10">
        <f>SUMIFS([1]Sheet1!$T:$T,[1]Sheet1!$I:$I,E59,[1]Sheet1!$C:$C,A59)</f>
        <v>0</v>
      </c>
      <c r="T59" s="10">
        <f t="shared" si="1"/>
        <v>0</v>
      </c>
      <c r="U59" s="9"/>
      <c r="X59" t="s">
        <v>39</v>
      </c>
      <c r="Y59" t="s">
        <v>40</v>
      </c>
      <c r="Z59" t="s">
        <v>41</v>
      </c>
      <c r="AB59" t="str">
        <f t="shared" si="2"/>
        <v>46107</v>
      </c>
    </row>
    <row r="60" ht="14.25" spans="1:28">
      <c r="A60" s="5" t="s">
        <v>28</v>
      </c>
      <c r="B60" s="5" t="s">
        <v>29</v>
      </c>
      <c r="C60" s="5">
        <v>2027</v>
      </c>
      <c r="D60" s="5" t="s">
        <v>30</v>
      </c>
      <c r="E60" s="9" t="s">
        <v>87</v>
      </c>
      <c r="F60" s="9" t="s">
        <v>88</v>
      </c>
      <c r="G60" s="9" t="s">
        <v>89</v>
      </c>
      <c r="H60" s="9" t="s">
        <v>90</v>
      </c>
      <c r="I60" s="9" t="s">
        <v>35</v>
      </c>
      <c r="J60" s="9" t="s">
        <v>36</v>
      </c>
      <c r="K60" s="9">
        <v>1190</v>
      </c>
      <c r="L60" s="9"/>
      <c r="M60" s="9"/>
      <c r="N60" s="9"/>
      <c r="O60" s="9" t="s">
        <v>37</v>
      </c>
      <c r="P60" s="9" t="s">
        <v>42</v>
      </c>
      <c r="Q60" s="11"/>
      <c r="R60" s="10"/>
      <c r="S60" s="10"/>
      <c r="T60" s="10"/>
      <c r="U60" s="9"/>
      <c r="X60" t="s">
        <v>39</v>
      </c>
      <c r="Y60" t="s">
        <v>40</v>
      </c>
      <c r="Z60" t="s">
        <v>41</v>
      </c>
      <c r="AB60" t="str">
        <f t="shared" si="2"/>
        <v>46107</v>
      </c>
    </row>
    <row r="61" ht="14.25" spans="1:28">
      <c r="A61" s="5" t="s">
        <v>28</v>
      </c>
      <c r="B61" s="5" t="s">
        <v>29</v>
      </c>
      <c r="C61" s="5">
        <v>2027</v>
      </c>
      <c r="D61" s="5" t="s">
        <v>30</v>
      </c>
      <c r="E61" s="9" t="s">
        <v>87</v>
      </c>
      <c r="F61" s="9" t="s">
        <v>88</v>
      </c>
      <c r="G61" s="9" t="s">
        <v>89</v>
      </c>
      <c r="H61" s="9" t="s">
        <v>90</v>
      </c>
      <c r="I61" s="9" t="s">
        <v>35</v>
      </c>
      <c r="J61" s="9" t="s">
        <v>36</v>
      </c>
      <c r="K61" s="9">
        <v>1190</v>
      </c>
      <c r="L61" s="9"/>
      <c r="M61" s="9"/>
      <c r="N61" s="9"/>
      <c r="O61" s="9" t="s">
        <v>37</v>
      </c>
      <c r="P61" s="9" t="s">
        <v>43</v>
      </c>
      <c r="Q61" s="11"/>
      <c r="R61" s="10"/>
      <c r="S61" s="10"/>
      <c r="T61" s="10"/>
      <c r="U61" s="9"/>
      <c r="X61" t="s">
        <v>39</v>
      </c>
      <c r="Y61" t="s">
        <v>40</v>
      </c>
      <c r="Z61" t="s">
        <v>41</v>
      </c>
      <c r="AB61" t="str">
        <f t="shared" si="2"/>
        <v>46107</v>
      </c>
    </row>
    <row r="62" ht="14.25" spans="1:28">
      <c r="A62" s="5" t="s">
        <v>28</v>
      </c>
      <c r="B62" s="5" t="s">
        <v>29</v>
      </c>
      <c r="C62" s="5">
        <v>2027</v>
      </c>
      <c r="D62" s="5" t="s">
        <v>30</v>
      </c>
      <c r="E62" s="9" t="s">
        <v>87</v>
      </c>
      <c r="F62" s="9" t="s">
        <v>88</v>
      </c>
      <c r="G62" s="9" t="s">
        <v>89</v>
      </c>
      <c r="H62" s="9" t="s">
        <v>90</v>
      </c>
      <c r="I62" s="9" t="s">
        <v>35</v>
      </c>
      <c r="J62" s="9" t="s">
        <v>36</v>
      </c>
      <c r="K62" s="9">
        <v>1190</v>
      </c>
      <c r="L62" s="9"/>
      <c r="M62" s="9"/>
      <c r="N62" s="9"/>
      <c r="O62" s="9" t="s">
        <v>37</v>
      </c>
      <c r="P62" s="9" t="s">
        <v>44</v>
      </c>
      <c r="Q62" s="11"/>
      <c r="R62" s="10"/>
      <c r="S62" s="10"/>
      <c r="T62" s="10"/>
      <c r="U62" s="9"/>
      <c r="X62" t="s">
        <v>39</v>
      </c>
      <c r="Y62" t="s">
        <v>40</v>
      </c>
      <c r="Z62" t="s">
        <v>41</v>
      </c>
      <c r="AB62" t="str">
        <f t="shared" si="2"/>
        <v>46107</v>
      </c>
    </row>
    <row r="63" ht="14.25" spans="1:28">
      <c r="A63" s="5" t="s">
        <v>28</v>
      </c>
      <c r="B63" s="5" t="s">
        <v>29</v>
      </c>
      <c r="C63" s="5">
        <v>2027</v>
      </c>
      <c r="D63" s="5" t="s">
        <v>30</v>
      </c>
      <c r="E63" s="9" t="s">
        <v>87</v>
      </c>
      <c r="F63" s="9" t="s">
        <v>88</v>
      </c>
      <c r="G63" s="9" t="s">
        <v>89</v>
      </c>
      <c r="H63" s="9" t="s">
        <v>90</v>
      </c>
      <c r="I63" s="9" t="s">
        <v>35</v>
      </c>
      <c r="J63" s="9" t="s">
        <v>36</v>
      </c>
      <c r="K63" s="9">
        <v>1190</v>
      </c>
      <c r="L63" s="9"/>
      <c r="M63" s="9"/>
      <c r="N63" s="9"/>
      <c r="O63" s="9" t="s">
        <v>37</v>
      </c>
      <c r="P63" s="9" t="s">
        <v>45</v>
      </c>
      <c r="Q63" s="11"/>
      <c r="R63" s="10"/>
      <c r="S63" s="10"/>
      <c r="T63" s="10"/>
      <c r="U63" s="9"/>
      <c r="X63" t="s">
        <v>39</v>
      </c>
      <c r="Y63" t="s">
        <v>40</v>
      </c>
      <c r="Z63" t="s">
        <v>41</v>
      </c>
      <c r="AB63" t="str">
        <f t="shared" si="2"/>
        <v>46107</v>
      </c>
    </row>
    <row r="64" ht="14.25" spans="1:28">
      <c r="A64" s="5" t="s">
        <v>28</v>
      </c>
      <c r="B64" s="5" t="s">
        <v>29</v>
      </c>
      <c r="C64" s="5">
        <v>2027</v>
      </c>
      <c r="D64" s="5" t="s">
        <v>30</v>
      </c>
      <c r="E64" s="9" t="s">
        <v>87</v>
      </c>
      <c r="F64" s="9" t="s">
        <v>88</v>
      </c>
      <c r="G64" s="9" t="s">
        <v>89</v>
      </c>
      <c r="H64" s="9" t="s">
        <v>90</v>
      </c>
      <c r="I64" s="9" t="s">
        <v>35</v>
      </c>
      <c r="J64" s="9" t="s">
        <v>36</v>
      </c>
      <c r="K64" s="9">
        <v>1190</v>
      </c>
      <c r="L64" s="9"/>
      <c r="M64" s="9"/>
      <c r="N64" s="9"/>
      <c r="O64" s="9" t="s">
        <v>37</v>
      </c>
      <c r="P64" s="9" t="s">
        <v>46</v>
      </c>
      <c r="Q64" s="9"/>
      <c r="R64" s="10"/>
      <c r="S64" s="10"/>
      <c r="T64" s="10"/>
      <c r="U64" s="9"/>
      <c r="X64" t="s">
        <v>39</v>
      </c>
      <c r="Y64" t="s">
        <v>40</v>
      </c>
      <c r="Z64" t="s">
        <v>41</v>
      </c>
      <c r="AB64" t="str">
        <f t="shared" si="2"/>
        <v>46107</v>
      </c>
    </row>
    <row r="65" ht="14.25" spans="1:28">
      <c r="A65" s="5" t="s">
        <v>28</v>
      </c>
      <c r="B65" s="5" t="s">
        <v>29</v>
      </c>
      <c r="C65" s="5">
        <v>2027</v>
      </c>
      <c r="D65" s="5" t="s">
        <v>30</v>
      </c>
      <c r="E65" s="9" t="s">
        <v>91</v>
      </c>
      <c r="F65" s="9" t="s">
        <v>88</v>
      </c>
      <c r="G65" s="9" t="s">
        <v>92</v>
      </c>
      <c r="H65" s="9" t="s">
        <v>93</v>
      </c>
      <c r="I65" s="9" t="s">
        <v>35</v>
      </c>
      <c r="J65" s="9" t="s">
        <v>36</v>
      </c>
      <c r="K65" s="9">
        <v>1190</v>
      </c>
      <c r="L65" s="9"/>
      <c r="M65" s="9"/>
      <c r="N65" s="9"/>
      <c r="O65" s="9" t="s">
        <v>37</v>
      </c>
      <c r="P65" s="9" t="s">
        <v>38</v>
      </c>
      <c r="Q65" s="9"/>
      <c r="R65" s="10">
        <f t="shared" si="0"/>
        <v>0</v>
      </c>
      <c r="S65" s="10">
        <f>SUMIFS([1]Sheet1!$T:$T,[1]Sheet1!$I:$I,E65,[1]Sheet1!$C:$C,A65)</f>
        <v>0</v>
      </c>
      <c r="T65" s="10">
        <f t="shared" si="1"/>
        <v>0</v>
      </c>
      <c r="U65" s="9"/>
      <c r="X65" t="s">
        <v>94</v>
      </c>
      <c r="Y65" t="s">
        <v>40</v>
      </c>
      <c r="Z65" t="s">
        <v>41</v>
      </c>
      <c r="AB65" t="str">
        <f t="shared" si="2"/>
        <v>46107</v>
      </c>
    </row>
    <row r="66" ht="14.25" spans="1:28">
      <c r="A66" s="5" t="s">
        <v>28</v>
      </c>
      <c r="B66" s="5" t="s">
        <v>29</v>
      </c>
      <c r="C66" s="5">
        <v>2027</v>
      </c>
      <c r="D66" s="5" t="s">
        <v>30</v>
      </c>
      <c r="E66" s="9" t="s">
        <v>91</v>
      </c>
      <c r="F66" s="9" t="s">
        <v>88</v>
      </c>
      <c r="G66" s="9" t="s">
        <v>92</v>
      </c>
      <c r="H66" s="9" t="s">
        <v>93</v>
      </c>
      <c r="I66" s="9" t="s">
        <v>35</v>
      </c>
      <c r="J66" s="9" t="s">
        <v>36</v>
      </c>
      <c r="K66" s="9">
        <v>1190</v>
      </c>
      <c r="L66" s="9"/>
      <c r="M66" s="9"/>
      <c r="N66" s="9"/>
      <c r="O66" s="9" t="s">
        <v>37</v>
      </c>
      <c r="P66" s="9" t="s">
        <v>42</v>
      </c>
      <c r="Q66" s="9"/>
      <c r="R66" s="10"/>
      <c r="S66" s="10"/>
      <c r="T66" s="10"/>
      <c r="U66" s="9"/>
      <c r="X66" t="s">
        <v>94</v>
      </c>
      <c r="Y66" t="s">
        <v>40</v>
      </c>
      <c r="Z66" t="s">
        <v>41</v>
      </c>
      <c r="AB66" t="str">
        <f t="shared" si="2"/>
        <v>46107</v>
      </c>
    </row>
    <row r="67" ht="14.25" spans="1:28">
      <c r="A67" s="5" t="s">
        <v>28</v>
      </c>
      <c r="B67" s="5" t="s">
        <v>29</v>
      </c>
      <c r="C67" s="5">
        <v>2027</v>
      </c>
      <c r="D67" s="5" t="s">
        <v>30</v>
      </c>
      <c r="E67" s="9" t="s">
        <v>91</v>
      </c>
      <c r="F67" s="9" t="s">
        <v>88</v>
      </c>
      <c r="G67" s="9" t="s">
        <v>92</v>
      </c>
      <c r="H67" s="9" t="s">
        <v>93</v>
      </c>
      <c r="I67" s="9" t="s">
        <v>35</v>
      </c>
      <c r="J67" s="9" t="s">
        <v>36</v>
      </c>
      <c r="K67" s="9">
        <v>1190</v>
      </c>
      <c r="L67" s="9"/>
      <c r="M67" s="9"/>
      <c r="N67" s="9"/>
      <c r="O67" s="9" t="s">
        <v>37</v>
      </c>
      <c r="P67" s="9" t="s">
        <v>43</v>
      </c>
      <c r="Q67" s="9"/>
      <c r="R67" s="10"/>
      <c r="S67" s="10"/>
      <c r="T67" s="10"/>
      <c r="U67" s="9"/>
      <c r="X67" t="s">
        <v>94</v>
      </c>
      <c r="Y67" t="s">
        <v>40</v>
      </c>
      <c r="Z67" t="s">
        <v>41</v>
      </c>
      <c r="AB67" t="str">
        <f t="shared" ref="AB67:AB130" si="3">MID(E67,6,5)</f>
        <v>46107</v>
      </c>
    </row>
    <row r="68" ht="14.25" spans="1:28">
      <c r="A68" s="5" t="s">
        <v>28</v>
      </c>
      <c r="B68" s="5" t="s">
        <v>29</v>
      </c>
      <c r="C68" s="5">
        <v>2027</v>
      </c>
      <c r="D68" s="5" t="s">
        <v>30</v>
      </c>
      <c r="E68" s="9" t="s">
        <v>91</v>
      </c>
      <c r="F68" s="9" t="s">
        <v>88</v>
      </c>
      <c r="G68" s="9" t="s">
        <v>92</v>
      </c>
      <c r="H68" s="9" t="s">
        <v>93</v>
      </c>
      <c r="I68" s="9" t="s">
        <v>35</v>
      </c>
      <c r="J68" s="9" t="s">
        <v>36</v>
      </c>
      <c r="K68" s="9">
        <v>1190</v>
      </c>
      <c r="L68" s="9"/>
      <c r="M68" s="9"/>
      <c r="N68" s="9"/>
      <c r="O68" s="9" t="s">
        <v>37</v>
      </c>
      <c r="P68" s="9" t="s">
        <v>44</v>
      </c>
      <c r="Q68" s="9"/>
      <c r="R68" s="10"/>
      <c r="S68" s="10"/>
      <c r="T68" s="10"/>
      <c r="U68" s="9"/>
      <c r="X68" t="s">
        <v>94</v>
      </c>
      <c r="Y68" t="s">
        <v>40</v>
      </c>
      <c r="Z68" t="s">
        <v>41</v>
      </c>
      <c r="AB68" t="str">
        <f t="shared" si="3"/>
        <v>46107</v>
      </c>
    </row>
    <row r="69" ht="14.25" spans="1:28">
      <c r="A69" s="5" t="s">
        <v>28</v>
      </c>
      <c r="B69" s="5" t="s">
        <v>29</v>
      </c>
      <c r="C69" s="5">
        <v>2027</v>
      </c>
      <c r="D69" s="5" t="s">
        <v>30</v>
      </c>
      <c r="E69" s="9" t="s">
        <v>91</v>
      </c>
      <c r="F69" s="9" t="s">
        <v>88</v>
      </c>
      <c r="G69" s="9" t="s">
        <v>92</v>
      </c>
      <c r="H69" s="9" t="s">
        <v>93</v>
      </c>
      <c r="I69" s="9" t="s">
        <v>35</v>
      </c>
      <c r="J69" s="9" t="s">
        <v>36</v>
      </c>
      <c r="K69" s="9">
        <v>1190</v>
      </c>
      <c r="L69" s="9"/>
      <c r="M69" s="9"/>
      <c r="N69" s="9"/>
      <c r="O69" s="9" t="s">
        <v>37</v>
      </c>
      <c r="P69" s="9" t="s">
        <v>45</v>
      </c>
      <c r="Q69" s="9"/>
      <c r="R69" s="10"/>
      <c r="S69" s="10"/>
      <c r="T69" s="10"/>
      <c r="U69" s="9"/>
      <c r="X69" t="s">
        <v>94</v>
      </c>
      <c r="Y69" t="s">
        <v>40</v>
      </c>
      <c r="Z69" t="s">
        <v>41</v>
      </c>
      <c r="AB69" t="str">
        <f t="shared" si="3"/>
        <v>46107</v>
      </c>
    </row>
    <row r="70" ht="14.25" spans="1:28">
      <c r="A70" s="5" t="s">
        <v>28</v>
      </c>
      <c r="B70" s="5" t="s">
        <v>29</v>
      </c>
      <c r="C70" s="5">
        <v>2027</v>
      </c>
      <c r="D70" s="5" t="s">
        <v>30</v>
      </c>
      <c r="E70" s="9" t="s">
        <v>91</v>
      </c>
      <c r="F70" s="9" t="s">
        <v>88</v>
      </c>
      <c r="G70" s="9" t="s">
        <v>92</v>
      </c>
      <c r="H70" s="9" t="s">
        <v>93</v>
      </c>
      <c r="I70" s="9" t="s">
        <v>35</v>
      </c>
      <c r="J70" s="9" t="s">
        <v>36</v>
      </c>
      <c r="K70" s="9">
        <v>1190</v>
      </c>
      <c r="L70" s="9"/>
      <c r="M70" s="9"/>
      <c r="N70" s="9"/>
      <c r="O70" s="9" t="s">
        <v>37</v>
      </c>
      <c r="P70" s="9" t="s">
        <v>46</v>
      </c>
      <c r="Q70" s="9"/>
      <c r="R70" s="10"/>
      <c r="S70" s="10"/>
      <c r="T70" s="10"/>
      <c r="U70" s="9"/>
      <c r="X70" t="s">
        <v>94</v>
      </c>
      <c r="Y70" t="s">
        <v>40</v>
      </c>
      <c r="Z70" t="s">
        <v>41</v>
      </c>
      <c r="AB70" t="str">
        <f t="shared" si="3"/>
        <v>46107</v>
      </c>
    </row>
    <row r="71" ht="14.25" spans="1:28">
      <c r="A71" s="5" t="s">
        <v>28</v>
      </c>
      <c r="B71" s="5" t="s">
        <v>29</v>
      </c>
      <c r="C71" s="5">
        <v>2027</v>
      </c>
      <c r="D71" s="5" t="s">
        <v>30</v>
      </c>
      <c r="E71" s="9" t="s">
        <v>95</v>
      </c>
      <c r="F71" s="9" t="s">
        <v>88</v>
      </c>
      <c r="G71" s="9" t="s">
        <v>96</v>
      </c>
      <c r="H71" s="9" t="s">
        <v>97</v>
      </c>
      <c r="I71" s="9" t="s">
        <v>35</v>
      </c>
      <c r="J71" s="9" t="s">
        <v>36</v>
      </c>
      <c r="K71" s="9">
        <v>1190</v>
      </c>
      <c r="L71" s="9"/>
      <c r="M71" s="9"/>
      <c r="N71" s="9"/>
      <c r="O71" s="9" t="s">
        <v>37</v>
      </c>
      <c r="P71" s="9" t="s">
        <v>38</v>
      </c>
      <c r="Q71" s="9"/>
      <c r="R71" s="10">
        <f t="shared" ref="R66:R129" si="4">SUMIFS(Q:Q,E:E,E71)</f>
        <v>0</v>
      </c>
      <c r="S71" s="10">
        <f>SUMIFS([1]Sheet1!$T:$T,[1]Sheet1!$I:$I,E71,[1]Sheet1!$C:$C,A71)</f>
        <v>0</v>
      </c>
      <c r="T71" s="10">
        <f t="shared" ref="T66:T129" si="5">R71-S71</f>
        <v>0</v>
      </c>
      <c r="U71" s="9"/>
      <c r="X71" t="s">
        <v>54</v>
      </c>
      <c r="Y71" t="s">
        <v>40</v>
      </c>
      <c r="Z71" t="s">
        <v>41</v>
      </c>
      <c r="AB71" t="str">
        <f t="shared" si="3"/>
        <v>46107</v>
      </c>
    </row>
    <row r="72" ht="14.25" spans="1:28">
      <c r="A72" s="5" t="s">
        <v>28</v>
      </c>
      <c r="B72" s="5" t="s">
        <v>29</v>
      </c>
      <c r="C72" s="5">
        <v>2027</v>
      </c>
      <c r="D72" s="5" t="s">
        <v>30</v>
      </c>
      <c r="E72" s="9" t="s">
        <v>95</v>
      </c>
      <c r="F72" s="9" t="s">
        <v>88</v>
      </c>
      <c r="G72" s="9" t="s">
        <v>96</v>
      </c>
      <c r="H72" s="9" t="s">
        <v>97</v>
      </c>
      <c r="I72" s="9" t="s">
        <v>35</v>
      </c>
      <c r="J72" s="9" t="s">
        <v>36</v>
      </c>
      <c r="K72" s="9">
        <v>1190</v>
      </c>
      <c r="L72" s="9"/>
      <c r="M72" s="9"/>
      <c r="N72" s="9"/>
      <c r="O72" s="9" t="s">
        <v>37</v>
      </c>
      <c r="P72" s="9" t="s">
        <v>42</v>
      </c>
      <c r="Q72" s="9"/>
      <c r="R72" s="10"/>
      <c r="S72" s="10"/>
      <c r="T72" s="10"/>
      <c r="U72" s="9"/>
      <c r="X72" t="s">
        <v>54</v>
      </c>
      <c r="Y72" t="s">
        <v>40</v>
      </c>
      <c r="Z72" t="s">
        <v>41</v>
      </c>
      <c r="AB72" t="str">
        <f t="shared" si="3"/>
        <v>46107</v>
      </c>
    </row>
    <row r="73" ht="14.25" spans="1:28">
      <c r="A73" s="5" t="s">
        <v>28</v>
      </c>
      <c r="B73" s="5" t="s">
        <v>29</v>
      </c>
      <c r="C73" s="5">
        <v>2027</v>
      </c>
      <c r="D73" s="5" t="s">
        <v>30</v>
      </c>
      <c r="E73" s="9" t="s">
        <v>95</v>
      </c>
      <c r="F73" s="9" t="s">
        <v>88</v>
      </c>
      <c r="G73" s="9" t="s">
        <v>96</v>
      </c>
      <c r="H73" s="9" t="s">
        <v>97</v>
      </c>
      <c r="I73" s="9" t="s">
        <v>35</v>
      </c>
      <c r="J73" s="9" t="s">
        <v>36</v>
      </c>
      <c r="K73" s="9">
        <v>1190</v>
      </c>
      <c r="L73" s="9"/>
      <c r="M73" s="9"/>
      <c r="N73" s="9"/>
      <c r="O73" s="9" t="s">
        <v>37</v>
      </c>
      <c r="P73" s="9" t="s">
        <v>43</v>
      </c>
      <c r="Q73" s="9"/>
      <c r="R73" s="10"/>
      <c r="S73" s="10"/>
      <c r="T73" s="10"/>
      <c r="U73" s="9"/>
      <c r="X73" t="s">
        <v>54</v>
      </c>
      <c r="Y73" t="s">
        <v>40</v>
      </c>
      <c r="Z73" t="s">
        <v>41</v>
      </c>
      <c r="AB73" t="str">
        <f t="shared" si="3"/>
        <v>46107</v>
      </c>
    </row>
    <row r="74" ht="14.25" spans="1:28">
      <c r="A74" s="5" t="s">
        <v>28</v>
      </c>
      <c r="B74" s="5" t="s">
        <v>29</v>
      </c>
      <c r="C74" s="5">
        <v>2027</v>
      </c>
      <c r="D74" s="5" t="s">
        <v>30</v>
      </c>
      <c r="E74" s="9" t="s">
        <v>95</v>
      </c>
      <c r="F74" s="9" t="s">
        <v>88</v>
      </c>
      <c r="G74" s="9" t="s">
        <v>96</v>
      </c>
      <c r="H74" s="9" t="s">
        <v>97</v>
      </c>
      <c r="I74" s="9" t="s">
        <v>35</v>
      </c>
      <c r="J74" s="9" t="s">
        <v>36</v>
      </c>
      <c r="K74" s="9">
        <v>1190</v>
      </c>
      <c r="L74" s="9"/>
      <c r="M74" s="9"/>
      <c r="N74" s="9"/>
      <c r="O74" s="9" t="s">
        <v>37</v>
      </c>
      <c r="P74" s="9" t="s">
        <v>44</v>
      </c>
      <c r="Q74" s="9"/>
      <c r="R74" s="10"/>
      <c r="S74" s="10"/>
      <c r="T74" s="10"/>
      <c r="U74" s="9"/>
      <c r="X74" t="s">
        <v>54</v>
      </c>
      <c r="Y74" t="s">
        <v>40</v>
      </c>
      <c r="Z74" t="s">
        <v>41</v>
      </c>
      <c r="AB74" t="str">
        <f t="shared" si="3"/>
        <v>46107</v>
      </c>
    </row>
    <row r="75" ht="14.25" spans="1:28">
      <c r="A75" s="5" t="s">
        <v>28</v>
      </c>
      <c r="B75" s="5" t="s">
        <v>29</v>
      </c>
      <c r="C75" s="5">
        <v>2027</v>
      </c>
      <c r="D75" s="5" t="s">
        <v>30</v>
      </c>
      <c r="E75" s="9" t="s">
        <v>95</v>
      </c>
      <c r="F75" s="9" t="s">
        <v>88</v>
      </c>
      <c r="G75" s="9" t="s">
        <v>96</v>
      </c>
      <c r="H75" s="9" t="s">
        <v>97</v>
      </c>
      <c r="I75" s="9" t="s">
        <v>35</v>
      </c>
      <c r="J75" s="9" t="s">
        <v>36</v>
      </c>
      <c r="K75" s="9">
        <v>1190</v>
      </c>
      <c r="L75" s="9"/>
      <c r="M75" s="9"/>
      <c r="N75" s="9"/>
      <c r="O75" s="9" t="s">
        <v>37</v>
      </c>
      <c r="P75" s="9" t="s">
        <v>45</v>
      </c>
      <c r="Q75" s="9"/>
      <c r="R75" s="10"/>
      <c r="S75" s="10"/>
      <c r="T75" s="10"/>
      <c r="U75" s="9"/>
      <c r="X75" t="s">
        <v>54</v>
      </c>
      <c r="Y75" t="s">
        <v>40</v>
      </c>
      <c r="Z75" t="s">
        <v>41</v>
      </c>
      <c r="AB75" t="str">
        <f t="shared" si="3"/>
        <v>46107</v>
      </c>
    </row>
    <row r="76" ht="14.25" spans="1:28">
      <c r="A76" s="5" t="s">
        <v>28</v>
      </c>
      <c r="B76" s="5" t="s">
        <v>29</v>
      </c>
      <c r="C76" s="5">
        <v>2027</v>
      </c>
      <c r="D76" s="5" t="s">
        <v>30</v>
      </c>
      <c r="E76" s="9" t="s">
        <v>95</v>
      </c>
      <c r="F76" s="9" t="s">
        <v>88</v>
      </c>
      <c r="G76" s="9" t="s">
        <v>96</v>
      </c>
      <c r="H76" s="9" t="s">
        <v>97</v>
      </c>
      <c r="I76" s="9" t="s">
        <v>35</v>
      </c>
      <c r="J76" s="9" t="s">
        <v>36</v>
      </c>
      <c r="K76" s="9">
        <v>1190</v>
      </c>
      <c r="L76" s="9"/>
      <c r="M76" s="9"/>
      <c r="N76" s="9"/>
      <c r="O76" s="9" t="s">
        <v>37</v>
      </c>
      <c r="P76" s="9" t="s">
        <v>46</v>
      </c>
      <c r="Q76" s="9"/>
      <c r="R76" s="10"/>
      <c r="S76" s="10"/>
      <c r="T76" s="10"/>
      <c r="U76" s="9"/>
      <c r="X76" t="s">
        <v>54</v>
      </c>
      <c r="Y76" t="s">
        <v>40</v>
      </c>
      <c r="Z76" t="s">
        <v>41</v>
      </c>
      <c r="AB76" t="str">
        <f t="shared" si="3"/>
        <v>46107</v>
      </c>
    </row>
    <row r="77" ht="14.25" spans="1:28">
      <c r="A77" s="5" t="s">
        <v>28</v>
      </c>
      <c r="B77" s="5" t="s">
        <v>29</v>
      </c>
      <c r="C77" s="5">
        <v>2027</v>
      </c>
      <c r="D77" s="5" t="s">
        <v>30</v>
      </c>
      <c r="E77" s="9" t="s">
        <v>98</v>
      </c>
      <c r="F77" s="9" t="s">
        <v>99</v>
      </c>
      <c r="G77" s="9" t="s">
        <v>100</v>
      </c>
      <c r="H77" s="9" t="s">
        <v>101</v>
      </c>
      <c r="I77" s="9" t="s">
        <v>35</v>
      </c>
      <c r="J77" s="9" t="s">
        <v>36</v>
      </c>
      <c r="K77" s="9">
        <v>1390</v>
      </c>
      <c r="L77" s="9"/>
      <c r="M77" s="9"/>
      <c r="N77" s="9"/>
      <c r="O77" s="9" t="s">
        <v>37</v>
      </c>
      <c r="P77" s="9" t="s">
        <v>38</v>
      </c>
      <c r="Q77" s="9"/>
      <c r="R77" s="10">
        <f t="shared" si="4"/>
        <v>0</v>
      </c>
      <c r="S77" s="10">
        <f>SUMIFS([1]Sheet1!$T:$T,[1]Sheet1!$I:$I,E77,[1]Sheet1!$C:$C,A77)</f>
        <v>0</v>
      </c>
      <c r="T77" s="10">
        <f t="shared" si="5"/>
        <v>0</v>
      </c>
      <c r="U77" s="9"/>
      <c r="X77" t="s">
        <v>102</v>
      </c>
      <c r="Y77" t="s">
        <v>103</v>
      </c>
      <c r="Z77" t="s">
        <v>104</v>
      </c>
      <c r="AB77" t="str">
        <f t="shared" si="3"/>
        <v>46474</v>
      </c>
    </row>
    <row r="78" ht="14.25" spans="1:28">
      <c r="A78" s="5" t="s">
        <v>28</v>
      </c>
      <c r="B78" s="5" t="s">
        <v>29</v>
      </c>
      <c r="C78" s="5">
        <v>2027</v>
      </c>
      <c r="D78" s="5" t="s">
        <v>30</v>
      </c>
      <c r="E78" s="9" t="s">
        <v>98</v>
      </c>
      <c r="F78" s="9" t="s">
        <v>99</v>
      </c>
      <c r="G78" s="9" t="s">
        <v>100</v>
      </c>
      <c r="H78" s="9" t="s">
        <v>101</v>
      </c>
      <c r="I78" s="9" t="s">
        <v>35</v>
      </c>
      <c r="J78" s="9" t="s">
        <v>36</v>
      </c>
      <c r="K78" s="9">
        <v>1390</v>
      </c>
      <c r="L78" s="9"/>
      <c r="M78" s="9"/>
      <c r="N78" s="9"/>
      <c r="O78" s="9" t="s">
        <v>37</v>
      </c>
      <c r="P78" s="9" t="s">
        <v>42</v>
      </c>
      <c r="Q78" s="9"/>
      <c r="R78" s="10"/>
      <c r="S78" s="10"/>
      <c r="T78" s="10"/>
      <c r="U78" s="9"/>
      <c r="X78" t="s">
        <v>102</v>
      </c>
      <c r="Y78" t="s">
        <v>103</v>
      </c>
      <c r="Z78" t="s">
        <v>104</v>
      </c>
      <c r="AB78" t="str">
        <f t="shared" si="3"/>
        <v>46474</v>
      </c>
    </row>
    <row r="79" ht="14.25" spans="1:28">
      <c r="A79" s="5" t="s">
        <v>28</v>
      </c>
      <c r="B79" s="5" t="s">
        <v>29</v>
      </c>
      <c r="C79" s="5">
        <v>2027</v>
      </c>
      <c r="D79" s="5" t="s">
        <v>30</v>
      </c>
      <c r="E79" s="9" t="s">
        <v>98</v>
      </c>
      <c r="F79" s="9" t="s">
        <v>99</v>
      </c>
      <c r="G79" s="9" t="s">
        <v>100</v>
      </c>
      <c r="H79" s="9" t="s">
        <v>101</v>
      </c>
      <c r="I79" s="9" t="s">
        <v>35</v>
      </c>
      <c r="J79" s="9" t="s">
        <v>36</v>
      </c>
      <c r="K79" s="9">
        <v>1390</v>
      </c>
      <c r="L79" s="9"/>
      <c r="M79" s="9"/>
      <c r="N79" s="9"/>
      <c r="O79" s="9" t="s">
        <v>37</v>
      </c>
      <c r="P79" s="9" t="s">
        <v>43</v>
      </c>
      <c r="Q79" s="9"/>
      <c r="R79" s="10"/>
      <c r="S79" s="10"/>
      <c r="T79" s="10"/>
      <c r="U79" s="9"/>
      <c r="X79" t="s">
        <v>102</v>
      </c>
      <c r="Y79" t="s">
        <v>103</v>
      </c>
      <c r="Z79" t="s">
        <v>104</v>
      </c>
      <c r="AB79" t="str">
        <f t="shared" si="3"/>
        <v>46474</v>
      </c>
    </row>
    <row r="80" ht="14.25" spans="1:28">
      <c r="A80" s="5" t="s">
        <v>28</v>
      </c>
      <c r="B80" s="5" t="s">
        <v>29</v>
      </c>
      <c r="C80" s="5">
        <v>2027</v>
      </c>
      <c r="D80" s="5" t="s">
        <v>30</v>
      </c>
      <c r="E80" s="9" t="s">
        <v>98</v>
      </c>
      <c r="F80" s="9" t="s">
        <v>99</v>
      </c>
      <c r="G80" s="9" t="s">
        <v>100</v>
      </c>
      <c r="H80" s="9" t="s">
        <v>101</v>
      </c>
      <c r="I80" s="9" t="s">
        <v>35</v>
      </c>
      <c r="J80" s="9" t="s">
        <v>36</v>
      </c>
      <c r="K80" s="9">
        <v>1390</v>
      </c>
      <c r="L80" s="9"/>
      <c r="M80" s="9"/>
      <c r="N80" s="9"/>
      <c r="O80" s="9" t="s">
        <v>37</v>
      </c>
      <c r="P80" s="9" t="s">
        <v>44</v>
      </c>
      <c r="Q80" s="9"/>
      <c r="R80" s="10"/>
      <c r="S80" s="10"/>
      <c r="T80" s="10"/>
      <c r="U80" s="9"/>
      <c r="X80" t="s">
        <v>102</v>
      </c>
      <c r="Y80" t="s">
        <v>103</v>
      </c>
      <c r="Z80" t="s">
        <v>104</v>
      </c>
      <c r="AB80" t="str">
        <f t="shared" si="3"/>
        <v>46474</v>
      </c>
    </row>
    <row r="81" ht="14.25" spans="1:28">
      <c r="A81" s="5" t="s">
        <v>28</v>
      </c>
      <c r="B81" s="5" t="s">
        <v>29</v>
      </c>
      <c r="C81" s="5">
        <v>2027</v>
      </c>
      <c r="D81" s="5" t="s">
        <v>30</v>
      </c>
      <c r="E81" s="9" t="s">
        <v>98</v>
      </c>
      <c r="F81" s="9" t="s">
        <v>99</v>
      </c>
      <c r="G81" s="9" t="s">
        <v>100</v>
      </c>
      <c r="H81" s="9" t="s">
        <v>101</v>
      </c>
      <c r="I81" s="9" t="s">
        <v>35</v>
      </c>
      <c r="J81" s="9" t="s">
        <v>36</v>
      </c>
      <c r="K81" s="9">
        <v>1390</v>
      </c>
      <c r="L81" s="9"/>
      <c r="M81" s="9"/>
      <c r="N81" s="9"/>
      <c r="O81" s="9" t="s">
        <v>37</v>
      </c>
      <c r="P81" s="9" t="s">
        <v>45</v>
      </c>
      <c r="Q81" s="9"/>
      <c r="R81" s="10"/>
      <c r="S81" s="10"/>
      <c r="T81" s="10"/>
      <c r="U81" s="9"/>
      <c r="X81" t="s">
        <v>102</v>
      </c>
      <c r="Y81" t="s">
        <v>103</v>
      </c>
      <c r="Z81" t="s">
        <v>104</v>
      </c>
      <c r="AB81" t="str">
        <f t="shared" si="3"/>
        <v>46474</v>
      </c>
    </row>
    <row r="82" ht="14.25" spans="1:28">
      <c r="A82" s="5" t="s">
        <v>28</v>
      </c>
      <c r="B82" s="5" t="s">
        <v>29</v>
      </c>
      <c r="C82" s="5">
        <v>2027</v>
      </c>
      <c r="D82" s="5" t="s">
        <v>30</v>
      </c>
      <c r="E82" s="9" t="s">
        <v>98</v>
      </c>
      <c r="F82" s="9" t="s">
        <v>99</v>
      </c>
      <c r="G82" s="9" t="s">
        <v>100</v>
      </c>
      <c r="H82" s="9" t="s">
        <v>101</v>
      </c>
      <c r="I82" s="9" t="s">
        <v>35</v>
      </c>
      <c r="J82" s="9" t="s">
        <v>36</v>
      </c>
      <c r="K82" s="9">
        <v>1390</v>
      </c>
      <c r="L82" s="9"/>
      <c r="M82" s="9"/>
      <c r="N82" s="9"/>
      <c r="O82" s="9" t="s">
        <v>37</v>
      </c>
      <c r="P82" s="9" t="s">
        <v>46</v>
      </c>
      <c r="Q82" s="9"/>
      <c r="R82" s="10"/>
      <c r="S82" s="10"/>
      <c r="T82" s="10"/>
      <c r="U82" s="9"/>
      <c r="X82" t="s">
        <v>102</v>
      </c>
      <c r="Y82" t="s">
        <v>103</v>
      </c>
      <c r="Z82" t="s">
        <v>104</v>
      </c>
      <c r="AB82" t="str">
        <f t="shared" si="3"/>
        <v>46474</v>
      </c>
    </row>
    <row r="83" ht="14.25" spans="1:28">
      <c r="A83" s="5" t="s">
        <v>28</v>
      </c>
      <c r="B83" s="5" t="s">
        <v>29</v>
      </c>
      <c r="C83" s="5">
        <v>2027</v>
      </c>
      <c r="D83" s="5" t="s">
        <v>30</v>
      </c>
      <c r="E83" s="9" t="s">
        <v>105</v>
      </c>
      <c r="F83" s="9" t="s">
        <v>99</v>
      </c>
      <c r="G83" s="9" t="s">
        <v>84</v>
      </c>
      <c r="H83" s="9" t="s">
        <v>106</v>
      </c>
      <c r="I83" s="9" t="s">
        <v>35</v>
      </c>
      <c r="J83" s="9" t="s">
        <v>36</v>
      </c>
      <c r="K83" s="9">
        <v>1390</v>
      </c>
      <c r="L83" s="9"/>
      <c r="M83" s="9"/>
      <c r="N83" s="9"/>
      <c r="O83" s="9" t="s">
        <v>37</v>
      </c>
      <c r="P83" s="9" t="s">
        <v>38</v>
      </c>
      <c r="Q83" s="9"/>
      <c r="R83" s="10">
        <f t="shared" si="4"/>
        <v>0</v>
      </c>
      <c r="S83" s="10">
        <f>SUMIFS([1]Sheet1!$T:$T,[1]Sheet1!$I:$I,E83,[1]Sheet1!$C:$C,A83)</f>
        <v>0</v>
      </c>
      <c r="T83" s="10">
        <f t="shared" si="5"/>
        <v>0</v>
      </c>
      <c r="U83" s="9"/>
      <c r="X83" t="s">
        <v>86</v>
      </c>
      <c r="Y83" t="s">
        <v>103</v>
      </c>
      <c r="Z83" t="s">
        <v>104</v>
      </c>
      <c r="AB83" t="str">
        <f t="shared" si="3"/>
        <v>46474</v>
      </c>
    </row>
    <row r="84" ht="14.25" spans="1:28">
      <c r="A84" s="5" t="s">
        <v>28</v>
      </c>
      <c r="B84" s="5" t="s">
        <v>29</v>
      </c>
      <c r="C84" s="5">
        <v>2027</v>
      </c>
      <c r="D84" s="5" t="s">
        <v>30</v>
      </c>
      <c r="E84" s="9" t="s">
        <v>105</v>
      </c>
      <c r="F84" s="9" t="s">
        <v>99</v>
      </c>
      <c r="G84" s="9" t="s">
        <v>84</v>
      </c>
      <c r="H84" s="9" t="s">
        <v>106</v>
      </c>
      <c r="I84" s="9" t="s">
        <v>35</v>
      </c>
      <c r="J84" s="9" t="s">
        <v>36</v>
      </c>
      <c r="K84" s="9">
        <v>1390</v>
      </c>
      <c r="L84" s="9"/>
      <c r="M84" s="9"/>
      <c r="N84" s="9"/>
      <c r="O84" s="9" t="s">
        <v>37</v>
      </c>
      <c r="P84" s="9" t="s">
        <v>42</v>
      </c>
      <c r="Q84" s="9"/>
      <c r="R84" s="10"/>
      <c r="S84" s="10"/>
      <c r="T84" s="10"/>
      <c r="U84" s="9"/>
      <c r="X84" t="s">
        <v>86</v>
      </c>
      <c r="Y84" t="s">
        <v>103</v>
      </c>
      <c r="Z84" t="s">
        <v>104</v>
      </c>
      <c r="AB84" t="str">
        <f t="shared" si="3"/>
        <v>46474</v>
      </c>
    </row>
    <row r="85" ht="14.25" spans="1:28">
      <c r="A85" s="5" t="s">
        <v>28</v>
      </c>
      <c r="B85" s="5" t="s">
        <v>29</v>
      </c>
      <c r="C85" s="5">
        <v>2027</v>
      </c>
      <c r="D85" s="5" t="s">
        <v>30</v>
      </c>
      <c r="E85" s="9" t="s">
        <v>105</v>
      </c>
      <c r="F85" s="9" t="s">
        <v>99</v>
      </c>
      <c r="G85" s="9" t="s">
        <v>84</v>
      </c>
      <c r="H85" s="9" t="s">
        <v>106</v>
      </c>
      <c r="I85" s="9" t="s">
        <v>35</v>
      </c>
      <c r="J85" s="9" t="s">
        <v>36</v>
      </c>
      <c r="K85" s="9">
        <v>1390</v>
      </c>
      <c r="L85" s="9"/>
      <c r="M85" s="9"/>
      <c r="N85" s="9"/>
      <c r="O85" s="9" t="s">
        <v>37</v>
      </c>
      <c r="P85" s="9" t="s">
        <v>43</v>
      </c>
      <c r="Q85" s="9"/>
      <c r="R85" s="10"/>
      <c r="S85" s="10"/>
      <c r="T85" s="10"/>
      <c r="U85" s="9"/>
      <c r="X85" t="s">
        <v>86</v>
      </c>
      <c r="Y85" t="s">
        <v>103</v>
      </c>
      <c r="Z85" t="s">
        <v>104</v>
      </c>
      <c r="AB85" t="str">
        <f t="shared" si="3"/>
        <v>46474</v>
      </c>
    </row>
    <row r="86" ht="14.25" spans="1:28">
      <c r="A86" s="5" t="s">
        <v>28</v>
      </c>
      <c r="B86" s="5" t="s">
        <v>29</v>
      </c>
      <c r="C86" s="5">
        <v>2027</v>
      </c>
      <c r="D86" s="5" t="s">
        <v>30</v>
      </c>
      <c r="E86" s="9" t="s">
        <v>105</v>
      </c>
      <c r="F86" s="9" t="s">
        <v>99</v>
      </c>
      <c r="G86" s="9" t="s">
        <v>84</v>
      </c>
      <c r="H86" s="9" t="s">
        <v>106</v>
      </c>
      <c r="I86" s="9" t="s">
        <v>35</v>
      </c>
      <c r="J86" s="9" t="s">
        <v>36</v>
      </c>
      <c r="K86" s="9">
        <v>1390</v>
      </c>
      <c r="L86" s="9"/>
      <c r="M86" s="9"/>
      <c r="N86" s="9"/>
      <c r="O86" s="9" t="s">
        <v>37</v>
      </c>
      <c r="P86" s="9" t="s">
        <v>44</v>
      </c>
      <c r="Q86" s="9"/>
      <c r="R86" s="10"/>
      <c r="S86" s="10"/>
      <c r="T86" s="10"/>
      <c r="U86" s="9"/>
      <c r="X86" t="s">
        <v>86</v>
      </c>
      <c r="Y86" t="s">
        <v>103</v>
      </c>
      <c r="Z86" t="s">
        <v>104</v>
      </c>
      <c r="AB86" t="str">
        <f t="shared" si="3"/>
        <v>46474</v>
      </c>
    </row>
    <row r="87" ht="14.25" spans="1:28">
      <c r="A87" s="5" t="s">
        <v>28</v>
      </c>
      <c r="B87" s="5" t="s">
        <v>29</v>
      </c>
      <c r="C87" s="5">
        <v>2027</v>
      </c>
      <c r="D87" s="5" t="s">
        <v>30</v>
      </c>
      <c r="E87" s="9" t="s">
        <v>105</v>
      </c>
      <c r="F87" s="9" t="s">
        <v>99</v>
      </c>
      <c r="G87" s="9" t="s">
        <v>84</v>
      </c>
      <c r="H87" s="9" t="s">
        <v>106</v>
      </c>
      <c r="I87" s="9" t="s">
        <v>35</v>
      </c>
      <c r="J87" s="9" t="s">
        <v>36</v>
      </c>
      <c r="K87" s="9">
        <v>1390</v>
      </c>
      <c r="L87" s="9"/>
      <c r="M87" s="9"/>
      <c r="N87" s="9"/>
      <c r="O87" s="9" t="s">
        <v>37</v>
      </c>
      <c r="P87" s="9" t="s">
        <v>45</v>
      </c>
      <c r="Q87" s="9"/>
      <c r="R87" s="10"/>
      <c r="S87" s="10"/>
      <c r="T87" s="10"/>
      <c r="U87" s="9"/>
      <c r="X87" t="s">
        <v>86</v>
      </c>
      <c r="Y87" t="s">
        <v>103</v>
      </c>
      <c r="Z87" t="s">
        <v>104</v>
      </c>
      <c r="AB87" t="str">
        <f t="shared" si="3"/>
        <v>46474</v>
      </c>
    </row>
    <row r="88" ht="14.25" spans="1:28">
      <c r="A88" s="5" t="s">
        <v>28</v>
      </c>
      <c r="B88" s="5" t="s">
        <v>29</v>
      </c>
      <c r="C88" s="5">
        <v>2027</v>
      </c>
      <c r="D88" s="5" t="s">
        <v>30</v>
      </c>
      <c r="E88" s="9" t="s">
        <v>105</v>
      </c>
      <c r="F88" s="9" t="s">
        <v>99</v>
      </c>
      <c r="G88" s="9" t="s">
        <v>84</v>
      </c>
      <c r="H88" s="9" t="s">
        <v>106</v>
      </c>
      <c r="I88" s="9" t="s">
        <v>35</v>
      </c>
      <c r="J88" s="9" t="s">
        <v>36</v>
      </c>
      <c r="K88" s="9">
        <v>1390</v>
      </c>
      <c r="L88" s="9"/>
      <c r="M88" s="9"/>
      <c r="N88" s="9"/>
      <c r="O88" s="9" t="s">
        <v>37</v>
      </c>
      <c r="P88" s="9" t="s">
        <v>46</v>
      </c>
      <c r="Q88" s="9"/>
      <c r="R88" s="10"/>
      <c r="S88" s="10"/>
      <c r="T88" s="10"/>
      <c r="U88" s="9"/>
      <c r="X88" t="s">
        <v>86</v>
      </c>
      <c r="Y88" t="s">
        <v>103</v>
      </c>
      <c r="Z88" t="s">
        <v>104</v>
      </c>
      <c r="AB88" t="str">
        <f t="shared" si="3"/>
        <v>46474</v>
      </c>
    </row>
    <row r="89" ht="14.25" spans="1:28">
      <c r="A89" s="5" t="s">
        <v>28</v>
      </c>
      <c r="B89" s="5" t="s">
        <v>107</v>
      </c>
      <c r="C89" s="5">
        <v>2027</v>
      </c>
      <c r="D89" s="5" t="s">
        <v>30</v>
      </c>
      <c r="E89" s="9" t="s">
        <v>108</v>
      </c>
      <c r="F89" s="9" t="s">
        <v>109</v>
      </c>
      <c r="G89" s="9" t="s">
        <v>110</v>
      </c>
      <c r="H89" s="9" t="s">
        <v>111</v>
      </c>
      <c r="I89" s="9" t="s">
        <v>112</v>
      </c>
      <c r="J89" s="9" t="s">
        <v>36</v>
      </c>
      <c r="K89" s="9">
        <v>390</v>
      </c>
      <c r="L89" s="9"/>
      <c r="M89" s="9"/>
      <c r="N89" s="9"/>
      <c r="O89" s="9" t="s">
        <v>113</v>
      </c>
      <c r="P89" s="9" t="s">
        <v>113</v>
      </c>
      <c r="Q89" s="9"/>
      <c r="R89" s="10">
        <f t="shared" si="4"/>
        <v>0</v>
      </c>
      <c r="S89" s="10">
        <f>SUMIFS([1]Sheet1!$T:$T,[1]Sheet1!$I:$I,E89,[1]Sheet1!$C:$C,A89)</f>
        <v>0</v>
      </c>
      <c r="T89" s="10">
        <f t="shared" si="5"/>
        <v>0</v>
      </c>
      <c r="U89" s="9"/>
      <c r="X89" t="s">
        <v>70</v>
      </c>
      <c r="Y89" t="s">
        <v>114</v>
      </c>
      <c r="Z89" t="s">
        <v>113</v>
      </c>
      <c r="AB89" t="str">
        <f t="shared" si="3"/>
        <v>13008</v>
      </c>
    </row>
    <row r="90" ht="14.25" spans="1:28">
      <c r="A90" s="5" t="s">
        <v>28</v>
      </c>
      <c r="B90" s="5" t="s">
        <v>107</v>
      </c>
      <c r="C90" s="5">
        <v>2027</v>
      </c>
      <c r="D90" s="5" t="s">
        <v>30</v>
      </c>
      <c r="E90" s="9" t="s">
        <v>115</v>
      </c>
      <c r="F90" s="9" t="s">
        <v>116</v>
      </c>
      <c r="G90" s="9" t="s">
        <v>117</v>
      </c>
      <c r="H90" s="9" t="s">
        <v>118</v>
      </c>
      <c r="I90" s="9" t="s">
        <v>119</v>
      </c>
      <c r="J90" s="9" t="s">
        <v>36</v>
      </c>
      <c r="K90" s="9">
        <v>990</v>
      </c>
      <c r="L90" s="9"/>
      <c r="M90" s="9"/>
      <c r="N90" s="9"/>
      <c r="O90" s="9" t="s">
        <v>120</v>
      </c>
      <c r="P90" s="9" t="s">
        <v>121</v>
      </c>
      <c r="Q90" s="9"/>
      <c r="R90" s="10">
        <f t="shared" si="4"/>
        <v>0</v>
      </c>
      <c r="S90" s="10">
        <f>SUMIFS([1]Sheet1!$T:$T,[1]Sheet1!$I:$I,E90,[1]Sheet1!$C:$C,A90)</f>
        <v>0</v>
      </c>
      <c r="T90" s="10">
        <f t="shared" si="5"/>
        <v>0</v>
      </c>
      <c r="U90" s="9"/>
      <c r="X90" t="s">
        <v>122</v>
      </c>
      <c r="Y90" t="s">
        <v>123</v>
      </c>
      <c r="Z90" t="s">
        <v>113</v>
      </c>
      <c r="AB90" t="str">
        <f t="shared" si="3"/>
        <v>13173</v>
      </c>
    </row>
    <row r="91" ht="14.25" spans="1:28">
      <c r="A91" s="5" t="s">
        <v>28</v>
      </c>
      <c r="B91" s="5" t="s">
        <v>107</v>
      </c>
      <c r="C91" s="5">
        <v>2027</v>
      </c>
      <c r="D91" s="5" t="s">
        <v>30</v>
      </c>
      <c r="E91" s="9" t="s">
        <v>115</v>
      </c>
      <c r="F91" s="9" t="s">
        <v>116</v>
      </c>
      <c r="G91" s="9" t="s">
        <v>117</v>
      </c>
      <c r="H91" s="9" t="s">
        <v>118</v>
      </c>
      <c r="I91" s="9" t="s">
        <v>119</v>
      </c>
      <c r="J91" s="9" t="s">
        <v>36</v>
      </c>
      <c r="K91" s="9">
        <v>990</v>
      </c>
      <c r="L91" s="9"/>
      <c r="M91" s="9"/>
      <c r="N91" s="9"/>
      <c r="O91" s="9" t="s">
        <v>120</v>
      </c>
      <c r="P91" s="9" t="s">
        <v>124</v>
      </c>
      <c r="Q91" s="9"/>
      <c r="R91" s="10"/>
      <c r="S91" s="10"/>
      <c r="T91" s="10"/>
      <c r="U91" s="9"/>
      <c r="X91" t="s">
        <v>122</v>
      </c>
      <c r="Y91" t="s">
        <v>123</v>
      </c>
      <c r="Z91" t="s">
        <v>113</v>
      </c>
      <c r="AB91" t="str">
        <f t="shared" si="3"/>
        <v>13173</v>
      </c>
    </row>
    <row r="92" ht="14.25" spans="1:28">
      <c r="A92" s="5" t="s">
        <v>28</v>
      </c>
      <c r="B92" s="5" t="s">
        <v>107</v>
      </c>
      <c r="C92" s="5">
        <v>2027</v>
      </c>
      <c r="D92" s="5" t="s">
        <v>30</v>
      </c>
      <c r="E92" s="9" t="s">
        <v>115</v>
      </c>
      <c r="F92" s="9" t="s">
        <v>116</v>
      </c>
      <c r="G92" s="9" t="s">
        <v>117</v>
      </c>
      <c r="H92" s="9" t="s">
        <v>118</v>
      </c>
      <c r="I92" s="9" t="s">
        <v>119</v>
      </c>
      <c r="J92" s="9" t="s">
        <v>36</v>
      </c>
      <c r="K92" s="9">
        <v>990</v>
      </c>
      <c r="L92" s="9"/>
      <c r="M92" s="9"/>
      <c r="N92" s="9"/>
      <c r="O92" s="9" t="s">
        <v>120</v>
      </c>
      <c r="P92" s="9" t="s">
        <v>125</v>
      </c>
      <c r="Q92" s="9"/>
      <c r="R92" s="10"/>
      <c r="S92" s="10"/>
      <c r="T92" s="10"/>
      <c r="U92" s="9"/>
      <c r="X92" t="s">
        <v>122</v>
      </c>
      <c r="Y92" t="s">
        <v>123</v>
      </c>
      <c r="Z92" t="s">
        <v>113</v>
      </c>
      <c r="AB92" t="str">
        <f t="shared" si="3"/>
        <v>13173</v>
      </c>
    </row>
    <row r="93" ht="14.25" spans="1:28">
      <c r="A93" s="5" t="s">
        <v>28</v>
      </c>
      <c r="B93" s="5" t="s">
        <v>107</v>
      </c>
      <c r="C93" s="5">
        <v>2027</v>
      </c>
      <c r="D93" s="5" t="s">
        <v>30</v>
      </c>
      <c r="E93" s="9" t="s">
        <v>115</v>
      </c>
      <c r="F93" s="9" t="s">
        <v>116</v>
      </c>
      <c r="G93" s="9" t="s">
        <v>117</v>
      </c>
      <c r="H93" s="9" t="s">
        <v>118</v>
      </c>
      <c r="I93" s="9" t="s">
        <v>119</v>
      </c>
      <c r="J93" s="9" t="s">
        <v>36</v>
      </c>
      <c r="K93" s="9">
        <v>990</v>
      </c>
      <c r="L93" s="9"/>
      <c r="M93" s="9"/>
      <c r="N93" s="9"/>
      <c r="O93" s="9" t="s">
        <v>120</v>
      </c>
      <c r="P93" s="9" t="s">
        <v>126</v>
      </c>
      <c r="Q93" s="9"/>
      <c r="R93" s="10"/>
      <c r="S93" s="10"/>
      <c r="T93" s="10"/>
      <c r="U93" s="9"/>
      <c r="X93" t="s">
        <v>122</v>
      </c>
      <c r="Y93" t="s">
        <v>123</v>
      </c>
      <c r="Z93" t="s">
        <v>113</v>
      </c>
      <c r="AB93" t="str">
        <f t="shared" si="3"/>
        <v>13173</v>
      </c>
    </row>
    <row r="94" ht="14.25" spans="1:28">
      <c r="A94" s="5" t="s">
        <v>28</v>
      </c>
      <c r="B94" s="5" t="s">
        <v>107</v>
      </c>
      <c r="C94" s="5">
        <v>2027</v>
      </c>
      <c r="D94" s="5" t="s">
        <v>30</v>
      </c>
      <c r="E94" s="9" t="s">
        <v>115</v>
      </c>
      <c r="F94" s="9" t="s">
        <v>116</v>
      </c>
      <c r="G94" s="9" t="s">
        <v>117</v>
      </c>
      <c r="H94" s="9" t="s">
        <v>118</v>
      </c>
      <c r="I94" s="9" t="s">
        <v>119</v>
      </c>
      <c r="J94" s="9" t="s">
        <v>36</v>
      </c>
      <c r="K94" s="9">
        <v>990</v>
      </c>
      <c r="L94" s="9"/>
      <c r="M94" s="9"/>
      <c r="N94" s="9"/>
      <c r="O94" s="9" t="s">
        <v>120</v>
      </c>
      <c r="P94" s="9" t="s">
        <v>127</v>
      </c>
      <c r="Q94" s="9"/>
      <c r="R94" s="10"/>
      <c r="S94" s="10"/>
      <c r="T94" s="10"/>
      <c r="U94" s="9"/>
      <c r="X94" t="s">
        <v>122</v>
      </c>
      <c r="Y94" t="s">
        <v>123</v>
      </c>
      <c r="Z94" t="s">
        <v>113</v>
      </c>
      <c r="AB94" t="str">
        <f t="shared" si="3"/>
        <v>13173</v>
      </c>
    </row>
    <row r="95" ht="14.25" spans="1:28">
      <c r="A95" s="5" t="s">
        <v>28</v>
      </c>
      <c r="B95" s="5" t="s">
        <v>107</v>
      </c>
      <c r="C95" s="5">
        <v>2027</v>
      </c>
      <c r="D95" s="5" t="s">
        <v>30</v>
      </c>
      <c r="E95" s="9" t="s">
        <v>128</v>
      </c>
      <c r="F95" s="9" t="s">
        <v>129</v>
      </c>
      <c r="G95" s="9" t="s">
        <v>130</v>
      </c>
      <c r="H95" s="9" t="s">
        <v>131</v>
      </c>
      <c r="I95" s="9" t="s">
        <v>119</v>
      </c>
      <c r="J95" s="9" t="s">
        <v>36</v>
      </c>
      <c r="K95" s="9">
        <v>390</v>
      </c>
      <c r="L95" s="9"/>
      <c r="M95" s="9"/>
      <c r="N95" s="9"/>
      <c r="O95" s="9" t="s">
        <v>113</v>
      </c>
      <c r="P95" s="9" t="s">
        <v>113</v>
      </c>
      <c r="Q95" s="9"/>
      <c r="R95" s="10">
        <f t="shared" si="4"/>
        <v>0</v>
      </c>
      <c r="S95" s="10">
        <f>SUMIFS([1]Sheet1!$T:$T,[1]Sheet1!$I:$I,E95,[1]Sheet1!$C:$C,A95)</f>
        <v>0</v>
      </c>
      <c r="T95" s="10">
        <f t="shared" si="5"/>
        <v>0</v>
      </c>
      <c r="U95" s="9"/>
      <c r="X95" t="s">
        <v>70</v>
      </c>
      <c r="Y95" t="s">
        <v>132</v>
      </c>
      <c r="Z95" t="s">
        <v>113</v>
      </c>
      <c r="AB95" t="str">
        <f t="shared" si="3"/>
        <v>14099</v>
      </c>
    </row>
    <row r="96" ht="14.25" spans="1:28">
      <c r="A96" s="5" t="s">
        <v>28</v>
      </c>
      <c r="B96" s="5" t="s">
        <v>107</v>
      </c>
      <c r="C96" s="5">
        <v>2027</v>
      </c>
      <c r="D96" s="5" t="s">
        <v>30</v>
      </c>
      <c r="E96" s="9" t="s">
        <v>133</v>
      </c>
      <c r="F96" s="9" t="s">
        <v>134</v>
      </c>
      <c r="G96" s="9" t="s">
        <v>65</v>
      </c>
      <c r="H96" s="9" t="s">
        <v>135</v>
      </c>
      <c r="I96" s="9" t="s">
        <v>119</v>
      </c>
      <c r="J96" s="9" t="s">
        <v>74</v>
      </c>
      <c r="K96" s="9">
        <v>1390</v>
      </c>
      <c r="L96" s="9"/>
      <c r="M96" s="9"/>
      <c r="N96" s="9"/>
      <c r="O96" s="9" t="s">
        <v>68</v>
      </c>
      <c r="P96" s="9" t="s">
        <v>69</v>
      </c>
      <c r="Q96" s="11">
        <v>0</v>
      </c>
      <c r="R96" s="10">
        <f t="shared" si="4"/>
        <v>100</v>
      </c>
      <c r="S96" s="10">
        <f>SUMIFS([1]Sheet1!$T:$T,[1]Sheet1!$I:$I,E96,[1]Sheet1!$C:$C,A96)</f>
        <v>100</v>
      </c>
      <c r="T96" s="10">
        <f t="shared" si="5"/>
        <v>0</v>
      </c>
      <c r="U96" s="9" t="s">
        <v>136</v>
      </c>
      <c r="V96" t="s">
        <v>137</v>
      </c>
      <c r="W96" t="s">
        <v>138</v>
      </c>
      <c r="X96" t="s">
        <v>70</v>
      </c>
      <c r="Y96" t="s">
        <v>139</v>
      </c>
      <c r="Z96" t="s">
        <v>140</v>
      </c>
      <c r="AB96" t="str">
        <f t="shared" si="3"/>
        <v>38910</v>
      </c>
    </row>
    <row r="97" ht="14.25" spans="1:28">
      <c r="A97" s="5" t="s">
        <v>28</v>
      </c>
      <c r="B97" s="5" t="s">
        <v>107</v>
      </c>
      <c r="C97" s="5">
        <v>2027</v>
      </c>
      <c r="D97" s="5" t="s">
        <v>30</v>
      </c>
      <c r="E97" s="9" t="s">
        <v>133</v>
      </c>
      <c r="F97" s="9" t="s">
        <v>134</v>
      </c>
      <c r="G97" s="9" t="s">
        <v>65</v>
      </c>
      <c r="H97" s="9" t="s">
        <v>135</v>
      </c>
      <c r="I97" s="9" t="s">
        <v>119</v>
      </c>
      <c r="J97" s="9" t="s">
        <v>74</v>
      </c>
      <c r="K97" s="9">
        <v>1390</v>
      </c>
      <c r="L97" s="9"/>
      <c r="M97" s="9"/>
      <c r="N97" s="9"/>
      <c r="O97" s="9" t="s">
        <v>68</v>
      </c>
      <c r="P97" s="9" t="s">
        <v>72</v>
      </c>
      <c r="Q97" s="11">
        <v>10</v>
      </c>
      <c r="R97" s="10"/>
      <c r="S97" s="10"/>
      <c r="T97" s="10"/>
      <c r="U97" s="9" t="s">
        <v>136</v>
      </c>
      <c r="V97" t="s">
        <v>137</v>
      </c>
      <c r="W97" t="s">
        <v>138</v>
      </c>
      <c r="X97" t="s">
        <v>70</v>
      </c>
      <c r="Y97" t="s">
        <v>139</v>
      </c>
      <c r="Z97" t="s">
        <v>140</v>
      </c>
      <c r="AB97" t="str">
        <f t="shared" si="3"/>
        <v>38910</v>
      </c>
    </row>
    <row r="98" ht="14.25" spans="1:28">
      <c r="A98" s="5" t="s">
        <v>28</v>
      </c>
      <c r="B98" s="5" t="s">
        <v>107</v>
      </c>
      <c r="C98" s="5">
        <v>2027</v>
      </c>
      <c r="D98" s="5" t="s">
        <v>30</v>
      </c>
      <c r="E98" s="9" t="s">
        <v>133</v>
      </c>
      <c r="F98" s="9" t="s">
        <v>134</v>
      </c>
      <c r="G98" s="9" t="s">
        <v>65</v>
      </c>
      <c r="H98" s="9" t="s">
        <v>135</v>
      </c>
      <c r="I98" s="9" t="s">
        <v>119</v>
      </c>
      <c r="J98" s="9" t="s">
        <v>74</v>
      </c>
      <c r="K98" s="9">
        <v>1390</v>
      </c>
      <c r="L98" s="9"/>
      <c r="M98" s="9"/>
      <c r="N98" s="9"/>
      <c r="O98" s="9" t="s">
        <v>68</v>
      </c>
      <c r="P98" s="9" t="s">
        <v>73</v>
      </c>
      <c r="Q98" s="11">
        <v>16</v>
      </c>
      <c r="R98" s="10"/>
      <c r="S98" s="10"/>
      <c r="T98" s="10"/>
      <c r="U98" s="9" t="s">
        <v>136</v>
      </c>
      <c r="V98" t="s">
        <v>137</v>
      </c>
      <c r="W98" t="s">
        <v>138</v>
      </c>
      <c r="X98" t="s">
        <v>70</v>
      </c>
      <c r="Y98" t="s">
        <v>139</v>
      </c>
      <c r="Z98" t="s">
        <v>140</v>
      </c>
      <c r="AB98" t="str">
        <f t="shared" si="3"/>
        <v>38910</v>
      </c>
    </row>
    <row r="99" ht="14.25" spans="1:28">
      <c r="A99" s="5" t="s">
        <v>28</v>
      </c>
      <c r="B99" s="5" t="s">
        <v>107</v>
      </c>
      <c r="C99" s="5">
        <v>2027</v>
      </c>
      <c r="D99" s="5" t="s">
        <v>30</v>
      </c>
      <c r="E99" s="9" t="s">
        <v>133</v>
      </c>
      <c r="F99" s="9" t="s">
        <v>134</v>
      </c>
      <c r="G99" s="9" t="s">
        <v>65</v>
      </c>
      <c r="H99" s="9" t="s">
        <v>135</v>
      </c>
      <c r="I99" s="9" t="s">
        <v>119</v>
      </c>
      <c r="J99" s="9" t="s">
        <v>74</v>
      </c>
      <c r="K99" s="9">
        <v>1390</v>
      </c>
      <c r="L99" s="9"/>
      <c r="M99" s="9"/>
      <c r="N99" s="9"/>
      <c r="O99" s="9" t="s">
        <v>68</v>
      </c>
      <c r="P99" s="9" t="s">
        <v>74</v>
      </c>
      <c r="Q99" s="11">
        <v>22</v>
      </c>
      <c r="R99" s="10"/>
      <c r="S99" s="10"/>
      <c r="T99" s="10"/>
      <c r="U99" s="9" t="s">
        <v>136</v>
      </c>
      <c r="V99" t="s">
        <v>137</v>
      </c>
      <c r="W99" t="s">
        <v>138</v>
      </c>
      <c r="X99" t="s">
        <v>70</v>
      </c>
      <c r="Y99" t="s">
        <v>139</v>
      </c>
      <c r="Z99" t="s">
        <v>140</v>
      </c>
      <c r="AB99" t="str">
        <f t="shared" si="3"/>
        <v>38910</v>
      </c>
    </row>
    <row r="100" ht="14.25" spans="1:28">
      <c r="A100" s="5" t="s">
        <v>28</v>
      </c>
      <c r="B100" s="5" t="s">
        <v>107</v>
      </c>
      <c r="C100" s="5">
        <v>2027</v>
      </c>
      <c r="D100" s="5" t="s">
        <v>30</v>
      </c>
      <c r="E100" s="9" t="s">
        <v>133</v>
      </c>
      <c r="F100" s="9" t="s">
        <v>134</v>
      </c>
      <c r="G100" s="9" t="s">
        <v>65</v>
      </c>
      <c r="H100" s="9" t="s">
        <v>135</v>
      </c>
      <c r="I100" s="9" t="s">
        <v>119</v>
      </c>
      <c r="J100" s="9" t="s">
        <v>74</v>
      </c>
      <c r="K100" s="9">
        <v>1390</v>
      </c>
      <c r="L100" s="9"/>
      <c r="M100" s="9"/>
      <c r="N100" s="9"/>
      <c r="O100" s="9" t="s">
        <v>68</v>
      </c>
      <c r="P100" s="9" t="s">
        <v>75</v>
      </c>
      <c r="Q100" s="11">
        <v>20</v>
      </c>
      <c r="R100" s="10"/>
      <c r="S100" s="10"/>
      <c r="T100" s="10"/>
      <c r="U100" s="9" t="s">
        <v>136</v>
      </c>
      <c r="V100" t="s">
        <v>137</v>
      </c>
      <c r="W100" t="s">
        <v>138</v>
      </c>
      <c r="X100" t="s">
        <v>70</v>
      </c>
      <c r="Y100" t="s">
        <v>139</v>
      </c>
      <c r="Z100" t="s">
        <v>140</v>
      </c>
      <c r="AB100" t="str">
        <f t="shared" si="3"/>
        <v>38910</v>
      </c>
    </row>
    <row r="101" ht="14.25" spans="1:28">
      <c r="A101" s="5" t="s">
        <v>28</v>
      </c>
      <c r="B101" s="5" t="s">
        <v>107</v>
      </c>
      <c r="C101" s="5">
        <v>2027</v>
      </c>
      <c r="D101" s="5" t="s">
        <v>30</v>
      </c>
      <c r="E101" s="9" t="s">
        <v>133</v>
      </c>
      <c r="F101" s="9" t="s">
        <v>134</v>
      </c>
      <c r="G101" s="9" t="s">
        <v>65</v>
      </c>
      <c r="H101" s="9" t="s">
        <v>135</v>
      </c>
      <c r="I101" s="9" t="s">
        <v>119</v>
      </c>
      <c r="J101" s="9" t="s">
        <v>74</v>
      </c>
      <c r="K101" s="9">
        <v>1390</v>
      </c>
      <c r="L101" s="9"/>
      <c r="M101" s="9"/>
      <c r="N101" s="9"/>
      <c r="O101" s="9" t="s">
        <v>68</v>
      </c>
      <c r="P101" s="9" t="s">
        <v>76</v>
      </c>
      <c r="Q101" s="11">
        <v>18</v>
      </c>
      <c r="R101" s="10"/>
      <c r="S101" s="10"/>
      <c r="T101" s="10"/>
      <c r="U101" s="9" t="s">
        <v>136</v>
      </c>
      <c r="V101" t="s">
        <v>137</v>
      </c>
      <c r="W101" t="s">
        <v>138</v>
      </c>
      <c r="X101" t="s">
        <v>70</v>
      </c>
      <c r="Y101" t="s">
        <v>139</v>
      </c>
      <c r="Z101" t="s">
        <v>140</v>
      </c>
      <c r="AB101" t="str">
        <f t="shared" si="3"/>
        <v>38910</v>
      </c>
    </row>
    <row r="102" ht="14.25" spans="1:28">
      <c r="A102" s="5" t="s">
        <v>28</v>
      </c>
      <c r="B102" s="5" t="s">
        <v>107</v>
      </c>
      <c r="C102" s="5">
        <v>2027</v>
      </c>
      <c r="D102" s="5" t="s">
        <v>30</v>
      </c>
      <c r="E102" s="9" t="s">
        <v>133</v>
      </c>
      <c r="F102" s="9" t="s">
        <v>134</v>
      </c>
      <c r="G102" s="9" t="s">
        <v>65</v>
      </c>
      <c r="H102" s="9" t="s">
        <v>135</v>
      </c>
      <c r="I102" s="9" t="s">
        <v>119</v>
      </c>
      <c r="J102" s="9" t="s">
        <v>74</v>
      </c>
      <c r="K102" s="9">
        <v>1390</v>
      </c>
      <c r="L102" s="9"/>
      <c r="M102" s="9"/>
      <c r="N102" s="9"/>
      <c r="O102" s="9" t="s">
        <v>68</v>
      </c>
      <c r="P102" s="9" t="s">
        <v>77</v>
      </c>
      <c r="Q102" s="11">
        <v>10</v>
      </c>
      <c r="R102" s="10"/>
      <c r="S102" s="10"/>
      <c r="T102" s="10"/>
      <c r="U102" s="9" t="s">
        <v>136</v>
      </c>
      <c r="V102" t="s">
        <v>137</v>
      </c>
      <c r="W102" t="s">
        <v>138</v>
      </c>
      <c r="X102" t="s">
        <v>70</v>
      </c>
      <c r="Y102" t="s">
        <v>139</v>
      </c>
      <c r="Z102" t="s">
        <v>140</v>
      </c>
      <c r="AB102" t="str">
        <f t="shared" si="3"/>
        <v>38910</v>
      </c>
    </row>
    <row r="103" ht="14.25" spans="1:28">
      <c r="A103" s="5" t="s">
        <v>28</v>
      </c>
      <c r="B103" s="5" t="s">
        <v>107</v>
      </c>
      <c r="C103" s="5">
        <v>2027</v>
      </c>
      <c r="D103" s="5" t="s">
        <v>30</v>
      </c>
      <c r="E103" s="9" t="s">
        <v>133</v>
      </c>
      <c r="F103" s="9" t="s">
        <v>134</v>
      </c>
      <c r="G103" s="9" t="s">
        <v>65</v>
      </c>
      <c r="H103" s="9" t="s">
        <v>135</v>
      </c>
      <c r="I103" s="9" t="s">
        <v>119</v>
      </c>
      <c r="J103" s="9" t="s">
        <v>74</v>
      </c>
      <c r="K103" s="9">
        <v>1390</v>
      </c>
      <c r="L103" s="9"/>
      <c r="M103" s="9"/>
      <c r="N103" s="9"/>
      <c r="O103" s="9" t="s">
        <v>68</v>
      </c>
      <c r="P103" s="9" t="s">
        <v>78</v>
      </c>
      <c r="Q103" s="11">
        <v>4</v>
      </c>
      <c r="R103" s="10"/>
      <c r="S103" s="10"/>
      <c r="T103" s="10"/>
      <c r="U103" s="9" t="s">
        <v>136</v>
      </c>
      <c r="V103" t="s">
        <v>137</v>
      </c>
      <c r="W103" t="s">
        <v>138</v>
      </c>
      <c r="X103" t="s">
        <v>70</v>
      </c>
      <c r="Y103" t="s">
        <v>139</v>
      </c>
      <c r="Z103" t="s">
        <v>140</v>
      </c>
      <c r="AB103" t="str">
        <f t="shared" si="3"/>
        <v>38910</v>
      </c>
    </row>
    <row r="104" ht="14.25" spans="1:28">
      <c r="A104" s="5" t="s">
        <v>28</v>
      </c>
      <c r="B104" s="5" t="s">
        <v>107</v>
      </c>
      <c r="C104" s="5">
        <v>2027</v>
      </c>
      <c r="D104" s="5" t="s">
        <v>30</v>
      </c>
      <c r="E104" s="9" t="s">
        <v>133</v>
      </c>
      <c r="F104" s="9" t="s">
        <v>134</v>
      </c>
      <c r="G104" s="9" t="s">
        <v>65</v>
      </c>
      <c r="H104" s="9" t="s">
        <v>135</v>
      </c>
      <c r="I104" s="9" t="s">
        <v>119</v>
      </c>
      <c r="J104" s="9" t="s">
        <v>74</v>
      </c>
      <c r="K104" s="9">
        <v>1390</v>
      </c>
      <c r="L104" s="9"/>
      <c r="M104" s="9"/>
      <c r="N104" s="9"/>
      <c r="O104" s="9" t="s">
        <v>68</v>
      </c>
      <c r="P104" s="9" t="s">
        <v>79</v>
      </c>
      <c r="Q104" s="11">
        <v>0</v>
      </c>
      <c r="R104" s="10"/>
      <c r="S104" s="10"/>
      <c r="T104" s="10"/>
      <c r="U104" s="9" t="s">
        <v>136</v>
      </c>
      <c r="V104" t="s">
        <v>137</v>
      </c>
      <c r="W104" t="s">
        <v>138</v>
      </c>
      <c r="X104" t="s">
        <v>70</v>
      </c>
      <c r="Y104" t="s">
        <v>139</v>
      </c>
      <c r="Z104" t="s">
        <v>140</v>
      </c>
      <c r="AB104" t="str">
        <f t="shared" si="3"/>
        <v>38910</v>
      </c>
    </row>
    <row r="105" ht="14.25" spans="1:28">
      <c r="A105" s="5" t="s">
        <v>28</v>
      </c>
      <c r="B105" s="5" t="s">
        <v>107</v>
      </c>
      <c r="C105" s="5">
        <v>2027</v>
      </c>
      <c r="D105" s="5" t="s">
        <v>30</v>
      </c>
      <c r="E105" s="9" t="s">
        <v>141</v>
      </c>
      <c r="F105" s="9" t="s">
        <v>134</v>
      </c>
      <c r="G105" s="9" t="s">
        <v>100</v>
      </c>
      <c r="H105" s="9" t="s">
        <v>142</v>
      </c>
      <c r="I105" s="9" t="s">
        <v>119</v>
      </c>
      <c r="J105" s="9" t="s">
        <v>74</v>
      </c>
      <c r="K105" s="9">
        <v>1390</v>
      </c>
      <c r="L105" s="9"/>
      <c r="M105" s="9"/>
      <c r="N105" s="9"/>
      <c r="O105" s="9" t="s">
        <v>68</v>
      </c>
      <c r="P105" s="9" t="s">
        <v>69</v>
      </c>
      <c r="Q105" s="9">
        <v>5</v>
      </c>
      <c r="R105" s="10">
        <f t="shared" si="4"/>
        <v>120</v>
      </c>
      <c r="S105" s="10">
        <f>SUMIFS([1]Sheet1!$T:$T,[1]Sheet1!$I:$I,E105,[1]Sheet1!$C:$C,A105)</f>
        <v>120</v>
      </c>
      <c r="T105" s="10">
        <f t="shared" si="5"/>
        <v>0</v>
      </c>
      <c r="U105" s="9" t="s">
        <v>136</v>
      </c>
      <c r="V105" t="s">
        <v>137</v>
      </c>
      <c r="W105" t="s">
        <v>138</v>
      </c>
      <c r="X105" t="s">
        <v>102</v>
      </c>
      <c r="Y105" t="s">
        <v>139</v>
      </c>
      <c r="Z105" t="s">
        <v>140</v>
      </c>
      <c r="AB105" t="str">
        <f t="shared" si="3"/>
        <v>38910</v>
      </c>
    </row>
    <row r="106" ht="14.25" spans="1:28">
      <c r="A106" s="5" t="s">
        <v>28</v>
      </c>
      <c r="B106" s="5" t="s">
        <v>107</v>
      </c>
      <c r="C106" s="5">
        <v>2027</v>
      </c>
      <c r="D106" s="5" t="s">
        <v>30</v>
      </c>
      <c r="E106" s="9" t="s">
        <v>141</v>
      </c>
      <c r="F106" s="9" t="s">
        <v>134</v>
      </c>
      <c r="G106" s="9" t="s">
        <v>100</v>
      </c>
      <c r="H106" s="9" t="s">
        <v>142</v>
      </c>
      <c r="I106" s="9" t="s">
        <v>119</v>
      </c>
      <c r="J106" s="9" t="s">
        <v>74</v>
      </c>
      <c r="K106" s="9">
        <v>1390</v>
      </c>
      <c r="L106" s="9"/>
      <c r="M106" s="9"/>
      <c r="N106" s="9"/>
      <c r="O106" s="9" t="s">
        <v>68</v>
      </c>
      <c r="P106" s="9" t="s">
        <v>72</v>
      </c>
      <c r="Q106" s="9">
        <v>13</v>
      </c>
      <c r="R106" s="10"/>
      <c r="S106" s="10"/>
      <c r="T106" s="10"/>
      <c r="U106" s="9" t="s">
        <v>136</v>
      </c>
      <c r="V106" t="s">
        <v>137</v>
      </c>
      <c r="W106" t="s">
        <v>138</v>
      </c>
      <c r="X106" t="s">
        <v>102</v>
      </c>
      <c r="Y106" t="s">
        <v>139</v>
      </c>
      <c r="Z106" t="s">
        <v>140</v>
      </c>
      <c r="AB106" t="str">
        <f t="shared" si="3"/>
        <v>38910</v>
      </c>
    </row>
    <row r="107" ht="14.25" spans="1:28">
      <c r="A107" s="5" t="s">
        <v>28</v>
      </c>
      <c r="B107" s="5" t="s">
        <v>107</v>
      </c>
      <c r="C107" s="5">
        <v>2027</v>
      </c>
      <c r="D107" s="5" t="s">
        <v>30</v>
      </c>
      <c r="E107" s="9" t="s">
        <v>141</v>
      </c>
      <c r="F107" s="9" t="s">
        <v>134</v>
      </c>
      <c r="G107" s="9" t="s">
        <v>100</v>
      </c>
      <c r="H107" s="9" t="s">
        <v>142</v>
      </c>
      <c r="I107" s="9" t="s">
        <v>119</v>
      </c>
      <c r="J107" s="9" t="s">
        <v>74</v>
      </c>
      <c r="K107" s="9">
        <v>1390</v>
      </c>
      <c r="L107" s="9"/>
      <c r="M107" s="9"/>
      <c r="N107" s="9"/>
      <c r="O107" s="9" t="s">
        <v>68</v>
      </c>
      <c r="P107" s="9" t="s">
        <v>73</v>
      </c>
      <c r="Q107" s="9">
        <v>20</v>
      </c>
      <c r="R107" s="10"/>
      <c r="S107" s="10"/>
      <c r="T107" s="10"/>
      <c r="U107" s="9" t="s">
        <v>136</v>
      </c>
      <c r="V107" t="s">
        <v>137</v>
      </c>
      <c r="W107" t="s">
        <v>138</v>
      </c>
      <c r="X107" t="s">
        <v>102</v>
      </c>
      <c r="Y107" t="s">
        <v>139</v>
      </c>
      <c r="Z107" t="s">
        <v>140</v>
      </c>
      <c r="AB107" t="str">
        <f t="shared" si="3"/>
        <v>38910</v>
      </c>
    </row>
    <row r="108" ht="14.25" spans="1:28">
      <c r="A108" s="5" t="s">
        <v>28</v>
      </c>
      <c r="B108" s="5" t="s">
        <v>107</v>
      </c>
      <c r="C108" s="5">
        <v>2027</v>
      </c>
      <c r="D108" s="5" t="s">
        <v>30</v>
      </c>
      <c r="E108" s="9" t="s">
        <v>141</v>
      </c>
      <c r="F108" s="9" t="s">
        <v>134</v>
      </c>
      <c r="G108" s="9" t="s">
        <v>100</v>
      </c>
      <c r="H108" s="9" t="s">
        <v>142</v>
      </c>
      <c r="I108" s="9" t="s">
        <v>119</v>
      </c>
      <c r="J108" s="9" t="s">
        <v>74</v>
      </c>
      <c r="K108" s="9">
        <v>1390</v>
      </c>
      <c r="L108" s="9"/>
      <c r="M108" s="9"/>
      <c r="N108" s="9"/>
      <c r="O108" s="9" t="s">
        <v>68</v>
      </c>
      <c r="P108" s="9" t="s">
        <v>74</v>
      </c>
      <c r="Q108" s="9">
        <v>22</v>
      </c>
      <c r="R108" s="10"/>
      <c r="S108" s="10"/>
      <c r="T108" s="10"/>
      <c r="U108" s="9" t="s">
        <v>136</v>
      </c>
      <c r="V108" t="s">
        <v>137</v>
      </c>
      <c r="W108" t="s">
        <v>138</v>
      </c>
      <c r="X108" t="s">
        <v>102</v>
      </c>
      <c r="Y108" t="s">
        <v>139</v>
      </c>
      <c r="Z108" t="s">
        <v>140</v>
      </c>
      <c r="AB108" t="str">
        <f t="shared" si="3"/>
        <v>38910</v>
      </c>
    </row>
    <row r="109" ht="14.25" spans="1:28">
      <c r="A109" s="5" t="s">
        <v>28</v>
      </c>
      <c r="B109" s="5" t="s">
        <v>107</v>
      </c>
      <c r="C109" s="5">
        <v>2027</v>
      </c>
      <c r="D109" s="5" t="s">
        <v>30</v>
      </c>
      <c r="E109" s="9" t="s">
        <v>141</v>
      </c>
      <c r="F109" s="9" t="s">
        <v>134</v>
      </c>
      <c r="G109" s="9" t="s">
        <v>100</v>
      </c>
      <c r="H109" s="9" t="s">
        <v>142</v>
      </c>
      <c r="I109" s="9" t="s">
        <v>119</v>
      </c>
      <c r="J109" s="9" t="s">
        <v>74</v>
      </c>
      <c r="K109" s="9">
        <v>1390</v>
      </c>
      <c r="L109" s="9"/>
      <c r="M109" s="9"/>
      <c r="N109" s="9"/>
      <c r="O109" s="9" t="s">
        <v>68</v>
      </c>
      <c r="P109" s="9" t="s">
        <v>75</v>
      </c>
      <c r="Q109" s="11">
        <v>20</v>
      </c>
      <c r="R109" s="10"/>
      <c r="S109" s="10"/>
      <c r="T109" s="10"/>
      <c r="U109" s="9" t="s">
        <v>136</v>
      </c>
      <c r="V109" t="s">
        <v>137</v>
      </c>
      <c r="W109" t="s">
        <v>138</v>
      </c>
      <c r="X109" t="s">
        <v>102</v>
      </c>
      <c r="Y109" t="s">
        <v>139</v>
      </c>
      <c r="Z109" t="s">
        <v>140</v>
      </c>
      <c r="AB109" t="str">
        <f t="shared" si="3"/>
        <v>38910</v>
      </c>
    </row>
    <row r="110" ht="14.25" spans="1:28">
      <c r="A110" s="5" t="s">
        <v>28</v>
      </c>
      <c r="B110" s="5" t="s">
        <v>107</v>
      </c>
      <c r="C110" s="5">
        <v>2027</v>
      </c>
      <c r="D110" s="5" t="s">
        <v>30</v>
      </c>
      <c r="E110" s="9" t="s">
        <v>141</v>
      </c>
      <c r="F110" s="9" t="s">
        <v>134</v>
      </c>
      <c r="G110" s="9" t="s">
        <v>100</v>
      </c>
      <c r="H110" s="9" t="s">
        <v>142</v>
      </c>
      <c r="I110" s="9" t="s">
        <v>119</v>
      </c>
      <c r="J110" s="9" t="s">
        <v>74</v>
      </c>
      <c r="K110" s="9">
        <v>1390</v>
      </c>
      <c r="L110" s="9"/>
      <c r="M110" s="9"/>
      <c r="N110" s="9"/>
      <c r="O110" s="9" t="s">
        <v>68</v>
      </c>
      <c r="P110" s="9" t="s">
        <v>76</v>
      </c>
      <c r="Q110" s="11">
        <v>18</v>
      </c>
      <c r="R110" s="10"/>
      <c r="S110" s="10"/>
      <c r="T110" s="10"/>
      <c r="U110" s="9" t="s">
        <v>136</v>
      </c>
      <c r="V110" t="s">
        <v>137</v>
      </c>
      <c r="W110" t="s">
        <v>138</v>
      </c>
      <c r="X110" t="s">
        <v>102</v>
      </c>
      <c r="Y110" t="s">
        <v>139</v>
      </c>
      <c r="Z110" t="s">
        <v>140</v>
      </c>
      <c r="AB110" t="str">
        <f t="shared" si="3"/>
        <v>38910</v>
      </c>
    </row>
    <row r="111" ht="14.25" spans="1:28">
      <c r="A111" s="5" t="s">
        <v>28</v>
      </c>
      <c r="B111" s="5" t="s">
        <v>107</v>
      </c>
      <c r="C111" s="5">
        <v>2027</v>
      </c>
      <c r="D111" s="5" t="s">
        <v>30</v>
      </c>
      <c r="E111" s="9" t="s">
        <v>141</v>
      </c>
      <c r="F111" s="9" t="s">
        <v>134</v>
      </c>
      <c r="G111" s="9" t="s">
        <v>100</v>
      </c>
      <c r="H111" s="9" t="s">
        <v>142</v>
      </c>
      <c r="I111" s="9" t="s">
        <v>119</v>
      </c>
      <c r="J111" s="9" t="s">
        <v>74</v>
      </c>
      <c r="K111" s="9">
        <v>1390</v>
      </c>
      <c r="L111" s="9"/>
      <c r="M111" s="9"/>
      <c r="N111" s="9"/>
      <c r="O111" s="9" t="s">
        <v>68</v>
      </c>
      <c r="P111" s="9" t="s">
        <v>77</v>
      </c>
      <c r="Q111" s="11">
        <v>12</v>
      </c>
      <c r="R111" s="10"/>
      <c r="S111" s="10"/>
      <c r="T111" s="10"/>
      <c r="U111" s="9" t="s">
        <v>136</v>
      </c>
      <c r="V111" t="s">
        <v>137</v>
      </c>
      <c r="W111" t="s">
        <v>138</v>
      </c>
      <c r="X111" t="s">
        <v>102</v>
      </c>
      <c r="Y111" t="s">
        <v>139</v>
      </c>
      <c r="Z111" t="s">
        <v>140</v>
      </c>
      <c r="AB111" t="str">
        <f t="shared" si="3"/>
        <v>38910</v>
      </c>
    </row>
    <row r="112" ht="14.25" spans="1:28">
      <c r="A112" s="5" t="s">
        <v>28</v>
      </c>
      <c r="B112" s="5" t="s">
        <v>107</v>
      </c>
      <c r="C112" s="5">
        <v>2027</v>
      </c>
      <c r="D112" s="5" t="s">
        <v>30</v>
      </c>
      <c r="E112" s="9" t="s">
        <v>141</v>
      </c>
      <c r="F112" s="9" t="s">
        <v>134</v>
      </c>
      <c r="G112" s="9" t="s">
        <v>100</v>
      </c>
      <c r="H112" s="9" t="s">
        <v>142</v>
      </c>
      <c r="I112" s="9" t="s">
        <v>119</v>
      </c>
      <c r="J112" s="9" t="s">
        <v>74</v>
      </c>
      <c r="K112" s="9">
        <v>1390</v>
      </c>
      <c r="L112" s="9"/>
      <c r="M112" s="9"/>
      <c r="N112" s="9"/>
      <c r="O112" s="9" t="s">
        <v>68</v>
      </c>
      <c r="P112" s="9" t="s">
        <v>78</v>
      </c>
      <c r="Q112" s="11">
        <v>10</v>
      </c>
      <c r="R112" s="10"/>
      <c r="S112" s="10"/>
      <c r="T112" s="10"/>
      <c r="U112" s="9" t="s">
        <v>136</v>
      </c>
      <c r="V112" t="s">
        <v>137</v>
      </c>
      <c r="W112" t="s">
        <v>138</v>
      </c>
      <c r="X112" t="s">
        <v>102</v>
      </c>
      <c r="Y112" t="s">
        <v>139</v>
      </c>
      <c r="Z112" t="s">
        <v>140</v>
      </c>
      <c r="AB112" t="str">
        <f t="shared" si="3"/>
        <v>38910</v>
      </c>
    </row>
    <row r="113" ht="14.25" spans="1:28">
      <c r="A113" s="5" t="s">
        <v>28</v>
      </c>
      <c r="B113" s="5" t="s">
        <v>107</v>
      </c>
      <c r="C113" s="5">
        <v>2027</v>
      </c>
      <c r="D113" s="5" t="s">
        <v>30</v>
      </c>
      <c r="E113" s="9" t="s">
        <v>141</v>
      </c>
      <c r="F113" s="9" t="s">
        <v>134</v>
      </c>
      <c r="G113" s="9" t="s">
        <v>100</v>
      </c>
      <c r="H113" s="9" t="s">
        <v>142</v>
      </c>
      <c r="I113" s="9" t="s">
        <v>119</v>
      </c>
      <c r="J113" s="9" t="s">
        <v>74</v>
      </c>
      <c r="K113" s="9">
        <v>1390</v>
      </c>
      <c r="L113" s="9"/>
      <c r="M113" s="9"/>
      <c r="N113" s="9"/>
      <c r="O113" s="9" t="s">
        <v>68</v>
      </c>
      <c r="P113" s="9" t="s">
        <v>79</v>
      </c>
      <c r="Q113" s="11">
        <v>0</v>
      </c>
      <c r="R113" s="10"/>
      <c r="S113" s="10"/>
      <c r="T113" s="10"/>
      <c r="U113" s="9" t="s">
        <v>136</v>
      </c>
      <c r="V113" t="s">
        <v>137</v>
      </c>
      <c r="W113" t="s">
        <v>138</v>
      </c>
      <c r="X113" t="s">
        <v>102</v>
      </c>
      <c r="Y113" t="s">
        <v>139</v>
      </c>
      <c r="Z113" t="s">
        <v>140</v>
      </c>
      <c r="AB113" t="str">
        <f t="shared" si="3"/>
        <v>38910</v>
      </c>
    </row>
    <row r="114" ht="14.25" spans="1:28">
      <c r="A114" s="5" t="s">
        <v>28</v>
      </c>
      <c r="B114" s="5" t="s">
        <v>107</v>
      </c>
      <c r="C114" s="5">
        <v>2027</v>
      </c>
      <c r="D114" s="5" t="s">
        <v>30</v>
      </c>
      <c r="E114" s="9" t="s">
        <v>143</v>
      </c>
      <c r="F114" s="9" t="s">
        <v>144</v>
      </c>
      <c r="G114" s="9" t="s">
        <v>145</v>
      </c>
      <c r="H114" s="9" t="s">
        <v>146</v>
      </c>
      <c r="I114" s="9" t="s">
        <v>147</v>
      </c>
      <c r="J114" s="9" t="s">
        <v>36</v>
      </c>
      <c r="K114" s="9">
        <v>1090</v>
      </c>
      <c r="L114" s="9"/>
      <c r="M114" s="9"/>
      <c r="N114" s="9"/>
      <c r="O114" s="9" t="s">
        <v>37</v>
      </c>
      <c r="P114" s="9" t="s">
        <v>38</v>
      </c>
      <c r="Q114" s="11"/>
      <c r="R114" s="10">
        <f t="shared" si="4"/>
        <v>0</v>
      </c>
      <c r="S114" s="10">
        <f>SUMIFS([1]Sheet1!$T:$T,[1]Sheet1!$I:$I,E114,[1]Sheet1!$C:$C,A114)</f>
        <v>0</v>
      </c>
      <c r="T114" s="10">
        <f t="shared" si="5"/>
        <v>0</v>
      </c>
      <c r="U114" s="9" t="s">
        <v>148</v>
      </c>
      <c r="V114" t="s">
        <v>149</v>
      </c>
      <c r="W114" t="s">
        <v>138</v>
      </c>
      <c r="Y114" t="s">
        <v>150</v>
      </c>
      <c r="Z114" t="s">
        <v>41</v>
      </c>
      <c r="AB114" t="str">
        <f t="shared" si="3"/>
        <v>39167</v>
      </c>
    </row>
    <row r="115" ht="14.25" spans="1:28">
      <c r="A115" s="5" t="s">
        <v>28</v>
      </c>
      <c r="B115" s="5" t="s">
        <v>107</v>
      </c>
      <c r="C115" s="5">
        <v>2027</v>
      </c>
      <c r="D115" s="5" t="s">
        <v>30</v>
      </c>
      <c r="E115" s="9" t="s">
        <v>143</v>
      </c>
      <c r="F115" s="9" t="s">
        <v>144</v>
      </c>
      <c r="G115" s="9" t="s">
        <v>145</v>
      </c>
      <c r="H115" s="9" t="s">
        <v>146</v>
      </c>
      <c r="I115" s="9" t="s">
        <v>147</v>
      </c>
      <c r="J115" s="9" t="s">
        <v>36</v>
      </c>
      <c r="K115" s="9">
        <v>1090</v>
      </c>
      <c r="L115" s="9"/>
      <c r="M115" s="9"/>
      <c r="N115" s="9"/>
      <c r="O115" s="9" t="s">
        <v>37</v>
      </c>
      <c r="P115" s="9" t="s">
        <v>42</v>
      </c>
      <c r="Q115" s="11"/>
      <c r="R115" s="10"/>
      <c r="S115" s="10"/>
      <c r="T115" s="10"/>
      <c r="U115" s="9" t="s">
        <v>148</v>
      </c>
      <c r="V115" t="s">
        <v>149</v>
      </c>
      <c r="W115" t="s">
        <v>138</v>
      </c>
      <c r="Y115" t="s">
        <v>150</v>
      </c>
      <c r="Z115" t="s">
        <v>41</v>
      </c>
      <c r="AB115" t="str">
        <f t="shared" si="3"/>
        <v>39167</v>
      </c>
    </row>
    <row r="116" ht="14.25" spans="1:28">
      <c r="A116" s="5" t="s">
        <v>28</v>
      </c>
      <c r="B116" s="5" t="s">
        <v>107</v>
      </c>
      <c r="C116" s="5">
        <v>2027</v>
      </c>
      <c r="D116" s="5" t="s">
        <v>30</v>
      </c>
      <c r="E116" s="9" t="s">
        <v>143</v>
      </c>
      <c r="F116" s="9" t="s">
        <v>144</v>
      </c>
      <c r="G116" s="9" t="s">
        <v>145</v>
      </c>
      <c r="H116" s="9" t="s">
        <v>146</v>
      </c>
      <c r="I116" s="9" t="s">
        <v>147</v>
      </c>
      <c r="J116" s="9" t="s">
        <v>36</v>
      </c>
      <c r="K116" s="9">
        <v>1090</v>
      </c>
      <c r="L116" s="9"/>
      <c r="M116" s="9"/>
      <c r="N116" s="9"/>
      <c r="O116" s="9" t="s">
        <v>37</v>
      </c>
      <c r="P116" s="9" t="s">
        <v>43</v>
      </c>
      <c r="Q116" s="11"/>
      <c r="R116" s="10"/>
      <c r="S116" s="10"/>
      <c r="T116" s="10"/>
      <c r="U116" s="9" t="s">
        <v>148</v>
      </c>
      <c r="V116" t="s">
        <v>149</v>
      </c>
      <c r="W116" t="s">
        <v>138</v>
      </c>
      <c r="Y116" t="s">
        <v>150</v>
      </c>
      <c r="Z116" t="s">
        <v>41</v>
      </c>
      <c r="AB116" t="str">
        <f t="shared" si="3"/>
        <v>39167</v>
      </c>
    </row>
    <row r="117" ht="14.25" spans="1:28">
      <c r="A117" s="5" t="s">
        <v>28</v>
      </c>
      <c r="B117" s="5" t="s">
        <v>107</v>
      </c>
      <c r="C117" s="5">
        <v>2027</v>
      </c>
      <c r="D117" s="5" t="s">
        <v>30</v>
      </c>
      <c r="E117" s="9" t="s">
        <v>143</v>
      </c>
      <c r="F117" s="9" t="s">
        <v>144</v>
      </c>
      <c r="G117" s="9" t="s">
        <v>145</v>
      </c>
      <c r="H117" s="9" t="s">
        <v>146</v>
      </c>
      <c r="I117" s="9" t="s">
        <v>147</v>
      </c>
      <c r="J117" s="9" t="s">
        <v>36</v>
      </c>
      <c r="K117" s="9">
        <v>1090</v>
      </c>
      <c r="L117" s="9"/>
      <c r="M117" s="9"/>
      <c r="N117" s="9"/>
      <c r="O117" s="9" t="s">
        <v>37</v>
      </c>
      <c r="P117" s="9" t="s">
        <v>44</v>
      </c>
      <c r="Q117" s="11"/>
      <c r="R117" s="10"/>
      <c r="S117" s="10"/>
      <c r="T117" s="10"/>
      <c r="U117" s="9" t="s">
        <v>148</v>
      </c>
      <c r="V117" t="s">
        <v>149</v>
      </c>
      <c r="W117" t="s">
        <v>138</v>
      </c>
      <c r="Y117" t="s">
        <v>150</v>
      </c>
      <c r="Z117" t="s">
        <v>41</v>
      </c>
      <c r="AB117" t="str">
        <f t="shared" si="3"/>
        <v>39167</v>
      </c>
    </row>
    <row r="118" ht="14.25" spans="1:28">
      <c r="A118" s="5" t="s">
        <v>28</v>
      </c>
      <c r="B118" s="5" t="s">
        <v>107</v>
      </c>
      <c r="C118" s="5">
        <v>2027</v>
      </c>
      <c r="D118" s="5" t="s">
        <v>30</v>
      </c>
      <c r="E118" s="9" t="s">
        <v>143</v>
      </c>
      <c r="F118" s="9" t="s">
        <v>144</v>
      </c>
      <c r="G118" s="9" t="s">
        <v>145</v>
      </c>
      <c r="H118" s="9" t="s">
        <v>146</v>
      </c>
      <c r="I118" s="9" t="s">
        <v>147</v>
      </c>
      <c r="J118" s="9" t="s">
        <v>36</v>
      </c>
      <c r="K118" s="9">
        <v>1090</v>
      </c>
      <c r="L118" s="9"/>
      <c r="M118" s="9"/>
      <c r="N118" s="9"/>
      <c r="O118" s="9" t="s">
        <v>37</v>
      </c>
      <c r="P118" s="9" t="s">
        <v>45</v>
      </c>
      <c r="Q118" s="11"/>
      <c r="R118" s="10"/>
      <c r="S118" s="10"/>
      <c r="T118" s="10"/>
      <c r="U118" s="9" t="s">
        <v>148</v>
      </c>
      <c r="V118" t="s">
        <v>149</v>
      </c>
      <c r="W118" t="s">
        <v>138</v>
      </c>
      <c r="Y118" t="s">
        <v>150</v>
      </c>
      <c r="Z118" t="s">
        <v>41</v>
      </c>
      <c r="AB118" t="str">
        <f t="shared" si="3"/>
        <v>39167</v>
      </c>
    </row>
    <row r="119" ht="14.25" spans="1:28">
      <c r="A119" s="5" t="s">
        <v>28</v>
      </c>
      <c r="B119" s="5" t="s">
        <v>107</v>
      </c>
      <c r="C119" s="5">
        <v>2027</v>
      </c>
      <c r="D119" s="5" t="s">
        <v>30</v>
      </c>
      <c r="E119" s="9" t="s">
        <v>143</v>
      </c>
      <c r="F119" s="9" t="s">
        <v>144</v>
      </c>
      <c r="G119" s="9" t="s">
        <v>145</v>
      </c>
      <c r="H119" s="9" t="s">
        <v>146</v>
      </c>
      <c r="I119" s="9" t="s">
        <v>147</v>
      </c>
      <c r="J119" s="9" t="s">
        <v>36</v>
      </c>
      <c r="K119" s="9">
        <v>1090</v>
      </c>
      <c r="L119" s="9"/>
      <c r="M119" s="9"/>
      <c r="N119" s="9"/>
      <c r="O119" s="9" t="s">
        <v>37</v>
      </c>
      <c r="P119" s="9" t="s">
        <v>46</v>
      </c>
      <c r="Q119" s="11"/>
      <c r="R119" s="10"/>
      <c r="S119" s="10"/>
      <c r="T119" s="10"/>
      <c r="U119" s="9" t="s">
        <v>148</v>
      </c>
      <c r="V119" t="s">
        <v>149</v>
      </c>
      <c r="W119" t="s">
        <v>138</v>
      </c>
      <c r="Y119" t="s">
        <v>150</v>
      </c>
      <c r="Z119" t="s">
        <v>41</v>
      </c>
      <c r="AB119" t="str">
        <f t="shared" si="3"/>
        <v>39167</v>
      </c>
    </row>
    <row r="120" ht="14.25" spans="1:28">
      <c r="A120" s="5" t="s">
        <v>28</v>
      </c>
      <c r="B120" s="5" t="s">
        <v>107</v>
      </c>
      <c r="C120" s="5">
        <v>2027</v>
      </c>
      <c r="D120" s="5" t="s">
        <v>30</v>
      </c>
      <c r="E120" s="9" t="s">
        <v>151</v>
      </c>
      <c r="F120" s="9" t="s">
        <v>152</v>
      </c>
      <c r="G120" s="9" t="s">
        <v>153</v>
      </c>
      <c r="H120" s="9" t="s">
        <v>154</v>
      </c>
      <c r="I120" s="9" t="s">
        <v>147</v>
      </c>
      <c r="J120" s="9" t="s">
        <v>36</v>
      </c>
      <c r="K120" s="9">
        <v>990</v>
      </c>
      <c r="L120" s="9"/>
      <c r="M120" s="9"/>
      <c r="N120" s="9"/>
      <c r="O120" s="9" t="s">
        <v>37</v>
      </c>
      <c r="P120" s="9" t="s">
        <v>38</v>
      </c>
      <c r="Q120" s="11"/>
      <c r="R120" s="10">
        <f t="shared" si="4"/>
        <v>0</v>
      </c>
      <c r="S120" s="10">
        <f>SUMIFS([1]Sheet1!$T:$T,[1]Sheet1!$I:$I,E120,[1]Sheet1!$C:$C,A120)</f>
        <v>0</v>
      </c>
      <c r="T120" s="10">
        <f t="shared" si="5"/>
        <v>0</v>
      </c>
      <c r="U120" s="9" t="s">
        <v>148</v>
      </c>
      <c r="V120" t="s">
        <v>149</v>
      </c>
      <c r="W120" t="s">
        <v>138</v>
      </c>
      <c r="X120" t="s">
        <v>39</v>
      </c>
      <c r="Y120" t="s">
        <v>150</v>
      </c>
      <c r="Z120" t="s">
        <v>155</v>
      </c>
      <c r="AB120" t="str">
        <f t="shared" si="3"/>
        <v>41315</v>
      </c>
    </row>
    <row r="121" ht="14.25" spans="1:28">
      <c r="A121" s="5" t="s">
        <v>28</v>
      </c>
      <c r="B121" s="5" t="s">
        <v>107</v>
      </c>
      <c r="C121" s="5">
        <v>2027</v>
      </c>
      <c r="D121" s="5" t="s">
        <v>30</v>
      </c>
      <c r="E121" s="9" t="s">
        <v>151</v>
      </c>
      <c r="F121" s="9" t="s">
        <v>152</v>
      </c>
      <c r="G121" s="9" t="s">
        <v>153</v>
      </c>
      <c r="H121" s="9" t="s">
        <v>154</v>
      </c>
      <c r="I121" s="9" t="s">
        <v>147</v>
      </c>
      <c r="J121" s="9" t="s">
        <v>36</v>
      </c>
      <c r="K121" s="9">
        <v>990</v>
      </c>
      <c r="L121" s="9"/>
      <c r="M121" s="9"/>
      <c r="N121" s="9"/>
      <c r="O121" s="9" t="s">
        <v>37</v>
      </c>
      <c r="P121" s="9" t="s">
        <v>42</v>
      </c>
      <c r="Q121" s="9"/>
      <c r="R121" s="10"/>
      <c r="S121" s="10"/>
      <c r="T121" s="10"/>
      <c r="U121" s="9" t="s">
        <v>148</v>
      </c>
      <c r="V121" t="s">
        <v>149</v>
      </c>
      <c r="W121" t="s">
        <v>138</v>
      </c>
      <c r="X121" t="s">
        <v>39</v>
      </c>
      <c r="Y121" t="s">
        <v>150</v>
      </c>
      <c r="Z121" t="s">
        <v>155</v>
      </c>
      <c r="AB121" t="str">
        <f t="shared" si="3"/>
        <v>41315</v>
      </c>
    </row>
    <row r="122" ht="14.25" spans="1:28">
      <c r="A122" s="5" t="s">
        <v>28</v>
      </c>
      <c r="B122" s="5" t="s">
        <v>107</v>
      </c>
      <c r="C122" s="5">
        <v>2027</v>
      </c>
      <c r="D122" s="5" t="s">
        <v>30</v>
      </c>
      <c r="E122" s="9" t="s">
        <v>151</v>
      </c>
      <c r="F122" s="9" t="s">
        <v>152</v>
      </c>
      <c r="G122" s="9" t="s">
        <v>153</v>
      </c>
      <c r="H122" s="9" t="s">
        <v>154</v>
      </c>
      <c r="I122" s="9" t="s">
        <v>147</v>
      </c>
      <c r="J122" s="9" t="s">
        <v>36</v>
      </c>
      <c r="K122" s="9">
        <v>990</v>
      </c>
      <c r="L122" s="9"/>
      <c r="M122" s="9"/>
      <c r="N122" s="9"/>
      <c r="O122" s="9" t="s">
        <v>37</v>
      </c>
      <c r="P122" s="9" t="s">
        <v>43</v>
      </c>
      <c r="Q122" s="9"/>
      <c r="R122" s="10"/>
      <c r="S122" s="10"/>
      <c r="T122" s="10"/>
      <c r="U122" s="9" t="s">
        <v>148</v>
      </c>
      <c r="V122" t="s">
        <v>149</v>
      </c>
      <c r="W122" t="s">
        <v>138</v>
      </c>
      <c r="X122" t="s">
        <v>39</v>
      </c>
      <c r="Y122" t="s">
        <v>150</v>
      </c>
      <c r="Z122" t="s">
        <v>155</v>
      </c>
      <c r="AB122" t="str">
        <f t="shared" si="3"/>
        <v>41315</v>
      </c>
    </row>
    <row r="123" ht="14.25" spans="1:28">
      <c r="A123" s="5" t="s">
        <v>28</v>
      </c>
      <c r="B123" s="5" t="s">
        <v>107</v>
      </c>
      <c r="C123" s="5">
        <v>2027</v>
      </c>
      <c r="D123" s="5" t="s">
        <v>30</v>
      </c>
      <c r="E123" s="9" t="s">
        <v>151</v>
      </c>
      <c r="F123" s="9" t="s">
        <v>152</v>
      </c>
      <c r="G123" s="9" t="s">
        <v>153</v>
      </c>
      <c r="H123" s="9" t="s">
        <v>154</v>
      </c>
      <c r="I123" s="9" t="s">
        <v>147</v>
      </c>
      <c r="J123" s="9" t="s">
        <v>36</v>
      </c>
      <c r="K123" s="9">
        <v>990</v>
      </c>
      <c r="L123" s="9"/>
      <c r="M123" s="9"/>
      <c r="N123" s="9"/>
      <c r="O123" s="9" t="s">
        <v>37</v>
      </c>
      <c r="P123" s="9" t="s">
        <v>44</v>
      </c>
      <c r="Q123" s="9"/>
      <c r="R123" s="10"/>
      <c r="S123" s="10"/>
      <c r="T123" s="10"/>
      <c r="U123" s="9" t="s">
        <v>148</v>
      </c>
      <c r="V123" t="s">
        <v>149</v>
      </c>
      <c r="W123" t="s">
        <v>138</v>
      </c>
      <c r="X123" t="s">
        <v>39</v>
      </c>
      <c r="Y123" t="s">
        <v>150</v>
      </c>
      <c r="Z123" t="s">
        <v>155</v>
      </c>
      <c r="AB123" t="str">
        <f t="shared" si="3"/>
        <v>41315</v>
      </c>
    </row>
    <row r="124" ht="14.25" spans="1:28">
      <c r="A124" s="5" t="s">
        <v>28</v>
      </c>
      <c r="B124" s="5" t="s">
        <v>107</v>
      </c>
      <c r="C124" s="5">
        <v>2027</v>
      </c>
      <c r="D124" s="5" t="s">
        <v>30</v>
      </c>
      <c r="E124" s="9" t="s">
        <v>151</v>
      </c>
      <c r="F124" s="9" t="s">
        <v>152</v>
      </c>
      <c r="G124" s="9" t="s">
        <v>153</v>
      </c>
      <c r="H124" s="9" t="s">
        <v>154</v>
      </c>
      <c r="I124" s="9" t="s">
        <v>147</v>
      </c>
      <c r="J124" s="9" t="s">
        <v>36</v>
      </c>
      <c r="K124" s="9">
        <v>990</v>
      </c>
      <c r="L124" s="9"/>
      <c r="M124" s="9"/>
      <c r="N124" s="9"/>
      <c r="O124" s="9" t="s">
        <v>37</v>
      </c>
      <c r="P124" s="9" t="s">
        <v>45</v>
      </c>
      <c r="Q124" s="9"/>
      <c r="R124" s="10"/>
      <c r="S124" s="10"/>
      <c r="T124" s="10"/>
      <c r="U124" s="9" t="s">
        <v>148</v>
      </c>
      <c r="V124" t="s">
        <v>149</v>
      </c>
      <c r="W124" t="s">
        <v>138</v>
      </c>
      <c r="X124" t="s">
        <v>39</v>
      </c>
      <c r="Y124" t="s">
        <v>150</v>
      </c>
      <c r="Z124" t="s">
        <v>155</v>
      </c>
      <c r="AB124" t="str">
        <f t="shared" si="3"/>
        <v>41315</v>
      </c>
    </row>
    <row r="125" ht="14.25" spans="1:28">
      <c r="A125" s="5" t="s">
        <v>28</v>
      </c>
      <c r="B125" s="5" t="s">
        <v>107</v>
      </c>
      <c r="C125" s="5">
        <v>2027</v>
      </c>
      <c r="D125" s="5" t="s">
        <v>30</v>
      </c>
      <c r="E125" s="9" t="s">
        <v>151</v>
      </c>
      <c r="F125" s="9" t="s">
        <v>152</v>
      </c>
      <c r="G125" s="9" t="s">
        <v>153</v>
      </c>
      <c r="H125" s="9" t="s">
        <v>154</v>
      </c>
      <c r="I125" s="9" t="s">
        <v>147</v>
      </c>
      <c r="J125" s="9" t="s">
        <v>36</v>
      </c>
      <c r="K125" s="9">
        <v>990</v>
      </c>
      <c r="L125" s="9"/>
      <c r="M125" s="9"/>
      <c r="N125" s="9"/>
      <c r="O125" s="9" t="s">
        <v>37</v>
      </c>
      <c r="P125" s="9" t="s">
        <v>46</v>
      </c>
      <c r="Q125" s="9"/>
      <c r="R125" s="10"/>
      <c r="S125" s="10"/>
      <c r="T125" s="10"/>
      <c r="U125" s="9" t="s">
        <v>148</v>
      </c>
      <c r="V125" t="s">
        <v>149</v>
      </c>
      <c r="W125" t="s">
        <v>138</v>
      </c>
      <c r="X125" t="s">
        <v>39</v>
      </c>
      <c r="Y125" t="s">
        <v>150</v>
      </c>
      <c r="Z125" t="s">
        <v>155</v>
      </c>
      <c r="AB125" t="str">
        <f t="shared" si="3"/>
        <v>41315</v>
      </c>
    </row>
    <row r="126" ht="14.25" spans="1:28">
      <c r="A126" s="5" t="s">
        <v>28</v>
      </c>
      <c r="B126" s="5" t="s">
        <v>107</v>
      </c>
      <c r="C126" s="5">
        <v>2027</v>
      </c>
      <c r="D126" s="5" t="s">
        <v>30</v>
      </c>
      <c r="E126" s="9" t="s">
        <v>156</v>
      </c>
      <c r="F126" s="9" t="s">
        <v>152</v>
      </c>
      <c r="G126" s="9" t="s">
        <v>100</v>
      </c>
      <c r="H126" s="9" t="s">
        <v>157</v>
      </c>
      <c r="I126" s="9" t="s">
        <v>147</v>
      </c>
      <c r="J126" s="9" t="s">
        <v>36</v>
      </c>
      <c r="K126" s="9">
        <v>990</v>
      </c>
      <c r="L126" s="9"/>
      <c r="M126" s="9"/>
      <c r="N126" s="9"/>
      <c r="O126" s="9" t="s">
        <v>37</v>
      </c>
      <c r="P126" s="9" t="s">
        <v>38</v>
      </c>
      <c r="Q126" s="9"/>
      <c r="R126" s="10">
        <f t="shared" si="4"/>
        <v>0</v>
      </c>
      <c r="S126" s="10">
        <f>SUMIFS([1]Sheet1!$T:$T,[1]Sheet1!$I:$I,E126,[1]Sheet1!$C:$C,A126)</f>
        <v>0</v>
      </c>
      <c r="T126" s="10">
        <f t="shared" si="5"/>
        <v>0</v>
      </c>
      <c r="U126" s="9" t="s">
        <v>148</v>
      </c>
      <c r="V126" t="s">
        <v>149</v>
      </c>
      <c r="W126" t="s">
        <v>138</v>
      </c>
      <c r="X126" t="s">
        <v>102</v>
      </c>
      <c r="Y126" t="s">
        <v>150</v>
      </c>
      <c r="Z126" t="s">
        <v>155</v>
      </c>
      <c r="AB126" t="str">
        <f t="shared" si="3"/>
        <v>41315</v>
      </c>
    </row>
    <row r="127" ht="14.25" spans="1:28">
      <c r="A127" s="5" t="s">
        <v>28</v>
      </c>
      <c r="B127" s="5" t="s">
        <v>107</v>
      </c>
      <c r="C127" s="5">
        <v>2027</v>
      </c>
      <c r="D127" s="5" t="s">
        <v>30</v>
      </c>
      <c r="E127" s="9" t="s">
        <v>156</v>
      </c>
      <c r="F127" s="9" t="s">
        <v>152</v>
      </c>
      <c r="G127" s="9" t="s">
        <v>100</v>
      </c>
      <c r="H127" s="9" t="s">
        <v>157</v>
      </c>
      <c r="I127" s="9" t="s">
        <v>147</v>
      </c>
      <c r="J127" s="9" t="s">
        <v>36</v>
      </c>
      <c r="K127" s="9">
        <v>990</v>
      </c>
      <c r="L127" s="9"/>
      <c r="M127" s="9"/>
      <c r="N127" s="9"/>
      <c r="O127" s="9" t="s">
        <v>37</v>
      </c>
      <c r="P127" s="9" t="s">
        <v>42</v>
      </c>
      <c r="Q127" s="9"/>
      <c r="R127" s="10"/>
      <c r="S127" s="10"/>
      <c r="T127" s="10"/>
      <c r="U127" s="9" t="s">
        <v>148</v>
      </c>
      <c r="V127" t="s">
        <v>149</v>
      </c>
      <c r="W127" t="s">
        <v>138</v>
      </c>
      <c r="X127" t="s">
        <v>102</v>
      </c>
      <c r="Y127" t="s">
        <v>150</v>
      </c>
      <c r="Z127" t="s">
        <v>155</v>
      </c>
      <c r="AB127" t="str">
        <f t="shared" si="3"/>
        <v>41315</v>
      </c>
    </row>
    <row r="128" ht="14.25" spans="1:28">
      <c r="A128" s="5" t="s">
        <v>28</v>
      </c>
      <c r="B128" s="5" t="s">
        <v>107</v>
      </c>
      <c r="C128" s="5">
        <v>2027</v>
      </c>
      <c r="D128" s="5" t="s">
        <v>30</v>
      </c>
      <c r="E128" s="9" t="s">
        <v>156</v>
      </c>
      <c r="F128" s="9" t="s">
        <v>152</v>
      </c>
      <c r="G128" s="9" t="s">
        <v>100</v>
      </c>
      <c r="H128" s="9" t="s">
        <v>157</v>
      </c>
      <c r="I128" s="9" t="s">
        <v>147</v>
      </c>
      <c r="J128" s="9" t="s">
        <v>36</v>
      </c>
      <c r="K128" s="9">
        <v>990</v>
      </c>
      <c r="L128" s="9"/>
      <c r="M128" s="9"/>
      <c r="N128" s="9"/>
      <c r="O128" s="9" t="s">
        <v>37</v>
      </c>
      <c r="P128" s="9" t="s">
        <v>43</v>
      </c>
      <c r="Q128" s="9"/>
      <c r="R128" s="10"/>
      <c r="S128" s="10"/>
      <c r="T128" s="10"/>
      <c r="U128" s="9" t="s">
        <v>148</v>
      </c>
      <c r="V128" t="s">
        <v>149</v>
      </c>
      <c r="W128" t="s">
        <v>138</v>
      </c>
      <c r="X128" t="s">
        <v>102</v>
      </c>
      <c r="Y128" t="s">
        <v>150</v>
      </c>
      <c r="Z128" t="s">
        <v>155</v>
      </c>
      <c r="AB128" t="str">
        <f t="shared" si="3"/>
        <v>41315</v>
      </c>
    </row>
    <row r="129" ht="14.25" spans="1:28">
      <c r="A129" s="5" t="s">
        <v>28</v>
      </c>
      <c r="B129" s="5" t="s">
        <v>107</v>
      </c>
      <c r="C129" s="5">
        <v>2027</v>
      </c>
      <c r="D129" s="5" t="s">
        <v>30</v>
      </c>
      <c r="E129" s="9" t="s">
        <v>156</v>
      </c>
      <c r="F129" s="9" t="s">
        <v>152</v>
      </c>
      <c r="G129" s="9" t="s">
        <v>100</v>
      </c>
      <c r="H129" s="9" t="s">
        <v>157</v>
      </c>
      <c r="I129" s="9" t="s">
        <v>147</v>
      </c>
      <c r="J129" s="9" t="s">
        <v>36</v>
      </c>
      <c r="K129" s="9">
        <v>990</v>
      </c>
      <c r="L129" s="9"/>
      <c r="M129" s="9"/>
      <c r="N129" s="9"/>
      <c r="O129" s="9" t="s">
        <v>37</v>
      </c>
      <c r="P129" s="9" t="s">
        <v>44</v>
      </c>
      <c r="Q129" s="9"/>
      <c r="R129" s="10"/>
      <c r="S129" s="10"/>
      <c r="T129" s="10"/>
      <c r="U129" s="9" t="s">
        <v>148</v>
      </c>
      <c r="V129" t="s">
        <v>149</v>
      </c>
      <c r="W129" t="s">
        <v>138</v>
      </c>
      <c r="X129" t="s">
        <v>102</v>
      </c>
      <c r="Y129" t="s">
        <v>150</v>
      </c>
      <c r="Z129" t="s">
        <v>155</v>
      </c>
      <c r="AB129" t="str">
        <f t="shared" si="3"/>
        <v>41315</v>
      </c>
    </row>
    <row r="130" ht="14.25" spans="1:28">
      <c r="A130" s="5" t="s">
        <v>28</v>
      </c>
      <c r="B130" s="5" t="s">
        <v>107</v>
      </c>
      <c r="C130" s="5">
        <v>2027</v>
      </c>
      <c r="D130" s="5" t="s">
        <v>30</v>
      </c>
      <c r="E130" s="9" t="s">
        <v>156</v>
      </c>
      <c r="F130" s="9" t="s">
        <v>152</v>
      </c>
      <c r="G130" s="9" t="s">
        <v>100</v>
      </c>
      <c r="H130" s="9" t="s">
        <v>157</v>
      </c>
      <c r="I130" s="9" t="s">
        <v>147</v>
      </c>
      <c r="J130" s="9" t="s">
        <v>36</v>
      </c>
      <c r="K130" s="9">
        <v>990</v>
      </c>
      <c r="L130" s="9"/>
      <c r="M130" s="9"/>
      <c r="N130" s="9"/>
      <c r="O130" s="9" t="s">
        <v>37</v>
      </c>
      <c r="P130" s="9" t="s">
        <v>45</v>
      </c>
      <c r="Q130" s="9"/>
      <c r="R130" s="10"/>
      <c r="S130" s="10"/>
      <c r="T130" s="10"/>
      <c r="U130" s="9" t="s">
        <v>148</v>
      </c>
      <c r="V130" t="s">
        <v>149</v>
      </c>
      <c r="W130" t="s">
        <v>138</v>
      </c>
      <c r="X130" t="s">
        <v>102</v>
      </c>
      <c r="Y130" t="s">
        <v>150</v>
      </c>
      <c r="Z130" t="s">
        <v>155</v>
      </c>
      <c r="AB130" t="str">
        <f t="shared" si="3"/>
        <v>41315</v>
      </c>
    </row>
    <row r="131" ht="14.25" spans="1:28">
      <c r="A131" s="5" t="s">
        <v>28</v>
      </c>
      <c r="B131" s="5" t="s">
        <v>107</v>
      </c>
      <c r="C131" s="5">
        <v>2027</v>
      </c>
      <c r="D131" s="5" t="s">
        <v>30</v>
      </c>
      <c r="E131" s="9" t="s">
        <v>156</v>
      </c>
      <c r="F131" s="9" t="s">
        <v>152</v>
      </c>
      <c r="G131" s="9" t="s">
        <v>100</v>
      </c>
      <c r="H131" s="9" t="s">
        <v>157</v>
      </c>
      <c r="I131" s="9" t="s">
        <v>147</v>
      </c>
      <c r="J131" s="9" t="s">
        <v>36</v>
      </c>
      <c r="K131" s="9">
        <v>990</v>
      </c>
      <c r="L131" s="9"/>
      <c r="M131" s="9"/>
      <c r="N131" s="9"/>
      <c r="O131" s="9" t="s">
        <v>37</v>
      </c>
      <c r="P131" s="9" t="s">
        <v>46</v>
      </c>
      <c r="Q131" s="9"/>
      <c r="R131" s="10"/>
      <c r="S131" s="10"/>
      <c r="T131" s="10"/>
      <c r="U131" s="9" t="s">
        <v>148</v>
      </c>
      <c r="V131" t="s">
        <v>149</v>
      </c>
      <c r="W131" t="s">
        <v>138</v>
      </c>
      <c r="X131" t="s">
        <v>102</v>
      </c>
      <c r="Y131" t="s">
        <v>150</v>
      </c>
      <c r="Z131" t="s">
        <v>155</v>
      </c>
      <c r="AB131" t="str">
        <f t="shared" ref="AB131:AB194" si="6">MID(E131,6,5)</f>
        <v>41315</v>
      </c>
    </row>
    <row r="132" ht="14.25" spans="1:28">
      <c r="A132" s="5" t="s">
        <v>28</v>
      </c>
      <c r="B132" s="5" t="s">
        <v>107</v>
      </c>
      <c r="C132" s="5">
        <v>2027</v>
      </c>
      <c r="D132" s="5" t="s">
        <v>30</v>
      </c>
      <c r="E132" s="9" t="s">
        <v>158</v>
      </c>
      <c r="F132" s="9" t="s">
        <v>152</v>
      </c>
      <c r="G132" s="9" t="s">
        <v>159</v>
      </c>
      <c r="H132" s="9" t="s">
        <v>160</v>
      </c>
      <c r="I132" s="9" t="s">
        <v>147</v>
      </c>
      <c r="J132" s="9" t="s">
        <v>36</v>
      </c>
      <c r="K132" s="9">
        <v>990</v>
      </c>
      <c r="L132" s="9"/>
      <c r="M132" s="9"/>
      <c r="N132" s="9"/>
      <c r="O132" s="9" t="s">
        <v>37</v>
      </c>
      <c r="P132" s="9" t="s">
        <v>38</v>
      </c>
      <c r="Q132" s="9"/>
      <c r="R132" s="10">
        <f t="shared" ref="R130:R193" si="7">SUMIFS(Q:Q,E:E,E132)</f>
        <v>0</v>
      </c>
      <c r="S132" s="10">
        <f>SUMIFS([1]Sheet1!$T:$T,[1]Sheet1!$I:$I,E132,[1]Sheet1!$C:$C,A132)</f>
        <v>0</v>
      </c>
      <c r="T132" s="10">
        <f t="shared" ref="T130:T193" si="8">R132-S132</f>
        <v>0</v>
      </c>
      <c r="U132" s="9" t="s">
        <v>148</v>
      </c>
      <c r="V132" t="s">
        <v>149</v>
      </c>
      <c r="W132" t="s">
        <v>138</v>
      </c>
      <c r="X132" t="s">
        <v>62</v>
      </c>
      <c r="Y132" t="s">
        <v>150</v>
      </c>
      <c r="Z132" t="s">
        <v>155</v>
      </c>
      <c r="AB132" t="str">
        <f t="shared" si="6"/>
        <v>41315</v>
      </c>
    </row>
    <row r="133" ht="14.25" spans="1:28">
      <c r="A133" s="5" t="s">
        <v>28</v>
      </c>
      <c r="B133" s="5" t="s">
        <v>107</v>
      </c>
      <c r="C133" s="5">
        <v>2027</v>
      </c>
      <c r="D133" s="5" t="s">
        <v>30</v>
      </c>
      <c r="E133" s="9" t="s">
        <v>158</v>
      </c>
      <c r="F133" s="9" t="s">
        <v>152</v>
      </c>
      <c r="G133" s="9" t="s">
        <v>159</v>
      </c>
      <c r="H133" s="9" t="s">
        <v>160</v>
      </c>
      <c r="I133" s="9" t="s">
        <v>147</v>
      </c>
      <c r="J133" s="9" t="s">
        <v>36</v>
      </c>
      <c r="K133" s="9">
        <v>990</v>
      </c>
      <c r="L133" s="9"/>
      <c r="M133" s="9"/>
      <c r="N133" s="9"/>
      <c r="O133" s="9" t="s">
        <v>37</v>
      </c>
      <c r="P133" s="9" t="s">
        <v>42</v>
      </c>
      <c r="Q133" s="11"/>
      <c r="R133" s="10"/>
      <c r="S133" s="10"/>
      <c r="T133" s="10"/>
      <c r="U133" s="9" t="s">
        <v>148</v>
      </c>
      <c r="V133" t="s">
        <v>149</v>
      </c>
      <c r="W133" t="s">
        <v>138</v>
      </c>
      <c r="X133" t="s">
        <v>62</v>
      </c>
      <c r="Y133" t="s">
        <v>150</v>
      </c>
      <c r="Z133" t="s">
        <v>155</v>
      </c>
      <c r="AB133" t="str">
        <f t="shared" si="6"/>
        <v>41315</v>
      </c>
    </row>
    <row r="134" ht="14.25" spans="1:28">
      <c r="A134" s="5" t="s">
        <v>28</v>
      </c>
      <c r="B134" s="5" t="s">
        <v>107</v>
      </c>
      <c r="C134" s="5">
        <v>2027</v>
      </c>
      <c r="D134" s="5" t="s">
        <v>30</v>
      </c>
      <c r="E134" s="9" t="s">
        <v>158</v>
      </c>
      <c r="F134" s="9" t="s">
        <v>152</v>
      </c>
      <c r="G134" s="9" t="s">
        <v>159</v>
      </c>
      <c r="H134" s="9" t="s">
        <v>160</v>
      </c>
      <c r="I134" s="9" t="s">
        <v>147</v>
      </c>
      <c r="J134" s="9" t="s">
        <v>36</v>
      </c>
      <c r="K134" s="9">
        <v>990</v>
      </c>
      <c r="L134" s="9"/>
      <c r="M134" s="9"/>
      <c r="N134" s="9"/>
      <c r="O134" s="9" t="s">
        <v>37</v>
      </c>
      <c r="P134" s="9" t="s">
        <v>43</v>
      </c>
      <c r="Q134" s="11"/>
      <c r="R134" s="10"/>
      <c r="S134" s="10"/>
      <c r="T134" s="10"/>
      <c r="U134" s="9" t="s">
        <v>148</v>
      </c>
      <c r="V134" t="s">
        <v>149</v>
      </c>
      <c r="W134" t="s">
        <v>138</v>
      </c>
      <c r="X134" t="s">
        <v>62</v>
      </c>
      <c r="Y134" t="s">
        <v>150</v>
      </c>
      <c r="Z134" t="s">
        <v>155</v>
      </c>
      <c r="AB134" t="str">
        <f t="shared" si="6"/>
        <v>41315</v>
      </c>
    </row>
    <row r="135" ht="14.25" spans="1:28">
      <c r="A135" s="5" t="s">
        <v>28</v>
      </c>
      <c r="B135" s="5" t="s">
        <v>107</v>
      </c>
      <c r="C135" s="5">
        <v>2027</v>
      </c>
      <c r="D135" s="5" t="s">
        <v>30</v>
      </c>
      <c r="E135" s="9" t="s">
        <v>158</v>
      </c>
      <c r="F135" s="9" t="s">
        <v>152</v>
      </c>
      <c r="G135" s="9" t="s">
        <v>159</v>
      </c>
      <c r="H135" s="9" t="s">
        <v>160</v>
      </c>
      <c r="I135" s="9" t="s">
        <v>147</v>
      </c>
      <c r="J135" s="9" t="s">
        <v>36</v>
      </c>
      <c r="K135" s="9">
        <v>990</v>
      </c>
      <c r="L135" s="9"/>
      <c r="M135" s="9"/>
      <c r="N135" s="9"/>
      <c r="O135" s="9" t="s">
        <v>37</v>
      </c>
      <c r="P135" s="9" t="s">
        <v>44</v>
      </c>
      <c r="Q135" s="11"/>
      <c r="R135" s="10"/>
      <c r="S135" s="10"/>
      <c r="T135" s="10"/>
      <c r="U135" s="9" t="s">
        <v>148</v>
      </c>
      <c r="V135" t="s">
        <v>149</v>
      </c>
      <c r="W135" t="s">
        <v>138</v>
      </c>
      <c r="X135" t="s">
        <v>62</v>
      </c>
      <c r="Y135" t="s">
        <v>150</v>
      </c>
      <c r="Z135" t="s">
        <v>155</v>
      </c>
      <c r="AB135" t="str">
        <f t="shared" si="6"/>
        <v>41315</v>
      </c>
    </row>
    <row r="136" ht="14.25" spans="1:28">
      <c r="A136" s="5" t="s">
        <v>28</v>
      </c>
      <c r="B136" s="5" t="s">
        <v>107</v>
      </c>
      <c r="C136" s="5">
        <v>2027</v>
      </c>
      <c r="D136" s="5" t="s">
        <v>30</v>
      </c>
      <c r="E136" s="9" t="s">
        <v>158</v>
      </c>
      <c r="F136" s="9" t="s">
        <v>152</v>
      </c>
      <c r="G136" s="9" t="s">
        <v>159</v>
      </c>
      <c r="H136" s="9" t="s">
        <v>160</v>
      </c>
      <c r="I136" s="9" t="s">
        <v>147</v>
      </c>
      <c r="J136" s="9" t="s">
        <v>36</v>
      </c>
      <c r="K136" s="9">
        <v>990</v>
      </c>
      <c r="L136" s="9"/>
      <c r="M136" s="9"/>
      <c r="N136" s="9"/>
      <c r="O136" s="9" t="s">
        <v>37</v>
      </c>
      <c r="P136" s="9" t="s">
        <v>45</v>
      </c>
      <c r="Q136" s="11"/>
      <c r="R136" s="10"/>
      <c r="S136" s="10"/>
      <c r="T136" s="10"/>
      <c r="U136" s="9" t="s">
        <v>148</v>
      </c>
      <c r="V136" t="s">
        <v>149</v>
      </c>
      <c r="W136" t="s">
        <v>138</v>
      </c>
      <c r="X136" t="s">
        <v>62</v>
      </c>
      <c r="Y136" t="s">
        <v>150</v>
      </c>
      <c r="Z136" t="s">
        <v>155</v>
      </c>
      <c r="AB136" t="str">
        <f t="shared" si="6"/>
        <v>41315</v>
      </c>
    </row>
    <row r="137" ht="14.25" spans="1:28">
      <c r="A137" s="5" t="s">
        <v>28</v>
      </c>
      <c r="B137" s="5" t="s">
        <v>107</v>
      </c>
      <c r="C137" s="5">
        <v>2027</v>
      </c>
      <c r="D137" s="5" t="s">
        <v>30</v>
      </c>
      <c r="E137" s="9" t="s">
        <v>158</v>
      </c>
      <c r="F137" s="9" t="s">
        <v>152</v>
      </c>
      <c r="G137" s="9" t="s">
        <v>159</v>
      </c>
      <c r="H137" s="9" t="s">
        <v>160</v>
      </c>
      <c r="I137" s="9" t="s">
        <v>147</v>
      </c>
      <c r="J137" s="9" t="s">
        <v>36</v>
      </c>
      <c r="K137" s="9">
        <v>990</v>
      </c>
      <c r="L137" s="9"/>
      <c r="M137" s="9"/>
      <c r="N137" s="9"/>
      <c r="O137" s="9" t="s">
        <v>37</v>
      </c>
      <c r="P137" s="9" t="s">
        <v>46</v>
      </c>
      <c r="Q137" s="11"/>
      <c r="R137" s="10"/>
      <c r="S137" s="10"/>
      <c r="T137" s="10"/>
      <c r="U137" s="9" t="s">
        <v>148</v>
      </c>
      <c r="V137" t="s">
        <v>149</v>
      </c>
      <c r="W137" t="s">
        <v>138</v>
      </c>
      <c r="X137" t="s">
        <v>62</v>
      </c>
      <c r="Y137" t="s">
        <v>150</v>
      </c>
      <c r="Z137" t="s">
        <v>155</v>
      </c>
      <c r="AB137" t="str">
        <f t="shared" si="6"/>
        <v>41315</v>
      </c>
    </row>
    <row r="138" ht="14.25" spans="1:28">
      <c r="A138" s="5" t="s">
        <v>28</v>
      </c>
      <c r="B138" s="5" t="s">
        <v>107</v>
      </c>
      <c r="C138" s="5">
        <v>2027</v>
      </c>
      <c r="D138" s="5" t="s">
        <v>30</v>
      </c>
      <c r="E138" s="9" t="s">
        <v>161</v>
      </c>
      <c r="F138" s="9" t="s">
        <v>162</v>
      </c>
      <c r="G138" s="9" t="s">
        <v>117</v>
      </c>
      <c r="H138" s="9" t="s">
        <v>163</v>
      </c>
      <c r="I138" s="9" t="s">
        <v>119</v>
      </c>
      <c r="J138" s="9" t="s">
        <v>36</v>
      </c>
      <c r="K138" s="9">
        <v>1190</v>
      </c>
      <c r="L138" s="9"/>
      <c r="M138" s="9"/>
      <c r="N138" s="9"/>
      <c r="O138" s="9" t="s">
        <v>37</v>
      </c>
      <c r="P138" s="9" t="s">
        <v>38</v>
      </c>
      <c r="Q138" s="11">
        <v>0</v>
      </c>
      <c r="R138" s="10">
        <f t="shared" si="7"/>
        <v>200</v>
      </c>
      <c r="S138" s="10">
        <f>SUMIFS([1]Sheet1!$T:$T,[1]Sheet1!$I:$I,E138,[1]Sheet1!$C:$C,A138)</f>
        <v>200</v>
      </c>
      <c r="T138" s="10">
        <f t="shared" si="8"/>
        <v>0</v>
      </c>
      <c r="U138" s="9" t="s">
        <v>148</v>
      </c>
      <c r="V138" t="s">
        <v>164</v>
      </c>
      <c r="W138" t="s">
        <v>138</v>
      </c>
      <c r="X138" t="s">
        <v>122</v>
      </c>
      <c r="Y138" t="s">
        <v>165</v>
      </c>
      <c r="Z138" t="s">
        <v>41</v>
      </c>
      <c r="AA138" t="s">
        <v>166</v>
      </c>
      <c r="AB138" t="str">
        <f t="shared" si="6"/>
        <v>42309</v>
      </c>
    </row>
    <row r="139" ht="14.25" spans="1:28">
      <c r="A139" s="5" t="s">
        <v>28</v>
      </c>
      <c r="B139" s="5" t="s">
        <v>107</v>
      </c>
      <c r="C139" s="5">
        <v>2027</v>
      </c>
      <c r="D139" s="5" t="s">
        <v>30</v>
      </c>
      <c r="E139" s="9" t="s">
        <v>161</v>
      </c>
      <c r="F139" s="9" t="s">
        <v>162</v>
      </c>
      <c r="G139" s="9" t="s">
        <v>117</v>
      </c>
      <c r="H139" s="9" t="s">
        <v>163</v>
      </c>
      <c r="I139" s="9" t="s">
        <v>119</v>
      </c>
      <c r="J139" s="9" t="s">
        <v>36</v>
      </c>
      <c r="K139" s="9">
        <v>1190</v>
      </c>
      <c r="L139" s="9"/>
      <c r="M139" s="9"/>
      <c r="N139" s="9"/>
      <c r="O139" s="9" t="s">
        <v>37</v>
      </c>
      <c r="P139" s="9" t="s">
        <v>42</v>
      </c>
      <c r="Q139" s="9">
        <v>30</v>
      </c>
      <c r="R139" s="10"/>
      <c r="S139" s="10"/>
      <c r="T139" s="10"/>
      <c r="U139" s="9" t="s">
        <v>148</v>
      </c>
      <c r="V139" t="s">
        <v>164</v>
      </c>
      <c r="W139" t="s">
        <v>138</v>
      </c>
      <c r="X139" t="s">
        <v>122</v>
      </c>
      <c r="Y139" t="s">
        <v>165</v>
      </c>
      <c r="Z139" t="s">
        <v>41</v>
      </c>
      <c r="AA139" t="s">
        <v>166</v>
      </c>
      <c r="AB139" t="str">
        <f t="shared" si="6"/>
        <v>42309</v>
      </c>
    </row>
    <row r="140" ht="14.25" spans="1:28">
      <c r="A140" s="5" t="s">
        <v>28</v>
      </c>
      <c r="B140" s="5" t="s">
        <v>107</v>
      </c>
      <c r="C140" s="5">
        <v>2027</v>
      </c>
      <c r="D140" s="5" t="s">
        <v>30</v>
      </c>
      <c r="E140" s="9" t="s">
        <v>161</v>
      </c>
      <c r="F140" s="9" t="s">
        <v>162</v>
      </c>
      <c r="G140" s="9" t="s">
        <v>117</v>
      </c>
      <c r="H140" s="9" t="s">
        <v>163</v>
      </c>
      <c r="I140" s="9" t="s">
        <v>119</v>
      </c>
      <c r="J140" s="9" t="s">
        <v>36</v>
      </c>
      <c r="K140" s="9">
        <v>1190</v>
      </c>
      <c r="L140" s="9"/>
      <c r="M140" s="9"/>
      <c r="N140" s="9"/>
      <c r="O140" s="9" t="s">
        <v>37</v>
      </c>
      <c r="P140" s="9" t="s">
        <v>43</v>
      </c>
      <c r="Q140" s="9">
        <v>65</v>
      </c>
      <c r="R140" s="10"/>
      <c r="S140" s="10"/>
      <c r="T140" s="10"/>
      <c r="U140" s="9" t="s">
        <v>148</v>
      </c>
      <c r="V140" t="s">
        <v>164</v>
      </c>
      <c r="W140" t="s">
        <v>138</v>
      </c>
      <c r="X140" t="s">
        <v>122</v>
      </c>
      <c r="Y140" t="s">
        <v>165</v>
      </c>
      <c r="Z140" t="s">
        <v>41</v>
      </c>
      <c r="AA140" t="s">
        <v>166</v>
      </c>
      <c r="AB140" t="str">
        <f t="shared" si="6"/>
        <v>42309</v>
      </c>
    </row>
    <row r="141" ht="14.25" spans="1:28">
      <c r="A141" s="5" t="s">
        <v>28</v>
      </c>
      <c r="B141" s="5" t="s">
        <v>107</v>
      </c>
      <c r="C141" s="5">
        <v>2027</v>
      </c>
      <c r="D141" s="5" t="s">
        <v>30</v>
      </c>
      <c r="E141" s="9" t="s">
        <v>161</v>
      </c>
      <c r="F141" s="9" t="s">
        <v>162</v>
      </c>
      <c r="G141" s="9" t="s">
        <v>117</v>
      </c>
      <c r="H141" s="9" t="s">
        <v>163</v>
      </c>
      <c r="I141" s="9" t="s">
        <v>119</v>
      </c>
      <c r="J141" s="9" t="s">
        <v>36</v>
      </c>
      <c r="K141" s="9">
        <v>1190</v>
      </c>
      <c r="L141" s="9"/>
      <c r="M141" s="9"/>
      <c r="N141" s="9"/>
      <c r="O141" s="9" t="s">
        <v>37</v>
      </c>
      <c r="P141" s="9" t="s">
        <v>44</v>
      </c>
      <c r="Q141" s="9">
        <v>55</v>
      </c>
      <c r="R141" s="10"/>
      <c r="S141" s="10"/>
      <c r="T141" s="10"/>
      <c r="U141" s="9" t="s">
        <v>148</v>
      </c>
      <c r="V141" t="s">
        <v>164</v>
      </c>
      <c r="W141" t="s">
        <v>138</v>
      </c>
      <c r="X141" t="s">
        <v>122</v>
      </c>
      <c r="Y141" t="s">
        <v>165</v>
      </c>
      <c r="Z141" t="s">
        <v>41</v>
      </c>
      <c r="AA141" t="s">
        <v>166</v>
      </c>
      <c r="AB141" t="str">
        <f t="shared" si="6"/>
        <v>42309</v>
      </c>
    </row>
    <row r="142" ht="14.25" spans="1:28">
      <c r="A142" s="5" t="s">
        <v>28</v>
      </c>
      <c r="B142" s="5" t="s">
        <v>107</v>
      </c>
      <c r="C142" s="5">
        <v>2027</v>
      </c>
      <c r="D142" s="5" t="s">
        <v>30</v>
      </c>
      <c r="E142" s="9" t="s">
        <v>161</v>
      </c>
      <c r="F142" s="9" t="s">
        <v>162</v>
      </c>
      <c r="G142" s="9" t="s">
        <v>117</v>
      </c>
      <c r="H142" s="9" t="s">
        <v>163</v>
      </c>
      <c r="I142" s="9" t="s">
        <v>119</v>
      </c>
      <c r="J142" s="9" t="s">
        <v>36</v>
      </c>
      <c r="K142" s="9">
        <v>1190</v>
      </c>
      <c r="L142" s="9"/>
      <c r="M142" s="9"/>
      <c r="N142" s="9"/>
      <c r="O142" s="9" t="s">
        <v>37</v>
      </c>
      <c r="P142" s="9" t="s">
        <v>45</v>
      </c>
      <c r="Q142" s="9">
        <v>40</v>
      </c>
      <c r="R142" s="10"/>
      <c r="S142" s="10"/>
      <c r="T142" s="10"/>
      <c r="U142" s="9" t="s">
        <v>148</v>
      </c>
      <c r="V142" t="s">
        <v>164</v>
      </c>
      <c r="W142" t="s">
        <v>138</v>
      </c>
      <c r="X142" t="s">
        <v>122</v>
      </c>
      <c r="Y142" t="s">
        <v>165</v>
      </c>
      <c r="Z142" t="s">
        <v>41</v>
      </c>
      <c r="AA142" t="s">
        <v>166</v>
      </c>
      <c r="AB142" t="str">
        <f t="shared" si="6"/>
        <v>42309</v>
      </c>
    </row>
    <row r="143" ht="14.25" spans="1:28">
      <c r="A143" s="5" t="s">
        <v>28</v>
      </c>
      <c r="B143" s="5" t="s">
        <v>107</v>
      </c>
      <c r="C143" s="5">
        <v>2027</v>
      </c>
      <c r="D143" s="5" t="s">
        <v>30</v>
      </c>
      <c r="E143" s="9" t="s">
        <v>161</v>
      </c>
      <c r="F143" s="9" t="s">
        <v>162</v>
      </c>
      <c r="G143" s="9" t="s">
        <v>117</v>
      </c>
      <c r="H143" s="9" t="s">
        <v>163</v>
      </c>
      <c r="I143" s="9" t="s">
        <v>119</v>
      </c>
      <c r="J143" s="9" t="s">
        <v>36</v>
      </c>
      <c r="K143" s="9">
        <v>1190</v>
      </c>
      <c r="L143" s="9"/>
      <c r="M143" s="9"/>
      <c r="N143" s="9"/>
      <c r="O143" s="9" t="s">
        <v>37</v>
      </c>
      <c r="P143" s="9" t="s">
        <v>46</v>
      </c>
      <c r="Q143" s="9">
        <v>10</v>
      </c>
      <c r="R143" s="10"/>
      <c r="S143" s="10"/>
      <c r="T143" s="10"/>
      <c r="U143" s="9" t="s">
        <v>148</v>
      </c>
      <c r="V143" t="s">
        <v>164</v>
      </c>
      <c r="W143" t="s">
        <v>138</v>
      </c>
      <c r="X143" t="s">
        <v>122</v>
      </c>
      <c r="Y143" t="s">
        <v>165</v>
      </c>
      <c r="Z143" t="s">
        <v>41</v>
      </c>
      <c r="AA143" t="s">
        <v>166</v>
      </c>
      <c r="AB143" t="str">
        <f t="shared" si="6"/>
        <v>42309</v>
      </c>
    </row>
    <row r="144" ht="14.25" spans="1:28">
      <c r="A144" s="5" t="s">
        <v>28</v>
      </c>
      <c r="B144" s="5" t="s">
        <v>107</v>
      </c>
      <c r="C144" s="5">
        <v>2027</v>
      </c>
      <c r="D144" s="5" t="s">
        <v>30</v>
      </c>
      <c r="E144" s="9" t="s">
        <v>167</v>
      </c>
      <c r="F144" s="9" t="s">
        <v>162</v>
      </c>
      <c r="G144" s="9" t="s">
        <v>168</v>
      </c>
      <c r="H144" s="9" t="s">
        <v>169</v>
      </c>
      <c r="I144" s="9" t="s">
        <v>119</v>
      </c>
      <c r="J144" s="9" t="s">
        <v>36</v>
      </c>
      <c r="K144" s="9">
        <v>1190</v>
      </c>
      <c r="L144" s="9"/>
      <c r="M144" s="9"/>
      <c r="N144" s="9"/>
      <c r="O144" s="9" t="s">
        <v>37</v>
      </c>
      <c r="P144" s="9" t="s">
        <v>38</v>
      </c>
      <c r="Q144" s="9"/>
      <c r="R144" s="10">
        <f t="shared" si="7"/>
        <v>0</v>
      </c>
      <c r="S144" s="10">
        <f>SUMIFS([1]Sheet1!$T:$T,[1]Sheet1!$I:$I,E144,[1]Sheet1!$C:$C,A144)</f>
        <v>0</v>
      </c>
      <c r="T144" s="10">
        <f t="shared" si="8"/>
        <v>0</v>
      </c>
      <c r="U144" s="9" t="s">
        <v>148</v>
      </c>
      <c r="V144" t="s">
        <v>164</v>
      </c>
      <c r="W144" t="s">
        <v>138</v>
      </c>
      <c r="X144" t="s">
        <v>39</v>
      </c>
      <c r="Y144" t="s">
        <v>165</v>
      </c>
      <c r="Z144" t="s">
        <v>41</v>
      </c>
      <c r="AA144" t="s">
        <v>166</v>
      </c>
      <c r="AB144" t="str">
        <f t="shared" si="6"/>
        <v>42309</v>
      </c>
    </row>
    <row r="145" ht="14.25" spans="1:28">
      <c r="A145" s="5" t="s">
        <v>28</v>
      </c>
      <c r="B145" s="5" t="s">
        <v>107</v>
      </c>
      <c r="C145" s="5">
        <v>2027</v>
      </c>
      <c r="D145" s="5" t="s">
        <v>30</v>
      </c>
      <c r="E145" s="9" t="s">
        <v>167</v>
      </c>
      <c r="F145" s="9" t="s">
        <v>162</v>
      </c>
      <c r="G145" s="9" t="s">
        <v>168</v>
      </c>
      <c r="H145" s="9" t="s">
        <v>169</v>
      </c>
      <c r="I145" s="9" t="s">
        <v>119</v>
      </c>
      <c r="J145" s="9" t="s">
        <v>36</v>
      </c>
      <c r="K145" s="9">
        <v>1190</v>
      </c>
      <c r="L145" s="9"/>
      <c r="M145" s="9"/>
      <c r="N145" s="9"/>
      <c r="O145" s="9" t="s">
        <v>37</v>
      </c>
      <c r="P145" s="9" t="s">
        <v>42</v>
      </c>
      <c r="Q145" s="9"/>
      <c r="R145" s="10"/>
      <c r="S145" s="10"/>
      <c r="T145" s="10"/>
      <c r="U145" s="9" t="s">
        <v>148</v>
      </c>
      <c r="V145" t="s">
        <v>164</v>
      </c>
      <c r="W145" t="s">
        <v>138</v>
      </c>
      <c r="X145" t="s">
        <v>39</v>
      </c>
      <c r="Y145" t="s">
        <v>165</v>
      </c>
      <c r="Z145" t="s">
        <v>41</v>
      </c>
      <c r="AA145" t="s">
        <v>166</v>
      </c>
      <c r="AB145" t="str">
        <f t="shared" si="6"/>
        <v>42309</v>
      </c>
    </row>
    <row r="146" ht="14.25" spans="1:28">
      <c r="A146" s="5" t="s">
        <v>28</v>
      </c>
      <c r="B146" s="5" t="s">
        <v>107</v>
      </c>
      <c r="C146" s="5">
        <v>2027</v>
      </c>
      <c r="D146" s="5" t="s">
        <v>30</v>
      </c>
      <c r="E146" s="9" t="s">
        <v>167</v>
      </c>
      <c r="F146" s="9" t="s">
        <v>162</v>
      </c>
      <c r="G146" s="9" t="s">
        <v>168</v>
      </c>
      <c r="H146" s="9" t="s">
        <v>169</v>
      </c>
      <c r="I146" s="9" t="s">
        <v>119</v>
      </c>
      <c r="J146" s="9" t="s">
        <v>36</v>
      </c>
      <c r="K146" s="9">
        <v>1190</v>
      </c>
      <c r="L146" s="9"/>
      <c r="M146" s="9"/>
      <c r="N146" s="9"/>
      <c r="O146" s="9" t="s">
        <v>37</v>
      </c>
      <c r="P146" s="9" t="s">
        <v>43</v>
      </c>
      <c r="Q146" s="9"/>
      <c r="R146" s="10"/>
      <c r="S146" s="10"/>
      <c r="T146" s="10"/>
      <c r="U146" s="9" t="s">
        <v>148</v>
      </c>
      <c r="V146" t="s">
        <v>164</v>
      </c>
      <c r="W146" t="s">
        <v>138</v>
      </c>
      <c r="X146" t="s">
        <v>39</v>
      </c>
      <c r="Y146" t="s">
        <v>165</v>
      </c>
      <c r="Z146" t="s">
        <v>41</v>
      </c>
      <c r="AA146" t="s">
        <v>166</v>
      </c>
      <c r="AB146" t="str">
        <f t="shared" si="6"/>
        <v>42309</v>
      </c>
    </row>
    <row r="147" ht="14.25" spans="1:28">
      <c r="A147" s="5" t="s">
        <v>28</v>
      </c>
      <c r="B147" s="5" t="s">
        <v>107</v>
      </c>
      <c r="C147" s="5">
        <v>2027</v>
      </c>
      <c r="D147" s="5" t="s">
        <v>30</v>
      </c>
      <c r="E147" s="9" t="s">
        <v>167</v>
      </c>
      <c r="F147" s="9" t="s">
        <v>162</v>
      </c>
      <c r="G147" s="9" t="s">
        <v>168</v>
      </c>
      <c r="H147" s="9" t="s">
        <v>169</v>
      </c>
      <c r="I147" s="9" t="s">
        <v>119</v>
      </c>
      <c r="J147" s="9" t="s">
        <v>36</v>
      </c>
      <c r="K147" s="9">
        <v>1190</v>
      </c>
      <c r="L147" s="9"/>
      <c r="M147" s="9"/>
      <c r="N147" s="9"/>
      <c r="O147" s="9" t="s">
        <v>37</v>
      </c>
      <c r="P147" s="9" t="s">
        <v>44</v>
      </c>
      <c r="Q147" s="9"/>
      <c r="R147" s="10"/>
      <c r="S147" s="10"/>
      <c r="T147" s="10"/>
      <c r="U147" s="9" t="s">
        <v>148</v>
      </c>
      <c r="V147" t="s">
        <v>164</v>
      </c>
      <c r="W147" t="s">
        <v>138</v>
      </c>
      <c r="X147" t="s">
        <v>39</v>
      </c>
      <c r="Y147" t="s">
        <v>165</v>
      </c>
      <c r="Z147" t="s">
        <v>41</v>
      </c>
      <c r="AA147" t="s">
        <v>166</v>
      </c>
      <c r="AB147" t="str">
        <f t="shared" si="6"/>
        <v>42309</v>
      </c>
    </row>
    <row r="148" ht="14.25" spans="1:28">
      <c r="A148" s="5" t="s">
        <v>28</v>
      </c>
      <c r="B148" s="5" t="s">
        <v>107</v>
      </c>
      <c r="C148" s="5">
        <v>2027</v>
      </c>
      <c r="D148" s="5" t="s">
        <v>30</v>
      </c>
      <c r="E148" s="9" t="s">
        <v>167</v>
      </c>
      <c r="F148" s="9" t="s">
        <v>162</v>
      </c>
      <c r="G148" s="9" t="s">
        <v>168</v>
      </c>
      <c r="H148" s="9" t="s">
        <v>169</v>
      </c>
      <c r="I148" s="9" t="s">
        <v>119</v>
      </c>
      <c r="J148" s="9" t="s">
        <v>36</v>
      </c>
      <c r="K148" s="9">
        <v>1190</v>
      </c>
      <c r="L148" s="9"/>
      <c r="M148" s="9"/>
      <c r="N148" s="9"/>
      <c r="O148" s="9" t="s">
        <v>37</v>
      </c>
      <c r="P148" s="9" t="s">
        <v>45</v>
      </c>
      <c r="Q148" s="9"/>
      <c r="R148" s="10"/>
      <c r="S148" s="10"/>
      <c r="T148" s="10"/>
      <c r="U148" s="9" t="s">
        <v>148</v>
      </c>
      <c r="V148" t="s">
        <v>164</v>
      </c>
      <c r="W148" t="s">
        <v>138</v>
      </c>
      <c r="X148" t="s">
        <v>39</v>
      </c>
      <c r="Y148" t="s">
        <v>165</v>
      </c>
      <c r="Z148" t="s">
        <v>41</v>
      </c>
      <c r="AA148" t="s">
        <v>166</v>
      </c>
      <c r="AB148" t="str">
        <f t="shared" si="6"/>
        <v>42309</v>
      </c>
    </row>
    <row r="149" ht="14.25" spans="1:28">
      <c r="A149" s="5" t="s">
        <v>28</v>
      </c>
      <c r="B149" s="5" t="s">
        <v>107</v>
      </c>
      <c r="C149" s="5">
        <v>2027</v>
      </c>
      <c r="D149" s="5" t="s">
        <v>30</v>
      </c>
      <c r="E149" s="9" t="s">
        <v>167</v>
      </c>
      <c r="F149" s="9" t="s">
        <v>162</v>
      </c>
      <c r="G149" s="9" t="s">
        <v>168</v>
      </c>
      <c r="H149" s="9" t="s">
        <v>169</v>
      </c>
      <c r="I149" s="9" t="s">
        <v>119</v>
      </c>
      <c r="J149" s="9" t="s">
        <v>36</v>
      </c>
      <c r="K149" s="9">
        <v>1190</v>
      </c>
      <c r="L149" s="9"/>
      <c r="M149" s="9"/>
      <c r="N149" s="9"/>
      <c r="O149" s="9" t="s">
        <v>37</v>
      </c>
      <c r="P149" s="9" t="s">
        <v>46</v>
      </c>
      <c r="Q149" s="9"/>
      <c r="R149" s="10"/>
      <c r="S149" s="10"/>
      <c r="T149" s="10"/>
      <c r="U149" s="9" t="s">
        <v>148</v>
      </c>
      <c r="V149" t="s">
        <v>164</v>
      </c>
      <c r="W149" t="s">
        <v>138</v>
      </c>
      <c r="X149" t="s">
        <v>39</v>
      </c>
      <c r="Y149" t="s">
        <v>165</v>
      </c>
      <c r="Z149" t="s">
        <v>41</v>
      </c>
      <c r="AA149" t="s">
        <v>166</v>
      </c>
      <c r="AB149" t="str">
        <f t="shared" si="6"/>
        <v>42309</v>
      </c>
    </row>
    <row r="150" ht="14.25" spans="1:28">
      <c r="A150" s="5" t="s">
        <v>28</v>
      </c>
      <c r="B150" s="5" t="s">
        <v>107</v>
      </c>
      <c r="C150" s="5">
        <v>2027</v>
      </c>
      <c r="D150" s="5" t="s">
        <v>30</v>
      </c>
      <c r="E150" s="9" t="s">
        <v>170</v>
      </c>
      <c r="F150" s="9" t="s">
        <v>162</v>
      </c>
      <c r="G150" s="9" t="s">
        <v>60</v>
      </c>
      <c r="H150" s="9" t="s">
        <v>171</v>
      </c>
      <c r="I150" s="9" t="s">
        <v>119</v>
      </c>
      <c r="J150" s="9" t="s">
        <v>36</v>
      </c>
      <c r="K150" s="9">
        <v>1190</v>
      </c>
      <c r="L150" s="9"/>
      <c r="M150" s="9"/>
      <c r="N150" s="9"/>
      <c r="O150" s="9" t="s">
        <v>37</v>
      </c>
      <c r="P150" s="9" t="s">
        <v>38</v>
      </c>
      <c r="Q150" s="9">
        <v>0</v>
      </c>
      <c r="R150" s="10">
        <f t="shared" si="7"/>
        <v>150</v>
      </c>
      <c r="S150" s="10">
        <f>SUMIFS([1]Sheet1!$T:$T,[1]Sheet1!$I:$I,E150,[1]Sheet1!$C:$C,A150)</f>
        <v>150</v>
      </c>
      <c r="T150" s="10">
        <f t="shared" si="8"/>
        <v>0</v>
      </c>
      <c r="U150" s="9" t="s">
        <v>148</v>
      </c>
      <c r="V150" t="s">
        <v>164</v>
      </c>
      <c r="W150" t="s">
        <v>138</v>
      </c>
      <c r="X150" t="s">
        <v>62</v>
      </c>
      <c r="Y150" t="s">
        <v>165</v>
      </c>
      <c r="Z150" t="s">
        <v>41</v>
      </c>
      <c r="AA150" t="s">
        <v>166</v>
      </c>
      <c r="AB150" t="str">
        <f t="shared" si="6"/>
        <v>42309</v>
      </c>
    </row>
    <row r="151" ht="14.25" spans="1:28">
      <c r="A151" s="5" t="s">
        <v>28</v>
      </c>
      <c r="B151" s="5" t="s">
        <v>107</v>
      </c>
      <c r="C151" s="5">
        <v>2027</v>
      </c>
      <c r="D151" s="5" t="s">
        <v>30</v>
      </c>
      <c r="E151" s="9" t="s">
        <v>170</v>
      </c>
      <c r="F151" s="9" t="s">
        <v>162</v>
      </c>
      <c r="G151" s="9" t="s">
        <v>60</v>
      </c>
      <c r="H151" s="9" t="s">
        <v>171</v>
      </c>
      <c r="I151" s="9" t="s">
        <v>119</v>
      </c>
      <c r="J151" s="9" t="s">
        <v>36</v>
      </c>
      <c r="K151" s="9">
        <v>1190</v>
      </c>
      <c r="L151" s="9"/>
      <c r="M151" s="9"/>
      <c r="N151" s="9"/>
      <c r="O151" s="9" t="s">
        <v>37</v>
      </c>
      <c r="P151" s="9" t="s">
        <v>42</v>
      </c>
      <c r="Q151" s="11">
        <v>20</v>
      </c>
      <c r="R151" s="10"/>
      <c r="S151" s="10"/>
      <c r="T151" s="10"/>
      <c r="U151" s="9" t="s">
        <v>148</v>
      </c>
      <c r="V151" t="s">
        <v>164</v>
      </c>
      <c r="W151" t="s">
        <v>138</v>
      </c>
      <c r="X151" t="s">
        <v>62</v>
      </c>
      <c r="Y151" t="s">
        <v>165</v>
      </c>
      <c r="Z151" t="s">
        <v>41</v>
      </c>
      <c r="AA151" t="s">
        <v>166</v>
      </c>
      <c r="AB151" t="str">
        <f t="shared" si="6"/>
        <v>42309</v>
      </c>
    </row>
    <row r="152" ht="14.25" spans="1:28">
      <c r="A152" s="5" t="s">
        <v>28</v>
      </c>
      <c r="B152" s="5" t="s">
        <v>107</v>
      </c>
      <c r="C152" s="5">
        <v>2027</v>
      </c>
      <c r="D152" s="5" t="s">
        <v>30</v>
      </c>
      <c r="E152" s="9" t="s">
        <v>170</v>
      </c>
      <c r="F152" s="9" t="s">
        <v>162</v>
      </c>
      <c r="G152" s="9" t="s">
        <v>60</v>
      </c>
      <c r="H152" s="9" t="s">
        <v>171</v>
      </c>
      <c r="I152" s="9" t="s">
        <v>119</v>
      </c>
      <c r="J152" s="9" t="s">
        <v>36</v>
      </c>
      <c r="K152" s="9">
        <v>1190</v>
      </c>
      <c r="L152" s="9"/>
      <c r="M152" s="9"/>
      <c r="N152" s="9"/>
      <c r="O152" s="9" t="s">
        <v>37</v>
      </c>
      <c r="P152" s="9" t="s">
        <v>43</v>
      </c>
      <c r="Q152" s="11">
        <v>60</v>
      </c>
      <c r="R152" s="10"/>
      <c r="S152" s="10"/>
      <c r="T152" s="10"/>
      <c r="U152" s="9" t="s">
        <v>148</v>
      </c>
      <c r="V152" t="s">
        <v>164</v>
      </c>
      <c r="W152" t="s">
        <v>138</v>
      </c>
      <c r="X152" t="s">
        <v>62</v>
      </c>
      <c r="Y152" t="s">
        <v>165</v>
      </c>
      <c r="Z152" t="s">
        <v>41</v>
      </c>
      <c r="AA152" t="s">
        <v>166</v>
      </c>
      <c r="AB152" t="str">
        <f t="shared" si="6"/>
        <v>42309</v>
      </c>
    </row>
    <row r="153" ht="14.25" spans="1:28">
      <c r="A153" s="5" t="s">
        <v>28</v>
      </c>
      <c r="B153" s="5" t="s">
        <v>107</v>
      </c>
      <c r="C153" s="5">
        <v>2027</v>
      </c>
      <c r="D153" s="5" t="s">
        <v>30</v>
      </c>
      <c r="E153" s="9" t="s">
        <v>170</v>
      </c>
      <c r="F153" s="9" t="s">
        <v>162</v>
      </c>
      <c r="G153" s="9" t="s">
        <v>60</v>
      </c>
      <c r="H153" s="9" t="s">
        <v>171</v>
      </c>
      <c r="I153" s="9" t="s">
        <v>119</v>
      </c>
      <c r="J153" s="9" t="s">
        <v>36</v>
      </c>
      <c r="K153" s="9">
        <v>1190</v>
      </c>
      <c r="L153" s="9"/>
      <c r="M153" s="9"/>
      <c r="N153" s="9"/>
      <c r="O153" s="9" t="s">
        <v>37</v>
      </c>
      <c r="P153" s="9" t="s">
        <v>44</v>
      </c>
      <c r="Q153" s="11">
        <v>50</v>
      </c>
      <c r="R153" s="10"/>
      <c r="S153" s="10"/>
      <c r="T153" s="10"/>
      <c r="U153" s="9" t="s">
        <v>148</v>
      </c>
      <c r="V153" t="s">
        <v>164</v>
      </c>
      <c r="W153" t="s">
        <v>138</v>
      </c>
      <c r="X153" t="s">
        <v>62</v>
      </c>
      <c r="Y153" t="s">
        <v>165</v>
      </c>
      <c r="Z153" t="s">
        <v>41</v>
      </c>
      <c r="AA153" t="s">
        <v>166</v>
      </c>
      <c r="AB153" t="str">
        <f t="shared" si="6"/>
        <v>42309</v>
      </c>
    </row>
    <row r="154" ht="14.25" spans="1:28">
      <c r="A154" s="5" t="s">
        <v>28</v>
      </c>
      <c r="B154" s="5" t="s">
        <v>107</v>
      </c>
      <c r="C154" s="5">
        <v>2027</v>
      </c>
      <c r="D154" s="5" t="s">
        <v>30</v>
      </c>
      <c r="E154" s="9" t="s">
        <v>170</v>
      </c>
      <c r="F154" s="9" t="s">
        <v>162</v>
      </c>
      <c r="G154" s="9" t="s">
        <v>60</v>
      </c>
      <c r="H154" s="9" t="s">
        <v>171</v>
      </c>
      <c r="I154" s="9" t="s">
        <v>119</v>
      </c>
      <c r="J154" s="9" t="s">
        <v>36</v>
      </c>
      <c r="K154" s="9">
        <v>1190</v>
      </c>
      <c r="L154" s="9"/>
      <c r="M154" s="9"/>
      <c r="N154" s="9"/>
      <c r="O154" s="9" t="s">
        <v>37</v>
      </c>
      <c r="P154" s="9" t="s">
        <v>45</v>
      </c>
      <c r="Q154" s="11">
        <v>20</v>
      </c>
      <c r="R154" s="10"/>
      <c r="S154" s="10"/>
      <c r="T154" s="10"/>
      <c r="U154" s="9" t="s">
        <v>148</v>
      </c>
      <c r="V154" t="s">
        <v>164</v>
      </c>
      <c r="W154" t="s">
        <v>138</v>
      </c>
      <c r="X154" t="s">
        <v>62</v>
      </c>
      <c r="Y154" t="s">
        <v>165</v>
      </c>
      <c r="Z154" t="s">
        <v>41</v>
      </c>
      <c r="AA154" t="s">
        <v>166</v>
      </c>
      <c r="AB154" t="str">
        <f t="shared" si="6"/>
        <v>42309</v>
      </c>
    </row>
    <row r="155" ht="14.25" spans="1:28">
      <c r="A155" s="5" t="s">
        <v>28</v>
      </c>
      <c r="B155" s="5" t="s">
        <v>107</v>
      </c>
      <c r="C155" s="5">
        <v>2027</v>
      </c>
      <c r="D155" s="5" t="s">
        <v>30</v>
      </c>
      <c r="E155" s="9" t="s">
        <v>170</v>
      </c>
      <c r="F155" s="9" t="s">
        <v>162</v>
      </c>
      <c r="G155" s="9" t="s">
        <v>60</v>
      </c>
      <c r="H155" s="9" t="s">
        <v>171</v>
      </c>
      <c r="I155" s="9" t="s">
        <v>119</v>
      </c>
      <c r="J155" s="9" t="s">
        <v>36</v>
      </c>
      <c r="K155" s="9">
        <v>1190</v>
      </c>
      <c r="L155" s="9"/>
      <c r="M155" s="9"/>
      <c r="N155" s="9"/>
      <c r="O155" s="9" t="s">
        <v>37</v>
      </c>
      <c r="P155" s="9" t="s">
        <v>46</v>
      </c>
      <c r="Q155" s="11">
        <v>0</v>
      </c>
      <c r="R155" s="10"/>
      <c r="S155" s="10"/>
      <c r="T155" s="10"/>
      <c r="U155" s="9" t="s">
        <v>148</v>
      </c>
      <c r="V155" t="s">
        <v>164</v>
      </c>
      <c r="W155" t="s">
        <v>138</v>
      </c>
      <c r="X155" t="s">
        <v>62</v>
      </c>
      <c r="Y155" t="s">
        <v>165</v>
      </c>
      <c r="Z155" t="s">
        <v>41</v>
      </c>
      <c r="AA155" t="s">
        <v>166</v>
      </c>
      <c r="AB155" t="str">
        <f t="shared" si="6"/>
        <v>42309</v>
      </c>
    </row>
    <row r="156" ht="14.25" spans="1:28">
      <c r="A156" s="5" t="s">
        <v>28</v>
      </c>
      <c r="B156" s="5" t="s">
        <v>107</v>
      </c>
      <c r="C156" s="5">
        <v>2027</v>
      </c>
      <c r="D156" s="5" t="s">
        <v>30</v>
      </c>
      <c r="E156" s="9" t="s">
        <v>172</v>
      </c>
      <c r="F156" s="9" t="s">
        <v>173</v>
      </c>
      <c r="G156" s="9" t="s">
        <v>174</v>
      </c>
      <c r="H156" s="9" t="s">
        <v>175</v>
      </c>
      <c r="I156" s="9" t="s">
        <v>119</v>
      </c>
      <c r="J156" s="9" t="s">
        <v>36</v>
      </c>
      <c r="K156" s="9">
        <v>1190</v>
      </c>
      <c r="L156" s="9"/>
      <c r="M156" s="9"/>
      <c r="N156" s="9"/>
      <c r="O156" s="9" t="s">
        <v>176</v>
      </c>
      <c r="P156" s="9" t="s">
        <v>177</v>
      </c>
      <c r="Q156" s="11"/>
      <c r="R156" s="10">
        <f t="shared" si="7"/>
        <v>0</v>
      </c>
      <c r="S156" s="10">
        <f>SUMIFS([1]Sheet1!$T:$T,[1]Sheet1!$I:$I,E156,[1]Sheet1!$C:$C,A156)</f>
        <v>0</v>
      </c>
      <c r="T156" s="10">
        <f t="shared" si="8"/>
        <v>0</v>
      </c>
      <c r="U156" s="9" t="s">
        <v>148</v>
      </c>
      <c r="V156" t="s">
        <v>164</v>
      </c>
      <c r="W156" t="s">
        <v>178</v>
      </c>
      <c r="Y156" t="s">
        <v>179</v>
      </c>
      <c r="Z156" t="s">
        <v>41</v>
      </c>
      <c r="AB156" t="str">
        <f t="shared" si="6"/>
        <v>49247</v>
      </c>
    </row>
    <row r="157" ht="14.25" spans="1:28">
      <c r="A157" s="5" t="s">
        <v>28</v>
      </c>
      <c r="B157" s="5" t="s">
        <v>107</v>
      </c>
      <c r="C157" s="5">
        <v>2027</v>
      </c>
      <c r="D157" s="5" t="s">
        <v>30</v>
      </c>
      <c r="E157" s="9" t="s">
        <v>172</v>
      </c>
      <c r="F157" s="9" t="s">
        <v>173</v>
      </c>
      <c r="G157" s="9" t="s">
        <v>174</v>
      </c>
      <c r="H157" s="9" t="s">
        <v>175</v>
      </c>
      <c r="I157" s="9" t="s">
        <v>119</v>
      </c>
      <c r="J157" s="9" t="s">
        <v>36</v>
      </c>
      <c r="K157" s="9">
        <v>1190</v>
      </c>
      <c r="L157" s="9"/>
      <c r="M157" s="9"/>
      <c r="N157" s="9"/>
      <c r="O157" s="9" t="s">
        <v>176</v>
      </c>
      <c r="P157" s="9" t="s">
        <v>38</v>
      </c>
      <c r="Q157" s="11"/>
      <c r="R157" s="10"/>
      <c r="S157" s="10"/>
      <c r="T157" s="10"/>
      <c r="U157" s="9" t="s">
        <v>148</v>
      </c>
      <c r="V157" t="s">
        <v>164</v>
      </c>
      <c r="W157" t="s">
        <v>178</v>
      </c>
      <c r="Y157" t="s">
        <v>179</v>
      </c>
      <c r="Z157" t="s">
        <v>41</v>
      </c>
      <c r="AB157" t="str">
        <f t="shared" si="6"/>
        <v>49247</v>
      </c>
    </row>
    <row r="158" ht="14.25" spans="1:28">
      <c r="A158" s="5" t="s">
        <v>28</v>
      </c>
      <c r="B158" s="5" t="s">
        <v>107</v>
      </c>
      <c r="C158" s="5">
        <v>2027</v>
      </c>
      <c r="D158" s="5" t="s">
        <v>30</v>
      </c>
      <c r="E158" s="9" t="s">
        <v>172</v>
      </c>
      <c r="F158" s="9" t="s">
        <v>173</v>
      </c>
      <c r="G158" s="9" t="s">
        <v>174</v>
      </c>
      <c r="H158" s="9" t="s">
        <v>175</v>
      </c>
      <c r="I158" s="9" t="s">
        <v>119</v>
      </c>
      <c r="J158" s="9" t="s">
        <v>36</v>
      </c>
      <c r="K158" s="9">
        <v>1190</v>
      </c>
      <c r="L158" s="9"/>
      <c r="M158" s="9"/>
      <c r="N158" s="9"/>
      <c r="O158" s="9" t="s">
        <v>176</v>
      </c>
      <c r="P158" s="9" t="s">
        <v>42</v>
      </c>
      <c r="Q158" s="11"/>
      <c r="R158" s="10"/>
      <c r="S158" s="10"/>
      <c r="T158" s="10"/>
      <c r="U158" s="9" t="s">
        <v>148</v>
      </c>
      <c r="V158" t="s">
        <v>164</v>
      </c>
      <c r="W158" t="s">
        <v>178</v>
      </c>
      <c r="Y158" t="s">
        <v>179</v>
      </c>
      <c r="Z158" t="s">
        <v>41</v>
      </c>
      <c r="AB158" t="str">
        <f t="shared" si="6"/>
        <v>49247</v>
      </c>
    </row>
    <row r="159" ht="14.25" spans="1:28">
      <c r="A159" s="5" t="s">
        <v>28</v>
      </c>
      <c r="B159" s="5" t="s">
        <v>107</v>
      </c>
      <c r="C159" s="5">
        <v>2027</v>
      </c>
      <c r="D159" s="5" t="s">
        <v>30</v>
      </c>
      <c r="E159" s="9" t="s">
        <v>172</v>
      </c>
      <c r="F159" s="9" t="s">
        <v>173</v>
      </c>
      <c r="G159" s="9" t="s">
        <v>174</v>
      </c>
      <c r="H159" s="9" t="s">
        <v>175</v>
      </c>
      <c r="I159" s="9" t="s">
        <v>119</v>
      </c>
      <c r="J159" s="9" t="s">
        <v>36</v>
      </c>
      <c r="K159" s="9">
        <v>1190</v>
      </c>
      <c r="L159" s="9"/>
      <c r="M159" s="9"/>
      <c r="N159" s="9"/>
      <c r="O159" s="9" t="s">
        <v>176</v>
      </c>
      <c r="P159" s="9" t="s">
        <v>43</v>
      </c>
      <c r="Q159" s="11"/>
      <c r="R159" s="10"/>
      <c r="S159" s="10"/>
      <c r="T159" s="10"/>
      <c r="U159" s="9" t="s">
        <v>148</v>
      </c>
      <c r="V159" t="s">
        <v>164</v>
      </c>
      <c r="W159" t="s">
        <v>178</v>
      </c>
      <c r="Y159" t="s">
        <v>179</v>
      </c>
      <c r="Z159" t="s">
        <v>41</v>
      </c>
      <c r="AB159" t="str">
        <f t="shared" si="6"/>
        <v>49247</v>
      </c>
    </row>
    <row r="160" ht="14.25" spans="1:28">
      <c r="A160" s="5" t="s">
        <v>28</v>
      </c>
      <c r="B160" s="5" t="s">
        <v>107</v>
      </c>
      <c r="C160" s="5">
        <v>2027</v>
      </c>
      <c r="D160" s="5" t="s">
        <v>30</v>
      </c>
      <c r="E160" s="9" t="s">
        <v>172</v>
      </c>
      <c r="F160" s="9" t="s">
        <v>173</v>
      </c>
      <c r="G160" s="9" t="s">
        <v>174</v>
      </c>
      <c r="H160" s="9" t="s">
        <v>175</v>
      </c>
      <c r="I160" s="9" t="s">
        <v>119</v>
      </c>
      <c r="J160" s="9" t="s">
        <v>36</v>
      </c>
      <c r="K160" s="9">
        <v>1190</v>
      </c>
      <c r="L160" s="9"/>
      <c r="M160" s="9"/>
      <c r="N160" s="9"/>
      <c r="O160" s="9" t="s">
        <v>176</v>
      </c>
      <c r="P160" s="9" t="s">
        <v>44</v>
      </c>
      <c r="Q160" s="11"/>
      <c r="R160" s="10"/>
      <c r="S160" s="10"/>
      <c r="T160" s="10"/>
      <c r="U160" s="9" t="s">
        <v>148</v>
      </c>
      <c r="V160" t="s">
        <v>164</v>
      </c>
      <c r="W160" t="s">
        <v>178</v>
      </c>
      <c r="Y160" t="s">
        <v>179</v>
      </c>
      <c r="Z160" t="s">
        <v>41</v>
      </c>
      <c r="AB160" t="str">
        <f t="shared" si="6"/>
        <v>49247</v>
      </c>
    </row>
    <row r="161" ht="14.25" spans="1:28">
      <c r="A161" s="5" t="s">
        <v>28</v>
      </c>
      <c r="B161" s="5" t="s">
        <v>107</v>
      </c>
      <c r="C161" s="5">
        <v>2027</v>
      </c>
      <c r="D161" s="5" t="s">
        <v>30</v>
      </c>
      <c r="E161" s="9" t="s">
        <v>172</v>
      </c>
      <c r="F161" s="9" t="s">
        <v>173</v>
      </c>
      <c r="G161" s="9" t="s">
        <v>174</v>
      </c>
      <c r="H161" s="9" t="s">
        <v>175</v>
      </c>
      <c r="I161" s="9" t="s">
        <v>119</v>
      </c>
      <c r="J161" s="9" t="s">
        <v>36</v>
      </c>
      <c r="K161" s="9">
        <v>1190</v>
      </c>
      <c r="L161" s="9"/>
      <c r="M161" s="9"/>
      <c r="N161" s="9"/>
      <c r="O161" s="9" t="s">
        <v>176</v>
      </c>
      <c r="P161" s="9" t="s">
        <v>45</v>
      </c>
      <c r="Q161" s="11"/>
      <c r="R161" s="10"/>
      <c r="S161" s="10"/>
      <c r="T161" s="10"/>
      <c r="U161" s="9" t="s">
        <v>148</v>
      </c>
      <c r="V161" t="s">
        <v>164</v>
      </c>
      <c r="W161" t="s">
        <v>178</v>
      </c>
      <c r="Y161" t="s">
        <v>179</v>
      </c>
      <c r="Z161" t="s">
        <v>41</v>
      </c>
      <c r="AB161" t="str">
        <f t="shared" si="6"/>
        <v>49247</v>
      </c>
    </row>
    <row r="162" ht="14.25" spans="1:28">
      <c r="A162" s="5" t="s">
        <v>28</v>
      </c>
      <c r="B162" s="5" t="s">
        <v>107</v>
      </c>
      <c r="C162" s="5">
        <v>2027</v>
      </c>
      <c r="D162" s="5" t="s">
        <v>30</v>
      </c>
      <c r="E162" s="9" t="s">
        <v>180</v>
      </c>
      <c r="F162" s="9" t="s">
        <v>181</v>
      </c>
      <c r="G162" s="9" t="s">
        <v>182</v>
      </c>
      <c r="H162" s="9" t="s">
        <v>183</v>
      </c>
      <c r="I162" s="9" t="s">
        <v>119</v>
      </c>
      <c r="J162" s="9" t="s">
        <v>36</v>
      </c>
      <c r="K162" s="9">
        <v>690</v>
      </c>
      <c r="L162" s="9"/>
      <c r="M162" s="9"/>
      <c r="N162" s="9"/>
      <c r="O162" s="9" t="s">
        <v>176</v>
      </c>
      <c r="P162" s="9" t="s">
        <v>177</v>
      </c>
      <c r="Q162" s="11"/>
      <c r="R162" s="10">
        <f t="shared" si="7"/>
        <v>0</v>
      </c>
      <c r="S162" s="10">
        <f>SUMIFS([1]Sheet1!$T:$T,[1]Sheet1!$I:$I,E162,[1]Sheet1!$C:$C,A162)</f>
        <v>0</v>
      </c>
      <c r="T162" s="10">
        <f t="shared" si="8"/>
        <v>0</v>
      </c>
      <c r="U162" s="9" t="s">
        <v>148</v>
      </c>
      <c r="V162" t="s">
        <v>184</v>
      </c>
      <c r="W162" t="s">
        <v>178</v>
      </c>
      <c r="X162" t="s">
        <v>102</v>
      </c>
      <c r="Y162" t="s">
        <v>179</v>
      </c>
      <c r="Z162" t="s">
        <v>41</v>
      </c>
      <c r="AB162" t="str">
        <f t="shared" si="6"/>
        <v>49338</v>
      </c>
    </row>
    <row r="163" ht="14.25" spans="1:28">
      <c r="A163" s="5" t="s">
        <v>28</v>
      </c>
      <c r="B163" s="5" t="s">
        <v>107</v>
      </c>
      <c r="C163" s="5">
        <v>2027</v>
      </c>
      <c r="D163" s="5" t="s">
        <v>30</v>
      </c>
      <c r="E163" s="9" t="s">
        <v>180</v>
      </c>
      <c r="F163" s="9" t="s">
        <v>181</v>
      </c>
      <c r="G163" s="9" t="s">
        <v>182</v>
      </c>
      <c r="H163" s="9" t="s">
        <v>183</v>
      </c>
      <c r="I163" s="9" t="s">
        <v>119</v>
      </c>
      <c r="J163" s="9" t="s">
        <v>36</v>
      </c>
      <c r="K163" s="9">
        <v>690</v>
      </c>
      <c r="L163" s="9"/>
      <c r="M163" s="9"/>
      <c r="N163" s="9"/>
      <c r="O163" s="9" t="s">
        <v>176</v>
      </c>
      <c r="P163" s="9" t="s">
        <v>38</v>
      </c>
      <c r="Q163" s="11"/>
      <c r="R163" s="10"/>
      <c r="S163" s="10"/>
      <c r="T163" s="10"/>
      <c r="U163" s="9" t="s">
        <v>148</v>
      </c>
      <c r="V163" t="s">
        <v>184</v>
      </c>
      <c r="W163" t="s">
        <v>178</v>
      </c>
      <c r="X163" t="s">
        <v>102</v>
      </c>
      <c r="Y163" t="s">
        <v>179</v>
      </c>
      <c r="Z163" t="s">
        <v>41</v>
      </c>
      <c r="AB163" t="str">
        <f t="shared" si="6"/>
        <v>49338</v>
      </c>
    </row>
    <row r="164" ht="14.25" spans="1:28">
      <c r="A164" s="5" t="s">
        <v>28</v>
      </c>
      <c r="B164" s="5" t="s">
        <v>107</v>
      </c>
      <c r="C164" s="5">
        <v>2027</v>
      </c>
      <c r="D164" s="5" t="s">
        <v>30</v>
      </c>
      <c r="E164" s="9" t="s">
        <v>180</v>
      </c>
      <c r="F164" s="9" t="s">
        <v>181</v>
      </c>
      <c r="G164" s="9" t="s">
        <v>182</v>
      </c>
      <c r="H164" s="9" t="s">
        <v>183</v>
      </c>
      <c r="I164" s="9" t="s">
        <v>119</v>
      </c>
      <c r="J164" s="9" t="s">
        <v>36</v>
      </c>
      <c r="K164" s="9">
        <v>690</v>
      </c>
      <c r="L164" s="9"/>
      <c r="M164" s="9"/>
      <c r="N164" s="9"/>
      <c r="O164" s="9" t="s">
        <v>176</v>
      </c>
      <c r="P164" s="9" t="s">
        <v>42</v>
      </c>
      <c r="Q164" s="11"/>
      <c r="R164" s="10"/>
      <c r="S164" s="10"/>
      <c r="T164" s="10"/>
      <c r="U164" s="9" t="s">
        <v>148</v>
      </c>
      <c r="V164" t="s">
        <v>184</v>
      </c>
      <c r="W164" t="s">
        <v>178</v>
      </c>
      <c r="X164" t="s">
        <v>102</v>
      </c>
      <c r="Y164" t="s">
        <v>179</v>
      </c>
      <c r="Z164" t="s">
        <v>41</v>
      </c>
      <c r="AB164" t="str">
        <f t="shared" si="6"/>
        <v>49338</v>
      </c>
    </row>
    <row r="165" ht="14.25" spans="1:28">
      <c r="A165" s="5" t="s">
        <v>28</v>
      </c>
      <c r="B165" s="5" t="s">
        <v>107</v>
      </c>
      <c r="C165" s="5">
        <v>2027</v>
      </c>
      <c r="D165" s="5" t="s">
        <v>30</v>
      </c>
      <c r="E165" s="9" t="s">
        <v>180</v>
      </c>
      <c r="F165" s="9" t="s">
        <v>181</v>
      </c>
      <c r="G165" s="9" t="s">
        <v>182</v>
      </c>
      <c r="H165" s="9" t="s">
        <v>183</v>
      </c>
      <c r="I165" s="9" t="s">
        <v>119</v>
      </c>
      <c r="J165" s="9" t="s">
        <v>36</v>
      </c>
      <c r="K165" s="9">
        <v>690</v>
      </c>
      <c r="L165" s="9"/>
      <c r="M165" s="9"/>
      <c r="N165" s="9"/>
      <c r="O165" s="9" t="s">
        <v>176</v>
      </c>
      <c r="P165" s="9" t="s">
        <v>43</v>
      </c>
      <c r="Q165" s="11"/>
      <c r="R165" s="10"/>
      <c r="S165" s="10"/>
      <c r="T165" s="10"/>
      <c r="U165" s="9" t="s">
        <v>148</v>
      </c>
      <c r="V165" t="s">
        <v>184</v>
      </c>
      <c r="W165" t="s">
        <v>178</v>
      </c>
      <c r="X165" t="s">
        <v>102</v>
      </c>
      <c r="Y165" t="s">
        <v>179</v>
      </c>
      <c r="Z165" t="s">
        <v>41</v>
      </c>
      <c r="AB165" t="str">
        <f t="shared" si="6"/>
        <v>49338</v>
      </c>
    </row>
    <row r="166" ht="14.25" spans="1:28">
      <c r="A166" s="5" t="s">
        <v>28</v>
      </c>
      <c r="B166" s="5" t="s">
        <v>107</v>
      </c>
      <c r="C166" s="5">
        <v>2027</v>
      </c>
      <c r="D166" s="5" t="s">
        <v>30</v>
      </c>
      <c r="E166" s="9" t="s">
        <v>180</v>
      </c>
      <c r="F166" s="9" t="s">
        <v>181</v>
      </c>
      <c r="G166" s="9" t="s">
        <v>182</v>
      </c>
      <c r="H166" s="9" t="s">
        <v>183</v>
      </c>
      <c r="I166" s="9" t="s">
        <v>119</v>
      </c>
      <c r="J166" s="9" t="s">
        <v>36</v>
      </c>
      <c r="K166" s="9">
        <v>690</v>
      </c>
      <c r="L166" s="9"/>
      <c r="M166" s="9"/>
      <c r="N166" s="9"/>
      <c r="O166" s="9" t="s">
        <v>176</v>
      </c>
      <c r="P166" s="9" t="s">
        <v>44</v>
      </c>
      <c r="Q166" s="11"/>
      <c r="R166" s="10"/>
      <c r="S166" s="10"/>
      <c r="T166" s="10"/>
      <c r="U166" s="9" t="s">
        <v>148</v>
      </c>
      <c r="V166" t="s">
        <v>184</v>
      </c>
      <c r="W166" t="s">
        <v>178</v>
      </c>
      <c r="X166" t="s">
        <v>102</v>
      </c>
      <c r="Y166" t="s">
        <v>179</v>
      </c>
      <c r="Z166" t="s">
        <v>41</v>
      </c>
      <c r="AB166" t="str">
        <f t="shared" si="6"/>
        <v>49338</v>
      </c>
    </row>
    <row r="167" ht="14.25" spans="1:28">
      <c r="A167" s="5" t="s">
        <v>28</v>
      </c>
      <c r="B167" s="5" t="s">
        <v>107</v>
      </c>
      <c r="C167" s="5">
        <v>2027</v>
      </c>
      <c r="D167" s="5" t="s">
        <v>30</v>
      </c>
      <c r="E167" s="9" t="s">
        <v>180</v>
      </c>
      <c r="F167" s="9" t="s">
        <v>181</v>
      </c>
      <c r="G167" s="9" t="s">
        <v>182</v>
      </c>
      <c r="H167" s="9" t="s">
        <v>183</v>
      </c>
      <c r="I167" s="9" t="s">
        <v>119</v>
      </c>
      <c r="J167" s="9" t="s">
        <v>36</v>
      </c>
      <c r="K167" s="9">
        <v>690</v>
      </c>
      <c r="L167" s="9"/>
      <c r="M167" s="9"/>
      <c r="N167" s="9"/>
      <c r="O167" s="9" t="s">
        <v>176</v>
      </c>
      <c r="P167" s="9" t="s">
        <v>45</v>
      </c>
      <c r="Q167" s="11"/>
      <c r="R167" s="10"/>
      <c r="S167" s="10"/>
      <c r="T167" s="10"/>
      <c r="U167" s="9" t="s">
        <v>148</v>
      </c>
      <c r="V167" t="s">
        <v>184</v>
      </c>
      <c r="W167" t="s">
        <v>178</v>
      </c>
      <c r="X167" t="s">
        <v>102</v>
      </c>
      <c r="Y167" t="s">
        <v>179</v>
      </c>
      <c r="Z167" t="s">
        <v>41</v>
      </c>
      <c r="AB167" t="str">
        <f t="shared" si="6"/>
        <v>49338</v>
      </c>
    </row>
    <row r="168" ht="14.25" spans="1:28">
      <c r="A168" s="5" t="s">
        <v>28</v>
      </c>
      <c r="B168" s="5" t="s">
        <v>107</v>
      </c>
      <c r="C168" s="5">
        <v>2027</v>
      </c>
      <c r="D168" s="5" t="s">
        <v>30</v>
      </c>
      <c r="E168" s="9" t="s">
        <v>185</v>
      </c>
      <c r="F168" s="9" t="s">
        <v>181</v>
      </c>
      <c r="G168" s="9" t="s">
        <v>186</v>
      </c>
      <c r="H168" s="9" t="s">
        <v>187</v>
      </c>
      <c r="I168" s="9" t="s">
        <v>112</v>
      </c>
      <c r="J168" s="9" t="s">
        <v>36</v>
      </c>
      <c r="K168" s="9">
        <v>690</v>
      </c>
      <c r="L168" s="9"/>
      <c r="M168" s="9"/>
      <c r="N168" s="9"/>
      <c r="O168" s="9" t="s">
        <v>176</v>
      </c>
      <c r="P168" s="9" t="s">
        <v>177</v>
      </c>
      <c r="Q168" s="11"/>
      <c r="R168" s="10">
        <f t="shared" si="7"/>
        <v>0</v>
      </c>
      <c r="S168" s="10">
        <f>SUMIFS([1]Sheet1!$T:$T,[1]Sheet1!$I:$I,E168,[1]Sheet1!$C:$C,A168)</f>
        <v>0</v>
      </c>
      <c r="T168" s="10">
        <f t="shared" si="8"/>
        <v>0</v>
      </c>
      <c r="U168" s="9" t="s">
        <v>148</v>
      </c>
      <c r="V168" t="s">
        <v>184</v>
      </c>
      <c r="W168" t="s">
        <v>178</v>
      </c>
      <c r="X168" t="s">
        <v>58</v>
      </c>
      <c r="Y168" t="s">
        <v>179</v>
      </c>
      <c r="Z168" t="s">
        <v>41</v>
      </c>
      <c r="AB168" t="str">
        <f t="shared" si="6"/>
        <v>49338</v>
      </c>
    </row>
    <row r="169" ht="14.25" spans="1:28">
      <c r="A169" s="5" t="s">
        <v>28</v>
      </c>
      <c r="B169" s="5" t="s">
        <v>107</v>
      </c>
      <c r="C169" s="5">
        <v>2027</v>
      </c>
      <c r="D169" s="5" t="s">
        <v>30</v>
      </c>
      <c r="E169" s="9" t="s">
        <v>185</v>
      </c>
      <c r="F169" s="9" t="s">
        <v>181</v>
      </c>
      <c r="G169" s="9" t="s">
        <v>186</v>
      </c>
      <c r="H169" s="9" t="s">
        <v>187</v>
      </c>
      <c r="I169" s="9" t="s">
        <v>112</v>
      </c>
      <c r="J169" s="9" t="s">
        <v>36</v>
      </c>
      <c r="K169" s="9">
        <v>690</v>
      </c>
      <c r="L169" s="9"/>
      <c r="M169" s="9"/>
      <c r="N169" s="9"/>
      <c r="O169" s="9" t="s">
        <v>176</v>
      </c>
      <c r="P169" s="9" t="s">
        <v>38</v>
      </c>
      <c r="Q169" s="9"/>
      <c r="R169" s="10"/>
      <c r="S169" s="10"/>
      <c r="T169" s="10"/>
      <c r="U169" s="9" t="s">
        <v>148</v>
      </c>
      <c r="V169" t="s">
        <v>184</v>
      </c>
      <c r="W169" t="s">
        <v>178</v>
      </c>
      <c r="X169" t="s">
        <v>58</v>
      </c>
      <c r="Y169" t="s">
        <v>179</v>
      </c>
      <c r="Z169" t="s">
        <v>41</v>
      </c>
      <c r="AB169" t="str">
        <f t="shared" si="6"/>
        <v>49338</v>
      </c>
    </row>
    <row r="170" ht="14.25" spans="1:28">
      <c r="A170" s="5" t="s">
        <v>28</v>
      </c>
      <c r="B170" s="5" t="s">
        <v>107</v>
      </c>
      <c r="C170" s="5">
        <v>2027</v>
      </c>
      <c r="D170" s="5" t="s">
        <v>30</v>
      </c>
      <c r="E170" s="9" t="s">
        <v>185</v>
      </c>
      <c r="F170" s="9" t="s">
        <v>181</v>
      </c>
      <c r="G170" s="9" t="s">
        <v>186</v>
      </c>
      <c r="H170" s="9" t="s">
        <v>187</v>
      </c>
      <c r="I170" s="9" t="s">
        <v>112</v>
      </c>
      <c r="J170" s="9" t="s">
        <v>36</v>
      </c>
      <c r="K170" s="9">
        <v>690</v>
      </c>
      <c r="L170" s="9"/>
      <c r="M170" s="9"/>
      <c r="N170" s="9"/>
      <c r="O170" s="9" t="s">
        <v>176</v>
      </c>
      <c r="P170" s="9" t="s">
        <v>42</v>
      </c>
      <c r="Q170" s="9"/>
      <c r="R170" s="10"/>
      <c r="S170" s="10"/>
      <c r="T170" s="10"/>
      <c r="U170" s="9" t="s">
        <v>148</v>
      </c>
      <c r="V170" t="s">
        <v>184</v>
      </c>
      <c r="W170" t="s">
        <v>178</v>
      </c>
      <c r="X170" t="s">
        <v>58</v>
      </c>
      <c r="Y170" t="s">
        <v>179</v>
      </c>
      <c r="Z170" t="s">
        <v>41</v>
      </c>
      <c r="AB170" t="str">
        <f t="shared" si="6"/>
        <v>49338</v>
      </c>
    </row>
    <row r="171" ht="14.25" spans="1:28">
      <c r="A171" s="5" t="s">
        <v>28</v>
      </c>
      <c r="B171" s="5" t="s">
        <v>107</v>
      </c>
      <c r="C171" s="5">
        <v>2027</v>
      </c>
      <c r="D171" s="5" t="s">
        <v>30</v>
      </c>
      <c r="E171" s="9" t="s">
        <v>185</v>
      </c>
      <c r="F171" s="9" t="s">
        <v>181</v>
      </c>
      <c r="G171" s="9" t="s">
        <v>186</v>
      </c>
      <c r="H171" s="9" t="s">
        <v>187</v>
      </c>
      <c r="I171" s="9" t="s">
        <v>112</v>
      </c>
      <c r="J171" s="9" t="s">
        <v>36</v>
      </c>
      <c r="K171" s="9">
        <v>690</v>
      </c>
      <c r="L171" s="9"/>
      <c r="M171" s="9"/>
      <c r="N171" s="9"/>
      <c r="O171" s="9" t="s">
        <v>176</v>
      </c>
      <c r="P171" s="9" t="s">
        <v>43</v>
      </c>
      <c r="Q171" s="9"/>
      <c r="R171" s="10"/>
      <c r="S171" s="10"/>
      <c r="T171" s="10"/>
      <c r="U171" s="9" t="s">
        <v>148</v>
      </c>
      <c r="V171" t="s">
        <v>184</v>
      </c>
      <c r="W171" t="s">
        <v>178</v>
      </c>
      <c r="X171" t="s">
        <v>58</v>
      </c>
      <c r="Y171" t="s">
        <v>179</v>
      </c>
      <c r="Z171" t="s">
        <v>41</v>
      </c>
      <c r="AB171" t="str">
        <f t="shared" si="6"/>
        <v>49338</v>
      </c>
    </row>
    <row r="172" ht="14.25" spans="1:28">
      <c r="A172" s="5" t="s">
        <v>28</v>
      </c>
      <c r="B172" s="5" t="s">
        <v>107</v>
      </c>
      <c r="C172" s="5">
        <v>2027</v>
      </c>
      <c r="D172" s="5" t="s">
        <v>30</v>
      </c>
      <c r="E172" s="9" t="s">
        <v>185</v>
      </c>
      <c r="F172" s="9" t="s">
        <v>181</v>
      </c>
      <c r="G172" s="9" t="s">
        <v>186</v>
      </c>
      <c r="H172" s="9" t="s">
        <v>187</v>
      </c>
      <c r="I172" s="9" t="s">
        <v>112</v>
      </c>
      <c r="J172" s="9" t="s">
        <v>36</v>
      </c>
      <c r="K172" s="9">
        <v>690</v>
      </c>
      <c r="L172" s="9"/>
      <c r="M172" s="9"/>
      <c r="N172" s="9"/>
      <c r="O172" s="9" t="s">
        <v>176</v>
      </c>
      <c r="P172" s="9" t="s">
        <v>44</v>
      </c>
      <c r="Q172" s="9"/>
      <c r="R172" s="10"/>
      <c r="S172" s="10"/>
      <c r="T172" s="10"/>
      <c r="U172" s="9" t="s">
        <v>148</v>
      </c>
      <c r="V172" t="s">
        <v>184</v>
      </c>
      <c r="W172" t="s">
        <v>178</v>
      </c>
      <c r="X172" t="s">
        <v>58</v>
      </c>
      <c r="Y172" t="s">
        <v>179</v>
      </c>
      <c r="Z172" t="s">
        <v>41</v>
      </c>
      <c r="AB172" t="str">
        <f t="shared" si="6"/>
        <v>49338</v>
      </c>
    </row>
    <row r="173" ht="14.25" spans="1:28">
      <c r="A173" s="5" t="s">
        <v>28</v>
      </c>
      <c r="B173" s="5" t="s">
        <v>107</v>
      </c>
      <c r="C173" s="5">
        <v>2027</v>
      </c>
      <c r="D173" s="5" t="s">
        <v>30</v>
      </c>
      <c r="E173" s="9" t="s">
        <v>185</v>
      </c>
      <c r="F173" s="9" t="s">
        <v>181</v>
      </c>
      <c r="G173" s="9" t="s">
        <v>186</v>
      </c>
      <c r="H173" s="9" t="s">
        <v>187</v>
      </c>
      <c r="I173" s="9" t="s">
        <v>112</v>
      </c>
      <c r="J173" s="9" t="s">
        <v>36</v>
      </c>
      <c r="K173" s="9">
        <v>690</v>
      </c>
      <c r="L173" s="9"/>
      <c r="M173" s="9"/>
      <c r="N173" s="9"/>
      <c r="O173" s="9" t="s">
        <v>176</v>
      </c>
      <c r="P173" s="9" t="s">
        <v>45</v>
      </c>
      <c r="Q173" s="9"/>
      <c r="R173" s="10"/>
      <c r="S173" s="10"/>
      <c r="T173" s="10"/>
      <c r="U173" s="9" t="s">
        <v>148</v>
      </c>
      <c r="V173" t="s">
        <v>184</v>
      </c>
      <c r="W173" t="s">
        <v>178</v>
      </c>
      <c r="X173" t="s">
        <v>58</v>
      </c>
      <c r="Y173" t="s">
        <v>179</v>
      </c>
      <c r="Z173" t="s">
        <v>41</v>
      </c>
      <c r="AB173" t="str">
        <f t="shared" si="6"/>
        <v>49338</v>
      </c>
    </row>
    <row r="174" ht="14.25" spans="1:28">
      <c r="A174" s="5" t="s">
        <v>28</v>
      </c>
      <c r="B174" s="5" t="s">
        <v>107</v>
      </c>
      <c r="C174" s="5">
        <v>2027</v>
      </c>
      <c r="D174" s="5" t="s">
        <v>30</v>
      </c>
      <c r="E174" s="9" t="s">
        <v>188</v>
      </c>
      <c r="F174" s="9" t="s">
        <v>181</v>
      </c>
      <c r="G174" s="9" t="s">
        <v>189</v>
      </c>
      <c r="H174" s="9" t="s">
        <v>190</v>
      </c>
      <c r="I174" s="9" t="s">
        <v>119</v>
      </c>
      <c r="J174" s="9" t="s">
        <v>36</v>
      </c>
      <c r="K174" s="9">
        <v>690</v>
      </c>
      <c r="L174" s="9"/>
      <c r="M174" s="9"/>
      <c r="N174" s="9"/>
      <c r="O174" s="9" t="s">
        <v>176</v>
      </c>
      <c r="P174" s="9" t="s">
        <v>177</v>
      </c>
      <c r="Q174" s="9"/>
      <c r="R174" s="10">
        <f t="shared" si="7"/>
        <v>100</v>
      </c>
      <c r="S174" s="10">
        <f>SUMIFS([1]Sheet1!$T:$T,[1]Sheet1!$I:$I,E174,[1]Sheet1!$C:$C,A174)</f>
        <v>100</v>
      </c>
      <c r="T174" s="10">
        <f t="shared" si="8"/>
        <v>0</v>
      </c>
      <c r="U174" s="9" t="s">
        <v>148</v>
      </c>
      <c r="V174" t="s">
        <v>184</v>
      </c>
      <c r="W174" t="s">
        <v>178</v>
      </c>
      <c r="X174" t="s">
        <v>191</v>
      </c>
      <c r="Y174" t="s">
        <v>179</v>
      </c>
      <c r="Z174" t="s">
        <v>41</v>
      </c>
      <c r="AB174" t="str">
        <f t="shared" si="6"/>
        <v>49338</v>
      </c>
    </row>
    <row r="175" ht="14.25" spans="1:28">
      <c r="A175" s="5" t="s">
        <v>28</v>
      </c>
      <c r="B175" s="5" t="s">
        <v>107</v>
      </c>
      <c r="C175" s="5">
        <v>2027</v>
      </c>
      <c r="D175" s="5" t="s">
        <v>30</v>
      </c>
      <c r="E175" s="9" t="s">
        <v>188</v>
      </c>
      <c r="F175" s="9" t="s">
        <v>181</v>
      </c>
      <c r="G175" s="9" t="s">
        <v>189</v>
      </c>
      <c r="H175" s="9" t="s">
        <v>190</v>
      </c>
      <c r="I175" s="9" t="s">
        <v>119</v>
      </c>
      <c r="J175" s="9" t="s">
        <v>36</v>
      </c>
      <c r="K175" s="9">
        <v>690</v>
      </c>
      <c r="L175" s="9"/>
      <c r="M175" s="9"/>
      <c r="N175" s="9"/>
      <c r="O175" s="9" t="s">
        <v>176</v>
      </c>
      <c r="P175" s="9" t="s">
        <v>38</v>
      </c>
      <c r="Q175" s="9">
        <v>10</v>
      </c>
      <c r="R175" s="10"/>
      <c r="S175" s="10"/>
      <c r="T175" s="10"/>
      <c r="U175" s="9" t="s">
        <v>148</v>
      </c>
      <c r="V175" t="s">
        <v>184</v>
      </c>
      <c r="W175" t="s">
        <v>178</v>
      </c>
      <c r="X175" t="s">
        <v>191</v>
      </c>
      <c r="Y175" t="s">
        <v>179</v>
      </c>
      <c r="Z175" t="s">
        <v>41</v>
      </c>
      <c r="AB175" t="str">
        <f t="shared" si="6"/>
        <v>49338</v>
      </c>
    </row>
    <row r="176" ht="14.25" spans="1:28">
      <c r="A176" s="5" t="s">
        <v>28</v>
      </c>
      <c r="B176" s="5" t="s">
        <v>107</v>
      </c>
      <c r="C176" s="5">
        <v>2027</v>
      </c>
      <c r="D176" s="5" t="s">
        <v>30</v>
      </c>
      <c r="E176" s="9" t="s">
        <v>188</v>
      </c>
      <c r="F176" s="9" t="s">
        <v>181</v>
      </c>
      <c r="G176" s="9" t="s">
        <v>189</v>
      </c>
      <c r="H176" s="9" t="s">
        <v>190</v>
      </c>
      <c r="I176" s="9" t="s">
        <v>119</v>
      </c>
      <c r="J176" s="9" t="s">
        <v>36</v>
      </c>
      <c r="K176" s="9">
        <v>690</v>
      </c>
      <c r="L176" s="9"/>
      <c r="M176" s="9"/>
      <c r="N176" s="9"/>
      <c r="O176" s="9" t="s">
        <v>176</v>
      </c>
      <c r="P176" s="9" t="s">
        <v>42</v>
      </c>
      <c r="Q176" s="9">
        <v>25</v>
      </c>
      <c r="R176" s="10"/>
      <c r="S176" s="10"/>
      <c r="T176" s="10"/>
      <c r="U176" s="9" t="s">
        <v>148</v>
      </c>
      <c r="V176" t="s">
        <v>184</v>
      </c>
      <c r="W176" t="s">
        <v>178</v>
      </c>
      <c r="X176" t="s">
        <v>191</v>
      </c>
      <c r="Y176" t="s">
        <v>179</v>
      </c>
      <c r="Z176" t="s">
        <v>41</v>
      </c>
      <c r="AB176" t="str">
        <f t="shared" si="6"/>
        <v>49338</v>
      </c>
    </row>
    <row r="177" ht="14.25" spans="1:28">
      <c r="A177" s="5" t="s">
        <v>28</v>
      </c>
      <c r="B177" s="5" t="s">
        <v>107</v>
      </c>
      <c r="C177" s="5">
        <v>2027</v>
      </c>
      <c r="D177" s="5" t="s">
        <v>30</v>
      </c>
      <c r="E177" s="9" t="s">
        <v>188</v>
      </c>
      <c r="F177" s="9" t="s">
        <v>181</v>
      </c>
      <c r="G177" s="9" t="s">
        <v>189</v>
      </c>
      <c r="H177" s="9" t="s">
        <v>190</v>
      </c>
      <c r="I177" s="9" t="s">
        <v>119</v>
      </c>
      <c r="J177" s="9" t="s">
        <v>36</v>
      </c>
      <c r="K177" s="9">
        <v>690</v>
      </c>
      <c r="L177" s="9"/>
      <c r="M177" s="9"/>
      <c r="N177" s="9"/>
      <c r="O177" s="9" t="s">
        <v>176</v>
      </c>
      <c r="P177" s="9" t="s">
        <v>43</v>
      </c>
      <c r="Q177" s="9">
        <v>35</v>
      </c>
      <c r="R177" s="10"/>
      <c r="S177" s="10"/>
      <c r="T177" s="10"/>
      <c r="U177" s="9" t="s">
        <v>148</v>
      </c>
      <c r="V177" t="s">
        <v>184</v>
      </c>
      <c r="W177" t="s">
        <v>178</v>
      </c>
      <c r="X177" t="s">
        <v>191</v>
      </c>
      <c r="Y177" t="s">
        <v>179</v>
      </c>
      <c r="Z177" t="s">
        <v>41</v>
      </c>
      <c r="AB177" t="str">
        <f t="shared" si="6"/>
        <v>49338</v>
      </c>
    </row>
    <row r="178" ht="14.25" spans="1:28">
      <c r="A178" s="5" t="s">
        <v>28</v>
      </c>
      <c r="B178" s="5" t="s">
        <v>107</v>
      </c>
      <c r="C178" s="5">
        <v>2027</v>
      </c>
      <c r="D178" s="5" t="s">
        <v>30</v>
      </c>
      <c r="E178" s="9" t="s">
        <v>188</v>
      </c>
      <c r="F178" s="9" t="s">
        <v>181</v>
      </c>
      <c r="G178" s="9" t="s">
        <v>189</v>
      </c>
      <c r="H178" s="9" t="s">
        <v>190</v>
      </c>
      <c r="I178" s="9" t="s">
        <v>119</v>
      </c>
      <c r="J178" s="9" t="s">
        <v>36</v>
      </c>
      <c r="K178" s="9">
        <v>690</v>
      </c>
      <c r="L178" s="9"/>
      <c r="M178" s="9"/>
      <c r="N178" s="9"/>
      <c r="O178" s="9" t="s">
        <v>176</v>
      </c>
      <c r="P178" s="9" t="s">
        <v>44</v>
      </c>
      <c r="Q178" s="9">
        <v>25</v>
      </c>
      <c r="R178" s="10"/>
      <c r="S178" s="10"/>
      <c r="T178" s="10"/>
      <c r="U178" s="9" t="s">
        <v>148</v>
      </c>
      <c r="V178" t="s">
        <v>184</v>
      </c>
      <c r="W178" t="s">
        <v>178</v>
      </c>
      <c r="X178" t="s">
        <v>191</v>
      </c>
      <c r="Y178" t="s">
        <v>179</v>
      </c>
      <c r="Z178" t="s">
        <v>41</v>
      </c>
      <c r="AB178" t="str">
        <f t="shared" si="6"/>
        <v>49338</v>
      </c>
    </row>
    <row r="179" ht="14.25" spans="1:28">
      <c r="A179" s="5" t="s">
        <v>28</v>
      </c>
      <c r="B179" s="5" t="s">
        <v>107</v>
      </c>
      <c r="C179" s="5">
        <v>2027</v>
      </c>
      <c r="D179" s="5" t="s">
        <v>30</v>
      </c>
      <c r="E179" s="9" t="s">
        <v>188</v>
      </c>
      <c r="F179" s="9" t="s">
        <v>181</v>
      </c>
      <c r="G179" s="9" t="s">
        <v>189</v>
      </c>
      <c r="H179" s="9" t="s">
        <v>190</v>
      </c>
      <c r="I179" s="9" t="s">
        <v>119</v>
      </c>
      <c r="J179" s="9" t="s">
        <v>36</v>
      </c>
      <c r="K179" s="9">
        <v>690</v>
      </c>
      <c r="L179" s="9"/>
      <c r="M179" s="9"/>
      <c r="N179" s="9"/>
      <c r="O179" s="9" t="s">
        <v>176</v>
      </c>
      <c r="P179" s="9" t="s">
        <v>45</v>
      </c>
      <c r="Q179" s="9">
        <v>5</v>
      </c>
      <c r="R179" s="10"/>
      <c r="S179" s="10"/>
      <c r="T179" s="10"/>
      <c r="U179" s="9" t="s">
        <v>148</v>
      </c>
      <c r="V179" t="s">
        <v>184</v>
      </c>
      <c r="W179" t="s">
        <v>178</v>
      </c>
      <c r="X179" t="s">
        <v>191</v>
      </c>
      <c r="Y179" t="s">
        <v>179</v>
      </c>
      <c r="Z179" t="s">
        <v>41</v>
      </c>
      <c r="AB179" t="str">
        <f t="shared" si="6"/>
        <v>49338</v>
      </c>
    </row>
    <row r="180" ht="14.25" spans="1:28">
      <c r="A180" s="5" t="s">
        <v>28</v>
      </c>
      <c r="B180" s="5" t="s">
        <v>107</v>
      </c>
      <c r="C180" s="5">
        <v>2027</v>
      </c>
      <c r="D180" s="5" t="s">
        <v>30</v>
      </c>
      <c r="E180" s="9" t="s">
        <v>192</v>
      </c>
      <c r="F180" s="9" t="s">
        <v>193</v>
      </c>
      <c r="G180" s="9" t="s">
        <v>65</v>
      </c>
      <c r="H180" s="9" t="s">
        <v>194</v>
      </c>
      <c r="I180" s="9" t="s">
        <v>119</v>
      </c>
      <c r="J180" s="9" t="s">
        <v>36</v>
      </c>
      <c r="K180" s="9">
        <v>1390</v>
      </c>
      <c r="L180" s="9"/>
      <c r="M180" s="9"/>
      <c r="N180" s="9"/>
      <c r="O180" s="9" t="s">
        <v>195</v>
      </c>
      <c r="P180" s="9" t="s">
        <v>74</v>
      </c>
      <c r="Q180" s="9">
        <v>5</v>
      </c>
      <c r="R180" s="10">
        <f t="shared" si="7"/>
        <v>100</v>
      </c>
      <c r="S180" s="10">
        <f>SUMIFS([1]Sheet1!$T:$T,[1]Sheet1!$I:$I,E180,[1]Sheet1!$C:$C,A180)</f>
        <v>100</v>
      </c>
      <c r="T180" s="10">
        <f t="shared" si="8"/>
        <v>0</v>
      </c>
      <c r="U180" s="9" t="s">
        <v>136</v>
      </c>
      <c r="V180" t="s">
        <v>137</v>
      </c>
      <c r="W180" t="s">
        <v>178</v>
      </c>
      <c r="X180" t="s">
        <v>70</v>
      </c>
      <c r="Y180" t="s">
        <v>179</v>
      </c>
      <c r="Z180" t="s">
        <v>196</v>
      </c>
      <c r="AB180" t="str">
        <f t="shared" si="6"/>
        <v>49599</v>
      </c>
    </row>
    <row r="181" ht="14.25" spans="1:28">
      <c r="A181" s="5" t="s">
        <v>28</v>
      </c>
      <c r="B181" s="5" t="s">
        <v>107</v>
      </c>
      <c r="C181" s="5">
        <v>2027</v>
      </c>
      <c r="D181" s="5" t="s">
        <v>30</v>
      </c>
      <c r="E181" s="9" t="s">
        <v>192</v>
      </c>
      <c r="F181" s="9" t="s">
        <v>193</v>
      </c>
      <c r="G181" s="9" t="s">
        <v>65</v>
      </c>
      <c r="H181" s="9" t="s">
        <v>194</v>
      </c>
      <c r="I181" s="9" t="s">
        <v>119</v>
      </c>
      <c r="J181" s="9" t="s">
        <v>36</v>
      </c>
      <c r="K181" s="9">
        <v>1390</v>
      </c>
      <c r="L181" s="9"/>
      <c r="M181" s="9"/>
      <c r="N181" s="9"/>
      <c r="O181" s="9" t="s">
        <v>195</v>
      </c>
      <c r="P181" s="9" t="s">
        <v>76</v>
      </c>
      <c r="Q181" s="9">
        <v>22</v>
      </c>
      <c r="R181" s="10"/>
      <c r="S181" s="10"/>
      <c r="T181" s="10"/>
      <c r="U181" s="9" t="s">
        <v>136</v>
      </c>
      <c r="V181" t="s">
        <v>137</v>
      </c>
      <c r="W181" t="s">
        <v>178</v>
      </c>
      <c r="X181" t="s">
        <v>70</v>
      </c>
      <c r="Y181" t="s">
        <v>179</v>
      </c>
      <c r="Z181" t="s">
        <v>196</v>
      </c>
      <c r="AB181" t="str">
        <f t="shared" si="6"/>
        <v>49599</v>
      </c>
    </row>
    <row r="182" ht="14.25" spans="1:28">
      <c r="A182" s="5" t="s">
        <v>28</v>
      </c>
      <c r="B182" s="5" t="s">
        <v>107</v>
      </c>
      <c r="C182" s="5">
        <v>2027</v>
      </c>
      <c r="D182" s="5" t="s">
        <v>30</v>
      </c>
      <c r="E182" s="9" t="s">
        <v>192</v>
      </c>
      <c r="F182" s="9" t="s">
        <v>193</v>
      </c>
      <c r="G182" s="9" t="s">
        <v>65</v>
      </c>
      <c r="H182" s="9" t="s">
        <v>194</v>
      </c>
      <c r="I182" s="9" t="s">
        <v>119</v>
      </c>
      <c r="J182" s="9" t="s">
        <v>36</v>
      </c>
      <c r="K182" s="9">
        <v>1390</v>
      </c>
      <c r="L182" s="9"/>
      <c r="M182" s="9"/>
      <c r="N182" s="9"/>
      <c r="O182" s="9" t="s">
        <v>195</v>
      </c>
      <c r="P182" s="9" t="s">
        <v>77</v>
      </c>
      <c r="Q182" s="9">
        <v>35</v>
      </c>
      <c r="R182" s="10"/>
      <c r="S182" s="10"/>
      <c r="T182" s="10"/>
      <c r="U182" s="9" t="s">
        <v>136</v>
      </c>
      <c r="V182" t="s">
        <v>137</v>
      </c>
      <c r="W182" t="s">
        <v>178</v>
      </c>
      <c r="X182" t="s">
        <v>70</v>
      </c>
      <c r="Y182" t="s">
        <v>179</v>
      </c>
      <c r="Z182" t="s">
        <v>196</v>
      </c>
      <c r="AB182" t="str">
        <f t="shared" si="6"/>
        <v>49599</v>
      </c>
    </row>
    <row r="183" ht="14.25" spans="1:28">
      <c r="A183" s="5" t="s">
        <v>28</v>
      </c>
      <c r="B183" s="5" t="s">
        <v>107</v>
      </c>
      <c r="C183" s="5">
        <v>2027</v>
      </c>
      <c r="D183" s="5" t="s">
        <v>30</v>
      </c>
      <c r="E183" s="9" t="s">
        <v>192</v>
      </c>
      <c r="F183" s="9" t="s">
        <v>193</v>
      </c>
      <c r="G183" s="9" t="s">
        <v>65</v>
      </c>
      <c r="H183" s="9" t="s">
        <v>194</v>
      </c>
      <c r="I183" s="9" t="s">
        <v>119</v>
      </c>
      <c r="J183" s="9" t="s">
        <v>36</v>
      </c>
      <c r="K183" s="9">
        <v>1390</v>
      </c>
      <c r="L183" s="9"/>
      <c r="M183" s="9"/>
      <c r="N183" s="9"/>
      <c r="O183" s="9" t="s">
        <v>195</v>
      </c>
      <c r="P183" s="9" t="s">
        <v>78</v>
      </c>
      <c r="Q183" s="9">
        <v>28</v>
      </c>
      <c r="R183" s="10"/>
      <c r="S183" s="10"/>
      <c r="T183" s="10"/>
      <c r="U183" s="9" t="s">
        <v>136</v>
      </c>
      <c r="V183" t="s">
        <v>137</v>
      </c>
      <c r="W183" t="s">
        <v>178</v>
      </c>
      <c r="X183" t="s">
        <v>70</v>
      </c>
      <c r="Y183" t="s">
        <v>179</v>
      </c>
      <c r="Z183" t="s">
        <v>196</v>
      </c>
      <c r="AB183" t="str">
        <f t="shared" si="6"/>
        <v>49599</v>
      </c>
    </row>
    <row r="184" ht="14.25" spans="1:28">
      <c r="A184" s="5" t="s">
        <v>28</v>
      </c>
      <c r="B184" s="5" t="s">
        <v>107</v>
      </c>
      <c r="C184" s="5">
        <v>2027</v>
      </c>
      <c r="D184" s="5" t="s">
        <v>30</v>
      </c>
      <c r="E184" s="9" t="s">
        <v>192</v>
      </c>
      <c r="F184" s="9" t="s">
        <v>193</v>
      </c>
      <c r="G184" s="9" t="s">
        <v>65</v>
      </c>
      <c r="H184" s="9" t="s">
        <v>194</v>
      </c>
      <c r="I184" s="9" t="s">
        <v>119</v>
      </c>
      <c r="J184" s="9" t="s">
        <v>36</v>
      </c>
      <c r="K184" s="9">
        <v>1390</v>
      </c>
      <c r="L184" s="9"/>
      <c r="M184" s="9"/>
      <c r="N184" s="9"/>
      <c r="O184" s="9" t="s">
        <v>195</v>
      </c>
      <c r="P184" s="9" t="s">
        <v>79</v>
      </c>
      <c r="Q184" s="9">
        <v>10</v>
      </c>
      <c r="R184" s="10"/>
      <c r="S184" s="10"/>
      <c r="T184" s="10"/>
      <c r="U184" s="9" t="s">
        <v>136</v>
      </c>
      <c r="V184" t="s">
        <v>137</v>
      </c>
      <c r="W184" t="s">
        <v>178</v>
      </c>
      <c r="X184" t="s">
        <v>70</v>
      </c>
      <c r="Y184" t="s">
        <v>179</v>
      </c>
      <c r="Z184" t="s">
        <v>196</v>
      </c>
      <c r="AB184" t="str">
        <f t="shared" si="6"/>
        <v>49599</v>
      </c>
    </row>
    <row r="185" ht="14.25" spans="1:28">
      <c r="A185" s="5" t="s">
        <v>28</v>
      </c>
      <c r="B185" s="5" t="s">
        <v>197</v>
      </c>
      <c r="C185" s="5">
        <v>2027</v>
      </c>
      <c r="D185" s="5" t="s">
        <v>30</v>
      </c>
      <c r="E185" s="9" t="s">
        <v>198</v>
      </c>
      <c r="F185" s="9" t="s">
        <v>199</v>
      </c>
      <c r="G185" s="9" t="s">
        <v>159</v>
      </c>
      <c r="H185" s="9" t="s">
        <v>200</v>
      </c>
      <c r="I185" s="9" t="s">
        <v>119</v>
      </c>
      <c r="J185" s="9" t="s">
        <v>36</v>
      </c>
      <c r="K185" s="9">
        <v>890</v>
      </c>
      <c r="L185" s="9"/>
      <c r="M185" s="9"/>
      <c r="N185" s="9"/>
      <c r="O185" s="9" t="s">
        <v>201</v>
      </c>
      <c r="P185" s="9" t="s">
        <v>79</v>
      </c>
      <c r="Q185" s="9"/>
      <c r="R185" s="10">
        <f t="shared" si="7"/>
        <v>0</v>
      </c>
      <c r="S185" s="10">
        <f>SUMIFS([1]Sheet1!$T:$T,[1]Sheet1!$I:$I,E185,[1]Sheet1!$C:$C,A185)</f>
        <v>0</v>
      </c>
      <c r="T185" s="10">
        <f t="shared" si="8"/>
        <v>0</v>
      </c>
      <c r="U185" s="9"/>
      <c r="X185" t="s">
        <v>62</v>
      </c>
      <c r="Y185" t="s">
        <v>202</v>
      </c>
      <c r="Z185" t="s">
        <v>113</v>
      </c>
      <c r="AB185" t="str">
        <f t="shared" si="6"/>
        <v>06412</v>
      </c>
    </row>
    <row r="186" ht="14.25" spans="1:28">
      <c r="A186" s="5" t="s">
        <v>28</v>
      </c>
      <c r="B186" s="5" t="s">
        <v>197</v>
      </c>
      <c r="C186" s="5">
        <v>2027</v>
      </c>
      <c r="D186" s="5" t="s">
        <v>30</v>
      </c>
      <c r="E186" s="9" t="s">
        <v>198</v>
      </c>
      <c r="F186" s="9" t="s">
        <v>199</v>
      </c>
      <c r="G186" s="9" t="s">
        <v>159</v>
      </c>
      <c r="H186" s="9" t="s">
        <v>200</v>
      </c>
      <c r="I186" s="9" t="s">
        <v>119</v>
      </c>
      <c r="J186" s="9" t="s">
        <v>36</v>
      </c>
      <c r="K186" s="9">
        <v>890</v>
      </c>
      <c r="L186" s="9"/>
      <c r="M186" s="9"/>
      <c r="N186" s="9"/>
      <c r="O186" s="9" t="s">
        <v>201</v>
      </c>
      <c r="P186" s="9" t="s">
        <v>203</v>
      </c>
      <c r="Q186" s="9"/>
      <c r="R186" s="10"/>
      <c r="S186" s="10"/>
      <c r="T186" s="10"/>
      <c r="U186" s="9"/>
      <c r="X186" t="s">
        <v>62</v>
      </c>
      <c r="Y186" t="s">
        <v>202</v>
      </c>
      <c r="Z186" t="s">
        <v>113</v>
      </c>
      <c r="AB186" t="str">
        <f t="shared" si="6"/>
        <v>06412</v>
      </c>
    </row>
    <row r="187" ht="14.25" spans="1:28">
      <c r="A187" s="5" t="s">
        <v>28</v>
      </c>
      <c r="B187" s="5" t="s">
        <v>197</v>
      </c>
      <c r="C187" s="5">
        <v>2027</v>
      </c>
      <c r="D187" s="5" t="s">
        <v>30</v>
      </c>
      <c r="E187" s="9" t="s">
        <v>198</v>
      </c>
      <c r="F187" s="9" t="s">
        <v>199</v>
      </c>
      <c r="G187" s="9" t="s">
        <v>159</v>
      </c>
      <c r="H187" s="9" t="s">
        <v>200</v>
      </c>
      <c r="I187" s="9" t="s">
        <v>119</v>
      </c>
      <c r="J187" s="9" t="s">
        <v>36</v>
      </c>
      <c r="K187" s="9">
        <v>890</v>
      </c>
      <c r="L187" s="9"/>
      <c r="M187" s="9"/>
      <c r="N187" s="9"/>
      <c r="O187" s="9" t="s">
        <v>201</v>
      </c>
      <c r="P187" s="9" t="s">
        <v>204</v>
      </c>
      <c r="Q187" s="9"/>
      <c r="R187" s="10"/>
      <c r="S187" s="10"/>
      <c r="T187" s="10"/>
      <c r="U187" s="9"/>
      <c r="X187" t="s">
        <v>62</v>
      </c>
      <c r="Y187" t="s">
        <v>202</v>
      </c>
      <c r="Z187" t="s">
        <v>113</v>
      </c>
      <c r="AB187" t="str">
        <f t="shared" si="6"/>
        <v>06412</v>
      </c>
    </row>
    <row r="188" ht="14.25" spans="1:28">
      <c r="A188" s="5" t="s">
        <v>28</v>
      </c>
      <c r="B188" s="5" t="s">
        <v>197</v>
      </c>
      <c r="C188" s="5">
        <v>2027</v>
      </c>
      <c r="D188" s="5" t="s">
        <v>30</v>
      </c>
      <c r="E188" s="9" t="s">
        <v>198</v>
      </c>
      <c r="F188" s="9" t="s">
        <v>199</v>
      </c>
      <c r="G188" s="9" t="s">
        <v>159</v>
      </c>
      <c r="H188" s="9" t="s">
        <v>200</v>
      </c>
      <c r="I188" s="9" t="s">
        <v>119</v>
      </c>
      <c r="J188" s="9" t="s">
        <v>36</v>
      </c>
      <c r="K188" s="9">
        <v>890</v>
      </c>
      <c r="L188" s="9"/>
      <c r="M188" s="9"/>
      <c r="N188" s="9"/>
      <c r="O188" s="9" t="s">
        <v>201</v>
      </c>
      <c r="P188" s="9" t="s">
        <v>205</v>
      </c>
      <c r="Q188" s="9"/>
      <c r="R188" s="10"/>
      <c r="S188" s="10"/>
      <c r="T188" s="10"/>
      <c r="U188" s="9"/>
      <c r="X188" t="s">
        <v>62</v>
      </c>
      <c r="Y188" t="s">
        <v>202</v>
      </c>
      <c r="Z188" t="s">
        <v>113</v>
      </c>
      <c r="AB188" t="str">
        <f t="shared" si="6"/>
        <v>06412</v>
      </c>
    </row>
    <row r="189" ht="14.25" spans="1:28">
      <c r="A189" s="5" t="s">
        <v>28</v>
      </c>
      <c r="B189" s="5" t="s">
        <v>197</v>
      </c>
      <c r="C189" s="5">
        <v>2027</v>
      </c>
      <c r="D189" s="5" t="s">
        <v>30</v>
      </c>
      <c r="E189" s="9" t="s">
        <v>198</v>
      </c>
      <c r="F189" s="9" t="s">
        <v>199</v>
      </c>
      <c r="G189" s="9" t="s">
        <v>159</v>
      </c>
      <c r="H189" s="9" t="s">
        <v>200</v>
      </c>
      <c r="I189" s="9" t="s">
        <v>119</v>
      </c>
      <c r="J189" s="9" t="s">
        <v>36</v>
      </c>
      <c r="K189" s="9">
        <v>890</v>
      </c>
      <c r="L189" s="9"/>
      <c r="M189" s="9"/>
      <c r="N189" s="9"/>
      <c r="O189" s="9" t="s">
        <v>201</v>
      </c>
      <c r="P189" s="9" t="s">
        <v>206</v>
      </c>
      <c r="Q189" s="9"/>
      <c r="R189" s="10"/>
      <c r="S189" s="10"/>
      <c r="T189" s="10"/>
      <c r="U189" s="9"/>
      <c r="X189" t="s">
        <v>62</v>
      </c>
      <c r="Y189" t="s">
        <v>202</v>
      </c>
      <c r="Z189" t="s">
        <v>113</v>
      </c>
      <c r="AB189" t="str">
        <f t="shared" si="6"/>
        <v>06412</v>
      </c>
    </row>
    <row r="190" ht="14.25" spans="1:28">
      <c r="A190" s="5" t="s">
        <v>28</v>
      </c>
      <c r="B190" s="5" t="s">
        <v>197</v>
      </c>
      <c r="C190" s="5">
        <v>2027</v>
      </c>
      <c r="D190" s="5" t="s">
        <v>30</v>
      </c>
      <c r="E190" s="9" t="s">
        <v>198</v>
      </c>
      <c r="F190" s="9" t="s">
        <v>199</v>
      </c>
      <c r="G190" s="9" t="s">
        <v>159</v>
      </c>
      <c r="H190" s="9" t="s">
        <v>200</v>
      </c>
      <c r="I190" s="9" t="s">
        <v>119</v>
      </c>
      <c r="J190" s="9" t="s">
        <v>36</v>
      </c>
      <c r="K190" s="9">
        <v>890</v>
      </c>
      <c r="L190" s="9"/>
      <c r="M190" s="9"/>
      <c r="N190" s="9"/>
      <c r="O190" s="9" t="s">
        <v>201</v>
      </c>
      <c r="P190" s="9" t="s">
        <v>207</v>
      </c>
      <c r="Q190" s="9"/>
      <c r="R190" s="10"/>
      <c r="S190" s="10"/>
      <c r="T190" s="10"/>
      <c r="U190" s="9"/>
      <c r="X190" t="s">
        <v>62</v>
      </c>
      <c r="Y190" t="s">
        <v>202</v>
      </c>
      <c r="Z190" t="s">
        <v>113</v>
      </c>
      <c r="AB190" t="str">
        <f t="shared" si="6"/>
        <v>06412</v>
      </c>
    </row>
    <row r="191" ht="14.25" spans="1:28">
      <c r="A191" s="5" t="s">
        <v>28</v>
      </c>
      <c r="B191" s="5" t="s">
        <v>197</v>
      </c>
      <c r="C191" s="5">
        <v>2027</v>
      </c>
      <c r="D191" s="5" t="s">
        <v>30</v>
      </c>
      <c r="E191" s="9" t="s">
        <v>198</v>
      </c>
      <c r="F191" s="9" t="s">
        <v>199</v>
      </c>
      <c r="G191" s="9" t="s">
        <v>159</v>
      </c>
      <c r="H191" s="9" t="s">
        <v>200</v>
      </c>
      <c r="I191" s="9" t="s">
        <v>119</v>
      </c>
      <c r="J191" s="9" t="s">
        <v>36</v>
      </c>
      <c r="K191" s="9">
        <v>890</v>
      </c>
      <c r="L191" s="9"/>
      <c r="M191" s="9"/>
      <c r="N191" s="9"/>
      <c r="O191" s="9" t="s">
        <v>201</v>
      </c>
      <c r="P191" s="9" t="s">
        <v>208</v>
      </c>
      <c r="Q191" s="9"/>
      <c r="R191" s="10"/>
      <c r="S191" s="10"/>
      <c r="T191" s="10"/>
      <c r="U191" s="9"/>
      <c r="X191" t="s">
        <v>62</v>
      </c>
      <c r="Y191" t="s">
        <v>202</v>
      </c>
      <c r="Z191" t="s">
        <v>113</v>
      </c>
      <c r="AB191" t="str">
        <f t="shared" si="6"/>
        <v>06412</v>
      </c>
    </row>
    <row r="192" ht="14.25" spans="1:28">
      <c r="A192" s="5" t="s">
        <v>28</v>
      </c>
      <c r="B192" s="5" t="s">
        <v>197</v>
      </c>
      <c r="C192" s="5">
        <v>2027</v>
      </c>
      <c r="D192" s="5" t="s">
        <v>30</v>
      </c>
      <c r="E192" s="9" t="s">
        <v>198</v>
      </c>
      <c r="F192" s="9" t="s">
        <v>199</v>
      </c>
      <c r="G192" s="9" t="s">
        <v>159</v>
      </c>
      <c r="H192" s="9" t="s">
        <v>200</v>
      </c>
      <c r="I192" s="9" t="s">
        <v>119</v>
      </c>
      <c r="J192" s="9" t="s">
        <v>36</v>
      </c>
      <c r="K192" s="9">
        <v>890</v>
      </c>
      <c r="L192" s="9"/>
      <c r="M192" s="9"/>
      <c r="N192" s="9"/>
      <c r="O192" s="9" t="s">
        <v>201</v>
      </c>
      <c r="P192" s="9" t="s">
        <v>209</v>
      </c>
      <c r="Q192" s="9"/>
      <c r="R192" s="10"/>
      <c r="S192" s="10"/>
      <c r="T192" s="10"/>
      <c r="U192" s="9"/>
      <c r="X192" t="s">
        <v>62</v>
      </c>
      <c r="Y192" t="s">
        <v>202</v>
      </c>
      <c r="Z192" t="s">
        <v>113</v>
      </c>
      <c r="AB192" t="str">
        <f t="shared" si="6"/>
        <v>06412</v>
      </c>
    </row>
    <row r="193" ht="14.25" spans="1:28">
      <c r="A193" s="5" t="s">
        <v>28</v>
      </c>
      <c r="B193" s="5" t="s">
        <v>197</v>
      </c>
      <c r="C193" s="5">
        <v>2027</v>
      </c>
      <c r="D193" s="5" t="s">
        <v>30</v>
      </c>
      <c r="E193" s="9" t="s">
        <v>198</v>
      </c>
      <c r="F193" s="9" t="s">
        <v>199</v>
      </c>
      <c r="G193" s="9" t="s">
        <v>159</v>
      </c>
      <c r="H193" s="9" t="s">
        <v>200</v>
      </c>
      <c r="I193" s="9" t="s">
        <v>119</v>
      </c>
      <c r="J193" s="9" t="s">
        <v>36</v>
      </c>
      <c r="K193" s="9">
        <v>890</v>
      </c>
      <c r="L193" s="9"/>
      <c r="M193" s="9"/>
      <c r="N193" s="9"/>
      <c r="O193" s="9" t="s">
        <v>201</v>
      </c>
      <c r="P193" s="9" t="s">
        <v>210</v>
      </c>
      <c r="Q193" s="9"/>
      <c r="R193" s="10"/>
      <c r="S193" s="10"/>
      <c r="T193" s="10"/>
      <c r="U193" s="9"/>
      <c r="X193" t="s">
        <v>62</v>
      </c>
      <c r="Y193" t="s">
        <v>202</v>
      </c>
      <c r="Z193" t="s">
        <v>113</v>
      </c>
      <c r="AB193" t="str">
        <f t="shared" si="6"/>
        <v>06412</v>
      </c>
    </row>
    <row r="194" ht="14.25" spans="1:28">
      <c r="A194" s="5" t="s">
        <v>28</v>
      </c>
      <c r="B194" s="5" t="s">
        <v>197</v>
      </c>
      <c r="C194" s="5">
        <v>2027</v>
      </c>
      <c r="D194" s="5" t="s">
        <v>30</v>
      </c>
      <c r="E194" s="9" t="s">
        <v>211</v>
      </c>
      <c r="F194" s="9" t="s">
        <v>212</v>
      </c>
      <c r="G194" s="9" t="s">
        <v>213</v>
      </c>
      <c r="H194" s="9" t="s">
        <v>214</v>
      </c>
      <c r="I194" s="9" t="s">
        <v>147</v>
      </c>
      <c r="J194" s="9" t="s">
        <v>36</v>
      </c>
      <c r="K194" s="9">
        <v>990</v>
      </c>
      <c r="L194" s="9"/>
      <c r="M194" s="9"/>
      <c r="N194" s="9"/>
      <c r="O194" s="9" t="s">
        <v>215</v>
      </c>
      <c r="P194" s="9" t="s">
        <v>77</v>
      </c>
      <c r="Q194" s="9"/>
      <c r="R194" s="10">
        <f t="shared" ref="R194:R257" si="9">SUMIFS(Q:Q,E:E,E194)</f>
        <v>0</v>
      </c>
      <c r="S194" s="10">
        <f>SUMIFS([1]Sheet1!$T:$T,[1]Sheet1!$I:$I,E194,[1]Sheet1!$C:$C,A194)</f>
        <v>0</v>
      </c>
      <c r="T194" s="10">
        <f t="shared" ref="T194:T257" si="10">R194-S194</f>
        <v>0</v>
      </c>
      <c r="U194" s="9"/>
      <c r="Y194" t="s">
        <v>216</v>
      </c>
      <c r="Z194" t="s">
        <v>113</v>
      </c>
      <c r="AB194" t="str">
        <f t="shared" si="6"/>
        <v>09896</v>
      </c>
    </row>
    <row r="195" ht="14.25" spans="1:28">
      <c r="A195" s="5" t="s">
        <v>28</v>
      </c>
      <c r="B195" s="5" t="s">
        <v>197</v>
      </c>
      <c r="C195" s="5">
        <v>2027</v>
      </c>
      <c r="D195" s="5" t="s">
        <v>30</v>
      </c>
      <c r="E195" s="9" t="s">
        <v>211</v>
      </c>
      <c r="F195" s="9" t="s">
        <v>212</v>
      </c>
      <c r="G195" s="9" t="s">
        <v>213</v>
      </c>
      <c r="H195" s="9" t="s">
        <v>214</v>
      </c>
      <c r="I195" s="9" t="s">
        <v>147</v>
      </c>
      <c r="J195" s="9" t="s">
        <v>36</v>
      </c>
      <c r="K195" s="9">
        <v>990</v>
      </c>
      <c r="L195" s="9"/>
      <c r="M195" s="9"/>
      <c r="N195" s="9"/>
      <c r="O195" s="9" t="s">
        <v>215</v>
      </c>
      <c r="P195" s="9" t="s">
        <v>217</v>
      </c>
      <c r="Q195" s="9"/>
      <c r="R195" s="10"/>
      <c r="S195" s="10"/>
      <c r="T195" s="10"/>
      <c r="U195" s="9"/>
      <c r="Y195" t="s">
        <v>216</v>
      </c>
      <c r="Z195" t="s">
        <v>113</v>
      </c>
      <c r="AB195" t="str">
        <f t="shared" ref="AB195:AB258" si="11">MID(E195,6,5)</f>
        <v>09896</v>
      </c>
    </row>
    <row r="196" ht="14.25" spans="1:28">
      <c r="A196" s="5" t="s">
        <v>28</v>
      </c>
      <c r="B196" s="5" t="s">
        <v>197</v>
      </c>
      <c r="C196" s="5">
        <v>2027</v>
      </c>
      <c r="D196" s="5" t="s">
        <v>30</v>
      </c>
      <c r="E196" s="9" t="s">
        <v>211</v>
      </c>
      <c r="F196" s="9" t="s">
        <v>212</v>
      </c>
      <c r="G196" s="9" t="s">
        <v>213</v>
      </c>
      <c r="H196" s="9" t="s">
        <v>214</v>
      </c>
      <c r="I196" s="9" t="s">
        <v>147</v>
      </c>
      <c r="J196" s="9" t="s">
        <v>36</v>
      </c>
      <c r="K196" s="9">
        <v>990</v>
      </c>
      <c r="L196" s="9"/>
      <c r="M196" s="9"/>
      <c r="N196" s="9"/>
      <c r="O196" s="9" t="s">
        <v>215</v>
      </c>
      <c r="P196" s="9" t="s">
        <v>78</v>
      </c>
      <c r="Q196" s="9"/>
      <c r="R196" s="10"/>
      <c r="S196" s="10"/>
      <c r="T196" s="10"/>
      <c r="U196" s="9"/>
      <c r="Y196" t="s">
        <v>216</v>
      </c>
      <c r="Z196" t="s">
        <v>113</v>
      </c>
      <c r="AB196" t="str">
        <f t="shared" si="11"/>
        <v>09896</v>
      </c>
    </row>
    <row r="197" ht="14.25" spans="1:28">
      <c r="A197" s="5" t="s">
        <v>28</v>
      </c>
      <c r="B197" s="5" t="s">
        <v>197</v>
      </c>
      <c r="C197" s="5">
        <v>2027</v>
      </c>
      <c r="D197" s="5" t="s">
        <v>30</v>
      </c>
      <c r="E197" s="9" t="s">
        <v>211</v>
      </c>
      <c r="F197" s="9" t="s">
        <v>212</v>
      </c>
      <c r="G197" s="9" t="s">
        <v>213</v>
      </c>
      <c r="H197" s="9" t="s">
        <v>214</v>
      </c>
      <c r="I197" s="9" t="s">
        <v>147</v>
      </c>
      <c r="J197" s="9" t="s">
        <v>36</v>
      </c>
      <c r="K197" s="9">
        <v>990</v>
      </c>
      <c r="L197" s="9"/>
      <c r="M197" s="9"/>
      <c r="N197" s="9"/>
      <c r="O197" s="9" t="s">
        <v>215</v>
      </c>
      <c r="P197" s="9" t="s">
        <v>218</v>
      </c>
      <c r="Q197" s="9"/>
      <c r="R197" s="10"/>
      <c r="S197" s="10"/>
      <c r="T197" s="10"/>
      <c r="U197" s="9"/>
      <c r="Y197" t="s">
        <v>216</v>
      </c>
      <c r="Z197" t="s">
        <v>113</v>
      </c>
      <c r="AB197" t="str">
        <f t="shared" si="11"/>
        <v>09896</v>
      </c>
    </row>
    <row r="198" ht="14.25" spans="1:28">
      <c r="A198" s="5" t="s">
        <v>28</v>
      </c>
      <c r="B198" s="5" t="s">
        <v>197</v>
      </c>
      <c r="C198" s="5">
        <v>2027</v>
      </c>
      <c r="D198" s="5" t="s">
        <v>30</v>
      </c>
      <c r="E198" s="9" t="s">
        <v>211</v>
      </c>
      <c r="F198" s="9" t="s">
        <v>212</v>
      </c>
      <c r="G198" s="9" t="s">
        <v>213</v>
      </c>
      <c r="H198" s="9" t="s">
        <v>214</v>
      </c>
      <c r="I198" s="9" t="s">
        <v>147</v>
      </c>
      <c r="J198" s="9" t="s">
        <v>36</v>
      </c>
      <c r="K198" s="9">
        <v>990</v>
      </c>
      <c r="L198" s="9"/>
      <c r="M198" s="9"/>
      <c r="N198" s="9"/>
      <c r="O198" s="9" t="s">
        <v>215</v>
      </c>
      <c r="P198" s="9" t="s">
        <v>79</v>
      </c>
      <c r="Q198" s="9"/>
      <c r="R198" s="10"/>
      <c r="S198" s="10"/>
      <c r="T198" s="10"/>
      <c r="U198" s="9"/>
      <c r="Y198" t="s">
        <v>216</v>
      </c>
      <c r="Z198" t="s">
        <v>113</v>
      </c>
      <c r="AB198" t="str">
        <f t="shared" si="11"/>
        <v>09896</v>
      </c>
    </row>
    <row r="199" ht="14.25" spans="1:28">
      <c r="A199" s="5" t="s">
        <v>28</v>
      </c>
      <c r="B199" s="5" t="s">
        <v>197</v>
      </c>
      <c r="C199" s="5">
        <v>2027</v>
      </c>
      <c r="D199" s="5" t="s">
        <v>30</v>
      </c>
      <c r="E199" s="9" t="s">
        <v>211</v>
      </c>
      <c r="F199" s="9" t="s">
        <v>212</v>
      </c>
      <c r="G199" s="9" t="s">
        <v>213</v>
      </c>
      <c r="H199" s="9" t="s">
        <v>214</v>
      </c>
      <c r="I199" s="9" t="s">
        <v>147</v>
      </c>
      <c r="J199" s="9" t="s">
        <v>36</v>
      </c>
      <c r="K199" s="9">
        <v>990</v>
      </c>
      <c r="L199" s="9"/>
      <c r="M199" s="9"/>
      <c r="N199" s="9"/>
      <c r="O199" s="9" t="s">
        <v>215</v>
      </c>
      <c r="P199" s="9" t="s">
        <v>203</v>
      </c>
      <c r="Q199" s="9"/>
      <c r="R199" s="10"/>
      <c r="S199" s="10"/>
      <c r="T199" s="10"/>
      <c r="U199" s="9"/>
      <c r="Y199" t="s">
        <v>216</v>
      </c>
      <c r="Z199" t="s">
        <v>113</v>
      </c>
      <c r="AB199" t="str">
        <f t="shared" si="11"/>
        <v>09896</v>
      </c>
    </row>
    <row r="200" ht="14.25" spans="1:28">
      <c r="A200" s="5" t="s">
        <v>28</v>
      </c>
      <c r="B200" s="5" t="s">
        <v>197</v>
      </c>
      <c r="C200" s="5">
        <v>2027</v>
      </c>
      <c r="D200" s="5" t="s">
        <v>30</v>
      </c>
      <c r="E200" s="9" t="s">
        <v>211</v>
      </c>
      <c r="F200" s="9" t="s">
        <v>212</v>
      </c>
      <c r="G200" s="9" t="s">
        <v>213</v>
      </c>
      <c r="H200" s="9" t="s">
        <v>214</v>
      </c>
      <c r="I200" s="9" t="s">
        <v>147</v>
      </c>
      <c r="J200" s="9" t="s">
        <v>36</v>
      </c>
      <c r="K200" s="9">
        <v>990</v>
      </c>
      <c r="L200" s="9"/>
      <c r="M200" s="9"/>
      <c r="N200" s="9"/>
      <c r="O200" s="9" t="s">
        <v>215</v>
      </c>
      <c r="P200" s="9" t="s">
        <v>204</v>
      </c>
      <c r="Q200" s="9"/>
      <c r="R200" s="10"/>
      <c r="S200" s="10"/>
      <c r="T200" s="10"/>
      <c r="U200" s="9"/>
      <c r="Y200" t="s">
        <v>216</v>
      </c>
      <c r="Z200" t="s">
        <v>113</v>
      </c>
      <c r="AB200" t="str">
        <f t="shared" si="11"/>
        <v>09896</v>
      </c>
    </row>
    <row r="201" ht="14.25" spans="1:28">
      <c r="A201" s="5" t="s">
        <v>28</v>
      </c>
      <c r="B201" s="5" t="s">
        <v>197</v>
      </c>
      <c r="C201" s="5">
        <v>2027</v>
      </c>
      <c r="D201" s="5" t="s">
        <v>30</v>
      </c>
      <c r="E201" s="9" t="s">
        <v>219</v>
      </c>
      <c r="F201" s="9" t="s">
        <v>220</v>
      </c>
      <c r="G201" s="9" t="s">
        <v>221</v>
      </c>
      <c r="H201" s="9" t="s">
        <v>222</v>
      </c>
      <c r="I201" s="9" t="s">
        <v>119</v>
      </c>
      <c r="J201" s="9" t="s">
        <v>74</v>
      </c>
      <c r="K201" s="9">
        <v>1590</v>
      </c>
      <c r="L201" s="9"/>
      <c r="M201" s="9"/>
      <c r="N201" s="9"/>
      <c r="O201" s="9" t="s">
        <v>68</v>
      </c>
      <c r="P201" s="9" t="s">
        <v>69</v>
      </c>
      <c r="Q201" s="9"/>
      <c r="R201" s="10">
        <f t="shared" si="9"/>
        <v>0</v>
      </c>
      <c r="S201" s="10"/>
      <c r="T201" s="10">
        <f t="shared" si="10"/>
        <v>0</v>
      </c>
      <c r="U201" s="9" t="s">
        <v>136</v>
      </c>
      <c r="V201" t="s">
        <v>137</v>
      </c>
      <c r="W201" t="s">
        <v>138</v>
      </c>
      <c r="X201" t="s">
        <v>70</v>
      </c>
      <c r="Y201" t="s">
        <v>223</v>
      </c>
      <c r="Z201" t="s">
        <v>71</v>
      </c>
      <c r="AB201" t="str">
        <f t="shared" si="11"/>
        <v>46283</v>
      </c>
    </row>
    <row r="202" ht="14.25" spans="1:28">
      <c r="A202" s="5" t="s">
        <v>28</v>
      </c>
      <c r="B202" s="5" t="s">
        <v>197</v>
      </c>
      <c r="C202" s="5">
        <v>2027</v>
      </c>
      <c r="D202" s="5" t="s">
        <v>30</v>
      </c>
      <c r="E202" s="9" t="s">
        <v>219</v>
      </c>
      <c r="F202" s="9" t="s">
        <v>220</v>
      </c>
      <c r="G202" s="9" t="s">
        <v>221</v>
      </c>
      <c r="H202" s="9" t="s">
        <v>222</v>
      </c>
      <c r="I202" s="9" t="s">
        <v>119</v>
      </c>
      <c r="J202" s="9" t="s">
        <v>74</v>
      </c>
      <c r="K202" s="9">
        <v>1590</v>
      </c>
      <c r="L202" s="9"/>
      <c r="M202" s="9"/>
      <c r="N202" s="9"/>
      <c r="O202" s="9" t="s">
        <v>68</v>
      </c>
      <c r="P202" s="9" t="s">
        <v>72</v>
      </c>
      <c r="Q202" s="9"/>
      <c r="R202" s="10"/>
      <c r="S202" s="10"/>
      <c r="T202" s="10"/>
      <c r="U202" s="9" t="s">
        <v>136</v>
      </c>
      <c r="V202" t="s">
        <v>137</v>
      </c>
      <c r="W202" t="s">
        <v>138</v>
      </c>
      <c r="X202" t="s">
        <v>70</v>
      </c>
      <c r="Y202" t="s">
        <v>223</v>
      </c>
      <c r="Z202" t="s">
        <v>71</v>
      </c>
      <c r="AB202" t="str">
        <f t="shared" si="11"/>
        <v>46283</v>
      </c>
    </row>
    <row r="203" ht="14.25" spans="1:28">
      <c r="A203" s="5" t="s">
        <v>28</v>
      </c>
      <c r="B203" s="5" t="s">
        <v>197</v>
      </c>
      <c r="C203" s="5">
        <v>2027</v>
      </c>
      <c r="D203" s="5" t="s">
        <v>30</v>
      </c>
      <c r="E203" s="9" t="s">
        <v>219</v>
      </c>
      <c r="F203" s="9" t="s">
        <v>220</v>
      </c>
      <c r="G203" s="9" t="s">
        <v>221</v>
      </c>
      <c r="H203" s="9" t="s">
        <v>222</v>
      </c>
      <c r="I203" s="9" t="s">
        <v>119</v>
      </c>
      <c r="J203" s="9" t="s">
        <v>74</v>
      </c>
      <c r="K203" s="9">
        <v>1590</v>
      </c>
      <c r="L203" s="9"/>
      <c r="M203" s="9"/>
      <c r="N203" s="9"/>
      <c r="O203" s="9" t="s">
        <v>68</v>
      </c>
      <c r="P203" s="9" t="s">
        <v>73</v>
      </c>
      <c r="Q203" s="9"/>
      <c r="R203" s="10"/>
      <c r="S203" s="10"/>
      <c r="T203" s="10"/>
      <c r="U203" s="9" t="s">
        <v>136</v>
      </c>
      <c r="V203" t="s">
        <v>137</v>
      </c>
      <c r="W203" t="s">
        <v>138</v>
      </c>
      <c r="X203" t="s">
        <v>70</v>
      </c>
      <c r="Y203" t="s">
        <v>223</v>
      </c>
      <c r="Z203" t="s">
        <v>71</v>
      </c>
      <c r="AB203" t="str">
        <f t="shared" si="11"/>
        <v>46283</v>
      </c>
    </row>
    <row r="204" ht="14.25" spans="1:28">
      <c r="A204" s="5" t="s">
        <v>28</v>
      </c>
      <c r="B204" s="5" t="s">
        <v>197</v>
      </c>
      <c r="C204" s="5">
        <v>2027</v>
      </c>
      <c r="D204" s="5" t="s">
        <v>30</v>
      </c>
      <c r="E204" s="9" t="s">
        <v>219</v>
      </c>
      <c r="F204" s="9" t="s">
        <v>220</v>
      </c>
      <c r="G204" s="9" t="s">
        <v>221</v>
      </c>
      <c r="H204" s="9" t="s">
        <v>222</v>
      </c>
      <c r="I204" s="9" t="s">
        <v>119</v>
      </c>
      <c r="J204" s="9" t="s">
        <v>74</v>
      </c>
      <c r="K204" s="9">
        <v>1590</v>
      </c>
      <c r="L204" s="9"/>
      <c r="M204" s="9"/>
      <c r="N204" s="9"/>
      <c r="O204" s="9" t="s">
        <v>68</v>
      </c>
      <c r="P204" s="9" t="s">
        <v>74</v>
      </c>
      <c r="Q204" s="9"/>
      <c r="R204" s="10"/>
      <c r="S204" s="10"/>
      <c r="T204" s="10"/>
      <c r="U204" s="9" t="s">
        <v>136</v>
      </c>
      <c r="V204" t="s">
        <v>137</v>
      </c>
      <c r="W204" t="s">
        <v>138</v>
      </c>
      <c r="X204" t="s">
        <v>70</v>
      </c>
      <c r="Y204" t="s">
        <v>223</v>
      </c>
      <c r="Z204" t="s">
        <v>71</v>
      </c>
      <c r="AB204" t="str">
        <f t="shared" si="11"/>
        <v>46283</v>
      </c>
    </row>
    <row r="205" ht="14.25" spans="1:28">
      <c r="A205" s="5" t="s">
        <v>28</v>
      </c>
      <c r="B205" s="5" t="s">
        <v>197</v>
      </c>
      <c r="C205" s="5">
        <v>2027</v>
      </c>
      <c r="D205" s="5" t="s">
        <v>30</v>
      </c>
      <c r="E205" s="9" t="s">
        <v>219</v>
      </c>
      <c r="F205" s="9" t="s">
        <v>220</v>
      </c>
      <c r="G205" s="9" t="s">
        <v>221</v>
      </c>
      <c r="H205" s="9" t="s">
        <v>222</v>
      </c>
      <c r="I205" s="9" t="s">
        <v>119</v>
      </c>
      <c r="J205" s="9" t="s">
        <v>74</v>
      </c>
      <c r="K205" s="9">
        <v>1590</v>
      </c>
      <c r="L205" s="9"/>
      <c r="M205" s="9"/>
      <c r="N205" s="9"/>
      <c r="O205" s="9" t="s">
        <v>68</v>
      </c>
      <c r="P205" s="9" t="s">
        <v>75</v>
      </c>
      <c r="Q205" s="9"/>
      <c r="R205" s="10"/>
      <c r="S205" s="10"/>
      <c r="T205" s="10"/>
      <c r="U205" s="9" t="s">
        <v>136</v>
      </c>
      <c r="V205" t="s">
        <v>137</v>
      </c>
      <c r="W205" t="s">
        <v>138</v>
      </c>
      <c r="X205" t="s">
        <v>70</v>
      </c>
      <c r="Y205" t="s">
        <v>223</v>
      </c>
      <c r="Z205" t="s">
        <v>71</v>
      </c>
      <c r="AB205" t="str">
        <f t="shared" si="11"/>
        <v>46283</v>
      </c>
    </row>
    <row r="206" ht="14.25" spans="1:28">
      <c r="A206" s="5" t="s">
        <v>28</v>
      </c>
      <c r="B206" s="5" t="s">
        <v>197</v>
      </c>
      <c r="C206" s="5">
        <v>2027</v>
      </c>
      <c r="D206" s="5" t="s">
        <v>30</v>
      </c>
      <c r="E206" s="9" t="s">
        <v>219</v>
      </c>
      <c r="F206" s="9" t="s">
        <v>220</v>
      </c>
      <c r="G206" s="9" t="s">
        <v>221</v>
      </c>
      <c r="H206" s="9" t="s">
        <v>222</v>
      </c>
      <c r="I206" s="9" t="s">
        <v>119</v>
      </c>
      <c r="J206" s="9" t="s">
        <v>74</v>
      </c>
      <c r="K206" s="9">
        <v>1590</v>
      </c>
      <c r="L206" s="9"/>
      <c r="M206" s="9"/>
      <c r="N206" s="9"/>
      <c r="O206" s="9" t="s">
        <v>68</v>
      </c>
      <c r="P206" s="9" t="s">
        <v>76</v>
      </c>
      <c r="Q206" s="9"/>
      <c r="R206" s="10"/>
      <c r="S206" s="10"/>
      <c r="T206" s="10"/>
      <c r="U206" s="9" t="s">
        <v>136</v>
      </c>
      <c r="V206" t="s">
        <v>137</v>
      </c>
      <c r="W206" t="s">
        <v>138</v>
      </c>
      <c r="X206" t="s">
        <v>70</v>
      </c>
      <c r="Y206" t="s">
        <v>223</v>
      </c>
      <c r="Z206" t="s">
        <v>71</v>
      </c>
      <c r="AB206" t="str">
        <f t="shared" si="11"/>
        <v>46283</v>
      </c>
    </row>
    <row r="207" ht="14.25" spans="1:28">
      <c r="A207" s="5" t="s">
        <v>28</v>
      </c>
      <c r="B207" s="5" t="s">
        <v>197</v>
      </c>
      <c r="C207" s="5">
        <v>2027</v>
      </c>
      <c r="D207" s="5" t="s">
        <v>30</v>
      </c>
      <c r="E207" s="9" t="s">
        <v>219</v>
      </c>
      <c r="F207" s="9" t="s">
        <v>220</v>
      </c>
      <c r="G207" s="9" t="s">
        <v>221</v>
      </c>
      <c r="H207" s="9" t="s">
        <v>222</v>
      </c>
      <c r="I207" s="9" t="s">
        <v>119</v>
      </c>
      <c r="J207" s="9" t="s">
        <v>74</v>
      </c>
      <c r="K207" s="9">
        <v>1590</v>
      </c>
      <c r="L207" s="9"/>
      <c r="M207" s="9"/>
      <c r="N207" s="9"/>
      <c r="O207" s="9" t="s">
        <v>68</v>
      </c>
      <c r="P207" s="9" t="s">
        <v>77</v>
      </c>
      <c r="Q207" s="9"/>
      <c r="R207" s="10"/>
      <c r="S207" s="10"/>
      <c r="T207" s="10"/>
      <c r="U207" s="9" t="s">
        <v>136</v>
      </c>
      <c r="V207" t="s">
        <v>137</v>
      </c>
      <c r="W207" t="s">
        <v>138</v>
      </c>
      <c r="X207" t="s">
        <v>70</v>
      </c>
      <c r="Y207" t="s">
        <v>223</v>
      </c>
      <c r="Z207" t="s">
        <v>71</v>
      </c>
      <c r="AB207" t="str">
        <f t="shared" si="11"/>
        <v>46283</v>
      </c>
    </row>
    <row r="208" ht="14.25" spans="1:28">
      <c r="A208" s="5" t="s">
        <v>28</v>
      </c>
      <c r="B208" s="5" t="s">
        <v>197</v>
      </c>
      <c r="C208" s="5">
        <v>2027</v>
      </c>
      <c r="D208" s="5" t="s">
        <v>30</v>
      </c>
      <c r="E208" s="9" t="s">
        <v>219</v>
      </c>
      <c r="F208" s="9" t="s">
        <v>220</v>
      </c>
      <c r="G208" s="9" t="s">
        <v>221</v>
      </c>
      <c r="H208" s="9" t="s">
        <v>222</v>
      </c>
      <c r="I208" s="9" t="s">
        <v>119</v>
      </c>
      <c r="J208" s="9" t="s">
        <v>74</v>
      </c>
      <c r="K208" s="9">
        <v>1590</v>
      </c>
      <c r="L208" s="9"/>
      <c r="M208" s="9"/>
      <c r="N208" s="9"/>
      <c r="O208" s="9" t="s">
        <v>68</v>
      </c>
      <c r="P208" s="9" t="s">
        <v>78</v>
      </c>
      <c r="Q208" s="9"/>
      <c r="R208" s="10"/>
      <c r="S208" s="10"/>
      <c r="T208" s="10"/>
      <c r="U208" s="9" t="s">
        <v>136</v>
      </c>
      <c r="V208" t="s">
        <v>137</v>
      </c>
      <c r="W208" t="s">
        <v>138</v>
      </c>
      <c r="X208" t="s">
        <v>70</v>
      </c>
      <c r="Y208" t="s">
        <v>223</v>
      </c>
      <c r="Z208" t="s">
        <v>71</v>
      </c>
      <c r="AB208" t="str">
        <f t="shared" si="11"/>
        <v>46283</v>
      </c>
    </row>
    <row r="209" ht="14.25" spans="1:28">
      <c r="A209" s="5" t="s">
        <v>28</v>
      </c>
      <c r="B209" s="5" t="s">
        <v>197</v>
      </c>
      <c r="C209" s="5">
        <v>2027</v>
      </c>
      <c r="D209" s="5" t="s">
        <v>30</v>
      </c>
      <c r="E209" s="9" t="s">
        <v>219</v>
      </c>
      <c r="F209" s="9" t="s">
        <v>220</v>
      </c>
      <c r="G209" s="9" t="s">
        <v>221</v>
      </c>
      <c r="H209" s="9" t="s">
        <v>222</v>
      </c>
      <c r="I209" s="9" t="s">
        <v>119</v>
      </c>
      <c r="J209" s="9" t="s">
        <v>74</v>
      </c>
      <c r="K209" s="9">
        <v>1590</v>
      </c>
      <c r="L209" s="9"/>
      <c r="M209" s="9"/>
      <c r="N209" s="9"/>
      <c r="O209" s="9" t="s">
        <v>68</v>
      </c>
      <c r="P209" s="9" t="s">
        <v>79</v>
      </c>
      <c r="Q209" s="9"/>
      <c r="R209" s="10"/>
      <c r="S209" s="10"/>
      <c r="T209" s="10"/>
      <c r="U209" s="9" t="s">
        <v>136</v>
      </c>
      <c r="V209" t="s">
        <v>137</v>
      </c>
      <c r="W209" t="s">
        <v>138</v>
      </c>
      <c r="X209" t="s">
        <v>70</v>
      </c>
      <c r="Y209" t="s">
        <v>223</v>
      </c>
      <c r="Z209" t="s">
        <v>71</v>
      </c>
      <c r="AB209" t="str">
        <f t="shared" si="11"/>
        <v>46283</v>
      </c>
    </row>
    <row r="210" ht="14.25" spans="1:28">
      <c r="A210" s="5" t="s">
        <v>28</v>
      </c>
      <c r="B210" s="5" t="s">
        <v>197</v>
      </c>
      <c r="C210" s="5">
        <v>2027</v>
      </c>
      <c r="D210" s="5" t="s">
        <v>30</v>
      </c>
      <c r="E210" s="9" t="s">
        <v>224</v>
      </c>
      <c r="F210" s="9" t="s">
        <v>225</v>
      </c>
      <c r="G210" s="9" t="s">
        <v>226</v>
      </c>
      <c r="H210" s="9" t="s">
        <v>227</v>
      </c>
      <c r="I210" s="9" t="s">
        <v>119</v>
      </c>
      <c r="J210" s="9" t="s">
        <v>36</v>
      </c>
      <c r="K210" s="9">
        <v>1590</v>
      </c>
      <c r="L210" s="9"/>
      <c r="M210" s="9"/>
      <c r="N210" s="9"/>
      <c r="O210" s="9" t="s">
        <v>37</v>
      </c>
      <c r="P210" s="9" t="s">
        <v>38</v>
      </c>
      <c r="Q210" s="9"/>
      <c r="R210" s="10">
        <f t="shared" si="9"/>
        <v>0</v>
      </c>
      <c r="S210" s="10"/>
      <c r="T210" s="10">
        <f t="shared" si="10"/>
        <v>0</v>
      </c>
      <c r="U210" s="9" t="s">
        <v>148</v>
      </c>
      <c r="V210" t="s">
        <v>164</v>
      </c>
      <c r="W210" t="s">
        <v>138</v>
      </c>
      <c r="X210" t="s">
        <v>54</v>
      </c>
      <c r="Y210" t="s">
        <v>228</v>
      </c>
      <c r="Z210" t="s">
        <v>41</v>
      </c>
      <c r="AB210" t="str">
        <f t="shared" si="11"/>
        <v>46487</v>
      </c>
    </row>
    <row r="211" ht="14.25" spans="1:28">
      <c r="A211" s="5" t="s">
        <v>28</v>
      </c>
      <c r="B211" s="5" t="s">
        <v>197</v>
      </c>
      <c r="C211" s="5">
        <v>2027</v>
      </c>
      <c r="D211" s="5" t="s">
        <v>30</v>
      </c>
      <c r="E211" s="9" t="s">
        <v>224</v>
      </c>
      <c r="F211" s="9" t="s">
        <v>225</v>
      </c>
      <c r="G211" s="9" t="s">
        <v>226</v>
      </c>
      <c r="H211" s="9" t="s">
        <v>227</v>
      </c>
      <c r="I211" s="9" t="s">
        <v>119</v>
      </c>
      <c r="J211" s="9" t="s">
        <v>36</v>
      </c>
      <c r="K211" s="9">
        <v>1590</v>
      </c>
      <c r="L211" s="9"/>
      <c r="M211" s="9"/>
      <c r="N211" s="9"/>
      <c r="O211" s="9" t="s">
        <v>37</v>
      </c>
      <c r="P211" s="9" t="s">
        <v>42</v>
      </c>
      <c r="Q211" s="9"/>
      <c r="R211" s="10"/>
      <c r="S211" s="10"/>
      <c r="T211" s="10"/>
      <c r="U211" s="9" t="s">
        <v>148</v>
      </c>
      <c r="V211" t="s">
        <v>164</v>
      </c>
      <c r="W211" t="s">
        <v>138</v>
      </c>
      <c r="X211" t="s">
        <v>54</v>
      </c>
      <c r="Y211" t="s">
        <v>228</v>
      </c>
      <c r="Z211" t="s">
        <v>41</v>
      </c>
      <c r="AB211" t="str">
        <f t="shared" si="11"/>
        <v>46487</v>
      </c>
    </row>
    <row r="212" ht="14.25" spans="1:28">
      <c r="A212" s="5" t="s">
        <v>28</v>
      </c>
      <c r="B212" s="5" t="s">
        <v>197</v>
      </c>
      <c r="C212" s="5">
        <v>2027</v>
      </c>
      <c r="D212" s="5" t="s">
        <v>30</v>
      </c>
      <c r="E212" s="9" t="s">
        <v>224</v>
      </c>
      <c r="F212" s="9" t="s">
        <v>225</v>
      </c>
      <c r="G212" s="9" t="s">
        <v>226</v>
      </c>
      <c r="H212" s="9" t="s">
        <v>227</v>
      </c>
      <c r="I212" s="9" t="s">
        <v>119</v>
      </c>
      <c r="J212" s="9" t="s">
        <v>36</v>
      </c>
      <c r="K212" s="9">
        <v>1590</v>
      </c>
      <c r="L212" s="9"/>
      <c r="M212" s="9"/>
      <c r="N212" s="9"/>
      <c r="O212" s="9" t="s">
        <v>37</v>
      </c>
      <c r="P212" s="9" t="s">
        <v>43</v>
      </c>
      <c r="Q212" s="9"/>
      <c r="R212" s="10"/>
      <c r="S212" s="10"/>
      <c r="T212" s="10"/>
      <c r="U212" s="9" t="s">
        <v>148</v>
      </c>
      <c r="V212" t="s">
        <v>164</v>
      </c>
      <c r="W212" t="s">
        <v>138</v>
      </c>
      <c r="X212" t="s">
        <v>54</v>
      </c>
      <c r="Y212" t="s">
        <v>228</v>
      </c>
      <c r="Z212" t="s">
        <v>41</v>
      </c>
      <c r="AB212" t="str">
        <f t="shared" si="11"/>
        <v>46487</v>
      </c>
    </row>
    <row r="213" ht="14.25" spans="1:28">
      <c r="A213" s="5" t="s">
        <v>28</v>
      </c>
      <c r="B213" s="5" t="s">
        <v>197</v>
      </c>
      <c r="C213" s="5">
        <v>2027</v>
      </c>
      <c r="D213" s="5" t="s">
        <v>30</v>
      </c>
      <c r="E213" s="9" t="s">
        <v>224</v>
      </c>
      <c r="F213" s="9" t="s">
        <v>225</v>
      </c>
      <c r="G213" s="9" t="s">
        <v>226</v>
      </c>
      <c r="H213" s="9" t="s">
        <v>227</v>
      </c>
      <c r="I213" s="9" t="s">
        <v>119</v>
      </c>
      <c r="J213" s="9" t="s">
        <v>36</v>
      </c>
      <c r="K213" s="9">
        <v>1590</v>
      </c>
      <c r="L213" s="9"/>
      <c r="M213" s="9"/>
      <c r="N213" s="9"/>
      <c r="O213" s="9" t="s">
        <v>37</v>
      </c>
      <c r="P213" s="9" t="s">
        <v>44</v>
      </c>
      <c r="Q213" s="9"/>
      <c r="R213" s="10"/>
      <c r="S213" s="10"/>
      <c r="T213" s="10"/>
      <c r="U213" s="9" t="s">
        <v>148</v>
      </c>
      <c r="V213" t="s">
        <v>164</v>
      </c>
      <c r="W213" t="s">
        <v>138</v>
      </c>
      <c r="X213" t="s">
        <v>54</v>
      </c>
      <c r="Y213" t="s">
        <v>228</v>
      </c>
      <c r="Z213" t="s">
        <v>41</v>
      </c>
      <c r="AB213" t="str">
        <f t="shared" si="11"/>
        <v>46487</v>
      </c>
    </row>
    <row r="214" ht="14.25" spans="1:28">
      <c r="A214" s="5" t="s">
        <v>28</v>
      </c>
      <c r="B214" s="5" t="s">
        <v>197</v>
      </c>
      <c r="C214" s="5">
        <v>2027</v>
      </c>
      <c r="D214" s="5" t="s">
        <v>30</v>
      </c>
      <c r="E214" s="9" t="s">
        <v>224</v>
      </c>
      <c r="F214" s="9" t="s">
        <v>225</v>
      </c>
      <c r="G214" s="9" t="s">
        <v>226</v>
      </c>
      <c r="H214" s="9" t="s">
        <v>227</v>
      </c>
      <c r="I214" s="9" t="s">
        <v>119</v>
      </c>
      <c r="J214" s="9" t="s">
        <v>36</v>
      </c>
      <c r="K214" s="9">
        <v>1590</v>
      </c>
      <c r="L214" s="9"/>
      <c r="M214" s="9"/>
      <c r="N214" s="9"/>
      <c r="O214" s="9" t="s">
        <v>37</v>
      </c>
      <c r="P214" s="9" t="s">
        <v>45</v>
      </c>
      <c r="Q214" s="9"/>
      <c r="R214" s="10"/>
      <c r="S214" s="10"/>
      <c r="T214" s="10"/>
      <c r="U214" s="9" t="s">
        <v>148</v>
      </c>
      <c r="V214" t="s">
        <v>164</v>
      </c>
      <c r="W214" t="s">
        <v>138</v>
      </c>
      <c r="X214" t="s">
        <v>54</v>
      </c>
      <c r="Y214" t="s">
        <v>228</v>
      </c>
      <c r="Z214" t="s">
        <v>41</v>
      </c>
      <c r="AB214" t="str">
        <f t="shared" si="11"/>
        <v>46487</v>
      </c>
    </row>
    <row r="215" ht="14.25" spans="1:28">
      <c r="A215" s="5" t="s">
        <v>28</v>
      </c>
      <c r="B215" s="5" t="s">
        <v>197</v>
      </c>
      <c r="C215" s="5">
        <v>2027</v>
      </c>
      <c r="D215" s="5" t="s">
        <v>30</v>
      </c>
      <c r="E215" s="9" t="s">
        <v>224</v>
      </c>
      <c r="F215" s="9" t="s">
        <v>225</v>
      </c>
      <c r="G215" s="9" t="s">
        <v>226</v>
      </c>
      <c r="H215" s="9" t="s">
        <v>227</v>
      </c>
      <c r="I215" s="9" t="s">
        <v>119</v>
      </c>
      <c r="J215" s="9" t="s">
        <v>36</v>
      </c>
      <c r="K215" s="9">
        <v>1590</v>
      </c>
      <c r="L215" s="9"/>
      <c r="M215" s="9"/>
      <c r="N215" s="9"/>
      <c r="O215" s="9" t="s">
        <v>37</v>
      </c>
      <c r="P215" s="9" t="s">
        <v>46</v>
      </c>
      <c r="Q215" s="9"/>
      <c r="R215" s="10"/>
      <c r="S215" s="10"/>
      <c r="T215" s="10"/>
      <c r="U215" s="9" t="s">
        <v>148</v>
      </c>
      <c r="V215" t="s">
        <v>164</v>
      </c>
      <c r="W215" t="s">
        <v>138</v>
      </c>
      <c r="X215" t="s">
        <v>54</v>
      </c>
      <c r="Y215" t="s">
        <v>228</v>
      </c>
      <c r="Z215" t="s">
        <v>41</v>
      </c>
      <c r="AB215" t="str">
        <f t="shared" si="11"/>
        <v>46487</v>
      </c>
    </row>
    <row r="216" ht="14.25" spans="1:28">
      <c r="A216" s="5" t="s">
        <v>28</v>
      </c>
      <c r="B216" s="5" t="s">
        <v>197</v>
      </c>
      <c r="C216" s="5">
        <v>2027</v>
      </c>
      <c r="D216" s="5" t="s">
        <v>30</v>
      </c>
      <c r="E216" s="9" t="s">
        <v>229</v>
      </c>
      <c r="F216" s="9" t="s">
        <v>230</v>
      </c>
      <c r="G216" s="9" t="s">
        <v>231</v>
      </c>
      <c r="H216" s="9" t="s">
        <v>232</v>
      </c>
      <c r="I216" s="9" t="s">
        <v>147</v>
      </c>
      <c r="J216" s="9" t="s">
        <v>36</v>
      </c>
      <c r="K216" s="9">
        <v>1390</v>
      </c>
      <c r="L216" s="9"/>
      <c r="M216" s="9"/>
      <c r="N216" s="9"/>
      <c r="O216" s="9" t="s">
        <v>37</v>
      </c>
      <c r="P216" s="9" t="s">
        <v>38</v>
      </c>
      <c r="Q216" s="9"/>
      <c r="R216" s="10">
        <f t="shared" si="9"/>
        <v>0</v>
      </c>
      <c r="S216" s="10"/>
      <c r="T216" s="10">
        <f t="shared" si="10"/>
        <v>0</v>
      </c>
      <c r="U216" s="9" t="s">
        <v>148</v>
      </c>
      <c r="V216" t="s">
        <v>233</v>
      </c>
      <c r="W216" t="s">
        <v>138</v>
      </c>
      <c r="X216" t="s">
        <v>54</v>
      </c>
      <c r="Y216" t="s">
        <v>40</v>
      </c>
      <c r="Z216" t="s">
        <v>155</v>
      </c>
      <c r="AB216" t="str">
        <f t="shared" si="11"/>
        <v>47519</v>
      </c>
    </row>
    <row r="217" ht="14.25" spans="1:28">
      <c r="A217" s="5" t="s">
        <v>28</v>
      </c>
      <c r="B217" s="5" t="s">
        <v>197</v>
      </c>
      <c r="C217" s="5">
        <v>2027</v>
      </c>
      <c r="D217" s="5" t="s">
        <v>30</v>
      </c>
      <c r="E217" s="9" t="s">
        <v>229</v>
      </c>
      <c r="F217" s="9" t="s">
        <v>230</v>
      </c>
      <c r="G217" s="9" t="s">
        <v>231</v>
      </c>
      <c r="H217" s="9" t="s">
        <v>232</v>
      </c>
      <c r="I217" s="9" t="s">
        <v>147</v>
      </c>
      <c r="J217" s="9" t="s">
        <v>36</v>
      </c>
      <c r="K217" s="9">
        <v>1390</v>
      </c>
      <c r="L217" s="9"/>
      <c r="M217" s="9"/>
      <c r="N217" s="9"/>
      <c r="O217" s="9" t="s">
        <v>37</v>
      </c>
      <c r="P217" s="9" t="s">
        <v>42</v>
      </c>
      <c r="Q217" s="9"/>
      <c r="R217" s="10"/>
      <c r="S217" s="10"/>
      <c r="T217" s="10"/>
      <c r="U217" s="9" t="s">
        <v>148</v>
      </c>
      <c r="V217" t="s">
        <v>233</v>
      </c>
      <c r="W217" t="s">
        <v>138</v>
      </c>
      <c r="X217" t="s">
        <v>54</v>
      </c>
      <c r="Y217" t="s">
        <v>40</v>
      </c>
      <c r="Z217" t="s">
        <v>155</v>
      </c>
      <c r="AB217" t="str">
        <f t="shared" si="11"/>
        <v>47519</v>
      </c>
    </row>
    <row r="218" ht="14.25" spans="1:28">
      <c r="A218" s="5" t="s">
        <v>28</v>
      </c>
      <c r="B218" s="5" t="s">
        <v>197</v>
      </c>
      <c r="C218" s="5">
        <v>2027</v>
      </c>
      <c r="D218" s="5" t="s">
        <v>30</v>
      </c>
      <c r="E218" s="9" t="s">
        <v>229</v>
      </c>
      <c r="F218" s="9" t="s">
        <v>230</v>
      </c>
      <c r="G218" s="9" t="s">
        <v>231</v>
      </c>
      <c r="H218" s="9" t="s">
        <v>232</v>
      </c>
      <c r="I218" s="9" t="s">
        <v>147</v>
      </c>
      <c r="J218" s="9" t="s">
        <v>36</v>
      </c>
      <c r="K218" s="9">
        <v>1390</v>
      </c>
      <c r="L218" s="9"/>
      <c r="M218" s="9"/>
      <c r="N218" s="9"/>
      <c r="O218" s="9" t="s">
        <v>37</v>
      </c>
      <c r="P218" s="9" t="s">
        <v>43</v>
      </c>
      <c r="Q218" s="9"/>
      <c r="R218" s="10"/>
      <c r="S218" s="10"/>
      <c r="T218" s="10"/>
      <c r="U218" s="9" t="s">
        <v>148</v>
      </c>
      <c r="V218" t="s">
        <v>233</v>
      </c>
      <c r="W218" t="s">
        <v>138</v>
      </c>
      <c r="X218" t="s">
        <v>54</v>
      </c>
      <c r="Y218" t="s">
        <v>40</v>
      </c>
      <c r="Z218" t="s">
        <v>155</v>
      </c>
      <c r="AB218" t="str">
        <f t="shared" si="11"/>
        <v>47519</v>
      </c>
    </row>
    <row r="219" ht="14.25" spans="1:28">
      <c r="A219" s="5" t="s">
        <v>28</v>
      </c>
      <c r="B219" s="5" t="s">
        <v>197</v>
      </c>
      <c r="C219" s="5">
        <v>2027</v>
      </c>
      <c r="D219" s="5" t="s">
        <v>30</v>
      </c>
      <c r="E219" s="9" t="s">
        <v>229</v>
      </c>
      <c r="F219" s="9" t="s">
        <v>230</v>
      </c>
      <c r="G219" s="9" t="s">
        <v>231</v>
      </c>
      <c r="H219" s="9" t="s">
        <v>232</v>
      </c>
      <c r="I219" s="9" t="s">
        <v>147</v>
      </c>
      <c r="J219" s="9" t="s">
        <v>36</v>
      </c>
      <c r="K219" s="9">
        <v>1390</v>
      </c>
      <c r="L219" s="9"/>
      <c r="M219" s="9"/>
      <c r="N219" s="9"/>
      <c r="O219" s="9" t="s">
        <v>37</v>
      </c>
      <c r="P219" s="9" t="s">
        <v>44</v>
      </c>
      <c r="Q219" s="9"/>
      <c r="R219" s="10"/>
      <c r="S219" s="10"/>
      <c r="T219" s="10"/>
      <c r="U219" s="9" t="s">
        <v>148</v>
      </c>
      <c r="V219" t="s">
        <v>233</v>
      </c>
      <c r="W219" t="s">
        <v>138</v>
      </c>
      <c r="X219" t="s">
        <v>54</v>
      </c>
      <c r="Y219" t="s">
        <v>40</v>
      </c>
      <c r="Z219" t="s">
        <v>155</v>
      </c>
      <c r="AB219" t="str">
        <f t="shared" si="11"/>
        <v>47519</v>
      </c>
    </row>
    <row r="220" ht="14.25" spans="1:28">
      <c r="A220" s="5" t="s">
        <v>28</v>
      </c>
      <c r="B220" s="5" t="s">
        <v>197</v>
      </c>
      <c r="C220" s="5">
        <v>2027</v>
      </c>
      <c r="D220" s="5" t="s">
        <v>30</v>
      </c>
      <c r="E220" s="9" t="s">
        <v>229</v>
      </c>
      <c r="F220" s="9" t="s">
        <v>230</v>
      </c>
      <c r="G220" s="9" t="s">
        <v>231</v>
      </c>
      <c r="H220" s="9" t="s">
        <v>232</v>
      </c>
      <c r="I220" s="9" t="s">
        <v>147</v>
      </c>
      <c r="J220" s="9" t="s">
        <v>36</v>
      </c>
      <c r="K220" s="9">
        <v>1390</v>
      </c>
      <c r="L220" s="9"/>
      <c r="M220" s="9"/>
      <c r="N220" s="9"/>
      <c r="O220" s="9" t="s">
        <v>37</v>
      </c>
      <c r="P220" s="9" t="s">
        <v>45</v>
      </c>
      <c r="Q220" s="9"/>
      <c r="R220" s="10"/>
      <c r="S220" s="10"/>
      <c r="T220" s="10"/>
      <c r="U220" s="9" t="s">
        <v>148</v>
      </c>
      <c r="V220" t="s">
        <v>233</v>
      </c>
      <c r="W220" t="s">
        <v>138</v>
      </c>
      <c r="X220" t="s">
        <v>54</v>
      </c>
      <c r="Y220" t="s">
        <v>40</v>
      </c>
      <c r="Z220" t="s">
        <v>155</v>
      </c>
      <c r="AB220" t="str">
        <f t="shared" si="11"/>
        <v>47519</v>
      </c>
    </row>
    <row r="221" ht="14.25" spans="1:28">
      <c r="A221" s="5" t="s">
        <v>28</v>
      </c>
      <c r="B221" s="5" t="s">
        <v>197</v>
      </c>
      <c r="C221" s="5">
        <v>2027</v>
      </c>
      <c r="D221" s="5" t="s">
        <v>30</v>
      </c>
      <c r="E221" s="9" t="s">
        <v>229</v>
      </c>
      <c r="F221" s="9" t="s">
        <v>230</v>
      </c>
      <c r="G221" s="9" t="s">
        <v>231</v>
      </c>
      <c r="H221" s="9" t="s">
        <v>232</v>
      </c>
      <c r="I221" s="9" t="s">
        <v>147</v>
      </c>
      <c r="J221" s="9" t="s">
        <v>36</v>
      </c>
      <c r="K221" s="9">
        <v>1390</v>
      </c>
      <c r="L221" s="9"/>
      <c r="M221" s="9"/>
      <c r="N221" s="9"/>
      <c r="O221" s="9" t="s">
        <v>37</v>
      </c>
      <c r="P221" s="9" t="s">
        <v>46</v>
      </c>
      <c r="Q221" s="9"/>
      <c r="R221" s="10"/>
      <c r="S221" s="10"/>
      <c r="T221" s="10"/>
      <c r="U221" s="9" t="s">
        <v>148</v>
      </c>
      <c r="V221" t="s">
        <v>233</v>
      </c>
      <c r="W221" t="s">
        <v>138</v>
      </c>
      <c r="X221" t="s">
        <v>54</v>
      </c>
      <c r="Y221" t="s">
        <v>40</v>
      </c>
      <c r="Z221" t="s">
        <v>155</v>
      </c>
      <c r="AB221" t="str">
        <f t="shared" si="11"/>
        <v>47519</v>
      </c>
    </row>
    <row r="222" ht="14.25" spans="1:28">
      <c r="A222" s="5" t="s">
        <v>28</v>
      </c>
      <c r="B222" s="5" t="s">
        <v>197</v>
      </c>
      <c r="C222" s="5">
        <v>2027</v>
      </c>
      <c r="D222" s="5" t="s">
        <v>30</v>
      </c>
      <c r="E222" s="9" t="s">
        <v>234</v>
      </c>
      <c r="F222" s="9" t="s">
        <v>235</v>
      </c>
      <c r="G222" s="9" t="s">
        <v>100</v>
      </c>
      <c r="H222" s="9" t="s">
        <v>236</v>
      </c>
      <c r="I222" s="9" t="s">
        <v>112</v>
      </c>
      <c r="J222" s="9" t="s">
        <v>36</v>
      </c>
      <c r="K222" s="9">
        <v>790</v>
      </c>
      <c r="L222" s="9"/>
      <c r="M222" s="9"/>
      <c r="N222" s="9"/>
      <c r="O222" s="9" t="s">
        <v>37</v>
      </c>
      <c r="P222" s="9" t="s">
        <v>38</v>
      </c>
      <c r="Q222" s="9"/>
      <c r="R222" s="10">
        <f t="shared" si="9"/>
        <v>0</v>
      </c>
      <c r="S222" s="10">
        <f>SUMIFS([1]Sheet1!$T:$T,[1]Sheet1!$I:$I,E222,[1]Sheet1!$C:$C,A222)</f>
        <v>0</v>
      </c>
      <c r="T222" s="10">
        <f t="shared" si="10"/>
        <v>0</v>
      </c>
      <c r="U222" s="9" t="s">
        <v>148</v>
      </c>
      <c r="V222" t="s">
        <v>184</v>
      </c>
      <c r="W222" t="s">
        <v>138</v>
      </c>
      <c r="X222" t="s">
        <v>102</v>
      </c>
      <c r="Y222" t="s">
        <v>237</v>
      </c>
      <c r="Z222" t="s">
        <v>41</v>
      </c>
      <c r="AB222" t="str">
        <f t="shared" si="11"/>
        <v>47713</v>
      </c>
    </row>
    <row r="223" ht="14.25" spans="1:28">
      <c r="A223" s="5" t="s">
        <v>28</v>
      </c>
      <c r="B223" s="5" t="s">
        <v>197</v>
      </c>
      <c r="C223" s="5">
        <v>2027</v>
      </c>
      <c r="D223" s="5" t="s">
        <v>30</v>
      </c>
      <c r="E223" s="9" t="s">
        <v>234</v>
      </c>
      <c r="F223" s="9" t="s">
        <v>235</v>
      </c>
      <c r="G223" s="9" t="s">
        <v>100</v>
      </c>
      <c r="H223" s="9" t="s">
        <v>236</v>
      </c>
      <c r="I223" s="9" t="s">
        <v>112</v>
      </c>
      <c r="J223" s="9" t="s">
        <v>36</v>
      </c>
      <c r="K223" s="9">
        <v>790</v>
      </c>
      <c r="L223" s="9"/>
      <c r="M223" s="9"/>
      <c r="N223" s="9"/>
      <c r="O223" s="9" t="s">
        <v>37</v>
      </c>
      <c r="P223" s="9" t="s">
        <v>42</v>
      </c>
      <c r="Q223" s="9"/>
      <c r="R223" s="10"/>
      <c r="S223" s="10"/>
      <c r="T223" s="10"/>
      <c r="U223" s="9" t="s">
        <v>148</v>
      </c>
      <c r="V223" t="s">
        <v>184</v>
      </c>
      <c r="W223" t="s">
        <v>138</v>
      </c>
      <c r="X223" t="s">
        <v>102</v>
      </c>
      <c r="Y223" t="s">
        <v>237</v>
      </c>
      <c r="Z223" t="s">
        <v>41</v>
      </c>
      <c r="AB223" t="str">
        <f t="shared" si="11"/>
        <v>47713</v>
      </c>
    </row>
    <row r="224" ht="14.25" spans="1:28">
      <c r="A224" s="5" t="s">
        <v>28</v>
      </c>
      <c r="B224" s="5" t="s">
        <v>197</v>
      </c>
      <c r="C224" s="5">
        <v>2027</v>
      </c>
      <c r="D224" s="5" t="s">
        <v>30</v>
      </c>
      <c r="E224" s="9" t="s">
        <v>234</v>
      </c>
      <c r="F224" s="9" t="s">
        <v>235</v>
      </c>
      <c r="G224" s="9" t="s">
        <v>100</v>
      </c>
      <c r="H224" s="9" t="s">
        <v>236</v>
      </c>
      <c r="I224" s="9" t="s">
        <v>112</v>
      </c>
      <c r="J224" s="9" t="s">
        <v>36</v>
      </c>
      <c r="K224" s="9">
        <v>790</v>
      </c>
      <c r="L224" s="9"/>
      <c r="M224" s="9"/>
      <c r="N224" s="9"/>
      <c r="O224" s="9" t="s">
        <v>37</v>
      </c>
      <c r="P224" s="9" t="s">
        <v>43</v>
      </c>
      <c r="Q224" s="9"/>
      <c r="R224" s="10"/>
      <c r="S224" s="10"/>
      <c r="T224" s="10"/>
      <c r="U224" s="9" t="s">
        <v>148</v>
      </c>
      <c r="V224" t="s">
        <v>184</v>
      </c>
      <c r="W224" t="s">
        <v>138</v>
      </c>
      <c r="X224" t="s">
        <v>102</v>
      </c>
      <c r="Y224" t="s">
        <v>237</v>
      </c>
      <c r="Z224" t="s">
        <v>41</v>
      </c>
      <c r="AB224" t="str">
        <f t="shared" si="11"/>
        <v>47713</v>
      </c>
    </row>
    <row r="225" ht="14.25" spans="1:28">
      <c r="A225" s="5" t="s">
        <v>28</v>
      </c>
      <c r="B225" s="5" t="s">
        <v>197</v>
      </c>
      <c r="C225" s="5">
        <v>2027</v>
      </c>
      <c r="D225" s="5" t="s">
        <v>30</v>
      </c>
      <c r="E225" s="9" t="s">
        <v>234</v>
      </c>
      <c r="F225" s="9" t="s">
        <v>235</v>
      </c>
      <c r="G225" s="9" t="s">
        <v>100</v>
      </c>
      <c r="H225" s="9" t="s">
        <v>236</v>
      </c>
      <c r="I225" s="9" t="s">
        <v>112</v>
      </c>
      <c r="J225" s="9" t="s">
        <v>36</v>
      </c>
      <c r="K225" s="9">
        <v>790</v>
      </c>
      <c r="L225" s="9"/>
      <c r="M225" s="9"/>
      <c r="N225" s="9"/>
      <c r="O225" s="9" t="s">
        <v>37</v>
      </c>
      <c r="P225" s="9" t="s">
        <v>44</v>
      </c>
      <c r="Q225" s="9"/>
      <c r="R225" s="10"/>
      <c r="S225" s="10"/>
      <c r="T225" s="10"/>
      <c r="U225" s="9" t="s">
        <v>148</v>
      </c>
      <c r="V225" t="s">
        <v>184</v>
      </c>
      <c r="W225" t="s">
        <v>138</v>
      </c>
      <c r="X225" t="s">
        <v>102</v>
      </c>
      <c r="Y225" t="s">
        <v>237</v>
      </c>
      <c r="Z225" t="s">
        <v>41</v>
      </c>
      <c r="AB225" t="str">
        <f t="shared" si="11"/>
        <v>47713</v>
      </c>
    </row>
    <row r="226" ht="14.25" spans="1:28">
      <c r="A226" s="5" t="s">
        <v>28</v>
      </c>
      <c r="B226" s="5" t="s">
        <v>197</v>
      </c>
      <c r="C226" s="5">
        <v>2027</v>
      </c>
      <c r="D226" s="5" t="s">
        <v>30</v>
      </c>
      <c r="E226" s="9" t="s">
        <v>234</v>
      </c>
      <c r="F226" s="9" t="s">
        <v>235</v>
      </c>
      <c r="G226" s="9" t="s">
        <v>100</v>
      </c>
      <c r="H226" s="9" t="s">
        <v>236</v>
      </c>
      <c r="I226" s="9" t="s">
        <v>112</v>
      </c>
      <c r="J226" s="9" t="s">
        <v>36</v>
      </c>
      <c r="K226" s="9">
        <v>790</v>
      </c>
      <c r="L226" s="9"/>
      <c r="M226" s="9"/>
      <c r="N226" s="9"/>
      <c r="O226" s="9" t="s">
        <v>37</v>
      </c>
      <c r="P226" s="9" t="s">
        <v>45</v>
      </c>
      <c r="Q226" s="9"/>
      <c r="R226" s="10"/>
      <c r="S226" s="10"/>
      <c r="T226" s="10"/>
      <c r="U226" s="9" t="s">
        <v>148</v>
      </c>
      <c r="V226" t="s">
        <v>184</v>
      </c>
      <c r="W226" t="s">
        <v>138</v>
      </c>
      <c r="X226" t="s">
        <v>102</v>
      </c>
      <c r="Y226" t="s">
        <v>237</v>
      </c>
      <c r="Z226" t="s">
        <v>41</v>
      </c>
      <c r="AB226" t="str">
        <f t="shared" si="11"/>
        <v>47713</v>
      </c>
    </row>
    <row r="227" ht="14.25" spans="1:28">
      <c r="A227" s="5" t="s">
        <v>28</v>
      </c>
      <c r="B227" s="5" t="s">
        <v>197</v>
      </c>
      <c r="C227" s="5">
        <v>2027</v>
      </c>
      <c r="D227" s="5" t="s">
        <v>30</v>
      </c>
      <c r="E227" s="9" t="s">
        <v>234</v>
      </c>
      <c r="F227" s="9" t="s">
        <v>235</v>
      </c>
      <c r="G227" s="9" t="s">
        <v>100</v>
      </c>
      <c r="H227" s="9" t="s">
        <v>236</v>
      </c>
      <c r="I227" s="9" t="s">
        <v>112</v>
      </c>
      <c r="J227" s="9" t="s">
        <v>36</v>
      </c>
      <c r="K227" s="9">
        <v>790</v>
      </c>
      <c r="L227" s="9"/>
      <c r="M227" s="9"/>
      <c r="N227" s="9"/>
      <c r="O227" s="9" t="s">
        <v>37</v>
      </c>
      <c r="P227" s="9" t="s">
        <v>46</v>
      </c>
      <c r="Q227" s="9"/>
      <c r="R227" s="10"/>
      <c r="S227" s="10"/>
      <c r="T227" s="10"/>
      <c r="U227" s="9" t="s">
        <v>148</v>
      </c>
      <c r="V227" t="s">
        <v>184</v>
      </c>
      <c r="W227" t="s">
        <v>138</v>
      </c>
      <c r="X227" t="s">
        <v>102</v>
      </c>
      <c r="Y227" t="s">
        <v>237</v>
      </c>
      <c r="Z227" t="s">
        <v>41</v>
      </c>
      <c r="AB227" t="str">
        <f t="shared" si="11"/>
        <v>47713</v>
      </c>
    </row>
    <row r="228" ht="14.25" spans="1:28">
      <c r="A228" s="5" t="s">
        <v>28</v>
      </c>
      <c r="B228" s="5" t="s">
        <v>197</v>
      </c>
      <c r="C228" s="5">
        <v>2027</v>
      </c>
      <c r="D228" s="5" t="s">
        <v>30</v>
      </c>
      <c r="E228" s="9" t="s">
        <v>238</v>
      </c>
      <c r="F228" s="9" t="s">
        <v>239</v>
      </c>
      <c r="G228" s="9" t="s">
        <v>240</v>
      </c>
      <c r="H228" s="9" t="s">
        <v>241</v>
      </c>
      <c r="I228" s="9" t="s">
        <v>119</v>
      </c>
      <c r="J228" s="9" t="s">
        <v>36</v>
      </c>
      <c r="K228" s="9">
        <v>2990</v>
      </c>
      <c r="L228" s="9"/>
      <c r="M228" s="9"/>
      <c r="N228" s="9"/>
      <c r="O228" s="9" t="s">
        <v>37</v>
      </c>
      <c r="P228" s="9" t="s">
        <v>38</v>
      </c>
      <c r="Q228" s="9"/>
      <c r="R228" s="10">
        <f t="shared" si="9"/>
        <v>0</v>
      </c>
      <c r="S228" s="10"/>
      <c r="T228" s="10">
        <f t="shared" si="10"/>
        <v>0</v>
      </c>
      <c r="U228" s="9" t="s">
        <v>242</v>
      </c>
      <c r="V228" t="s">
        <v>242</v>
      </c>
      <c r="W228" t="s">
        <v>138</v>
      </c>
      <c r="X228" t="s">
        <v>243</v>
      </c>
      <c r="Y228" t="s">
        <v>179</v>
      </c>
      <c r="Z228" t="s">
        <v>41</v>
      </c>
      <c r="AB228" t="str">
        <f t="shared" si="11"/>
        <v>47743</v>
      </c>
    </row>
    <row r="229" ht="14.25" spans="1:28">
      <c r="A229" s="5" t="s">
        <v>28</v>
      </c>
      <c r="B229" s="5" t="s">
        <v>197</v>
      </c>
      <c r="C229" s="5">
        <v>2027</v>
      </c>
      <c r="D229" s="5" t="s">
        <v>30</v>
      </c>
      <c r="E229" s="9" t="s">
        <v>238</v>
      </c>
      <c r="F229" s="9" t="s">
        <v>239</v>
      </c>
      <c r="G229" s="9" t="s">
        <v>240</v>
      </c>
      <c r="H229" s="9" t="s">
        <v>241</v>
      </c>
      <c r="I229" s="9" t="s">
        <v>119</v>
      </c>
      <c r="J229" s="9" t="s">
        <v>36</v>
      </c>
      <c r="K229" s="9">
        <v>2990</v>
      </c>
      <c r="L229" s="9"/>
      <c r="M229" s="9"/>
      <c r="N229" s="9"/>
      <c r="O229" s="9" t="s">
        <v>37</v>
      </c>
      <c r="P229" s="9" t="s">
        <v>42</v>
      </c>
      <c r="Q229" s="9"/>
      <c r="R229" s="10"/>
      <c r="S229" s="10"/>
      <c r="T229" s="10"/>
      <c r="U229" s="9" t="s">
        <v>242</v>
      </c>
      <c r="V229" t="s">
        <v>242</v>
      </c>
      <c r="W229" t="s">
        <v>138</v>
      </c>
      <c r="X229" t="s">
        <v>243</v>
      </c>
      <c r="Y229" t="s">
        <v>179</v>
      </c>
      <c r="Z229" t="s">
        <v>41</v>
      </c>
      <c r="AB229" t="str">
        <f t="shared" si="11"/>
        <v>47743</v>
      </c>
    </row>
    <row r="230" ht="14.25" spans="1:28">
      <c r="A230" s="5" t="s">
        <v>28</v>
      </c>
      <c r="B230" s="5" t="s">
        <v>197</v>
      </c>
      <c r="C230" s="5">
        <v>2027</v>
      </c>
      <c r="D230" s="5" t="s">
        <v>30</v>
      </c>
      <c r="E230" s="9" t="s">
        <v>238</v>
      </c>
      <c r="F230" s="9" t="s">
        <v>239</v>
      </c>
      <c r="G230" s="9" t="s">
        <v>240</v>
      </c>
      <c r="H230" s="9" t="s">
        <v>241</v>
      </c>
      <c r="I230" s="9" t="s">
        <v>119</v>
      </c>
      <c r="J230" s="9" t="s">
        <v>36</v>
      </c>
      <c r="K230" s="9">
        <v>2990</v>
      </c>
      <c r="L230" s="9"/>
      <c r="M230" s="9"/>
      <c r="N230" s="9"/>
      <c r="O230" s="9" t="s">
        <v>37</v>
      </c>
      <c r="P230" s="9" t="s">
        <v>43</v>
      </c>
      <c r="Q230" s="9"/>
      <c r="R230" s="10"/>
      <c r="S230" s="10"/>
      <c r="T230" s="10"/>
      <c r="U230" s="9" t="s">
        <v>242</v>
      </c>
      <c r="V230" t="s">
        <v>242</v>
      </c>
      <c r="W230" t="s">
        <v>138</v>
      </c>
      <c r="X230" t="s">
        <v>243</v>
      </c>
      <c r="Y230" t="s">
        <v>179</v>
      </c>
      <c r="Z230" t="s">
        <v>41</v>
      </c>
      <c r="AB230" t="str">
        <f t="shared" si="11"/>
        <v>47743</v>
      </c>
    </row>
    <row r="231" ht="14.25" spans="1:28">
      <c r="A231" s="5" t="s">
        <v>28</v>
      </c>
      <c r="B231" s="5" t="s">
        <v>197</v>
      </c>
      <c r="C231" s="5">
        <v>2027</v>
      </c>
      <c r="D231" s="5" t="s">
        <v>30</v>
      </c>
      <c r="E231" s="9" t="s">
        <v>238</v>
      </c>
      <c r="F231" s="9" t="s">
        <v>239</v>
      </c>
      <c r="G231" s="9" t="s">
        <v>240</v>
      </c>
      <c r="H231" s="9" t="s">
        <v>241</v>
      </c>
      <c r="I231" s="9" t="s">
        <v>119</v>
      </c>
      <c r="J231" s="9" t="s">
        <v>36</v>
      </c>
      <c r="K231" s="9">
        <v>2990</v>
      </c>
      <c r="L231" s="9"/>
      <c r="M231" s="9"/>
      <c r="N231" s="9"/>
      <c r="O231" s="9" t="s">
        <v>37</v>
      </c>
      <c r="P231" s="9" t="s">
        <v>44</v>
      </c>
      <c r="Q231" s="9"/>
      <c r="R231" s="10"/>
      <c r="S231" s="10"/>
      <c r="T231" s="10"/>
      <c r="U231" s="9" t="s">
        <v>242</v>
      </c>
      <c r="V231" t="s">
        <v>242</v>
      </c>
      <c r="W231" t="s">
        <v>138</v>
      </c>
      <c r="X231" t="s">
        <v>243</v>
      </c>
      <c r="Y231" t="s">
        <v>179</v>
      </c>
      <c r="Z231" t="s">
        <v>41</v>
      </c>
      <c r="AB231" t="str">
        <f t="shared" si="11"/>
        <v>47743</v>
      </c>
    </row>
    <row r="232" ht="14.25" spans="1:28">
      <c r="A232" s="5" t="s">
        <v>28</v>
      </c>
      <c r="B232" s="5" t="s">
        <v>197</v>
      </c>
      <c r="C232" s="5">
        <v>2027</v>
      </c>
      <c r="D232" s="5" t="s">
        <v>30</v>
      </c>
      <c r="E232" s="9" t="s">
        <v>238</v>
      </c>
      <c r="F232" s="9" t="s">
        <v>239</v>
      </c>
      <c r="G232" s="9" t="s">
        <v>240</v>
      </c>
      <c r="H232" s="9" t="s">
        <v>241</v>
      </c>
      <c r="I232" s="9" t="s">
        <v>119</v>
      </c>
      <c r="J232" s="9" t="s">
        <v>36</v>
      </c>
      <c r="K232" s="9">
        <v>2990</v>
      </c>
      <c r="L232" s="9"/>
      <c r="M232" s="9"/>
      <c r="N232" s="9"/>
      <c r="O232" s="9" t="s">
        <v>37</v>
      </c>
      <c r="P232" s="9" t="s">
        <v>45</v>
      </c>
      <c r="Q232" s="9"/>
      <c r="R232" s="10"/>
      <c r="S232" s="10"/>
      <c r="T232" s="10"/>
      <c r="U232" s="9" t="s">
        <v>242</v>
      </c>
      <c r="V232" t="s">
        <v>242</v>
      </c>
      <c r="W232" t="s">
        <v>138</v>
      </c>
      <c r="X232" t="s">
        <v>243</v>
      </c>
      <c r="Y232" t="s">
        <v>179</v>
      </c>
      <c r="Z232" t="s">
        <v>41</v>
      </c>
      <c r="AB232" t="str">
        <f t="shared" si="11"/>
        <v>47743</v>
      </c>
    </row>
    <row r="233" ht="14.25" spans="1:28">
      <c r="A233" s="5" t="s">
        <v>28</v>
      </c>
      <c r="B233" s="5" t="s">
        <v>197</v>
      </c>
      <c r="C233" s="5">
        <v>2027</v>
      </c>
      <c r="D233" s="5" t="s">
        <v>30</v>
      </c>
      <c r="E233" s="9" t="s">
        <v>238</v>
      </c>
      <c r="F233" s="9" t="s">
        <v>239</v>
      </c>
      <c r="G233" s="9" t="s">
        <v>240</v>
      </c>
      <c r="H233" s="9" t="s">
        <v>241</v>
      </c>
      <c r="I233" s="9" t="s">
        <v>119</v>
      </c>
      <c r="J233" s="9" t="s">
        <v>36</v>
      </c>
      <c r="K233" s="9">
        <v>2990</v>
      </c>
      <c r="L233" s="9"/>
      <c r="M233" s="9"/>
      <c r="N233" s="9"/>
      <c r="O233" s="9" t="s">
        <v>37</v>
      </c>
      <c r="P233" s="9" t="s">
        <v>46</v>
      </c>
      <c r="Q233" s="9"/>
      <c r="R233" s="10"/>
      <c r="S233" s="10"/>
      <c r="T233" s="10"/>
      <c r="U233" s="9" t="s">
        <v>242</v>
      </c>
      <c r="V233" t="s">
        <v>242</v>
      </c>
      <c r="W233" t="s">
        <v>138</v>
      </c>
      <c r="X233" t="s">
        <v>243</v>
      </c>
      <c r="Y233" t="s">
        <v>179</v>
      </c>
      <c r="Z233" t="s">
        <v>41</v>
      </c>
      <c r="AB233" t="str">
        <f t="shared" si="11"/>
        <v>47743</v>
      </c>
    </row>
    <row r="234" ht="14.25" spans="1:28">
      <c r="A234" s="5" t="s">
        <v>28</v>
      </c>
      <c r="B234" s="5" t="s">
        <v>197</v>
      </c>
      <c r="C234" s="5">
        <v>2027</v>
      </c>
      <c r="D234" s="5" t="s">
        <v>30</v>
      </c>
      <c r="E234" s="9" t="s">
        <v>244</v>
      </c>
      <c r="F234" s="9" t="s">
        <v>245</v>
      </c>
      <c r="G234" s="9" t="s">
        <v>189</v>
      </c>
      <c r="H234" s="9" t="s">
        <v>246</v>
      </c>
      <c r="I234" s="9" t="s">
        <v>147</v>
      </c>
      <c r="J234" s="9" t="s">
        <v>36</v>
      </c>
      <c r="K234" s="9">
        <v>590</v>
      </c>
      <c r="L234" s="9"/>
      <c r="M234" s="9"/>
      <c r="N234" s="9"/>
      <c r="O234" s="9" t="s">
        <v>176</v>
      </c>
      <c r="P234" s="9" t="s">
        <v>177</v>
      </c>
      <c r="Q234" s="9"/>
      <c r="R234" s="10">
        <f t="shared" si="9"/>
        <v>0</v>
      </c>
      <c r="S234" s="10">
        <f>SUMIFS([1]Sheet1!$T:$T,[1]Sheet1!$I:$I,E234,[1]Sheet1!$C:$C,A234)</f>
        <v>0</v>
      </c>
      <c r="T234" s="10">
        <f t="shared" si="10"/>
        <v>0</v>
      </c>
      <c r="U234" s="9" t="s">
        <v>148</v>
      </c>
      <c r="V234" t="s">
        <v>184</v>
      </c>
      <c r="W234" t="s">
        <v>178</v>
      </c>
      <c r="X234" t="s">
        <v>191</v>
      </c>
      <c r="Y234" t="s">
        <v>179</v>
      </c>
      <c r="Z234" t="s">
        <v>247</v>
      </c>
      <c r="AB234" t="str">
        <f t="shared" si="11"/>
        <v>40587</v>
      </c>
    </row>
    <row r="235" ht="14.25" spans="1:28">
      <c r="A235" s="5" t="s">
        <v>28</v>
      </c>
      <c r="B235" s="5" t="s">
        <v>197</v>
      </c>
      <c r="C235" s="5">
        <v>2027</v>
      </c>
      <c r="D235" s="5" t="s">
        <v>30</v>
      </c>
      <c r="E235" s="9" t="s">
        <v>244</v>
      </c>
      <c r="F235" s="9" t="s">
        <v>245</v>
      </c>
      <c r="G235" s="9" t="s">
        <v>189</v>
      </c>
      <c r="H235" s="9" t="s">
        <v>246</v>
      </c>
      <c r="I235" s="9" t="s">
        <v>147</v>
      </c>
      <c r="J235" s="9" t="s">
        <v>36</v>
      </c>
      <c r="K235" s="9">
        <v>590</v>
      </c>
      <c r="L235" s="9"/>
      <c r="M235" s="9"/>
      <c r="N235" s="9"/>
      <c r="O235" s="9" t="s">
        <v>176</v>
      </c>
      <c r="P235" s="9" t="s">
        <v>38</v>
      </c>
      <c r="Q235" s="9"/>
      <c r="R235" s="10"/>
      <c r="S235" s="10"/>
      <c r="T235" s="10"/>
      <c r="U235" s="9" t="s">
        <v>148</v>
      </c>
      <c r="V235" t="s">
        <v>184</v>
      </c>
      <c r="W235" t="s">
        <v>178</v>
      </c>
      <c r="X235" t="s">
        <v>191</v>
      </c>
      <c r="Y235" t="s">
        <v>179</v>
      </c>
      <c r="Z235" t="s">
        <v>247</v>
      </c>
      <c r="AB235" t="str">
        <f t="shared" si="11"/>
        <v>40587</v>
      </c>
    </row>
    <row r="236" ht="14.25" spans="1:28">
      <c r="A236" s="5" t="s">
        <v>28</v>
      </c>
      <c r="B236" s="5" t="s">
        <v>197</v>
      </c>
      <c r="C236" s="5">
        <v>2027</v>
      </c>
      <c r="D236" s="5" t="s">
        <v>30</v>
      </c>
      <c r="E236" s="9" t="s">
        <v>244</v>
      </c>
      <c r="F236" s="9" t="s">
        <v>245</v>
      </c>
      <c r="G236" s="9" t="s">
        <v>189</v>
      </c>
      <c r="H236" s="9" t="s">
        <v>246</v>
      </c>
      <c r="I236" s="9" t="s">
        <v>147</v>
      </c>
      <c r="J236" s="9" t="s">
        <v>36</v>
      </c>
      <c r="K236" s="9">
        <v>590</v>
      </c>
      <c r="L236" s="9"/>
      <c r="M236" s="9"/>
      <c r="N236" s="9"/>
      <c r="O236" s="9" t="s">
        <v>176</v>
      </c>
      <c r="P236" s="9" t="s">
        <v>42</v>
      </c>
      <c r="Q236" s="9"/>
      <c r="R236" s="10"/>
      <c r="S236" s="10"/>
      <c r="T236" s="10"/>
      <c r="U236" s="9" t="s">
        <v>148</v>
      </c>
      <c r="V236" t="s">
        <v>184</v>
      </c>
      <c r="W236" t="s">
        <v>178</v>
      </c>
      <c r="X236" t="s">
        <v>191</v>
      </c>
      <c r="Y236" t="s">
        <v>179</v>
      </c>
      <c r="Z236" t="s">
        <v>247</v>
      </c>
      <c r="AB236" t="str">
        <f t="shared" si="11"/>
        <v>40587</v>
      </c>
    </row>
    <row r="237" ht="14.25" spans="1:28">
      <c r="A237" s="5" t="s">
        <v>28</v>
      </c>
      <c r="B237" s="5" t="s">
        <v>197</v>
      </c>
      <c r="C237" s="5">
        <v>2027</v>
      </c>
      <c r="D237" s="5" t="s">
        <v>30</v>
      </c>
      <c r="E237" s="9" t="s">
        <v>244</v>
      </c>
      <c r="F237" s="9" t="s">
        <v>245</v>
      </c>
      <c r="G237" s="9" t="s">
        <v>189</v>
      </c>
      <c r="H237" s="9" t="s">
        <v>246</v>
      </c>
      <c r="I237" s="9" t="s">
        <v>147</v>
      </c>
      <c r="J237" s="9" t="s">
        <v>36</v>
      </c>
      <c r="K237" s="9">
        <v>590</v>
      </c>
      <c r="L237" s="9"/>
      <c r="M237" s="9"/>
      <c r="N237" s="9"/>
      <c r="O237" s="9" t="s">
        <v>176</v>
      </c>
      <c r="P237" s="9" t="s">
        <v>43</v>
      </c>
      <c r="Q237" s="9"/>
      <c r="R237" s="10"/>
      <c r="S237" s="10"/>
      <c r="T237" s="10"/>
      <c r="U237" s="9" t="s">
        <v>148</v>
      </c>
      <c r="V237" t="s">
        <v>184</v>
      </c>
      <c r="W237" t="s">
        <v>178</v>
      </c>
      <c r="X237" t="s">
        <v>191</v>
      </c>
      <c r="Y237" t="s">
        <v>179</v>
      </c>
      <c r="Z237" t="s">
        <v>247</v>
      </c>
      <c r="AB237" t="str">
        <f t="shared" si="11"/>
        <v>40587</v>
      </c>
    </row>
    <row r="238" ht="14.25" spans="1:28">
      <c r="A238" s="5" t="s">
        <v>28</v>
      </c>
      <c r="B238" s="5" t="s">
        <v>197</v>
      </c>
      <c r="C238" s="5">
        <v>2027</v>
      </c>
      <c r="D238" s="5" t="s">
        <v>30</v>
      </c>
      <c r="E238" s="9" t="s">
        <v>244</v>
      </c>
      <c r="F238" s="9" t="s">
        <v>245</v>
      </c>
      <c r="G238" s="9" t="s">
        <v>189</v>
      </c>
      <c r="H238" s="9" t="s">
        <v>246</v>
      </c>
      <c r="I238" s="9" t="s">
        <v>147</v>
      </c>
      <c r="J238" s="9" t="s">
        <v>36</v>
      </c>
      <c r="K238" s="9">
        <v>590</v>
      </c>
      <c r="L238" s="9"/>
      <c r="M238" s="9"/>
      <c r="N238" s="9"/>
      <c r="O238" s="9" t="s">
        <v>176</v>
      </c>
      <c r="P238" s="9" t="s">
        <v>44</v>
      </c>
      <c r="Q238" s="11"/>
      <c r="R238" s="10"/>
      <c r="S238" s="10"/>
      <c r="T238" s="10"/>
      <c r="U238" s="9" t="s">
        <v>148</v>
      </c>
      <c r="V238" t="s">
        <v>184</v>
      </c>
      <c r="W238" t="s">
        <v>178</v>
      </c>
      <c r="X238" t="s">
        <v>191</v>
      </c>
      <c r="Y238" t="s">
        <v>179</v>
      </c>
      <c r="Z238" t="s">
        <v>247</v>
      </c>
      <c r="AB238" t="str">
        <f t="shared" si="11"/>
        <v>40587</v>
      </c>
    </row>
    <row r="239" ht="14.25" spans="1:28">
      <c r="A239" s="5" t="s">
        <v>28</v>
      </c>
      <c r="B239" s="5" t="s">
        <v>197</v>
      </c>
      <c r="C239" s="5">
        <v>2027</v>
      </c>
      <c r="D239" s="5" t="s">
        <v>30</v>
      </c>
      <c r="E239" s="9" t="s">
        <v>244</v>
      </c>
      <c r="F239" s="9" t="s">
        <v>245</v>
      </c>
      <c r="G239" s="9" t="s">
        <v>189</v>
      </c>
      <c r="H239" s="9" t="s">
        <v>246</v>
      </c>
      <c r="I239" s="9" t="s">
        <v>147</v>
      </c>
      <c r="J239" s="9" t="s">
        <v>36</v>
      </c>
      <c r="K239" s="9">
        <v>590</v>
      </c>
      <c r="L239" s="9"/>
      <c r="M239" s="9"/>
      <c r="N239" s="9"/>
      <c r="O239" s="9" t="s">
        <v>176</v>
      </c>
      <c r="P239" s="9" t="s">
        <v>45</v>
      </c>
      <c r="Q239" s="11"/>
      <c r="R239" s="10"/>
      <c r="S239" s="10"/>
      <c r="T239" s="10"/>
      <c r="U239" s="9" t="s">
        <v>148</v>
      </c>
      <c r="V239" t="s">
        <v>184</v>
      </c>
      <c r="W239" t="s">
        <v>178</v>
      </c>
      <c r="X239" t="s">
        <v>191</v>
      </c>
      <c r="Y239" t="s">
        <v>179</v>
      </c>
      <c r="Z239" t="s">
        <v>247</v>
      </c>
      <c r="AB239" t="str">
        <f t="shared" si="11"/>
        <v>40587</v>
      </c>
    </row>
    <row r="240" ht="14.25" spans="1:28">
      <c r="A240" s="5" t="s">
        <v>28</v>
      </c>
      <c r="B240" s="5" t="s">
        <v>197</v>
      </c>
      <c r="C240" s="5">
        <v>2027</v>
      </c>
      <c r="D240" s="5" t="s">
        <v>30</v>
      </c>
      <c r="E240" s="9" t="s">
        <v>248</v>
      </c>
      <c r="F240" s="9" t="s">
        <v>249</v>
      </c>
      <c r="G240" s="9" t="s">
        <v>250</v>
      </c>
      <c r="H240" s="9" t="s">
        <v>251</v>
      </c>
      <c r="I240" s="9" t="s">
        <v>119</v>
      </c>
      <c r="J240" s="9" t="s">
        <v>36</v>
      </c>
      <c r="K240" s="9">
        <v>1190</v>
      </c>
      <c r="L240" s="9"/>
      <c r="M240" s="9"/>
      <c r="N240" s="9"/>
      <c r="O240" s="9" t="s">
        <v>195</v>
      </c>
      <c r="P240" s="9" t="s">
        <v>74</v>
      </c>
      <c r="Q240" s="11"/>
      <c r="R240" s="10">
        <f t="shared" si="9"/>
        <v>0</v>
      </c>
      <c r="S240" s="10">
        <f>SUMIFS([1]Sheet1!$T:$T,[1]Sheet1!$I:$I,E240,[1]Sheet1!$C:$C,A240)</f>
        <v>0</v>
      </c>
      <c r="T240" s="10">
        <f t="shared" si="10"/>
        <v>0</v>
      </c>
      <c r="U240" s="9" t="s">
        <v>148</v>
      </c>
      <c r="V240" t="s">
        <v>233</v>
      </c>
      <c r="W240" t="s">
        <v>178</v>
      </c>
      <c r="Y240" t="s">
        <v>179</v>
      </c>
      <c r="Z240" t="s">
        <v>104</v>
      </c>
      <c r="AB240" t="str">
        <f t="shared" si="11"/>
        <v>45612</v>
      </c>
    </row>
    <row r="241" ht="14.25" spans="1:28">
      <c r="A241" s="5" t="s">
        <v>28</v>
      </c>
      <c r="B241" s="5" t="s">
        <v>197</v>
      </c>
      <c r="C241" s="5">
        <v>2027</v>
      </c>
      <c r="D241" s="5" t="s">
        <v>30</v>
      </c>
      <c r="E241" s="9" t="s">
        <v>248</v>
      </c>
      <c r="F241" s="9" t="s">
        <v>249</v>
      </c>
      <c r="G241" s="9" t="s">
        <v>250</v>
      </c>
      <c r="H241" s="9" t="s">
        <v>251</v>
      </c>
      <c r="I241" s="9" t="s">
        <v>119</v>
      </c>
      <c r="J241" s="9" t="s">
        <v>36</v>
      </c>
      <c r="K241" s="9">
        <v>1190</v>
      </c>
      <c r="L241" s="9"/>
      <c r="M241" s="9"/>
      <c r="N241" s="9"/>
      <c r="O241" s="9" t="s">
        <v>195</v>
      </c>
      <c r="P241" s="9" t="s">
        <v>76</v>
      </c>
      <c r="Q241" s="11"/>
      <c r="R241" s="10"/>
      <c r="S241" s="10"/>
      <c r="T241" s="10"/>
      <c r="U241" s="9" t="s">
        <v>148</v>
      </c>
      <c r="V241" t="s">
        <v>233</v>
      </c>
      <c r="W241" t="s">
        <v>178</v>
      </c>
      <c r="Y241" t="s">
        <v>179</v>
      </c>
      <c r="Z241" t="s">
        <v>104</v>
      </c>
      <c r="AB241" t="str">
        <f t="shared" si="11"/>
        <v>45612</v>
      </c>
    </row>
    <row r="242" ht="14.25" spans="1:28">
      <c r="A242" s="5" t="s">
        <v>28</v>
      </c>
      <c r="B242" s="5" t="s">
        <v>197</v>
      </c>
      <c r="C242" s="5">
        <v>2027</v>
      </c>
      <c r="D242" s="5" t="s">
        <v>30</v>
      </c>
      <c r="E242" s="9" t="s">
        <v>248</v>
      </c>
      <c r="F242" s="9" t="s">
        <v>249</v>
      </c>
      <c r="G242" s="9" t="s">
        <v>250</v>
      </c>
      <c r="H242" s="9" t="s">
        <v>251</v>
      </c>
      <c r="I242" s="9" t="s">
        <v>119</v>
      </c>
      <c r="J242" s="9" t="s">
        <v>36</v>
      </c>
      <c r="K242" s="9">
        <v>1190</v>
      </c>
      <c r="L242" s="9"/>
      <c r="M242" s="9"/>
      <c r="N242" s="9"/>
      <c r="O242" s="9" t="s">
        <v>195</v>
      </c>
      <c r="P242" s="9" t="s">
        <v>77</v>
      </c>
      <c r="Q242" s="11"/>
      <c r="R242" s="10"/>
      <c r="S242" s="10"/>
      <c r="T242" s="10"/>
      <c r="U242" s="9" t="s">
        <v>148</v>
      </c>
      <c r="V242" t="s">
        <v>233</v>
      </c>
      <c r="W242" t="s">
        <v>178</v>
      </c>
      <c r="Y242" t="s">
        <v>179</v>
      </c>
      <c r="Z242" t="s">
        <v>104</v>
      </c>
      <c r="AB242" t="str">
        <f t="shared" si="11"/>
        <v>45612</v>
      </c>
    </row>
    <row r="243" ht="14.25" spans="1:28">
      <c r="A243" s="5" t="s">
        <v>28</v>
      </c>
      <c r="B243" s="5" t="s">
        <v>197</v>
      </c>
      <c r="C243" s="5">
        <v>2027</v>
      </c>
      <c r="D243" s="5" t="s">
        <v>30</v>
      </c>
      <c r="E243" s="9" t="s">
        <v>248</v>
      </c>
      <c r="F243" s="9" t="s">
        <v>249</v>
      </c>
      <c r="G243" s="9" t="s">
        <v>250</v>
      </c>
      <c r="H243" s="9" t="s">
        <v>251</v>
      </c>
      <c r="I243" s="9" t="s">
        <v>119</v>
      </c>
      <c r="J243" s="9" t="s">
        <v>36</v>
      </c>
      <c r="K243" s="9">
        <v>1190</v>
      </c>
      <c r="L243" s="9"/>
      <c r="M243" s="9"/>
      <c r="N243" s="9"/>
      <c r="O243" s="9" t="s">
        <v>195</v>
      </c>
      <c r="P243" s="9" t="s">
        <v>78</v>
      </c>
      <c r="Q243" s="11"/>
      <c r="R243" s="10"/>
      <c r="S243" s="10"/>
      <c r="T243" s="10"/>
      <c r="U243" s="9" t="s">
        <v>148</v>
      </c>
      <c r="V243" t="s">
        <v>233</v>
      </c>
      <c r="W243" t="s">
        <v>178</v>
      </c>
      <c r="Y243" t="s">
        <v>179</v>
      </c>
      <c r="Z243" t="s">
        <v>104</v>
      </c>
      <c r="AB243" t="str">
        <f t="shared" si="11"/>
        <v>45612</v>
      </c>
    </row>
    <row r="244" ht="14.25" spans="1:28">
      <c r="A244" s="5" t="s">
        <v>28</v>
      </c>
      <c r="B244" s="5" t="s">
        <v>197</v>
      </c>
      <c r="C244" s="5">
        <v>2027</v>
      </c>
      <c r="D244" s="5" t="s">
        <v>30</v>
      </c>
      <c r="E244" s="9" t="s">
        <v>248</v>
      </c>
      <c r="F244" s="9" t="s">
        <v>249</v>
      </c>
      <c r="G244" s="9" t="s">
        <v>250</v>
      </c>
      <c r="H244" s="9" t="s">
        <v>251</v>
      </c>
      <c r="I244" s="9" t="s">
        <v>119</v>
      </c>
      <c r="J244" s="9" t="s">
        <v>36</v>
      </c>
      <c r="K244" s="9">
        <v>1190</v>
      </c>
      <c r="L244" s="9"/>
      <c r="M244" s="9"/>
      <c r="N244" s="9"/>
      <c r="O244" s="9" t="s">
        <v>195</v>
      </c>
      <c r="P244" s="9" t="s">
        <v>79</v>
      </c>
      <c r="Q244" s="11"/>
      <c r="R244" s="10"/>
      <c r="S244" s="10"/>
      <c r="T244" s="10"/>
      <c r="U244" s="9" t="s">
        <v>148</v>
      </c>
      <c r="V244" t="s">
        <v>233</v>
      </c>
      <c r="W244" t="s">
        <v>178</v>
      </c>
      <c r="Y244" t="s">
        <v>179</v>
      </c>
      <c r="Z244" t="s">
        <v>104</v>
      </c>
      <c r="AB244" t="str">
        <f t="shared" si="11"/>
        <v>45612</v>
      </c>
    </row>
    <row r="245" ht="14.25" spans="1:28">
      <c r="A245" s="5" t="s">
        <v>28</v>
      </c>
      <c r="B245" s="5" t="s">
        <v>197</v>
      </c>
      <c r="C245" s="5">
        <v>2027</v>
      </c>
      <c r="D245" s="5" t="s">
        <v>30</v>
      </c>
      <c r="E245" s="9" t="s">
        <v>252</v>
      </c>
      <c r="F245" s="9" t="s">
        <v>253</v>
      </c>
      <c r="G245" s="9" t="s">
        <v>254</v>
      </c>
      <c r="H245" s="9" t="s">
        <v>255</v>
      </c>
      <c r="I245" s="9" t="s">
        <v>147</v>
      </c>
      <c r="J245" s="9" t="s">
        <v>36</v>
      </c>
      <c r="K245" s="9">
        <v>1390</v>
      </c>
      <c r="L245" s="9"/>
      <c r="M245" s="9"/>
      <c r="N245" s="9"/>
      <c r="O245" s="9" t="s">
        <v>176</v>
      </c>
      <c r="P245" s="9" t="s">
        <v>177</v>
      </c>
      <c r="Q245" s="11"/>
      <c r="R245" s="10">
        <f t="shared" si="9"/>
        <v>0</v>
      </c>
      <c r="S245" s="10"/>
      <c r="T245" s="10">
        <f t="shared" si="10"/>
        <v>0</v>
      </c>
      <c r="U245" s="9" t="s">
        <v>148</v>
      </c>
      <c r="V245" t="s">
        <v>164</v>
      </c>
      <c r="W245" t="s">
        <v>178</v>
      </c>
      <c r="X245" t="s">
        <v>86</v>
      </c>
      <c r="Y245" t="s">
        <v>179</v>
      </c>
      <c r="Z245" t="s">
        <v>41</v>
      </c>
      <c r="AB245" t="str">
        <f t="shared" si="11"/>
        <v>53153</v>
      </c>
    </row>
    <row r="246" ht="14.25" spans="1:28">
      <c r="A246" s="5" t="s">
        <v>28</v>
      </c>
      <c r="B246" s="5" t="s">
        <v>197</v>
      </c>
      <c r="C246" s="5">
        <v>2027</v>
      </c>
      <c r="D246" s="5" t="s">
        <v>30</v>
      </c>
      <c r="E246" s="9" t="s">
        <v>252</v>
      </c>
      <c r="F246" s="9" t="s">
        <v>253</v>
      </c>
      <c r="G246" s="9" t="s">
        <v>254</v>
      </c>
      <c r="H246" s="9" t="s">
        <v>255</v>
      </c>
      <c r="I246" s="9" t="s">
        <v>147</v>
      </c>
      <c r="J246" s="9" t="s">
        <v>36</v>
      </c>
      <c r="K246" s="9">
        <v>1390</v>
      </c>
      <c r="L246" s="9"/>
      <c r="M246" s="9"/>
      <c r="N246" s="9"/>
      <c r="O246" s="9" t="s">
        <v>176</v>
      </c>
      <c r="P246" s="9" t="s">
        <v>38</v>
      </c>
      <c r="Q246" s="11"/>
      <c r="R246" s="10"/>
      <c r="S246" s="10"/>
      <c r="T246" s="10"/>
      <c r="U246" s="9" t="s">
        <v>148</v>
      </c>
      <c r="V246" t="s">
        <v>164</v>
      </c>
      <c r="W246" t="s">
        <v>178</v>
      </c>
      <c r="X246" t="s">
        <v>86</v>
      </c>
      <c r="Y246" t="s">
        <v>179</v>
      </c>
      <c r="Z246" t="s">
        <v>41</v>
      </c>
      <c r="AB246" t="str">
        <f t="shared" si="11"/>
        <v>53153</v>
      </c>
    </row>
    <row r="247" ht="14.25" spans="1:28">
      <c r="A247" s="5" t="s">
        <v>28</v>
      </c>
      <c r="B247" s="5" t="s">
        <v>197</v>
      </c>
      <c r="C247" s="5">
        <v>2027</v>
      </c>
      <c r="D247" s="5" t="s">
        <v>30</v>
      </c>
      <c r="E247" s="9" t="s">
        <v>252</v>
      </c>
      <c r="F247" s="9" t="s">
        <v>253</v>
      </c>
      <c r="G247" s="9" t="s">
        <v>254</v>
      </c>
      <c r="H247" s="9" t="s">
        <v>255</v>
      </c>
      <c r="I247" s="9" t="s">
        <v>147</v>
      </c>
      <c r="J247" s="9" t="s">
        <v>36</v>
      </c>
      <c r="K247" s="9">
        <v>1390</v>
      </c>
      <c r="L247" s="9"/>
      <c r="M247" s="9"/>
      <c r="N247" s="9"/>
      <c r="O247" s="9" t="s">
        <v>176</v>
      </c>
      <c r="P247" s="9" t="s">
        <v>42</v>
      </c>
      <c r="Q247" s="11"/>
      <c r="R247" s="10"/>
      <c r="S247" s="10"/>
      <c r="T247" s="10"/>
      <c r="U247" s="9" t="s">
        <v>148</v>
      </c>
      <c r="V247" t="s">
        <v>164</v>
      </c>
      <c r="W247" t="s">
        <v>178</v>
      </c>
      <c r="X247" t="s">
        <v>86</v>
      </c>
      <c r="Y247" t="s">
        <v>179</v>
      </c>
      <c r="Z247" t="s">
        <v>41</v>
      </c>
      <c r="AB247" t="str">
        <f t="shared" si="11"/>
        <v>53153</v>
      </c>
    </row>
    <row r="248" ht="14.25" spans="1:28">
      <c r="A248" s="5" t="s">
        <v>28</v>
      </c>
      <c r="B248" s="5" t="s">
        <v>197</v>
      </c>
      <c r="C248" s="5">
        <v>2027</v>
      </c>
      <c r="D248" s="5" t="s">
        <v>30</v>
      </c>
      <c r="E248" s="9" t="s">
        <v>252</v>
      </c>
      <c r="F248" s="9" t="s">
        <v>253</v>
      </c>
      <c r="G248" s="9" t="s">
        <v>254</v>
      </c>
      <c r="H248" s="9" t="s">
        <v>255</v>
      </c>
      <c r="I248" s="9" t="s">
        <v>147</v>
      </c>
      <c r="J248" s="9" t="s">
        <v>36</v>
      </c>
      <c r="K248" s="9">
        <v>1390</v>
      </c>
      <c r="L248" s="9"/>
      <c r="M248" s="9"/>
      <c r="N248" s="9"/>
      <c r="O248" s="9" t="s">
        <v>176</v>
      </c>
      <c r="P248" s="9" t="s">
        <v>43</v>
      </c>
      <c r="Q248" s="11"/>
      <c r="R248" s="10"/>
      <c r="S248" s="10"/>
      <c r="T248" s="10"/>
      <c r="U248" s="9" t="s">
        <v>148</v>
      </c>
      <c r="V248" t="s">
        <v>164</v>
      </c>
      <c r="W248" t="s">
        <v>178</v>
      </c>
      <c r="X248" t="s">
        <v>86</v>
      </c>
      <c r="Y248" t="s">
        <v>179</v>
      </c>
      <c r="Z248" t="s">
        <v>41</v>
      </c>
      <c r="AB248" t="str">
        <f t="shared" si="11"/>
        <v>53153</v>
      </c>
    </row>
    <row r="249" ht="14.25" spans="1:28">
      <c r="A249" s="5" t="s">
        <v>28</v>
      </c>
      <c r="B249" s="5" t="s">
        <v>197</v>
      </c>
      <c r="C249" s="5">
        <v>2027</v>
      </c>
      <c r="D249" s="5" t="s">
        <v>30</v>
      </c>
      <c r="E249" s="9" t="s">
        <v>252</v>
      </c>
      <c r="F249" s="9" t="s">
        <v>253</v>
      </c>
      <c r="G249" s="9" t="s">
        <v>254</v>
      </c>
      <c r="H249" s="9" t="s">
        <v>255</v>
      </c>
      <c r="I249" s="9" t="s">
        <v>147</v>
      </c>
      <c r="J249" s="9" t="s">
        <v>36</v>
      </c>
      <c r="K249" s="9">
        <v>1390</v>
      </c>
      <c r="L249" s="9"/>
      <c r="M249" s="9"/>
      <c r="N249" s="9"/>
      <c r="O249" s="9" t="s">
        <v>176</v>
      </c>
      <c r="P249" s="9" t="s">
        <v>44</v>
      </c>
      <c r="Q249" s="11"/>
      <c r="R249" s="10"/>
      <c r="S249" s="10"/>
      <c r="T249" s="10"/>
      <c r="U249" s="9" t="s">
        <v>148</v>
      </c>
      <c r="V249" t="s">
        <v>164</v>
      </c>
      <c r="W249" t="s">
        <v>178</v>
      </c>
      <c r="X249" t="s">
        <v>86</v>
      </c>
      <c r="Y249" t="s">
        <v>179</v>
      </c>
      <c r="Z249" t="s">
        <v>41</v>
      </c>
      <c r="AB249" t="str">
        <f t="shared" si="11"/>
        <v>53153</v>
      </c>
    </row>
    <row r="250" ht="14.25" spans="1:28">
      <c r="A250" s="5" t="s">
        <v>28</v>
      </c>
      <c r="B250" s="5" t="s">
        <v>197</v>
      </c>
      <c r="C250" s="5">
        <v>2027</v>
      </c>
      <c r="D250" s="5" t="s">
        <v>30</v>
      </c>
      <c r="E250" s="9" t="s">
        <v>252</v>
      </c>
      <c r="F250" s="9" t="s">
        <v>253</v>
      </c>
      <c r="G250" s="9" t="s">
        <v>254</v>
      </c>
      <c r="H250" s="9" t="s">
        <v>255</v>
      </c>
      <c r="I250" s="9" t="s">
        <v>147</v>
      </c>
      <c r="J250" s="9" t="s">
        <v>36</v>
      </c>
      <c r="K250" s="9">
        <v>1390</v>
      </c>
      <c r="L250" s="9"/>
      <c r="M250" s="9"/>
      <c r="N250" s="9"/>
      <c r="O250" s="9" t="s">
        <v>176</v>
      </c>
      <c r="P250" s="9" t="s">
        <v>45</v>
      </c>
      <c r="Q250" s="11"/>
      <c r="R250" s="10"/>
      <c r="S250" s="10"/>
      <c r="T250" s="10"/>
      <c r="U250" s="9" t="s">
        <v>148</v>
      </c>
      <c r="V250" t="s">
        <v>164</v>
      </c>
      <c r="W250" t="s">
        <v>178</v>
      </c>
      <c r="X250" t="s">
        <v>86</v>
      </c>
      <c r="Y250" t="s">
        <v>179</v>
      </c>
      <c r="Z250" t="s">
        <v>41</v>
      </c>
      <c r="AB250" t="str">
        <f t="shared" si="11"/>
        <v>53153</v>
      </c>
    </row>
    <row r="251" ht="14.25" spans="1:28">
      <c r="A251" s="5" t="s">
        <v>28</v>
      </c>
      <c r="B251" s="5" t="s">
        <v>197</v>
      </c>
      <c r="C251" s="5">
        <v>2027</v>
      </c>
      <c r="D251" s="5" t="s">
        <v>30</v>
      </c>
      <c r="E251" t="s">
        <v>256</v>
      </c>
      <c r="F251" s="9" t="s">
        <v>257</v>
      </c>
      <c r="G251" s="9" t="s">
        <v>65</v>
      </c>
      <c r="H251" s="9" t="s">
        <v>258</v>
      </c>
      <c r="I251" s="9" t="s">
        <v>119</v>
      </c>
      <c r="J251" s="9" t="s">
        <v>36</v>
      </c>
      <c r="K251" s="9">
        <v>1590</v>
      </c>
      <c r="L251" s="9"/>
      <c r="M251" s="9"/>
      <c r="N251" s="9"/>
      <c r="O251" s="9" t="s">
        <v>195</v>
      </c>
      <c r="P251" s="9" t="s">
        <v>74</v>
      </c>
      <c r="Q251" s="11"/>
      <c r="R251" s="10">
        <f t="shared" si="9"/>
        <v>0</v>
      </c>
      <c r="S251" s="10"/>
      <c r="T251" s="10">
        <f t="shared" si="10"/>
        <v>0</v>
      </c>
      <c r="U251" s="9" t="s">
        <v>136</v>
      </c>
      <c r="V251" t="s">
        <v>137</v>
      </c>
      <c r="W251" t="s">
        <v>178</v>
      </c>
      <c r="X251" t="s">
        <v>70</v>
      </c>
      <c r="Y251" t="s">
        <v>179</v>
      </c>
      <c r="Z251" t="s">
        <v>259</v>
      </c>
      <c r="AB251" t="str">
        <f t="shared" si="11"/>
        <v>54935</v>
      </c>
    </row>
    <row r="252" ht="14.25" spans="1:28">
      <c r="A252" s="5" t="s">
        <v>28</v>
      </c>
      <c r="B252" s="5" t="s">
        <v>197</v>
      </c>
      <c r="C252" s="5">
        <v>2027</v>
      </c>
      <c r="D252" s="5" t="s">
        <v>30</v>
      </c>
      <c r="E252" t="s">
        <v>256</v>
      </c>
      <c r="F252" s="9" t="s">
        <v>257</v>
      </c>
      <c r="G252" s="9" t="s">
        <v>65</v>
      </c>
      <c r="H252" s="9" t="s">
        <v>258</v>
      </c>
      <c r="I252" s="9" t="s">
        <v>119</v>
      </c>
      <c r="J252" s="9" t="s">
        <v>36</v>
      </c>
      <c r="K252" s="9">
        <v>1590</v>
      </c>
      <c r="L252" s="9"/>
      <c r="M252" s="9"/>
      <c r="N252" s="9"/>
      <c r="O252" s="9" t="s">
        <v>195</v>
      </c>
      <c r="P252" s="9" t="s">
        <v>76</v>
      </c>
      <c r="Q252" s="11"/>
      <c r="R252" s="10"/>
      <c r="S252" s="10"/>
      <c r="T252" s="10"/>
      <c r="U252" s="9" t="s">
        <v>136</v>
      </c>
      <c r="V252" t="s">
        <v>137</v>
      </c>
      <c r="W252" t="s">
        <v>178</v>
      </c>
      <c r="X252" t="s">
        <v>70</v>
      </c>
      <c r="Y252" t="s">
        <v>179</v>
      </c>
      <c r="Z252" t="s">
        <v>259</v>
      </c>
      <c r="AB252" t="str">
        <f t="shared" si="11"/>
        <v>54935</v>
      </c>
    </row>
    <row r="253" ht="14.25" spans="1:28">
      <c r="A253" s="5" t="s">
        <v>28</v>
      </c>
      <c r="B253" s="5" t="s">
        <v>197</v>
      </c>
      <c r="C253" s="5">
        <v>2027</v>
      </c>
      <c r="D253" s="5" t="s">
        <v>30</v>
      </c>
      <c r="E253" t="s">
        <v>256</v>
      </c>
      <c r="F253" s="9" t="s">
        <v>257</v>
      </c>
      <c r="G253" s="9" t="s">
        <v>65</v>
      </c>
      <c r="H253" s="9" t="s">
        <v>258</v>
      </c>
      <c r="I253" s="9" t="s">
        <v>119</v>
      </c>
      <c r="J253" s="9" t="s">
        <v>36</v>
      </c>
      <c r="K253" s="9">
        <v>1590</v>
      </c>
      <c r="L253" s="9"/>
      <c r="M253" s="9"/>
      <c r="N253" s="9"/>
      <c r="O253" s="9" t="s">
        <v>195</v>
      </c>
      <c r="P253" s="9" t="s">
        <v>77</v>
      </c>
      <c r="Q253" s="11"/>
      <c r="R253" s="10"/>
      <c r="S253" s="10"/>
      <c r="T253" s="10"/>
      <c r="U253" s="9" t="s">
        <v>136</v>
      </c>
      <c r="V253" t="s">
        <v>137</v>
      </c>
      <c r="W253" t="s">
        <v>178</v>
      </c>
      <c r="X253" t="s">
        <v>70</v>
      </c>
      <c r="Y253" t="s">
        <v>179</v>
      </c>
      <c r="Z253" t="s">
        <v>259</v>
      </c>
      <c r="AB253" t="str">
        <f t="shared" si="11"/>
        <v>54935</v>
      </c>
    </row>
    <row r="254" ht="14.25" spans="1:28">
      <c r="A254" s="5" t="s">
        <v>28</v>
      </c>
      <c r="B254" s="5" t="s">
        <v>197</v>
      </c>
      <c r="C254" s="5">
        <v>2027</v>
      </c>
      <c r="D254" s="5" t="s">
        <v>30</v>
      </c>
      <c r="E254" t="s">
        <v>256</v>
      </c>
      <c r="F254" s="9" t="s">
        <v>257</v>
      </c>
      <c r="G254" s="9" t="s">
        <v>65</v>
      </c>
      <c r="H254" s="9" t="s">
        <v>258</v>
      </c>
      <c r="I254" s="9" t="s">
        <v>119</v>
      </c>
      <c r="J254" s="9" t="s">
        <v>36</v>
      </c>
      <c r="K254" s="9">
        <v>1590</v>
      </c>
      <c r="L254" s="9"/>
      <c r="M254" s="9"/>
      <c r="N254" s="9"/>
      <c r="O254" s="9" t="s">
        <v>195</v>
      </c>
      <c r="P254" s="9" t="s">
        <v>78</v>
      </c>
      <c r="Q254" s="11"/>
      <c r="R254" s="10"/>
      <c r="S254" s="10"/>
      <c r="T254" s="10"/>
      <c r="U254" s="9" t="s">
        <v>136</v>
      </c>
      <c r="V254" t="s">
        <v>137</v>
      </c>
      <c r="W254" t="s">
        <v>178</v>
      </c>
      <c r="X254" t="s">
        <v>70</v>
      </c>
      <c r="Y254" t="s">
        <v>179</v>
      </c>
      <c r="Z254" t="s">
        <v>259</v>
      </c>
      <c r="AB254" t="str">
        <f t="shared" si="11"/>
        <v>54935</v>
      </c>
    </row>
    <row r="255" ht="14.25" spans="1:28">
      <c r="A255" s="5" t="s">
        <v>28</v>
      </c>
      <c r="B255" s="5" t="s">
        <v>197</v>
      </c>
      <c r="C255" s="5">
        <v>2027</v>
      </c>
      <c r="D255" s="5" t="s">
        <v>30</v>
      </c>
      <c r="E255" t="s">
        <v>256</v>
      </c>
      <c r="F255" s="9" t="s">
        <v>257</v>
      </c>
      <c r="G255" s="9" t="s">
        <v>65</v>
      </c>
      <c r="H255" s="9" t="s">
        <v>258</v>
      </c>
      <c r="I255" s="9" t="s">
        <v>119</v>
      </c>
      <c r="J255" s="9" t="s">
        <v>36</v>
      </c>
      <c r="K255" s="9">
        <v>1590</v>
      </c>
      <c r="L255" s="9"/>
      <c r="M255" s="9"/>
      <c r="N255" s="9"/>
      <c r="O255" s="9" t="s">
        <v>195</v>
      </c>
      <c r="P255" s="9" t="s">
        <v>79</v>
      </c>
      <c r="Q255" s="11"/>
      <c r="R255" s="10"/>
      <c r="S255" s="10"/>
      <c r="T255" s="10"/>
      <c r="U255" s="9" t="s">
        <v>136</v>
      </c>
      <c r="V255" t="s">
        <v>137</v>
      </c>
      <c r="W255" t="s">
        <v>178</v>
      </c>
      <c r="X255" t="s">
        <v>70</v>
      </c>
      <c r="Y255" t="s">
        <v>179</v>
      </c>
      <c r="Z255" t="s">
        <v>259</v>
      </c>
      <c r="AB255" t="str">
        <f t="shared" si="11"/>
        <v>54935</v>
      </c>
    </row>
    <row r="256" ht="14.25" spans="1:28">
      <c r="A256" s="5" t="s">
        <v>28</v>
      </c>
      <c r="B256" s="5" t="s">
        <v>197</v>
      </c>
      <c r="C256" s="5">
        <v>2027</v>
      </c>
      <c r="D256" s="5" t="s">
        <v>30</v>
      </c>
      <c r="E256" s="9" t="s">
        <v>260</v>
      </c>
      <c r="F256" s="9" t="s">
        <v>261</v>
      </c>
      <c r="G256" s="9" t="s">
        <v>262</v>
      </c>
      <c r="H256" s="9" t="s">
        <v>263</v>
      </c>
      <c r="I256" s="9" t="s">
        <v>119</v>
      </c>
      <c r="J256" s="9" t="s">
        <v>36</v>
      </c>
      <c r="K256" s="9">
        <v>2390</v>
      </c>
      <c r="L256" s="9"/>
      <c r="M256" s="9"/>
      <c r="N256" s="9"/>
      <c r="O256" s="9" t="s">
        <v>176</v>
      </c>
      <c r="P256" s="9" t="s">
        <v>177</v>
      </c>
      <c r="Q256" s="11"/>
      <c r="R256" s="10">
        <f t="shared" si="9"/>
        <v>0</v>
      </c>
      <c r="S256" s="10"/>
      <c r="T256" s="10">
        <f t="shared" si="10"/>
        <v>0</v>
      </c>
      <c r="U256" s="9" t="s">
        <v>242</v>
      </c>
      <c r="V256" t="s">
        <v>242</v>
      </c>
      <c r="W256" t="s">
        <v>178</v>
      </c>
      <c r="Y256" t="s">
        <v>179</v>
      </c>
      <c r="Z256" t="s">
        <v>41</v>
      </c>
      <c r="AB256" t="str">
        <f t="shared" si="11"/>
        <v>53957</v>
      </c>
    </row>
    <row r="257" ht="14.25" spans="1:28">
      <c r="A257" s="5" t="s">
        <v>28</v>
      </c>
      <c r="B257" s="5" t="s">
        <v>197</v>
      </c>
      <c r="C257" s="5">
        <v>2027</v>
      </c>
      <c r="D257" s="5" t="s">
        <v>30</v>
      </c>
      <c r="E257" s="9" t="s">
        <v>260</v>
      </c>
      <c r="F257" s="9" t="s">
        <v>261</v>
      </c>
      <c r="G257" s="9" t="s">
        <v>262</v>
      </c>
      <c r="H257" s="9" t="s">
        <v>263</v>
      </c>
      <c r="I257" s="9" t="s">
        <v>119</v>
      </c>
      <c r="J257" s="9" t="s">
        <v>36</v>
      </c>
      <c r="K257" s="9">
        <v>2390</v>
      </c>
      <c r="L257" s="9"/>
      <c r="M257" s="9"/>
      <c r="N257" s="9"/>
      <c r="O257" s="9" t="s">
        <v>176</v>
      </c>
      <c r="P257" s="9" t="s">
        <v>38</v>
      </c>
      <c r="Q257" s="11"/>
      <c r="R257" s="10"/>
      <c r="S257" s="10"/>
      <c r="T257" s="10"/>
      <c r="U257" s="9" t="s">
        <v>242</v>
      </c>
      <c r="V257" t="s">
        <v>242</v>
      </c>
      <c r="W257" t="s">
        <v>178</v>
      </c>
      <c r="Y257" t="s">
        <v>179</v>
      </c>
      <c r="Z257" t="s">
        <v>41</v>
      </c>
      <c r="AB257" t="str">
        <f t="shared" si="11"/>
        <v>53957</v>
      </c>
    </row>
    <row r="258" ht="14.25" spans="1:28">
      <c r="A258" s="5" t="s">
        <v>28</v>
      </c>
      <c r="B258" s="5" t="s">
        <v>197</v>
      </c>
      <c r="C258" s="5">
        <v>2027</v>
      </c>
      <c r="D258" s="5" t="s">
        <v>30</v>
      </c>
      <c r="E258" s="9" t="s">
        <v>260</v>
      </c>
      <c r="F258" s="9" t="s">
        <v>261</v>
      </c>
      <c r="G258" s="9" t="s">
        <v>262</v>
      </c>
      <c r="H258" s="9" t="s">
        <v>263</v>
      </c>
      <c r="I258" s="9" t="s">
        <v>119</v>
      </c>
      <c r="J258" s="9" t="s">
        <v>36</v>
      </c>
      <c r="K258" s="9">
        <v>2390</v>
      </c>
      <c r="L258" s="9"/>
      <c r="M258" s="9"/>
      <c r="N258" s="9"/>
      <c r="O258" s="9" t="s">
        <v>176</v>
      </c>
      <c r="P258" s="9" t="s">
        <v>42</v>
      </c>
      <c r="Q258" s="11"/>
      <c r="R258" s="10"/>
      <c r="S258" s="10"/>
      <c r="T258" s="10"/>
      <c r="U258" s="9" t="s">
        <v>242</v>
      </c>
      <c r="V258" t="s">
        <v>242</v>
      </c>
      <c r="W258" t="s">
        <v>178</v>
      </c>
      <c r="Y258" t="s">
        <v>179</v>
      </c>
      <c r="Z258" t="s">
        <v>41</v>
      </c>
      <c r="AB258" t="str">
        <f t="shared" si="11"/>
        <v>53957</v>
      </c>
    </row>
    <row r="259" ht="14.25" spans="1:28">
      <c r="A259" s="5" t="s">
        <v>28</v>
      </c>
      <c r="B259" s="5" t="s">
        <v>197</v>
      </c>
      <c r="C259" s="5">
        <v>2027</v>
      </c>
      <c r="D259" s="5" t="s">
        <v>30</v>
      </c>
      <c r="E259" s="9" t="s">
        <v>260</v>
      </c>
      <c r="F259" s="9" t="s">
        <v>261</v>
      </c>
      <c r="G259" s="9" t="s">
        <v>262</v>
      </c>
      <c r="H259" s="9" t="s">
        <v>263</v>
      </c>
      <c r="I259" s="9" t="s">
        <v>119</v>
      </c>
      <c r="J259" s="9" t="s">
        <v>36</v>
      </c>
      <c r="K259" s="9">
        <v>2390</v>
      </c>
      <c r="L259" s="9"/>
      <c r="M259" s="9"/>
      <c r="N259" s="9"/>
      <c r="O259" s="9" t="s">
        <v>176</v>
      </c>
      <c r="P259" s="9" t="s">
        <v>43</v>
      </c>
      <c r="Q259" s="11"/>
      <c r="R259" s="10"/>
      <c r="S259" s="10"/>
      <c r="T259" s="10"/>
      <c r="U259" s="9" t="s">
        <v>242</v>
      </c>
      <c r="V259" t="s">
        <v>242</v>
      </c>
      <c r="W259" t="s">
        <v>178</v>
      </c>
      <c r="Y259" t="s">
        <v>179</v>
      </c>
      <c r="Z259" t="s">
        <v>41</v>
      </c>
      <c r="AB259" t="str">
        <f t="shared" ref="AB259:AB322" si="12">MID(E259,6,5)</f>
        <v>53957</v>
      </c>
    </row>
    <row r="260" ht="14.25" spans="1:28">
      <c r="A260" s="5" t="s">
        <v>28</v>
      </c>
      <c r="B260" s="5" t="s">
        <v>197</v>
      </c>
      <c r="C260" s="5">
        <v>2027</v>
      </c>
      <c r="D260" s="5" t="s">
        <v>30</v>
      </c>
      <c r="E260" s="9" t="s">
        <v>260</v>
      </c>
      <c r="F260" s="9" t="s">
        <v>261</v>
      </c>
      <c r="G260" s="9" t="s">
        <v>262</v>
      </c>
      <c r="H260" s="9" t="s">
        <v>263</v>
      </c>
      <c r="I260" s="9" t="s">
        <v>119</v>
      </c>
      <c r="J260" s="9" t="s">
        <v>36</v>
      </c>
      <c r="K260" s="9">
        <v>2390</v>
      </c>
      <c r="L260" s="9"/>
      <c r="M260" s="9"/>
      <c r="N260" s="9"/>
      <c r="O260" s="9" t="s">
        <v>176</v>
      </c>
      <c r="P260" s="9" t="s">
        <v>44</v>
      </c>
      <c r="Q260" s="11"/>
      <c r="R260" s="10"/>
      <c r="S260" s="10"/>
      <c r="T260" s="10"/>
      <c r="U260" s="9" t="s">
        <v>242</v>
      </c>
      <c r="V260" t="s">
        <v>242</v>
      </c>
      <c r="W260" t="s">
        <v>178</v>
      </c>
      <c r="Y260" t="s">
        <v>179</v>
      </c>
      <c r="Z260" t="s">
        <v>41</v>
      </c>
      <c r="AB260" t="str">
        <f t="shared" si="12"/>
        <v>53957</v>
      </c>
    </row>
    <row r="261" ht="14.25" spans="1:28">
      <c r="A261" s="5" t="s">
        <v>28</v>
      </c>
      <c r="B261" s="5" t="s">
        <v>197</v>
      </c>
      <c r="C261" s="5">
        <v>2027</v>
      </c>
      <c r="D261" s="5" t="s">
        <v>30</v>
      </c>
      <c r="E261" s="9" t="s">
        <v>260</v>
      </c>
      <c r="F261" s="9" t="s">
        <v>261</v>
      </c>
      <c r="G261" s="9" t="s">
        <v>262</v>
      </c>
      <c r="H261" s="9" t="s">
        <v>263</v>
      </c>
      <c r="I261" s="9" t="s">
        <v>119</v>
      </c>
      <c r="J261" s="9" t="s">
        <v>36</v>
      </c>
      <c r="K261" s="9">
        <v>2390</v>
      </c>
      <c r="L261" s="9"/>
      <c r="M261" s="9"/>
      <c r="N261" s="9"/>
      <c r="O261" s="9" t="s">
        <v>176</v>
      </c>
      <c r="P261" s="9" t="s">
        <v>45</v>
      </c>
      <c r="Q261" s="11"/>
      <c r="R261" s="10"/>
      <c r="S261" s="10"/>
      <c r="T261" s="10"/>
      <c r="U261" s="9" t="s">
        <v>242</v>
      </c>
      <c r="V261" t="s">
        <v>242</v>
      </c>
      <c r="W261" t="s">
        <v>178</v>
      </c>
      <c r="Y261" t="s">
        <v>179</v>
      </c>
      <c r="Z261" t="s">
        <v>41</v>
      </c>
      <c r="AB261" t="str">
        <f t="shared" si="12"/>
        <v>53957</v>
      </c>
    </row>
    <row r="262" ht="14.25" spans="1:28">
      <c r="A262" s="5" t="s">
        <v>28</v>
      </c>
      <c r="B262" s="5" t="s">
        <v>264</v>
      </c>
      <c r="C262" s="5">
        <v>2027</v>
      </c>
      <c r="D262" s="5" t="s">
        <v>30</v>
      </c>
      <c r="E262" s="9" t="s">
        <v>265</v>
      </c>
      <c r="F262" s="9" t="s">
        <v>266</v>
      </c>
      <c r="G262" s="9" t="s">
        <v>267</v>
      </c>
      <c r="H262" s="9" t="s">
        <v>268</v>
      </c>
      <c r="I262" s="9" t="s">
        <v>269</v>
      </c>
      <c r="J262" s="9" t="s">
        <v>36</v>
      </c>
      <c r="K262" s="9">
        <v>990</v>
      </c>
      <c r="L262" s="9"/>
      <c r="M262" s="9"/>
      <c r="N262" s="9"/>
      <c r="O262" s="9" t="s">
        <v>113</v>
      </c>
      <c r="P262" s="9" t="s">
        <v>113</v>
      </c>
      <c r="Q262" s="9"/>
      <c r="R262" s="10">
        <f t="shared" ref="R258:R321" si="13">SUMIFS(Q:Q,E:E,E262)</f>
        <v>0</v>
      </c>
      <c r="S262" s="10">
        <f>SUMIFS([1]Sheet1!$T:$T,[1]Sheet1!$I:$I,E262,[1]Sheet1!$C:$C,A262)</f>
        <v>0</v>
      </c>
      <c r="T262" s="10">
        <f t="shared" ref="T258:T321" si="14">R262-S262</f>
        <v>0</v>
      </c>
      <c r="U262" s="9"/>
      <c r="Y262" t="s">
        <v>179</v>
      </c>
      <c r="Z262" t="s">
        <v>179</v>
      </c>
      <c r="AB262" t="str">
        <f t="shared" si="12"/>
        <v>15076</v>
      </c>
    </row>
    <row r="263" ht="14.25" spans="1:28">
      <c r="A263" s="5" t="s">
        <v>28</v>
      </c>
      <c r="B263" s="5" t="s">
        <v>264</v>
      </c>
      <c r="C263" s="5">
        <v>2027</v>
      </c>
      <c r="D263" s="5" t="s">
        <v>30</v>
      </c>
      <c r="E263" s="9" t="s">
        <v>270</v>
      </c>
      <c r="F263" s="9" t="s">
        <v>271</v>
      </c>
      <c r="G263" s="9" t="s">
        <v>100</v>
      </c>
      <c r="H263" s="9" t="s">
        <v>272</v>
      </c>
      <c r="I263" s="9" t="s">
        <v>269</v>
      </c>
      <c r="J263" s="9" t="s">
        <v>36</v>
      </c>
      <c r="K263" s="9">
        <v>890</v>
      </c>
      <c r="L263" s="9"/>
      <c r="M263" s="9"/>
      <c r="N263" s="9"/>
      <c r="O263" s="9" t="s">
        <v>113</v>
      </c>
      <c r="P263" s="9" t="s">
        <v>113</v>
      </c>
      <c r="Q263" s="9"/>
      <c r="R263" s="10">
        <f t="shared" si="13"/>
        <v>0</v>
      </c>
      <c r="S263" s="10">
        <f>SUMIFS([1]Sheet1!$T:$T,[1]Sheet1!$I:$I,E263,[1]Sheet1!$C:$C,A263)</f>
        <v>0</v>
      </c>
      <c r="T263" s="10">
        <f t="shared" si="14"/>
        <v>0</v>
      </c>
      <c r="U263" s="9"/>
      <c r="X263" t="s">
        <v>102</v>
      </c>
      <c r="Y263" t="s">
        <v>179</v>
      </c>
      <c r="Z263" t="s">
        <v>179</v>
      </c>
      <c r="AB263" t="str">
        <f t="shared" si="12"/>
        <v>15081</v>
      </c>
    </row>
    <row r="264" ht="14.25" spans="1:28">
      <c r="A264" s="5" t="s">
        <v>28</v>
      </c>
      <c r="B264" s="5" t="s">
        <v>264</v>
      </c>
      <c r="C264" s="5">
        <v>2027</v>
      </c>
      <c r="D264" s="5" t="s">
        <v>30</v>
      </c>
      <c r="E264" s="9" t="s">
        <v>273</v>
      </c>
      <c r="F264" s="9" t="s">
        <v>274</v>
      </c>
      <c r="G264" s="9" t="s">
        <v>117</v>
      </c>
      <c r="H264" s="9" t="s">
        <v>275</v>
      </c>
      <c r="I264" s="9" t="s">
        <v>276</v>
      </c>
      <c r="J264" s="9" t="s">
        <v>36</v>
      </c>
      <c r="K264" s="9">
        <v>490</v>
      </c>
      <c r="L264" s="9"/>
      <c r="M264" s="9"/>
      <c r="N264" s="9"/>
      <c r="O264" s="9" t="s">
        <v>113</v>
      </c>
      <c r="P264" s="9" t="s">
        <v>113</v>
      </c>
      <c r="Q264" s="9"/>
      <c r="R264" s="10">
        <f t="shared" si="13"/>
        <v>0</v>
      </c>
      <c r="S264" s="10">
        <f>SUMIFS([1]Sheet1!$T:$T,[1]Sheet1!$I:$I,E264,[1]Sheet1!$C:$C,A264)</f>
        <v>0</v>
      </c>
      <c r="T264" s="10">
        <f t="shared" si="14"/>
        <v>0</v>
      </c>
      <c r="U264" s="9"/>
      <c r="X264" t="s">
        <v>122</v>
      </c>
      <c r="Y264" t="s">
        <v>179</v>
      </c>
      <c r="Z264" t="s">
        <v>179</v>
      </c>
      <c r="AB264" t="str">
        <f t="shared" si="12"/>
        <v>15098</v>
      </c>
    </row>
    <row r="265" ht="14.25" spans="1:28">
      <c r="A265" s="5" t="s">
        <v>28</v>
      </c>
      <c r="B265" s="5" t="s">
        <v>264</v>
      </c>
      <c r="C265" s="5">
        <v>2027</v>
      </c>
      <c r="D265" s="5" t="s">
        <v>30</v>
      </c>
      <c r="E265" s="9" t="s">
        <v>277</v>
      </c>
      <c r="F265" s="9" t="s">
        <v>278</v>
      </c>
      <c r="G265" s="9" t="s">
        <v>267</v>
      </c>
      <c r="H265" s="9" t="s">
        <v>279</v>
      </c>
      <c r="I265" s="9" t="s">
        <v>269</v>
      </c>
      <c r="J265" s="9" t="s">
        <v>36</v>
      </c>
      <c r="K265" s="9">
        <v>1190</v>
      </c>
      <c r="L265" s="9"/>
      <c r="M265" s="9"/>
      <c r="N265" s="9"/>
      <c r="O265" s="9" t="s">
        <v>113</v>
      </c>
      <c r="P265" s="9" t="s">
        <v>113</v>
      </c>
      <c r="Q265" s="9"/>
      <c r="R265" s="10">
        <f t="shared" si="13"/>
        <v>0</v>
      </c>
      <c r="S265" s="10">
        <f>SUMIFS([1]Sheet1!$T:$T,[1]Sheet1!$I:$I,E265,[1]Sheet1!$C:$C,A265)</f>
        <v>0</v>
      </c>
      <c r="T265" s="10">
        <f t="shared" si="14"/>
        <v>0</v>
      </c>
      <c r="U265" s="9"/>
      <c r="Y265" t="s">
        <v>179</v>
      </c>
      <c r="Z265" t="s">
        <v>179</v>
      </c>
      <c r="AB265" t="str">
        <f t="shared" si="12"/>
        <v>15238</v>
      </c>
    </row>
    <row r="266" ht="14.25" spans="1:28">
      <c r="A266" s="5" t="s">
        <v>28</v>
      </c>
      <c r="B266" s="5" t="s">
        <v>264</v>
      </c>
      <c r="C266" s="5">
        <v>2027</v>
      </c>
      <c r="D266" s="5" t="s">
        <v>30</v>
      </c>
      <c r="E266" s="9" t="s">
        <v>280</v>
      </c>
      <c r="F266" s="9" t="s">
        <v>281</v>
      </c>
      <c r="G266" s="9" t="s">
        <v>282</v>
      </c>
      <c r="H266" s="9" t="s">
        <v>283</v>
      </c>
      <c r="I266" s="9" t="s">
        <v>276</v>
      </c>
      <c r="J266" s="9" t="s">
        <v>36</v>
      </c>
      <c r="K266" s="9">
        <v>390</v>
      </c>
      <c r="L266" s="9"/>
      <c r="M266" s="9"/>
      <c r="N266" s="9"/>
      <c r="O266" s="9" t="s">
        <v>113</v>
      </c>
      <c r="P266" s="9" t="s">
        <v>113</v>
      </c>
      <c r="Q266" s="9"/>
      <c r="R266" s="10">
        <f t="shared" si="13"/>
        <v>0</v>
      </c>
      <c r="S266" s="10">
        <f>SUMIFS([1]Sheet1!$T:$T,[1]Sheet1!$I:$I,E266,[1]Sheet1!$C:$C,A266)</f>
        <v>0</v>
      </c>
      <c r="T266" s="10">
        <f t="shared" si="14"/>
        <v>0</v>
      </c>
      <c r="U266" s="9"/>
      <c r="X266" t="s">
        <v>86</v>
      </c>
      <c r="Y266" t="s">
        <v>179</v>
      </c>
      <c r="Z266" t="s">
        <v>179</v>
      </c>
      <c r="AB266" t="str">
        <f t="shared" si="12"/>
        <v>18358</v>
      </c>
    </row>
    <row r="267" ht="14.25" spans="1:28">
      <c r="A267" s="5" t="s">
        <v>28</v>
      </c>
      <c r="B267" s="5" t="s">
        <v>264</v>
      </c>
      <c r="C267" s="5">
        <v>2027</v>
      </c>
      <c r="D267" s="5" t="s">
        <v>30</v>
      </c>
      <c r="E267" s="9" t="s">
        <v>284</v>
      </c>
      <c r="F267" s="9" t="s">
        <v>285</v>
      </c>
      <c r="G267" s="9" t="s">
        <v>117</v>
      </c>
      <c r="H267" s="9" t="s">
        <v>286</v>
      </c>
      <c r="I267" s="9" t="s">
        <v>269</v>
      </c>
      <c r="J267" s="9" t="s">
        <v>36</v>
      </c>
      <c r="K267" s="9">
        <v>990</v>
      </c>
      <c r="L267" s="9"/>
      <c r="M267" s="9"/>
      <c r="N267" s="9"/>
      <c r="O267" s="9" t="s">
        <v>113</v>
      </c>
      <c r="P267" s="9" t="s">
        <v>113</v>
      </c>
      <c r="Q267" s="9"/>
      <c r="R267" s="10">
        <f t="shared" si="13"/>
        <v>0</v>
      </c>
      <c r="S267" s="10">
        <f>SUMIFS([1]Sheet1!$T:$T,[1]Sheet1!$I:$I,E267,[1]Sheet1!$C:$C,A267)</f>
        <v>0</v>
      </c>
      <c r="T267" s="10">
        <f t="shared" si="14"/>
        <v>0</v>
      </c>
      <c r="U267" s="9"/>
      <c r="X267" t="s">
        <v>122</v>
      </c>
      <c r="Y267" t="s">
        <v>179</v>
      </c>
      <c r="Z267" t="s">
        <v>179</v>
      </c>
      <c r="AB267" t="str">
        <f t="shared" si="12"/>
        <v>19595</v>
      </c>
    </row>
    <row r="268" ht="14.25" spans="1:28">
      <c r="A268" s="5" t="s">
        <v>28</v>
      </c>
      <c r="B268" s="5" t="s">
        <v>264</v>
      </c>
      <c r="C268" s="5">
        <v>2027</v>
      </c>
      <c r="D268" s="5" t="s">
        <v>30</v>
      </c>
      <c r="E268" s="9" t="s">
        <v>287</v>
      </c>
      <c r="F268" s="9" t="s">
        <v>288</v>
      </c>
      <c r="G268" s="9" t="s">
        <v>289</v>
      </c>
      <c r="H268" s="9" t="s">
        <v>290</v>
      </c>
      <c r="I268" s="9" t="s">
        <v>276</v>
      </c>
      <c r="J268" s="9" t="s">
        <v>36</v>
      </c>
      <c r="K268" s="9">
        <v>690</v>
      </c>
      <c r="L268" s="9"/>
      <c r="M268" s="9"/>
      <c r="N268" s="9"/>
      <c r="O268" s="9" t="s">
        <v>113</v>
      </c>
      <c r="P268" s="9" t="s">
        <v>113</v>
      </c>
      <c r="Q268" s="9"/>
      <c r="R268" s="10">
        <f t="shared" si="13"/>
        <v>0</v>
      </c>
      <c r="S268" s="10">
        <f>SUMIFS([1]Sheet1!$T:$T,[1]Sheet1!$I:$I,E268,[1]Sheet1!$C:$C,A268)</f>
        <v>0</v>
      </c>
      <c r="T268" s="10">
        <f t="shared" si="14"/>
        <v>0</v>
      </c>
      <c r="U268" s="9"/>
      <c r="X268" t="s">
        <v>86</v>
      </c>
      <c r="Y268" t="s">
        <v>179</v>
      </c>
      <c r="Z268" t="s">
        <v>179</v>
      </c>
      <c r="AB268" t="str">
        <f t="shared" si="12"/>
        <v>19615</v>
      </c>
    </row>
    <row r="269" ht="14.25" spans="1:28">
      <c r="A269" s="5" t="s">
        <v>28</v>
      </c>
      <c r="B269" s="5" t="s">
        <v>264</v>
      </c>
      <c r="C269" s="5">
        <v>2027</v>
      </c>
      <c r="D269" s="5" t="s">
        <v>30</v>
      </c>
      <c r="E269" s="9" t="s">
        <v>291</v>
      </c>
      <c r="F269" s="9" t="s">
        <v>292</v>
      </c>
      <c r="G269" s="9" t="s">
        <v>267</v>
      </c>
      <c r="H269" s="9" t="s">
        <v>293</v>
      </c>
      <c r="I269" s="9" t="s">
        <v>269</v>
      </c>
      <c r="J269" s="9" t="s">
        <v>36</v>
      </c>
      <c r="K269" s="9">
        <v>1190</v>
      </c>
      <c r="L269" s="9"/>
      <c r="M269" s="9"/>
      <c r="N269" s="9"/>
      <c r="O269" s="9" t="s">
        <v>113</v>
      </c>
      <c r="P269" s="9" t="s">
        <v>113</v>
      </c>
      <c r="Q269" s="9"/>
      <c r="R269" s="10">
        <f t="shared" si="13"/>
        <v>0</v>
      </c>
      <c r="S269" s="10">
        <f>SUMIFS([1]Sheet1!$T:$T,[1]Sheet1!$I:$I,E269,[1]Sheet1!$C:$C,A269)</f>
        <v>0</v>
      </c>
      <c r="T269" s="10">
        <f t="shared" si="14"/>
        <v>0</v>
      </c>
      <c r="U269" s="9"/>
      <c r="Y269" t="s">
        <v>179</v>
      </c>
      <c r="Z269" t="s">
        <v>179</v>
      </c>
      <c r="AB269" t="str">
        <f t="shared" si="12"/>
        <v>19632</v>
      </c>
    </row>
    <row r="270" ht="14.25" spans="1:28">
      <c r="A270" s="5" t="s">
        <v>28</v>
      </c>
      <c r="B270" s="5" t="s">
        <v>264</v>
      </c>
      <c r="C270" s="5">
        <v>2027</v>
      </c>
      <c r="D270" s="5" t="s">
        <v>30</v>
      </c>
      <c r="E270" s="9" t="s">
        <v>294</v>
      </c>
      <c r="F270" s="9" t="s">
        <v>295</v>
      </c>
      <c r="G270" s="9" t="s">
        <v>267</v>
      </c>
      <c r="H270" s="9" t="s">
        <v>296</v>
      </c>
      <c r="I270" s="9" t="s">
        <v>269</v>
      </c>
      <c r="J270" s="9" t="s">
        <v>36</v>
      </c>
      <c r="K270" s="9">
        <v>790</v>
      </c>
      <c r="L270" s="9"/>
      <c r="M270" s="9"/>
      <c r="N270" s="9"/>
      <c r="O270" s="9" t="s">
        <v>113</v>
      </c>
      <c r="P270" s="9" t="s">
        <v>113</v>
      </c>
      <c r="Q270" s="9"/>
      <c r="R270" s="10">
        <f t="shared" si="13"/>
        <v>0</v>
      </c>
      <c r="S270" s="10">
        <f>SUMIFS([1]Sheet1!$T:$T,[1]Sheet1!$I:$I,E270,[1]Sheet1!$C:$C,A270)</f>
        <v>0</v>
      </c>
      <c r="T270" s="10">
        <f t="shared" si="14"/>
        <v>0</v>
      </c>
      <c r="U270" s="9"/>
      <c r="Y270" t="s">
        <v>179</v>
      </c>
      <c r="Z270" t="s">
        <v>179</v>
      </c>
      <c r="AB270" t="str">
        <f t="shared" si="12"/>
        <v>19642</v>
      </c>
    </row>
    <row r="271" ht="14.25" spans="1:28">
      <c r="A271" s="5" t="s">
        <v>28</v>
      </c>
      <c r="B271" s="5" t="s">
        <v>264</v>
      </c>
      <c r="C271" s="5">
        <v>2027</v>
      </c>
      <c r="D271" s="5" t="s">
        <v>30</v>
      </c>
      <c r="E271" s="9" t="s">
        <v>297</v>
      </c>
      <c r="F271" s="9" t="s">
        <v>298</v>
      </c>
      <c r="G271" s="9" t="s">
        <v>117</v>
      </c>
      <c r="H271" s="9" t="s">
        <v>299</v>
      </c>
      <c r="I271" s="9" t="s">
        <v>269</v>
      </c>
      <c r="J271" s="9" t="s">
        <v>36</v>
      </c>
      <c r="K271" s="9">
        <v>590</v>
      </c>
      <c r="L271" s="9"/>
      <c r="M271" s="9"/>
      <c r="N271" s="9"/>
      <c r="O271" s="9" t="s">
        <v>300</v>
      </c>
      <c r="P271" s="9" t="s">
        <v>301</v>
      </c>
      <c r="Q271" s="9"/>
      <c r="R271" s="10">
        <f t="shared" si="13"/>
        <v>0</v>
      </c>
      <c r="S271" s="10">
        <f>SUMIFS([1]Sheet1!$T:$T,[1]Sheet1!$I:$I,E271,[1]Sheet1!$C:$C,A271)</f>
        <v>0</v>
      </c>
      <c r="T271" s="10">
        <f t="shared" si="14"/>
        <v>0</v>
      </c>
      <c r="U271" s="9"/>
      <c r="X271" t="s">
        <v>122</v>
      </c>
      <c r="Y271" t="s">
        <v>179</v>
      </c>
      <c r="Z271" t="s">
        <v>179</v>
      </c>
      <c r="AB271" t="str">
        <f t="shared" si="12"/>
        <v>19681</v>
      </c>
    </row>
    <row r="272" ht="14.25" spans="1:28">
      <c r="A272" s="5" t="s">
        <v>28</v>
      </c>
      <c r="B272" s="5" t="s">
        <v>264</v>
      </c>
      <c r="C272" s="5">
        <v>2027</v>
      </c>
      <c r="D272" s="5" t="s">
        <v>30</v>
      </c>
      <c r="E272" s="9" t="s">
        <v>297</v>
      </c>
      <c r="F272" s="9" t="s">
        <v>298</v>
      </c>
      <c r="G272" s="9" t="s">
        <v>117</v>
      </c>
      <c r="H272" s="9" t="s">
        <v>299</v>
      </c>
      <c r="I272" s="9" t="s">
        <v>269</v>
      </c>
      <c r="J272" s="9" t="s">
        <v>36</v>
      </c>
      <c r="K272" s="9">
        <v>590</v>
      </c>
      <c r="L272" s="9"/>
      <c r="M272" s="9"/>
      <c r="N272" s="9"/>
      <c r="O272" s="9" t="s">
        <v>300</v>
      </c>
      <c r="P272" s="9" t="s">
        <v>302</v>
      </c>
      <c r="Q272" s="9"/>
      <c r="R272" s="10"/>
      <c r="S272" s="10"/>
      <c r="T272" s="10"/>
      <c r="U272" s="9"/>
      <c r="X272" t="s">
        <v>122</v>
      </c>
      <c r="Y272" t="s">
        <v>179</v>
      </c>
      <c r="Z272" t="s">
        <v>179</v>
      </c>
      <c r="AB272" t="str">
        <f t="shared" si="12"/>
        <v>19681</v>
      </c>
    </row>
    <row r="273" ht="14.25" spans="1:28">
      <c r="A273" s="5" t="s">
        <v>28</v>
      </c>
      <c r="B273" s="5" t="s">
        <v>264</v>
      </c>
      <c r="C273" s="5">
        <v>2027</v>
      </c>
      <c r="D273" s="5" t="s">
        <v>30</v>
      </c>
      <c r="E273" s="9" t="s">
        <v>297</v>
      </c>
      <c r="F273" s="9" t="s">
        <v>298</v>
      </c>
      <c r="G273" s="9" t="s">
        <v>117</v>
      </c>
      <c r="H273" s="9" t="s">
        <v>299</v>
      </c>
      <c r="I273" s="9" t="s">
        <v>269</v>
      </c>
      <c r="J273" s="9" t="s">
        <v>36</v>
      </c>
      <c r="K273" s="9">
        <v>590</v>
      </c>
      <c r="L273" s="9"/>
      <c r="M273" s="9"/>
      <c r="N273" s="9"/>
      <c r="O273" s="9" t="s">
        <v>300</v>
      </c>
      <c r="P273" s="9" t="s">
        <v>303</v>
      </c>
      <c r="Q273" s="9"/>
      <c r="R273" s="10"/>
      <c r="S273" s="10"/>
      <c r="T273" s="10"/>
      <c r="U273" s="9"/>
      <c r="X273" t="s">
        <v>122</v>
      </c>
      <c r="Y273" t="s">
        <v>179</v>
      </c>
      <c r="Z273" t="s">
        <v>179</v>
      </c>
      <c r="AB273" t="str">
        <f t="shared" si="12"/>
        <v>19681</v>
      </c>
    </row>
    <row r="274" ht="14.25" spans="1:28">
      <c r="A274" s="5" t="s">
        <v>28</v>
      </c>
      <c r="B274" s="5" t="s">
        <v>264</v>
      </c>
      <c r="C274" s="5">
        <v>2027</v>
      </c>
      <c r="D274" s="5" t="s">
        <v>30</v>
      </c>
      <c r="E274" s="9" t="s">
        <v>297</v>
      </c>
      <c r="F274" s="9" t="s">
        <v>298</v>
      </c>
      <c r="G274" s="9" t="s">
        <v>117</v>
      </c>
      <c r="H274" s="9" t="s">
        <v>299</v>
      </c>
      <c r="I274" s="9" t="s">
        <v>269</v>
      </c>
      <c r="J274" s="9" t="s">
        <v>36</v>
      </c>
      <c r="K274" s="9">
        <v>590</v>
      </c>
      <c r="L274" s="9"/>
      <c r="M274" s="9"/>
      <c r="N274" s="9"/>
      <c r="O274" s="9" t="s">
        <v>300</v>
      </c>
      <c r="P274" s="9" t="s">
        <v>121</v>
      </c>
      <c r="Q274" s="11"/>
      <c r="R274" s="10"/>
      <c r="S274" s="10"/>
      <c r="T274" s="10"/>
      <c r="U274" s="9"/>
      <c r="X274" t="s">
        <v>122</v>
      </c>
      <c r="Y274" t="s">
        <v>179</v>
      </c>
      <c r="Z274" t="s">
        <v>179</v>
      </c>
      <c r="AB274" t="str">
        <f t="shared" si="12"/>
        <v>19681</v>
      </c>
    </row>
    <row r="275" ht="14.25" spans="1:28">
      <c r="A275" s="5" t="s">
        <v>28</v>
      </c>
      <c r="B275" s="5" t="s">
        <v>264</v>
      </c>
      <c r="C275" s="5">
        <v>2027</v>
      </c>
      <c r="D275" s="5" t="s">
        <v>30</v>
      </c>
      <c r="E275" s="9" t="s">
        <v>304</v>
      </c>
      <c r="F275" s="9" t="s">
        <v>305</v>
      </c>
      <c r="G275" s="9" t="s">
        <v>306</v>
      </c>
      <c r="H275" s="9" t="s">
        <v>307</v>
      </c>
      <c r="I275" s="9" t="s">
        <v>276</v>
      </c>
      <c r="J275" s="9" t="s">
        <v>36</v>
      </c>
      <c r="K275" s="9">
        <v>490</v>
      </c>
      <c r="L275" s="9"/>
      <c r="M275" s="9"/>
      <c r="N275" s="9"/>
      <c r="O275" s="9" t="s">
        <v>113</v>
      </c>
      <c r="P275" s="9" t="s">
        <v>113</v>
      </c>
      <c r="Q275" s="11"/>
      <c r="R275" s="10">
        <f t="shared" si="13"/>
        <v>0</v>
      </c>
      <c r="S275" s="10">
        <f>SUMIFS([1]Sheet1!$T:$T,[1]Sheet1!$I:$I,E275,[1]Sheet1!$C:$C,A275)</f>
        <v>0</v>
      </c>
      <c r="T275" s="10">
        <f t="shared" si="14"/>
        <v>0</v>
      </c>
      <c r="U275" s="9"/>
      <c r="X275" t="s">
        <v>308</v>
      </c>
      <c r="Y275" t="s">
        <v>179</v>
      </c>
      <c r="Z275" t="s">
        <v>179</v>
      </c>
      <c r="AB275" t="str">
        <f t="shared" si="12"/>
        <v>19763</v>
      </c>
    </row>
    <row r="276" ht="14.25" spans="1:28">
      <c r="A276" s="5" t="s">
        <v>28</v>
      </c>
      <c r="B276" s="5" t="s">
        <v>264</v>
      </c>
      <c r="C276" s="5">
        <v>2027</v>
      </c>
      <c r="D276" s="5" t="s">
        <v>30</v>
      </c>
      <c r="E276" s="9" t="s">
        <v>309</v>
      </c>
      <c r="F276" s="9" t="s">
        <v>310</v>
      </c>
      <c r="G276" s="9" t="s">
        <v>311</v>
      </c>
      <c r="H276" s="9" t="s">
        <v>312</v>
      </c>
      <c r="I276" s="9" t="s">
        <v>276</v>
      </c>
      <c r="J276" s="9" t="s">
        <v>74</v>
      </c>
      <c r="K276" s="9">
        <v>990</v>
      </c>
      <c r="L276" s="9"/>
      <c r="M276" s="9"/>
      <c r="N276" s="9"/>
      <c r="O276" s="9" t="s">
        <v>68</v>
      </c>
      <c r="P276" s="9" t="s">
        <v>69</v>
      </c>
      <c r="Q276" s="11"/>
      <c r="R276" s="10">
        <f t="shared" si="13"/>
        <v>0</v>
      </c>
      <c r="S276" s="10">
        <f>SUMIFS([1]Sheet1!$T:$T,[1]Sheet1!$I:$I,E276,[1]Sheet1!$C:$C,A276)</f>
        <v>0</v>
      </c>
      <c r="T276" s="10">
        <f t="shared" si="14"/>
        <v>0</v>
      </c>
      <c r="U276" s="9"/>
      <c r="X276" t="s">
        <v>313</v>
      </c>
      <c r="Y276" t="s">
        <v>179</v>
      </c>
      <c r="Z276" t="s">
        <v>247</v>
      </c>
      <c r="AB276" t="str">
        <f t="shared" si="12"/>
        <v>23347</v>
      </c>
    </row>
    <row r="277" ht="14.25" spans="1:28">
      <c r="A277" s="5" t="s">
        <v>28</v>
      </c>
      <c r="B277" s="5" t="s">
        <v>264</v>
      </c>
      <c r="C277" s="5">
        <v>2027</v>
      </c>
      <c r="D277" s="5" t="s">
        <v>30</v>
      </c>
      <c r="E277" s="9" t="s">
        <v>309</v>
      </c>
      <c r="F277" s="9" t="s">
        <v>310</v>
      </c>
      <c r="G277" s="9" t="s">
        <v>311</v>
      </c>
      <c r="H277" s="9" t="s">
        <v>312</v>
      </c>
      <c r="I277" s="9" t="s">
        <v>276</v>
      </c>
      <c r="J277" s="9" t="s">
        <v>74</v>
      </c>
      <c r="K277" s="9">
        <v>990</v>
      </c>
      <c r="L277" s="9"/>
      <c r="M277" s="9"/>
      <c r="N277" s="9"/>
      <c r="O277" s="9" t="s">
        <v>68</v>
      </c>
      <c r="P277" s="9" t="s">
        <v>72</v>
      </c>
      <c r="Q277" s="11"/>
      <c r="R277" s="10"/>
      <c r="S277" s="10"/>
      <c r="T277" s="10"/>
      <c r="U277" s="9"/>
      <c r="X277" t="s">
        <v>313</v>
      </c>
      <c r="Y277" t="s">
        <v>179</v>
      </c>
      <c r="Z277" t="s">
        <v>247</v>
      </c>
      <c r="AB277" t="str">
        <f t="shared" si="12"/>
        <v>23347</v>
      </c>
    </row>
    <row r="278" ht="14.25" spans="1:28">
      <c r="A278" s="5" t="s">
        <v>28</v>
      </c>
      <c r="B278" s="5" t="s">
        <v>264</v>
      </c>
      <c r="C278" s="5">
        <v>2027</v>
      </c>
      <c r="D278" s="5" t="s">
        <v>30</v>
      </c>
      <c r="E278" s="9" t="s">
        <v>309</v>
      </c>
      <c r="F278" s="9" t="s">
        <v>310</v>
      </c>
      <c r="G278" s="9" t="s">
        <v>311</v>
      </c>
      <c r="H278" s="9" t="s">
        <v>312</v>
      </c>
      <c r="I278" s="9" t="s">
        <v>276</v>
      </c>
      <c r="J278" s="9" t="s">
        <v>74</v>
      </c>
      <c r="K278" s="9">
        <v>990</v>
      </c>
      <c r="L278" s="9"/>
      <c r="M278" s="9"/>
      <c r="N278" s="9"/>
      <c r="O278" s="9" t="s">
        <v>68</v>
      </c>
      <c r="P278" s="9" t="s">
        <v>73</v>
      </c>
      <c r="Q278" s="11"/>
      <c r="R278" s="10"/>
      <c r="S278" s="10"/>
      <c r="T278" s="10"/>
      <c r="U278" s="9"/>
      <c r="X278" t="s">
        <v>313</v>
      </c>
      <c r="Y278" t="s">
        <v>179</v>
      </c>
      <c r="Z278" t="s">
        <v>247</v>
      </c>
      <c r="AB278" t="str">
        <f t="shared" si="12"/>
        <v>23347</v>
      </c>
    </row>
    <row r="279" ht="14.25" spans="1:28">
      <c r="A279" s="5" t="s">
        <v>28</v>
      </c>
      <c r="B279" s="5" t="s">
        <v>264</v>
      </c>
      <c r="C279" s="5">
        <v>2027</v>
      </c>
      <c r="D279" s="5" t="s">
        <v>30</v>
      </c>
      <c r="E279" s="9" t="s">
        <v>309</v>
      </c>
      <c r="F279" s="9" t="s">
        <v>310</v>
      </c>
      <c r="G279" s="9" t="s">
        <v>311</v>
      </c>
      <c r="H279" s="9" t="s">
        <v>312</v>
      </c>
      <c r="I279" s="9" t="s">
        <v>276</v>
      </c>
      <c r="J279" s="9" t="s">
        <v>74</v>
      </c>
      <c r="K279" s="9">
        <v>990</v>
      </c>
      <c r="L279" s="9"/>
      <c r="M279" s="9"/>
      <c r="N279" s="9"/>
      <c r="O279" s="9" t="s">
        <v>68</v>
      </c>
      <c r="P279" s="9" t="s">
        <v>74</v>
      </c>
      <c r="Q279" s="11"/>
      <c r="R279" s="10"/>
      <c r="S279" s="10"/>
      <c r="T279" s="10"/>
      <c r="U279" s="9"/>
      <c r="X279" t="s">
        <v>313</v>
      </c>
      <c r="Y279" t="s">
        <v>179</v>
      </c>
      <c r="Z279" t="s">
        <v>247</v>
      </c>
      <c r="AB279" t="str">
        <f t="shared" si="12"/>
        <v>23347</v>
      </c>
    </row>
    <row r="280" ht="14.25" spans="1:28">
      <c r="A280" s="5" t="s">
        <v>28</v>
      </c>
      <c r="B280" s="5" t="s">
        <v>264</v>
      </c>
      <c r="C280" s="5">
        <v>2027</v>
      </c>
      <c r="D280" s="5" t="s">
        <v>30</v>
      </c>
      <c r="E280" s="9" t="s">
        <v>309</v>
      </c>
      <c r="F280" s="9" t="s">
        <v>310</v>
      </c>
      <c r="G280" s="9" t="s">
        <v>311</v>
      </c>
      <c r="H280" s="9" t="s">
        <v>312</v>
      </c>
      <c r="I280" s="9" t="s">
        <v>276</v>
      </c>
      <c r="J280" s="9" t="s">
        <v>74</v>
      </c>
      <c r="K280" s="9">
        <v>990</v>
      </c>
      <c r="L280" s="9"/>
      <c r="M280" s="9"/>
      <c r="N280" s="9"/>
      <c r="O280" s="9" t="s">
        <v>68</v>
      </c>
      <c r="P280" s="9" t="s">
        <v>75</v>
      </c>
      <c r="Q280" s="11"/>
      <c r="R280" s="10"/>
      <c r="S280" s="10"/>
      <c r="T280" s="10"/>
      <c r="U280" s="9"/>
      <c r="X280" t="s">
        <v>313</v>
      </c>
      <c r="Y280" t="s">
        <v>179</v>
      </c>
      <c r="Z280" t="s">
        <v>247</v>
      </c>
      <c r="AB280" t="str">
        <f t="shared" si="12"/>
        <v>23347</v>
      </c>
    </row>
    <row r="281" ht="14.25" spans="1:28">
      <c r="A281" s="5" t="s">
        <v>28</v>
      </c>
      <c r="B281" s="5" t="s">
        <v>264</v>
      </c>
      <c r="C281" s="5">
        <v>2027</v>
      </c>
      <c r="D281" s="5" t="s">
        <v>30</v>
      </c>
      <c r="E281" s="9" t="s">
        <v>309</v>
      </c>
      <c r="F281" s="9" t="s">
        <v>310</v>
      </c>
      <c r="G281" s="9" t="s">
        <v>311</v>
      </c>
      <c r="H281" s="9" t="s">
        <v>312</v>
      </c>
      <c r="I281" s="9" t="s">
        <v>276</v>
      </c>
      <c r="J281" s="9" t="s">
        <v>74</v>
      </c>
      <c r="K281" s="9">
        <v>990</v>
      </c>
      <c r="L281" s="9"/>
      <c r="M281" s="9"/>
      <c r="N281" s="9"/>
      <c r="O281" s="9" t="s">
        <v>68</v>
      </c>
      <c r="P281" s="9" t="s">
        <v>76</v>
      </c>
      <c r="Q281" s="11"/>
      <c r="R281" s="10"/>
      <c r="S281" s="10"/>
      <c r="T281" s="10"/>
      <c r="U281" s="9"/>
      <c r="X281" t="s">
        <v>313</v>
      </c>
      <c r="Y281" t="s">
        <v>179</v>
      </c>
      <c r="Z281" t="s">
        <v>247</v>
      </c>
      <c r="AB281" t="str">
        <f t="shared" si="12"/>
        <v>23347</v>
      </c>
    </row>
    <row r="282" ht="14.25" spans="1:28">
      <c r="A282" s="5" t="s">
        <v>28</v>
      </c>
      <c r="B282" s="5" t="s">
        <v>264</v>
      </c>
      <c r="C282" s="5">
        <v>2027</v>
      </c>
      <c r="D282" s="5" t="s">
        <v>30</v>
      </c>
      <c r="E282" s="9" t="s">
        <v>309</v>
      </c>
      <c r="F282" s="9" t="s">
        <v>310</v>
      </c>
      <c r="G282" s="9" t="s">
        <v>311</v>
      </c>
      <c r="H282" s="9" t="s">
        <v>312</v>
      </c>
      <c r="I282" s="9" t="s">
        <v>276</v>
      </c>
      <c r="J282" s="9" t="s">
        <v>74</v>
      </c>
      <c r="K282" s="9">
        <v>990</v>
      </c>
      <c r="L282" s="9"/>
      <c r="M282" s="9"/>
      <c r="N282" s="9"/>
      <c r="O282" s="9" t="s">
        <v>68</v>
      </c>
      <c r="P282" s="9" t="s">
        <v>77</v>
      </c>
      <c r="Q282" s="11"/>
      <c r="R282" s="10"/>
      <c r="S282" s="10"/>
      <c r="T282" s="10"/>
      <c r="U282" s="9"/>
      <c r="X282" t="s">
        <v>313</v>
      </c>
      <c r="Y282" t="s">
        <v>179</v>
      </c>
      <c r="Z282" t="s">
        <v>247</v>
      </c>
      <c r="AB282" t="str">
        <f t="shared" si="12"/>
        <v>23347</v>
      </c>
    </row>
    <row r="283" ht="14.25" spans="1:28">
      <c r="A283" s="5" t="s">
        <v>28</v>
      </c>
      <c r="B283" s="5" t="s">
        <v>264</v>
      </c>
      <c r="C283" s="5">
        <v>2027</v>
      </c>
      <c r="D283" s="5" t="s">
        <v>30</v>
      </c>
      <c r="E283" s="9" t="s">
        <v>314</v>
      </c>
      <c r="F283" s="9" t="s">
        <v>315</v>
      </c>
      <c r="G283" s="9" t="s">
        <v>316</v>
      </c>
      <c r="H283" s="9" t="s">
        <v>317</v>
      </c>
      <c r="I283" s="9" t="s">
        <v>276</v>
      </c>
      <c r="J283" s="9" t="s">
        <v>74</v>
      </c>
      <c r="K283" s="9">
        <v>1190</v>
      </c>
      <c r="L283" s="9"/>
      <c r="M283" s="9"/>
      <c r="N283" s="9"/>
      <c r="O283" s="9" t="s">
        <v>68</v>
      </c>
      <c r="P283" s="9" t="s">
        <v>318</v>
      </c>
      <c r="Q283" s="11"/>
      <c r="R283" s="10">
        <f t="shared" si="13"/>
        <v>0</v>
      </c>
      <c r="S283" s="10">
        <f>SUMIFS([1]Sheet1!$T:$T,[1]Sheet1!$I:$I,E283,[1]Sheet1!$C:$C,A283)</f>
        <v>0</v>
      </c>
      <c r="T283" s="10">
        <f t="shared" si="14"/>
        <v>0</v>
      </c>
      <c r="U283" s="9"/>
      <c r="X283" t="s">
        <v>308</v>
      </c>
      <c r="Y283" t="s">
        <v>179</v>
      </c>
      <c r="Z283" t="s">
        <v>179</v>
      </c>
      <c r="AB283" t="str">
        <f t="shared" si="12"/>
        <v>23983</v>
      </c>
    </row>
    <row r="284" ht="14.25" spans="1:28">
      <c r="A284" s="5" t="s">
        <v>28</v>
      </c>
      <c r="B284" s="5" t="s">
        <v>264</v>
      </c>
      <c r="C284" s="5">
        <v>2027</v>
      </c>
      <c r="D284" s="5" t="s">
        <v>30</v>
      </c>
      <c r="E284" s="9" t="s">
        <v>314</v>
      </c>
      <c r="F284" s="9" t="s">
        <v>315</v>
      </c>
      <c r="G284" s="9" t="s">
        <v>316</v>
      </c>
      <c r="H284" s="9" t="s">
        <v>317</v>
      </c>
      <c r="I284" s="9" t="s">
        <v>276</v>
      </c>
      <c r="J284" s="9" t="s">
        <v>74</v>
      </c>
      <c r="K284" s="9">
        <v>1190</v>
      </c>
      <c r="L284" s="9"/>
      <c r="M284" s="9"/>
      <c r="N284" s="9"/>
      <c r="O284" s="9" t="s">
        <v>68</v>
      </c>
      <c r="P284" s="9" t="s">
        <v>69</v>
      </c>
      <c r="Q284" s="11"/>
      <c r="R284" s="10"/>
      <c r="S284" s="10"/>
      <c r="T284" s="10"/>
      <c r="U284" s="9"/>
      <c r="X284" t="s">
        <v>308</v>
      </c>
      <c r="Y284" t="s">
        <v>179</v>
      </c>
      <c r="Z284" t="s">
        <v>179</v>
      </c>
      <c r="AB284" t="str">
        <f t="shared" si="12"/>
        <v>23983</v>
      </c>
    </row>
    <row r="285" ht="14.25" spans="1:28">
      <c r="A285" s="5" t="s">
        <v>28</v>
      </c>
      <c r="B285" s="5" t="s">
        <v>264</v>
      </c>
      <c r="C285" s="5">
        <v>2027</v>
      </c>
      <c r="D285" s="5" t="s">
        <v>30</v>
      </c>
      <c r="E285" s="9" t="s">
        <v>314</v>
      </c>
      <c r="F285" s="9" t="s">
        <v>315</v>
      </c>
      <c r="G285" s="9" t="s">
        <v>316</v>
      </c>
      <c r="H285" s="9" t="s">
        <v>317</v>
      </c>
      <c r="I285" s="9" t="s">
        <v>276</v>
      </c>
      <c r="J285" s="9" t="s">
        <v>74</v>
      </c>
      <c r="K285" s="9">
        <v>1190</v>
      </c>
      <c r="L285" s="9"/>
      <c r="M285" s="9"/>
      <c r="N285" s="9"/>
      <c r="O285" s="9" t="s">
        <v>68</v>
      </c>
      <c r="P285" s="9" t="s">
        <v>72</v>
      </c>
      <c r="Q285" s="11"/>
      <c r="R285" s="10"/>
      <c r="S285" s="10"/>
      <c r="T285" s="10"/>
      <c r="U285" s="9"/>
      <c r="X285" t="s">
        <v>308</v>
      </c>
      <c r="Y285" t="s">
        <v>179</v>
      </c>
      <c r="Z285" t="s">
        <v>179</v>
      </c>
      <c r="AB285" t="str">
        <f t="shared" si="12"/>
        <v>23983</v>
      </c>
    </row>
    <row r="286" ht="14.25" spans="1:28">
      <c r="A286" s="5" t="s">
        <v>28</v>
      </c>
      <c r="B286" s="5" t="s">
        <v>264</v>
      </c>
      <c r="C286" s="5">
        <v>2027</v>
      </c>
      <c r="D286" s="5" t="s">
        <v>30</v>
      </c>
      <c r="E286" s="9" t="s">
        <v>314</v>
      </c>
      <c r="F286" s="9" t="s">
        <v>315</v>
      </c>
      <c r="G286" s="9" t="s">
        <v>316</v>
      </c>
      <c r="H286" s="9" t="s">
        <v>317</v>
      </c>
      <c r="I286" s="9" t="s">
        <v>276</v>
      </c>
      <c r="J286" s="9" t="s">
        <v>74</v>
      </c>
      <c r="K286" s="9">
        <v>1190</v>
      </c>
      <c r="L286" s="9"/>
      <c r="M286" s="9"/>
      <c r="N286" s="9"/>
      <c r="O286" s="9" t="s">
        <v>68</v>
      </c>
      <c r="P286" s="9" t="s">
        <v>73</v>
      </c>
      <c r="Q286" s="11"/>
      <c r="R286" s="10"/>
      <c r="S286" s="10"/>
      <c r="T286" s="10"/>
      <c r="U286" s="9"/>
      <c r="X286" t="s">
        <v>308</v>
      </c>
      <c r="Y286" t="s">
        <v>179</v>
      </c>
      <c r="Z286" t="s">
        <v>179</v>
      </c>
      <c r="AB286" t="str">
        <f t="shared" si="12"/>
        <v>23983</v>
      </c>
    </row>
    <row r="287" ht="14.25" spans="1:28">
      <c r="A287" s="5" t="s">
        <v>28</v>
      </c>
      <c r="B287" s="5" t="s">
        <v>264</v>
      </c>
      <c r="C287" s="5">
        <v>2027</v>
      </c>
      <c r="D287" s="5" t="s">
        <v>30</v>
      </c>
      <c r="E287" s="9" t="s">
        <v>314</v>
      </c>
      <c r="F287" s="9" t="s">
        <v>315</v>
      </c>
      <c r="G287" s="9" t="s">
        <v>316</v>
      </c>
      <c r="H287" s="9" t="s">
        <v>317</v>
      </c>
      <c r="I287" s="9" t="s">
        <v>276</v>
      </c>
      <c r="J287" s="9" t="s">
        <v>74</v>
      </c>
      <c r="K287" s="9">
        <v>1190</v>
      </c>
      <c r="L287" s="9"/>
      <c r="M287" s="9"/>
      <c r="N287" s="9"/>
      <c r="O287" s="9" t="s">
        <v>68</v>
      </c>
      <c r="P287" s="9" t="s">
        <v>74</v>
      </c>
      <c r="Q287" s="11"/>
      <c r="R287" s="10"/>
      <c r="S287" s="10"/>
      <c r="T287" s="10"/>
      <c r="U287" s="9"/>
      <c r="X287" t="s">
        <v>308</v>
      </c>
      <c r="Y287" t="s">
        <v>179</v>
      </c>
      <c r="Z287" t="s">
        <v>179</v>
      </c>
      <c r="AB287" t="str">
        <f t="shared" si="12"/>
        <v>23983</v>
      </c>
    </row>
    <row r="288" ht="14.25" spans="1:28">
      <c r="A288" s="5" t="s">
        <v>28</v>
      </c>
      <c r="B288" s="5" t="s">
        <v>264</v>
      </c>
      <c r="C288" s="5">
        <v>2027</v>
      </c>
      <c r="D288" s="5" t="s">
        <v>30</v>
      </c>
      <c r="E288" s="9" t="s">
        <v>314</v>
      </c>
      <c r="F288" s="9" t="s">
        <v>315</v>
      </c>
      <c r="G288" s="9" t="s">
        <v>316</v>
      </c>
      <c r="H288" s="9" t="s">
        <v>317</v>
      </c>
      <c r="I288" s="9" t="s">
        <v>276</v>
      </c>
      <c r="J288" s="9" t="s">
        <v>74</v>
      </c>
      <c r="K288" s="9">
        <v>1190</v>
      </c>
      <c r="L288" s="9"/>
      <c r="M288" s="9"/>
      <c r="N288" s="9"/>
      <c r="O288" s="9" t="s">
        <v>68</v>
      </c>
      <c r="P288" s="9" t="s">
        <v>75</v>
      </c>
      <c r="Q288" s="11"/>
      <c r="R288" s="10"/>
      <c r="S288" s="10"/>
      <c r="T288" s="10"/>
      <c r="U288" s="9"/>
      <c r="X288" t="s">
        <v>308</v>
      </c>
      <c r="Y288" t="s">
        <v>179</v>
      </c>
      <c r="Z288" t="s">
        <v>179</v>
      </c>
      <c r="AB288" t="str">
        <f t="shared" si="12"/>
        <v>23983</v>
      </c>
    </row>
    <row r="289" ht="14.25" spans="1:28">
      <c r="A289" s="5" t="s">
        <v>28</v>
      </c>
      <c r="B289" s="5" t="s">
        <v>264</v>
      </c>
      <c r="C289" s="5">
        <v>2027</v>
      </c>
      <c r="D289" s="5" t="s">
        <v>30</v>
      </c>
      <c r="E289" s="9" t="s">
        <v>314</v>
      </c>
      <c r="F289" s="9" t="s">
        <v>315</v>
      </c>
      <c r="G289" s="9" t="s">
        <v>316</v>
      </c>
      <c r="H289" s="9" t="s">
        <v>317</v>
      </c>
      <c r="I289" s="9" t="s">
        <v>276</v>
      </c>
      <c r="J289" s="9" t="s">
        <v>74</v>
      </c>
      <c r="K289" s="9">
        <v>1190</v>
      </c>
      <c r="L289" s="9"/>
      <c r="M289" s="9"/>
      <c r="N289" s="9"/>
      <c r="O289" s="9" t="s">
        <v>68</v>
      </c>
      <c r="P289" s="9" t="s">
        <v>76</v>
      </c>
      <c r="Q289" s="11"/>
      <c r="R289" s="10"/>
      <c r="S289" s="10"/>
      <c r="T289" s="10"/>
      <c r="U289" s="9"/>
      <c r="X289" t="s">
        <v>308</v>
      </c>
      <c r="Y289" t="s">
        <v>179</v>
      </c>
      <c r="Z289" t="s">
        <v>179</v>
      </c>
      <c r="AB289" t="str">
        <f t="shared" si="12"/>
        <v>23983</v>
      </c>
    </row>
    <row r="290" ht="14.25" spans="1:28">
      <c r="A290" s="5" t="s">
        <v>28</v>
      </c>
      <c r="B290" s="5" t="s">
        <v>264</v>
      </c>
      <c r="C290" s="5">
        <v>2027</v>
      </c>
      <c r="D290" s="5" t="s">
        <v>30</v>
      </c>
      <c r="E290" s="9" t="s">
        <v>319</v>
      </c>
      <c r="F290" s="9" t="s">
        <v>320</v>
      </c>
      <c r="G290" s="9" t="s">
        <v>311</v>
      </c>
      <c r="H290" s="9" t="s">
        <v>321</v>
      </c>
      <c r="I290" s="9" t="s">
        <v>269</v>
      </c>
      <c r="J290" s="9" t="s">
        <v>74</v>
      </c>
      <c r="K290" s="9">
        <v>1390</v>
      </c>
      <c r="L290" s="9"/>
      <c r="M290" s="9"/>
      <c r="N290" s="9"/>
      <c r="O290" s="9" t="s">
        <v>68</v>
      </c>
      <c r="P290" s="9" t="s">
        <v>318</v>
      </c>
      <c r="Q290" s="11"/>
      <c r="R290" s="10">
        <f t="shared" si="13"/>
        <v>0</v>
      </c>
      <c r="S290" s="10">
        <f>SUMIFS([1]Sheet1!$T:$T,[1]Sheet1!$I:$I,E290,[1]Sheet1!$C:$C,A290)</f>
        <v>0</v>
      </c>
      <c r="T290" s="10">
        <f t="shared" si="14"/>
        <v>0</v>
      </c>
      <c r="U290" s="9" t="s">
        <v>136</v>
      </c>
      <c r="V290" t="s">
        <v>322</v>
      </c>
      <c r="W290" t="s">
        <v>138</v>
      </c>
      <c r="X290" t="s">
        <v>313</v>
      </c>
      <c r="Y290" t="s">
        <v>179</v>
      </c>
      <c r="Z290" t="s">
        <v>196</v>
      </c>
      <c r="AB290" t="str">
        <f t="shared" si="12"/>
        <v>24006</v>
      </c>
    </row>
    <row r="291" ht="14.25" spans="1:28">
      <c r="A291" s="5" t="s">
        <v>28</v>
      </c>
      <c r="B291" s="5" t="s">
        <v>264</v>
      </c>
      <c r="C291" s="5">
        <v>2027</v>
      </c>
      <c r="D291" s="5" t="s">
        <v>30</v>
      </c>
      <c r="E291" s="9" t="s">
        <v>319</v>
      </c>
      <c r="F291" s="9" t="s">
        <v>320</v>
      </c>
      <c r="G291" s="9" t="s">
        <v>311</v>
      </c>
      <c r="H291" s="9" t="s">
        <v>321</v>
      </c>
      <c r="I291" s="9" t="s">
        <v>269</v>
      </c>
      <c r="J291" s="9" t="s">
        <v>74</v>
      </c>
      <c r="K291" s="9">
        <v>1390</v>
      </c>
      <c r="L291" s="9"/>
      <c r="M291" s="9"/>
      <c r="N291" s="9"/>
      <c r="O291" s="9" t="s">
        <v>68</v>
      </c>
      <c r="P291" s="9" t="s">
        <v>69</v>
      </c>
      <c r="Q291" s="11"/>
      <c r="R291" s="10"/>
      <c r="S291" s="10"/>
      <c r="T291" s="10"/>
      <c r="U291" s="9" t="s">
        <v>136</v>
      </c>
      <c r="V291" t="s">
        <v>322</v>
      </c>
      <c r="W291" t="s">
        <v>138</v>
      </c>
      <c r="X291" t="s">
        <v>313</v>
      </c>
      <c r="Y291" t="s">
        <v>179</v>
      </c>
      <c r="Z291" t="s">
        <v>196</v>
      </c>
      <c r="AB291" t="str">
        <f t="shared" si="12"/>
        <v>24006</v>
      </c>
    </row>
    <row r="292" ht="14.25" spans="1:28">
      <c r="A292" s="5" t="s">
        <v>28</v>
      </c>
      <c r="B292" s="5" t="s">
        <v>264</v>
      </c>
      <c r="C292" s="5">
        <v>2027</v>
      </c>
      <c r="D292" s="5" t="s">
        <v>30</v>
      </c>
      <c r="E292" s="9" t="s">
        <v>319</v>
      </c>
      <c r="F292" s="9" t="s">
        <v>320</v>
      </c>
      <c r="G292" s="9" t="s">
        <v>311</v>
      </c>
      <c r="H292" s="9" t="s">
        <v>321</v>
      </c>
      <c r="I292" s="9" t="s">
        <v>269</v>
      </c>
      <c r="J292" s="9" t="s">
        <v>74</v>
      </c>
      <c r="K292" s="9">
        <v>1390</v>
      </c>
      <c r="L292" s="9"/>
      <c r="M292" s="9"/>
      <c r="N292" s="9"/>
      <c r="O292" s="9" t="s">
        <v>68</v>
      </c>
      <c r="P292" s="9" t="s">
        <v>72</v>
      </c>
      <c r="Q292" s="11"/>
      <c r="R292" s="10"/>
      <c r="S292" s="10"/>
      <c r="T292" s="10"/>
      <c r="U292" s="9" t="s">
        <v>136</v>
      </c>
      <c r="V292" t="s">
        <v>322</v>
      </c>
      <c r="W292" t="s">
        <v>138</v>
      </c>
      <c r="X292" t="s">
        <v>313</v>
      </c>
      <c r="Y292" t="s">
        <v>179</v>
      </c>
      <c r="Z292" t="s">
        <v>196</v>
      </c>
      <c r="AB292" t="str">
        <f t="shared" si="12"/>
        <v>24006</v>
      </c>
    </row>
    <row r="293" ht="14.25" spans="1:28">
      <c r="A293" s="5" t="s">
        <v>28</v>
      </c>
      <c r="B293" s="5" t="s">
        <v>264</v>
      </c>
      <c r="C293" s="5">
        <v>2027</v>
      </c>
      <c r="D293" s="5" t="s">
        <v>30</v>
      </c>
      <c r="E293" s="9" t="s">
        <v>319</v>
      </c>
      <c r="F293" s="9" t="s">
        <v>320</v>
      </c>
      <c r="G293" s="9" t="s">
        <v>311</v>
      </c>
      <c r="H293" s="9" t="s">
        <v>321</v>
      </c>
      <c r="I293" s="9" t="s">
        <v>269</v>
      </c>
      <c r="J293" s="9" t="s">
        <v>74</v>
      </c>
      <c r="K293" s="9">
        <v>1390</v>
      </c>
      <c r="L293" s="9"/>
      <c r="M293" s="9"/>
      <c r="N293" s="9"/>
      <c r="O293" s="9" t="s">
        <v>68</v>
      </c>
      <c r="P293" s="9" t="s">
        <v>73</v>
      </c>
      <c r="Q293" s="11"/>
      <c r="R293" s="10"/>
      <c r="S293" s="10"/>
      <c r="T293" s="10"/>
      <c r="U293" s="9" t="s">
        <v>136</v>
      </c>
      <c r="V293" t="s">
        <v>322</v>
      </c>
      <c r="W293" t="s">
        <v>138</v>
      </c>
      <c r="X293" t="s">
        <v>313</v>
      </c>
      <c r="Y293" t="s">
        <v>179</v>
      </c>
      <c r="Z293" t="s">
        <v>196</v>
      </c>
      <c r="AB293" t="str">
        <f t="shared" si="12"/>
        <v>24006</v>
      </c>
    </row>
    <row r="294" ht="14.25" spans="1:28">
      <c r="A294" s="5" t="s">
        <v>28</v>
      </c>
      <c r="B294" s="5" t="s">
        <v>264</v>
      </c>
      <c r="C294" s="5">
        <v>2027</v>
      </c>
      <c r="D294" s="5" t="s">
        <v>30</v>
      </c>
      <c r="E294" s="9" t="s">
        <v>319</v>
      </c>
      <c r="F294" s="9" t="s">
        <v>320</v>
      </c>
      <c r="G294" s="9" t="s">
        <v>311</v>
      </c>
      <c r="H294" s="9" t="s">
        <v>321</v>
      </c>
      <c r="I294" s="9" t="s">
        <v>269</v>
      </c>
      <c r="J294" s="9" t="s">
        <v>74</v>
      </c>
      <c r="K294" s="9">
        <v>1390</v>
      </c>
      <c r="L294" s="9"/>
      <c r="M294" s="9"/>
      <c r="N294" s="9"/>
      <c r="O294" s="9" t="s">
        <v>68</v>
      </c>
      <c r="P294" s="9" t="s">
        <v>74</v>
      </c>
      <c r="Q294" s="11"/>
      <c r="R294" s="10"/>
      <c r="S294" s="10"/>
      <c r="T294" s="10"/>
      <c r="U294" s="9" t="s">
        <v>136</v>
      </c>
      <c r="V294" t="s">
        <v>322</v>
      </c>
      <c r="W294" t="s">
        <v>138</v>
      </c>
      <c r="X294" t="s">
        <v>313</v>
      </c>
      <c r="Y294" t="s">
        <v>179</v>
      </c>
      <c r="Z294" t="s">
        <v>196</v>
      </c>
      <c r="AB294" t="str">
        <f t="shared" si="12"/>
        <v>24006</v>
      </c>
    </row>
    <row r="295" ht="14.25" spans="1:28">
      <c r="A295" s="5" t="s">
        <v>28</v>
      </c>
      <c r="B295" s="5" t="s">
        <v>264</v>
      </c>
      <c r="C295" s="5">
        <v>2027</v>
      </c>
      <c r="D295" s="5" t="s">
        <v>30</v>
      </c>
      <c r="E295" s="9" t="s">
        <v>319</v>
      </c>
      <c r="F295" s="9" t="s">
        <v>320</v>
      </c>
      <c r="G295" s="9" t="s">
        <v>311</v>
      </c>
      <c r="H295" s="9" t="s">
        <v>321</v>
      </c>
      <c r="I295" s="9" t="s">
        <v>269</v>
      </c>
      <c r="J295" s="9" t="s">
        <v>74</v>
      </c>
      <c r="K295" s="9">
        <v>1390</v>
      </c>
      <c r="L295" s="9"/>
      <c r="M295" s="9"/>
      <c r="N295" s="9"/>
      <c r="O295" s="9" t="s">
        <v>68</v>
      </c>
      <c r="P295" s="9" t="s">
        <v>75</v>
      </c>
      <c r="Q295" s="11"/>
      <c r="R295" s="10"/>
      <c r="S295" s="10"/>
      <c r="T295" s="10"/>
      <c r="U295" s="9" t="s">
        <v>136</v>
      </c>
      <c r="V295" t="s">
        <v>322</v>
      </c>
      <c r="W295" t="s">
        <v>138</v>
      </c>
      <c r="X295" t="s">
        <v>313</v>
      </c>
      <c r="Y295" t="s">
        <v>179</v>
      </c>
      <c r="Z295" t="s">
        <v>196</v>
      </c>
      <c r="AB295" t="str">
        <f t="shared" si="12"/>
        <v>24006</v>
      </c>
    </row>
    <row r="296" ht="14.25" spans="1:28">
      <c r="A296" s="5" t="s">
        <v>28</v>
      </c>
      <c r="B296" s="5" t="s">
        <v>264</v>
      </c>
      <c r="C296" s="5">
        <v>2027</v>
      </c>
      <c r="D296" s="5" t="s">
        <v>30</v>
      </c>
      <c r="E296" s="9" t="s">
        <v>319</v>
      </c>
      <c r="F296" s="9" t="s">
        <v>320</v>
      </c>
      <c r="G296" s="9" t="s">
        <v>311</v>
      </c>
      <c r="H296" s="9" t="s">
        <v>321</v>
      </c>
      <c r="I296" s="9" t="s">
        <v>269</v>
      </c>
      <c r="J296" s="9" t="s">
        <v>74</v>
      </c>
      <c r="K296" s="9">
        <v>1390</v>
      </c>
      <c r="L296" s="9"/>
      <c r="M296" s="9"/>
      <c r="N296" s="9"/>
      <c r="O296" s="9" t="s">
        <v>68</v>
      </c>
      <c r="P296" s="9" t="s">
        <v>76</v>
      </c>
      <c r="Q296" s="11"/>
      <c r="R296" s="10"/>
      <c r="S296" s="10"/>
      <c r="T296" s="10"/>
      <c r="U296" s="9" t="s">
        <v>136</v>
      </c>
      <c r="V296" t="s">
        <v>322</v>
      </c>
      <c r="W296" t="s">
        <v>138</v>
      </c>
      <c r="X296" t="s">
        <v>313</v>
      </c>
      <c r="Y296" t="s">
        <v>179</v>
      </c>
      <c r="Z296" t="s">
        <v>196</v>
      </c>
      <c r="AB296" t="str">
        <f t="shared" si="12"/>
        <v>24006</v>
      </c>
    </row>
    <row r="297" ht="14.25" spans="1:28">
      <c r="A297" s="5" t="s">
        <v>28</v>
      </c>
      <c r="B297" s="5" t="s">
        <v>264</v>
      </c>
      <c r="C297" s="5">
        <v>2027</v>
      </c>
      <c r="D297" s="5" t="s">
        <v>30</v>
      </c>
      <c r="E297" s="9" t="s">
        <v>323</v>
      </c>
      <c r="F297" s="9" t="s">
        <v>324</v>
      </c>
      <c r="G297" s="9" t="s">
        <v>316</v>
      </c>
      <c r="H297" s="9" t="s">
        <v>325</v>
      </c>
      <c r="I297" s="9" t="s">
        <v>269</v>
      </c>
      <c r="J297" s="9" t="s">
        <v>74</v>
      </c>
      <c r="K297" s="9">
        <v>1190</v>
      </c>
      <c r="L297" s="9"/>
      <c r="M297" s="9"/>
      <c r="N297" s="9"/>
      <c r="O297" s="9" t="s">
        <v>68</v>
      </c>
      <c r="P297" s="9" t="s">
        <v>318</v>
      </c>
      <c r="Q297" s="11"/>
      <c r="R297" s="10">
        <f t="shared" si="13"/>
        <v>0</v>
      </c>
      <c r="S297" s="10">
        <f>SUMIFS([1]Sheet1!$T:$T,[1]Sheet1!$I:$I,E297,[1]Sheet1!$C:$C,A297)</f>
        <v>0</v>
      </c>
      <c r="T297" s="10">
        <f t="shared" si="14"/>
        <v>0</v>
      </c>
      <c r="U297" s="9"/>
      <c r="X297" t="s">
        <v>308</v>
      </c>
      <c r="Y297" t="s">
        <v>179</v>
      </c>
      <c r="Z297" t="s">
        <v>179</v>
      </c>
      <c r="AB297" t="str">
        <f t="shared" si="12"/>
        <v>24013</v>
      </c>
    </row>
    <row r="298" ht="14.25" spans="1:28">
      <c r="A298" s="5" t="s">
        <v>28</v>
      </c>
      <c r="B298" s="5" t="s">
        <v>264</v>
      </c>
      <c r="C298" s="5">
        <v>2027</v>
      </c>
      <c r="D298" s="5" t="s">
        <v>30</v>
      </c>
      <c r="E298" s="9" t="s">
        <v>323</v>
      </c>
      <c r="F298" s="9" t="s">
        <v>324</v>
      </c>
      <c r="G298" s="9" t="s">
        <v>316</v>
      </c>
      <c r="H298" s="9" t="s">
        <v>325</v>
      </c>
      <c r="I298" s="9" t="s">
        <v>269</v>
      </c>
      <c r="J298" s="9" t="s">
        <v>74</v>
      </c>
      <c r="K298" s="9">
        <v>1190</v>
      </c>
      <c r="L298" s="9"/>
      <c r="M298" s="9"/>
      <c r="N298" s="9"/>
      <c r="O298" s="9" t="s">
        <v>68</v>
      </c>
      <c r="P298" s="9" t="s">
        <v>69</v>
      </c>
      <c r="Q298" s="11"/>
      <c r="R298" s="10"/>
      <c r="S298" s="10"/>
      <c r="T298" s="10"/>
      <c r="U298" s="9"/>
      <c r="X298" t="s">
        <v>308</v>
      </c>
      <c r="Y298" t="s">
        <v>179</v>
      </c>
      <c r="Z298" t="s">
        <v>179</v>
      </c>
      <c r="AB298" t="str">
        <f t="shared" si="12"/>
        <v>24013</v>
      </c>
    </row>
    <row r="299" ht="14.25" spans="1:28">
      <c r="A299" s="5" t="s">
        <v>28</v>
      </c>
      <c r="B299" s="5" t="s">
        <v>264</v>
      </c>
      <c r="C299" s="5">
        <v>2027</v>
      </c>
      <c r="D299" s="5" t="s">
        <v>30</v>
      </c>
      <c r="E299" s="9" t="s">
        <v>323</v>
      </c>
      <c r="F299" s="9" t="s">
        <v>324</v>
      </c>
      <c r="G299" s="9" t="s">
        <v>316</v>
      </c>
      <c r="H299" s="9" t="s">
        <v>325</v>
      </c>
      <c r="I299" s="9" t="s">
        <v>269</v>
      </c>
      <c r="J299" s="9" t="s">
        <v>74</v>
      </c>
      <c r="K299" s="9">
        <v>1190</v>
      </c>
      <c r="L299" s="9"/>
      <c r="M299" s="9"/>
      <c r="N299" s="9"/>
      <c r="O299" s="9" t="s">
        <v>68</v>
      </c>
      <c r="P299" s="9" t="s">
        <v>72</v>
      </c>
      <c r="Q299" s="11"/>
      <c r="R299" s="10"/>
      <c r="S299" s="10"/>
      <c r="T299" s="10"/>
      <c r="U299" s="9"/>
      <c r="X299" t="s">
        <v>308</v>
      </c>
      <c r="Y299" t="s">
        <v>179</v>
      </c>
      <c r="Z299" t="s">
        <v>179</v>
      </c>
      <c r="AB299" t="str">
        <f t="shared" si="12"/>
        <v>24013</v>
      </c>
    </row>
    <row r="300" ht="14.25" spans="1:28">
      <c r="A300" s="5" t="s">
        <v>28</v>
      </c>
      <c r="B300" s="5" t="s">
        <v>264</v>
      </c>
      <c r="C300" s="5">
        <v>2027</v>
      </c>
      <c r="D300" s="5" t="s">
        <v>30</v>
      </c>
      <c r="E300" s="9" t="s">
        <v>323</v>
      </c>
      <c r="F300" s="9" t="s">
        <v>324</v>
      </c>
      <c r="G300" s="9" t="s">
        <v>316</v>
      </c>
      <c r="H300" s="9" t="s">
        <v>325</v>
      </c>
      <c r="I300" s="9" t="s">
        <v>269</v>
      </c>
      <c r="J300" s="9" t="s">
        <v>74</v>
      </c>
      <c r="K300" s="9">
        <v>1190</v>
      </c>
      <c r="L300" s="9"/>
      <c r="M300" s="9"/>
      <c r="N300" s="9"/>
      <c r="O300" s="9" t="s">
        <v>68</v>
      </c>
      <c r="P300" s="9" t="s">
        <v>73</v>
      </c>
      <c r="Q300" s="11"/>
      <c r="R300" s="10"/>
      <c r="S300" s="10"/>
      <c r="T300" s="10"/>
      <c r="U300" s="9"/>
      <c r="X300" t="s">
        <v>308</v>
      </c>
      <c r="Y300" t="s">
        <v>179</v>
      </c>
      <c r="Z300" t="s">
        <v>179</v>
      </c>
      <c r="AB300" t="str">
        <f t="shared" si="12"/>
        <v>24013</v>
      </c>
    </row>
    <row r="301" ht="14.25" spans="1:28">
      <c r="A301" s="5" t="s">
        <v>28</v>
      </c>
      <c r="B301" s="5" t="s">
        <v>264</v>
      </c>
      <c r="C301" s="5">
        <v>2027</v>
      </c>
      <c r="D301" s="5" t="s">
        <v>30</v>
      </c>
      <c r="E301" s="9" t="s">
        <v>323</v>
      </c>
      <c r="F301" s="9" t="s">
        <v>324</v>
      </c>
      <c r="G301" s="9" t="s">
        <v>316</v>
      </c>
      <c r="H301" s="9" t="s">
        <v>325</v>
      </c>
      <c r="I301" s="9" t="s">
        <v>269</v>
      </c>
      <c r="J301" s="9" t="s">
        <v>74</v>
      </c>
      <c r="K301" s="9">
        <v>1190</v>
      </c>
      <c r="L301" s="9"/>
      <c r="M301" s="9"/>
      <c r="N301" s="9"/>
      <c r="O301" s="9" t="s">
        <v>68</v>
      </c>
      <c r="P301" s="9" t="s">
        <v>74</v>
      </c>
      <c r="Q301" s="11"/>
      <c r="R301" s="10"/>
      <c r="S301" s="10"/>
      <c r="T301" s="10"/>
      <c r="U301" s="9"/>
      <c r="X301" t="s">
        <v>308</v>
      </c>
      <c r="Y301" t="s">
        <v>179</v>
      </c>
      <c r="Z301" t="s">
        <v>179</v>
      </c>
      <c r="AB301" t="str">
        <f t="shared" si="12"/>
        <v>24013</v>
      </c>
    </row>
    <row r="302" ht="14.25" spans="1:28">
      <c r="A302" s="5" t="s">
        <v>28</v>
      </c>
      <c r="B302" s="5" t="s">
        <v>264</v>
      </c>
      <c r="C302" s="5">
        <v>2027</v>
      </c>
      <c r="D302" s="5" t="s">
        <v>30</v>
      </c>
      <c r="E302" s="9" t="s">
        <v>323</v>
      </c>
      <c r="F302" s="9" t="s">
        <v>324</v>
      </c>
      <c r="G302" s="9" t="s">
        <v>316</v>
      </c>
      <c r="H302" s="9" t="s">
        <v>325</v>
      </c>
      <c r="I302" s="9" t="s">
        <v>269</v>
      </c>
      <c r="J302" s="9" t="s">
        <v>74</v>
      </c>
      <c r="K302" s="9">
        <v>1190</v>
      </c>
      <c r="L302" s="9"/>
      <c r="M302" s="9"/>
      <c r="N302" s="9"/>
      <c r="O302" s="9" t="s">
        <v>68</v>
      </c>
      <c r="P302" s="9" t="s">
        <v>75</v>
      </c>
      <c r="Q302" s="11"/>
      <c r="R302" s="10"/>
      <c r="S302" s="10"/>
      <c r="T302" s="10"/>
      <c r="U302" s="9"/>
      <c r="X302" t="s">
        <v>308</v>
      </c>
      <c r="Y302" t="s">
        <v>179</v>
      </c>
      <c r="Z302" t="s">
        <v>179</v>
      </c>
      <c r="AB302" t="str">
        <f t="shared" si="12"/>
        <v>24013</v>
      </c>
    </row>
    <row r="303" ht="14.25" spans="1:28">
      <c r="A303" s="5" t="s">
        <v>28</v>
      </c>
      <c r="B303" s="5" t="s">
        <v>264</v>
      </c>
      <c r="C303" s="5">
        <v>2027</v>
      </c>
      <c r="D303" s="5" t="s">
        <v>30</v>
      </c>
      <c r="E303" s="9" t="s">
        <v>323</v>
      </c>
      <c r="F303" s="9" t="s">
        <v>324</v>
      </c>
      <c r="G303" s="9" t="s">
        <v>316</v>
      </c>
      <c r="H303" s="9" t="s">
        <v>325</v>
      </c>
      <c r="I303" s="9" t="s">
        <v>269</v>
      </c>
      <c r="J303" s="9" t="s">
        <v>74</v>
      </c>
      <c r="K303" s="9">
        <v>1190</v>
      </c>
      <c r="L303" s="9"/>
      <c r="M303" s="9"/>
      <c r="N303" s="9"/>
      <c r="O303" s="9" t="s">
        <v>68</v>
      </c>
      <c r="P303" s="9" t="s">
        <v>76</v>
      </c>
      <c r="Q303" s="11"/>
      <c r="R303" s="10"/>
      <c r="S303" s="10"/>
      <c r="T303" s="10"/>
      <c r="U303" s="9"/>
      <c r="X303" t="s">
        <v>308</v>
      </c>
      <c r="Y303" t="s">
        <v>179</v>
      </c>
      <c r="Z303" t="s">
        <v>179</v>
      </c>
      <c r="AB303" t="str">
        <f t="shared" si="12"/>
        <v>24013</v>
      </c>
    </row>
    <row r="304" ht="14.25" spans="1:28">
      <c r="A304" s="5" t="s">
        <v>28</v>
      </c>
      <c r="B304" s="5" t="s">
        <v>264</v>
      </c>
      <c r="C304" s="5">
        <v>2027</v>
      </c>
      <c r="D304" s="5" t="s">
        <v>30</v>
      </c>
      <c r="E304" s="9" t="s">
        <v>326</v>
      </c>
      <c r="F304" s="9" t="s">
        <v>327</v>
      </c>
      <c r="G304" s="9" t="s">
        <v>316</v>
      </c>
      <c r="H304" s="9" t="s">
        <v>328</v>
      </c>
      <c r="I304" s="9" t="s">
        <v>276</v>
      </c>
      <c r="J304" s="9" t="s">
        <v>74</v>
      </c>
      <c r="K304" s="9">
        <v>1190</v>
      </c>
      <c r="L304" s="9"/>
      <c r="M304" s="9"/>
      <c r="N304" s="9"/>
      <c r="O304" s="9" t="s">
        <v>68</v>
      </c>
      <c r="P304" s="9" t="s">
        <v>69</v>
      </c>
      <c r="Q304" s="9"/>
      <c r="R304" s="10">
        <f t="shared" si="13"/>
        <v>0</v>
      </c>
      <c r="S304" s="10">
        <f>SUMIFS([1]Sheet1!$T:$T,[1]Sheet1!$I:$I,E304,[1]Sheet1!$C:$C,A304)</f>
        <v>0</v>
      </c>
      <c r="T304" s="10">
        <f t="shared" si="14"/>
        <v>0</v>
      </c>
      <c r="U304" s="9"/>
      <c r="X304" t="s">
        <v>308</v>
      </c>
      <c r="Y304" t="s">
        <v>179</v>
      </c>
      <c r="Z304" t="s">
        <v>179</v>
      </c>
      <c r="AB304" t="str">
        <f t="shared" si="12"/>
        <v>24021</v>
      </c>
    </row>
    <row r="305" ht="14.25" spans="1:28">
      <c r="A305" s="5" t="s">
        <v>28</v>
      </c>
      <c r="B305" s="5" t="s">
        <v>264</v>
      </c>
      <c r="C305" s="5">
        <v>2027</v>
      </c>
      <c r="D305" s="5" t="s">
        <v>30</v>
      </c>
      <c r="E305" s="9" t="s">
        <v>326</v>
      </c>
      <c r="F305" s="9" t="s">
        <v>327</v>
      </c>
      <c r="G305" s="9" t="s">
        <v>316</v>
      </c>
      <c r="H305" s="9" t="s">
        <v>328</v>
      </c>
      <c r="I305" s="9" t="s">
        <v>276</v>
      </c>
      <c r="J305" s="9" t="s">
        <v>74</v>
      </c>
      <c r="K305" s="9">
        <v>1190</v>
      </c>
      <c r="L305" s="9"/>
      <c r="M305" s="9"/>
      <c r="N305" s="9"/>
      <c r="O305" s="9" t="s">
        <v>68</v>
      </c>
      <c r="P305" s="9" t="s">
        <v>72</v>
      </c>
      <c r="Q305" s="9"/>
      <c r="R305" s="10"/>
      <c r="S305" s="10"/>
      <c r="T305" s="10"/>
      <c r="U305" s="9"/>
      <c r="X305" t="s">
        <v>308</v>
      </c>
      <c r="Y305" t="s">
        <v>179</v>
      </c>
      <c r="Z305" t="s">
        <v>179</v>
      </c>
      <c r="AB305" t="str">
        <f t="shared" si="12"/>
        <v>24021</v>
      </c>
    </row>
    <row r="306" ht="14.25" spans="1:28">
      <c r="A306" s="5" t="s">
        <v>28</v>
      </c>
      <c r="B306" s="5" t="s">
        <v>264</v>
      </c>
      <c r="C306" s="5">
        <v>2027</v>
      </c>
      <c r="D306" s="5" t="s">
        <v>30</v>
      </c>
      <c r="E306" s="9" t="s">
        <v>326</v>
      </c>
      <c r="F306" s="9" t="s">
        <v>327</v>
      </c>
      <c r="G306" s="9" t="s">
        <v>316</v>
      </c>
      <c r="H306" s="9" t="s">
        <v>328</v>
      </c>
      <c r="I306" s="9" t="s">
        <v>276</v>
      </c>
      <c r="J306" s="9" t="s">
        <v>74</v>
      </c>
      <c r="K306" s="9">
        <v>1190</v>
      </c>
      <c r="L306" s="9"/>
      <c r="M306" s="9"/>
      <c r="N306" s="9"/>
      <c r="O306" s="9" t="s">
        <v>68</v>
      </c>
      <c r="P306" s="9" t="s">
        <v>73</v>
      </c>
      <c r="Q306" s="9"/>
      <c r="R306" s="10"/>
      <c r="S306" s="10"/>
      <c r="T306" s="10"/>
      <c r="U306" s="9"/>
      <c r="X306" t="s">
        <v>308</v>
      </c>
      <c r="Y306" t="s">
        <v>179</v>
      </c>
      <c r="Z306" t="s">
        <v>179</v>
      </c>
      <c r="AB306" t="str">
        <f t="shared" si="12"/>
        <v>24021</v>
      </c>
    </row>
    <row r="307" ht="14.25" spans="1:28">
      <c r="A307" s="5" t="s">
        <v>28</v>
      </c>
      <c r="B307" s="5" t="s">
        <v>264</v>
      </c>
      <c r="C307" s="5">
        <v>2027</v>
      </c>
      <c r="D307" s="5" t="s">
        <v>30</v>
      </c>
      <c r="E307" s="9" t="s">
        <v>326</v>
      </c>
      <c r="F307" s="9" t="s">
        <v>327</v>
      </c>
      <c r="G307" s="9" t="s">
        <v>316</v>
      </c>
      <c r="H307" s="9" t="s">
        <v>328</v>
      </c>
      <c r="I307" s="9" t="s">
        <v>276</v>
      </c>
      <c r="J307" s="9" t="s">
        <v>74</v>
      </c>
      <c r="K307" s="9">
        <v>1190</v>
      </c>
      <c r="L307" s="9"/>
      <c r="M307" s="9"/>
      <c r="N307" s="9"/>
      <c r="O307" s="9" t="s">
        <v>68</v>
      </c>
      <c r="P307" s="9" t="s">
        <v>74</v>
      </c>
      <c r="Q307" s="9"/>
      <c r="R307" s="10"/>
      <c r="S307" s="10"/>
      <c r="T307" s="10"/>
      <c r="U307" s="9"/>
      <c r="X307" t="s">
        <v>308</v>
      </c>
      <c r="Y307" t="s">
        <v>179</v>
      </c>
      <c r="Z307" t="s">
        <v>179</v>
      </c>
      <c r="AB307" t="str">
        <f t="shared" si="12"/>
        <v>24021</v>
      </c>
    </row>
    <row r="308" ht="14.25" spans="1:28">
      <c r="A308" s="5" t="s">
        <v>28</v>
      </c>
      <c r="B308" s="5" t="s">
        <v>264</v>
      </c>
      <c r="C308" s="5">
        <v>2027</v>
      </c>
      <c r="D308" s="5" t="s">
        <v>30</v>
      </c>
      <c r="E308" s="9" t="s">
        <v>326</v>
      </c>
      <c r="F308" s="9" t="s">
        <v>327</v>
      </c>
      <c r="G308" s="9" t="s">
        <v>316</v>
      </c>
      <c r="H308" s="9" t="s">
        <v>328</v>
      </c>
      <c r="I308" s="9" t="s">
        <v>276</v>
      </c>
      <c r="J308" s="9" t="s">
        <v>74</v>
      </c>
      <c r="K308" s="9">
        <v>1190</v>
      </c>
      <c r="L308" s="9"/>
      <c r="M308" s="9"/>
      <c r="N308" s="9"/>
      <c r="O308" s="9" t="s">
        <v>68</v>
      </c>
      <c r="P308" s="9" t="s">
        <v>75</v>
      </c>
      <c r="Q308" s="9"/>
      <c r="R308" s="10"/>
      <c r="S308" s="10"/>
      <c r="T308" s="10"/>
      <c r="U308" s="9"/>
      <c r="X308" t="s">
        <v>308</v>
      </c>
      <c r="Y308" t="s">
        <v>179</v>
      </c>
      <c r="Z308" t="s">
        <v>179</v>
      </c>
      <c r="AB308" t="str">
        <f t="shared" si="12"/>
        <v>24021</v>
      </c>
    </row>
    <row r="309" ht="14.25" spans="1:28">
      <c r="A309" s="5" t="s">
        <v>28</v>
      </c>
      <c r="B309" s="5" t="s">
        <v>264</v>
      </c>
      <c r="C309" s="5">
        <v>2027</v>
      </c>
      <c r="D309" s="5" t="s">
        <v>30</v>
      </c>
      <c r="E309" s="9" t="s">
        <v>326</v>
      </c>
      <c r="F309" s="9" t="s">
        <v>327</v>
      </c>
      <c r="G309" s="9" t="s">
        <v>316</v>
      </c>
      <c r="H309" s="9" t="s">
        <v>328</v>
      </c>
      <c r="I309" s="9" t="s">
        <v>276</v>
      </c>
      <c r="J309" s="9" t="s">
        <v>74</v>
      </c>
      <c r="K309" s="9">
        <v>1190</v>
      </c>
      <c r="L309" s="9"/>
      <c r="M309" s="9"/>
      <c r="N309" s="9"/>
      <c r="O309" s="9" t="s">
        <v>68</v>
      </c>
      <c r="P309" s="9" t="s">
        <v>76</v>
      </c>
      <c r="Q309" s="9"/>
      <c r="R309" s="10"/>
      <c r="S309" s="10"/>
      <c r="T309" s="10"/>
      <c r="U309" s="9"/>
      <c r="X309" t="s">
        <v>308</v>
      </c>
      <c r="Y309" t="s">
        <v>179</v>
      </c>
      <c r="Z309" t="s">
        <v>179</v>
      </c>
      <c r="AB309" t="str">
        <f t="shared" si="12"/>
        <v>24021</v>
      </c>
    </row>
    <row r="310" ht="14.25" spans="1:28">
      <c r="A310" s="5" t="s">
        <v>28</v>
      </c>
      <c r="B310" s="5" t="s">
        <v>264</v>
      </c>
      <c r="C310" s="5">
        <v>2027</v>
      </c>
      <c r="D310" s="5" t="s">
        <v>30</v>
      </c>
      <c r="E310" s="9" t="s">
        <v>326</v>
      </c>
      <c r="F310" s="9" t="s">
        <v>327</v>
      </c>
      <c r="G310" s="9" t="s">
        <v>316</v>
      </c>
      <c r="H310" s="9" t="s">
        <v>328</v>
      </c>
      <c r="I310" s="9" t="s">
        <v>276</v>
      </c>
      <c r="J310" s="9" t="s">
        <v>74</v>
      </c>
      <c r="K310" s="9">
        <v>1190</v>
      </c>
      <c r="L310" s="9"/>
      <c r="M310" s="9"/>
      <c r="N310" s="9"/>
      <c r="O310" s="9" t="s">
        <v>68</v>
      </c>
      <c r="P310" s="9" t="s">
        <v>77</v>
      </c>
      <c r="Q310" s="11"/>
      <c r="R310" s="10"/>
      <c r="S310" s="10"/>
      <c r="T310" s="10"/>
      <c r="U310" s="9"/>
      <c r="X310" t="s">
        <v>308</v>
      </c>
      <c r="Y310" t="s">
        <v>179</v>
      </c>
      <c r="Z310" t="s">
        <v>179</v>
      </c>
      <c r="AB310" t="str">
        <f t="shared" si="12"/>
        <v>24021</v>
      </c>
    </row>
    <row r="311" ht="14.25" spans="1:28">
      <c r="A311" s="5" t="s">
        <v>28</v>
      </c>
      <c r="B311" s="5" t="s">
        <v>264</v>
      </c>
      <c r="C311" s="5">
        <v>2027</v>
      </c>
      <c r="D311" s="5" t="s">
        <v>30</v>
      </c>
      <c r="E311" s="9" t="s">
        <v>329</v>
      </c>
      <c r="F311" s="9" t="s">
        <v>324</v>
      </c>
      <c r="G311" s="9" t="s">
        <v>330</v>
      </c>
      <c r="H311" s="9" t="s">
        <v>331</v>
      </c>
      <c r="I311" s="9" t="s">
        <v>276</v>
      </c>
      <c r="J311" s="9" t="s">
        <v>74</v>
      </c>
      <c r="K311" s="9">
        <v>990</v>
      </c>
      <c r="L311" s="9"/>
      <c r="M311" s="9"/>
      <c r="N311" s="9"/>
      <c r="O311" s="9" t="s">
        <v>68</v>
      </c>
      <c r="P311" s="9" t="s">
        <v>318</v>
      </c>
      <c r="Q311" s="11"/>
      <c r="R311" s="10">
        <f t="shared" si="13"/>
        <v>0</v>
      </c>
      <c r="S311" s="10">
        <f>SUMIFS([1]Sheet1!$T:$T,[1]Sheet1!$I:$I,E311,[1]Sheet1!$C:$C,A311)</f>
        <v>0</v>
      </c>
      <c r="T311" s="10">
        <f t="shared" si="14"/>
        <v>0</v>
      </c>
      <c r="U311" s="9"/>
      <c r="X311" t="s">
        <v>332</v>
      </c>
      <c r="Y311" t="s">
        <v>179</v>
      </c>
      <c r="Z311" t="s">
        <v>179</v>
      </c>
      <c r="AB311" t="str">
        <f t="shared" si="12"/>
        <v>24036</v>
      </c>
    </row>
    <row r="312" ht="14.25" spans="1:28">
      <c r="A312" s="5" t="s">
        <v>28</v>
      </c>
      <c r="B312" s="5" t="s">
        <v>264</v>
      </c>
      <c r="C312" s="5">
        <v>2027</v>
      </c>
      <c r="D312" s="5" t="s">
        <v>30</v>
      </c>
      <c r="E312" s="9" t="s">
        <v>329</v>
      </c>
      <c r="F312" s="9" t="s">
        <v>324</v>
      </c>
      <c r="G312" s="9" t="s">
        <v>330</v>
      </c>
      <c r="H312" s="9" t="s">
        <v>331</v>
      </c>
      <c r="I312" s="9" t="s">
        <v>276</v>
      </c>
      <c r="J312" s="9" t="s">
        <v>74</v>
      </c>
      <c r="K312" s="9">
        <v>990</v>
      </c>
      <c r="L312" s="9"/>
      <c r="M312" s="9"/>
      <c r="N312" s="9"/>
      <c r="O312" s="9" t="s">
        <v>68</v>
      </c>
      <c r="P312" s="9" t="s">
        <v>69</v>
      </c>
      <c r="Q312" s="11"/>
      <c r="R312" s="10"/>
      <c r="S312" s="10"/>
      <c r="T312" s="10"/>
      <c r="U312" s="9"/>
      <c r="X312" t="s">
        <v>332</v>
      </c>
      <c r="Y312" t="s">
        <v>179</v>
      </c>
      <c r="Z312" t="s">
        <v>179</v>
      </c>
      <c r="AB312" t="str">
        <f t="shared" si="12"/>
        <v>24036</v>
      </c>
    </row>
    <row r="313" ht="14.25" spans="1:28">
      <c r="A313" s="5" t="s">
        <v>28</v>
      </c>
      <c r="B313" s="5" t="s">
        <v>264</v>
      </c>
      <c r="C313" s="5">
        <v>2027</v>
      </c>
      <c r="D313" s="5" t="s">
        <v>30</v>
      </c>
      <c r="E313" s="9" t="s">
        <v>329</v>
      </c>
      <c r="F313" s="9" t="s">
        <v>324</v>
      </c>
      <c r="G313" s="9" t="s">
        <v>330</v>
      </c>
      <c r="H313" s="9" t="s">
        <v>331</v>
      </c>
      <c r="I313" s="9" t="s">
        <v>276</v>
      </c>
      <c r="J313" s="9" t="s">
        <v>74</v>
      </c>
      <c r="K313" s="9">
        <v>990</v>
      </c>
      <c r="L313" s="9"/>
      <c r="M313" s="9"/>
      <c r="N313" s="9"/>
      <c r="O313" s="9" t="s">
        <v>68</v>
      </c>
      <c r="P313" s="9" t="s">
        <v>72</v>
      </c>
      <c r="Q313" s="11"/>
      <c r="R313" s="10"/>
      <c r="S313" s="10"/>
      <c r="T313" s="10"/>
      <c r="U313" s="9"/>
      <c r="X313" t="s">
        <v>332</v>
      </c>
      <c r="Y313" t="s">
        <v>179</v>
      </c>
      <c r="Z313" t="s">
        <v>179</v>
      </c>
      <c r="AB313" t="str">
        <f t="shared" si="12"/>
        <v>24036</v>
      </c>
    </row>
    <row r="314" ht="14.25" spans="1:28">
      <c r="A314" s="5" t="s">
        <v>28</v>
      </c>
      <c r="B314" s="5" t="s">
        <v>264</v>
      </c>
      <c r="C314" s="5">
        <v>2027</v>
      </c>
      <c r="D314" s="5" t="s">
        <v>30</v>
      </c>
      <c r="E314" s="9" t="s">
        <v>329</v>
      </c>
      <c r="F314" s="9" t="s">
        <v>324</v>
      </c>
      <c r="G314" s="9" t="s">
        <v>330</v>
      </c>
      <c r="H314" s="9" t="s">
        <v>331</v>
      </c>
      <c r="I314" s="9" t="s">
        <v>276</v>
      </c>
      <c r="J314" s="9" t="s">
        <v>74</v>
      </c>
      <c r="K314" s="9">
        <v>990</v>
      </c>
      <c r="L314" s="9"/>
      <c r="M314" s="9"/>
      <c r="N314" s="9"/>
      <c r="O314" s="9" t="s">
        <v>68</v>
      </c>
      <c r="P314" s="9" t="s">
        <v>73</v>
      </c>
      <c r="Q314" s="11"/>
      <c r="R314" s="10"/>
      <c r="S314" s="10"/>
      <c r="T314" s="10"/>
      <c r="U314" s="9"/>
      <c r="X314" t="s">
        <v>332</v>
      </c>
      <c r="Y314" t="s">
        <v>179</v>
      </c>
      <c r="Z314" t="s">
        <v>179</v>
      </c>
      <c r="AB314" t="str">
        <f t="shared" si="12"/>
        <v>24036</v>
      </c>
    </row>
    <row r="315" ht="14.25" spans="1:28">
      <c r="A315" s="5" t="s">
        <v>28</v>
      </c>
      <c r="B315" s="5" t="s">
        <v>264</v>
      </c>
      <c r="C315" s="5">
        <v>2027</v>
      </c>
      <c r="D315" s="5" t="s">
        <v>30</v>
      </c>
      <c r="E315" s="9" t="s">
        <v>329</v>
      </c>
      <c r="F315" s="9" t="s">
        <v>324</v>
      </c>
      <c r="G315" s="9" t="s">
        <v>330</v>
      </c>
      <c r="H315" s="9" t="s">
        <v>331</v>
      </c>
      <c r="I315" s="9" t="s">
        <v>276</v>
      </c>
      <c r="J315" s="9" t="s">
        <v>74</v>
      </c>
      <c r="K315" s="9">
        <v>990</v>
      </c>
      <c r="L315" s="9"/>
      <c r="M315" s="9"/>
      <c r="N315" s="9"/>
      <c r="O315" s="9" t="s">
        <v>68</v>
      </c>
      <c r="P315" s="9" t="s">
        <v>74</v>
      </c>
      <c r="Q315" s="11"/>
      <c r="R315" s="10"/>
      <c r="S315" s="10"/>
      <c r="T315" s="10"/>
      <c r="U315" s="9"/>
      <c r="X315" t="s">
        <v>332</v>
      </c>
      <c r="Y315" t="s">
        <v>179</v>
      </c>
      <c r="Z315" t="s">
        <v>179</v>
      </c>
      <c r="AB315" t="str">
        <f t="shared" si="12"/>
        <v>24036</v>
      </c>
    </row>
    <row r="316" ht="14.25" spans="1:28">
      <c r="A316" s="5" t="s">
        <v>28</v>
      </c>
      <c r="B316" s="5" t="s">
        <v>264</v>
      </c>
      <c r="C316" s="5">
        <v>2027</v>
      </c>
      <c r="D316" s="5" t="s">
        <v>30</v>
      </c>
      <c r="E316" s="9" t="s">
        <v>329</v>
      </c>
      <c r="F316" s="9" t="s">
        <v>324</v>
      </c>
      <c r="G316" s="9" t="s">
        <v>330</v>
      </c>
      <c r="H316" s="9" t="s">
        <v>331</v>
      </c>
      <c r="I316" s="9" t="s">
        <v>276</v>
      </c>
      <c r="J316" s="9" t="s">
        <v>74</v>
      </c>
      <c r="K316" s="9">
        <v>990</v>
      </c>
      <c r="L316" s="9"/>
      <c r="M316" s="9"/>
      <c r="N316" s="9"/>
      <c r="O316" s="9" t="s">
        <v>68</v>
      </c>
      <c r="P316" s="9" t="s">
        <v>75</v>
      </c>
      <c r="Q316" s="9"/>
      <c r="R316" s="10"/>
      <c r="S316" s="10"/>
      <c r="T316" s="10"/>
      <c r="U316" s="9"/>
      <c r="X316" t="s">
        <v>332</v>
      </c>
      <c r="Y316" t="s">
        <v>179</v>
      </c>
      <c r="Z316" t="s">
        <v>179</v>
      </c>
      <c r="AB316" t="str">
        <f t="shared" si="12"/>
        <v>24036</v>
      </c>
    </row>
    <row r="317" ht="14.25" spans="1:28">
      <c r="A317" s="5" t="s">
        <v>28</v>
      </c>
      <c r="B317" s="5" t="s">
        <v>264</v>
      </c>
      <c r="C317" s="5">
        <v>2027</v>
      </c>
      <c r="D317" s="5" t="s">
        <v>30</v>
      </c>
      <c r="E317" s="9" t="s">
        <v>329</v>
      </c>
      <c r="F317" s="9" t="s">
        <v>324</v>
      </c>
      <c r="G317" s="9" t="s">
        <v>330</v>
      </c>
      <c r="H317" s="9" t="s">
        <v>331</v>
      </c>
      <c r="I317" s="9" t="s">
        <v>276</v>
      </c>
      <c r="J317" s="9" t="s">
        <v>74</v>
      </c>
      <c r="K317" s="9">
        <v>990</v>
      </c>
      <c r="L317" s="9"/>
      <c r="M317" s="9"/>
      <c r="N317" s="9"/>
      <c r="O317" s="9" t="s">
        <v>68</v>
      </c>
      <c r="P317" s="9" t="s">
        <v>76</v>
      </c>
      <c r="Q317" s="9"/>
      <c r="R317" s="10"/>
      <c r="S317" s="10"/>
      <c r="T317" s="10"/>
      <c r="U317" s="9"/>
      <c r="X317" t="s">
        <v>332</v>
      </c>
      <c r="Y317" t="s">
        <v>179</v>
      </c>
      <c r="Z317" t="s">
        <v>179</v>
      </c>
      <c r="AB317" t="str">
        <f t="shared" si="12"/>
        <v>24036</v>
      </c>
    </row>
    <row r="318" ht="14.25" spans="1:28">
      <c r="A318" s="5" t="s">
        <v>28</v>
      </c>
      <c r="B318" s="5" t="s">
        <v>264</v>
      </c>
      <c r="C318" s="5">
        <v>2027</v>
      </c>
      <c r="D318" s="5" t="s">
        <v>30</v>
      </c>
      <c r="E318" s="9" t="s">
        <v>333</v>
      </c>
      <c r="F318" s="9" t="s">
        <v>334</v>
      </c>
      <c r="G318" s="9" t="s">
        <v>311</v>
      </c>
      <c r="H318" s="9" t="s">
        <v>335</v>
      </c>
      <c r="I318" s="9" t="s">
        <v>269</v>
      </c>
      <c r="J318" s="9" t="s">
        <v>36</v>
      </c>
      <c r="K318" s="9">
        <v>1790</v>
      </c>
      <c r="L318" s="9"/>
      <c r="M318" s="9"/>
      <c r="N318" s="9"/>
      <c r="O318" s="9" t="s">
        <v>37</v>
      </c>
      <c r="P318" s="9" t="s">
        <v>38</v>
      </c>
      <c r="Q318" s="9"/>
      <c r="R318" s="10">
        <f t="shared" si="13"/>
        <v>0</v>
      </c>
      <c r="S318" s="10">
        <f>SUMIFS([1]Sheet1!$T:$T,[1]Sheet1!$I:$I,E318,[1]Sheet1!$C:$C,A318)</f>
        <v>0</v>
      </c>
      <c r="T318" s="10">
        <f t="shared" si="14"/>
        <v>0</v>
      </c>
      <c r="U318" s="9" t="s">
        <v>242</v>
      </c>
      <c r="V318" t="s">
        <v>242</v>
      </c>
      <c r="W318" t="s">
        <v>138</v>
      </c>
      <c r="X318" t="s">
        <v>313</v>
      </c>
      <c r="Y318" t="s">
        <v>179</v>
      </c>
      <c r="Z318" t="s">
        <v>179</v>
      </c>
      <c r="AB318" t="str">
        <f t="shared" si="12"/>
        <v>24048</v>
      </c>
    </row>
    <row r="319" ht="14.25" spans="1:28">
      <c r="A319" s="5" t="s">
        <v>28</v>
      </c>
      <c r="B319" s="5" t="s">
        <v>264</v>
      </c>
      <c r="C319" s="5">
        <v>2027</v>
      </c>
      <c r="D319" s="5" t="s">
        <v>30</v>
      </c>
      <c r="E319" s="9" t="s">
        <v>333</v>
      </c>
      <c r="F319" s="9" t="s">
        <v>334</v>
      </c>
      <c r="G319" s="9" t="s">
        <v>311</v>
      </c>
      <c r="H319" s="9" t="s">
        <v>335</v>
      </c>
      <c r="I319" s="9" t="s">
        <v>269</v>
      </c>
      <c r="J319" s="9" t="s">
        <v>36</v>
      </c>
      <c r="K319" s="9">
        <v>1790</v>
      </c>
      <c r="L319" s="9"/>
      <c r="M319" s="9"/>
      <c r="N319" s="9"/>
      <c r="O319" s="9" t="s">
        <v>37</v>
      </c>
      <c r="P319" s="9" t="s">
        <v>42</v>
      </c>
      <c r="Q319" s="9"/>
      <c r="R319" s="10"/>
      <c r="S319" s="10"/>
      <c r="T319" s="10"/>
      <c r="U319" s="9" t="s">
        <v>242</v>
      </c>
      <c r="V319" t="s">
        <v>242</v>
      </c>
      <c r="W319" t="s">
        <v>138</v>
      </c>
      <c r="X319" t="s">
        <v>313</v>
      </c>
      <c r="Y319" t="s">
        <v>179</v>
      </c>
      <c r="Z319" t="s">
        <v>179</v>
      </c>
      <c r="AB319" t="str">
        <f t="shared" si="12"/>
        <v>24048</v>
      </c>
    </row>
    <row r="320" ht="14.25" spans="1:28">
      <c r="A320" s="5" t="s">
        <v>28</v>
      </c>
      <c r="B320" s="5" t="s">
        <v>264</v>
      </c>
      <c r="C320" s="5">
        <v>2027</v>
      </c>
      <c r="D320" s="5" t="s">
        <v>30</v>
      </c>
      <c r="E320" s="9" t="s">
        <v>333</v>
      </c>
      <c r="F320" s="9" t="s">
        <v>334</v>
      </c>
      <c r="G320" s="9" t="s">
        <v>311</v>
      </c>
      <c r="H320" s="9" t="s">
        <v>335</v>
      </c>
      <c r="I320" s="9" t="s">
        <v>269</v>
      </c>
      <c r="J320" s="9" t="s">
        <v>36</v>
      </c>
      <c r="K320" s="9">
        <v>1790</v>
      </c>
      <c r="L320" s="9"/>
      <c r="M320" s="9"/>
      <c r="N320" s="9"/>
      <c r="O320" s="9" t="s">
        <v>37</v>
      </c>
      <c r="P320" s="9" t="s">
        <v>43</v>
      </c>
      <c r="Q320" s="9"/>
      <c r="R320" s="10"/>
      <c r="S320" s="10"/>
      <c r="T320" s="10"/>
      <c r="U320" s="9" t="s">
        <v>242</v>
      </c>
      <c r="V320" t="s">
        <v>242</v>
      </c>
      <c r="W320" t="s">
        <v>138</v>
      </c>
      <c r="X320" t="s">
        <v>313</v>
      </c>
      <c r="Y320" t="s">
        <v>179</v>
      </c>
      <c r="Z320" t="s">
        <v>179</v>
      </c>
      <c r="AB320" t="str">
        <f t="shared" si="12"/>
        <v>24048</v>
      </c>
    </row>
    <row r="321" ht="14.25" spans="1:28">
      <c r="A321" s="5" t="s">
        <v>28</v>
      </c>
      <c r="B321" s="5" t="s">
        <v>264</v>
      </c>
      <c r="C321" s="5">
        <v>2027</v>
      </c>
      <c r="D321" s="5" t="s">
        <v>30</v>
      </c>
      <c r="E321" s="9" t="s">
        <v>333</v>
      </c>
      <c r="F321" s="9" t="s">
        <v>334</v>
      </c>
      <c r="G321" s="9" t="s">
        <v>311</v>
      </c>
      <c r="H321" s="9" t="s">
        <v>335</v>
      </c>
      <c r="I321" s="9" t="s">
        <v>269</v>
      </c>
      <c r="J321" s="9" t="s">
        <v>36</v>
      </c>
      <c r="K321" s="9">
        <v>1790</v>
      </c>
      <c r="L321" s="9"/>
      <c r="M321" s="9"/>
      <c r="N321" s="9"/>
      <c r="O321" s="9" t="s">
        <v>37</v>
      </c>
      <c r="P321" s="9" t="s">
        <v>44</v>
      </c>
      <c r="Q321" s="9"/>
      <c r="R321" s="10"/>
      <c r="S321" s="10"/>
      <c r="T321" s="10"/>
      <c r="U321" s="9" t="s">
        <v>242</v>
      </c>
      <c r="V321" t="s">
        <v>242</v>
      </c>
      <c r="W321" t="s">
        <v>138</v>
      </c>
      <c r="X321" t="s">
        <v>313</v>
      </c>
      <c r="Y321" t="s">
        <v>179</v>
      </c>
      <c r="Z321" t="s">
        <v>179</v>
      </c>
      <c r="AB321" t="str">
        <f t="shared" si="12"/>
        <v>24048</v>
      </c>
    </row>
    <row r="322" ht="14.25" spans="1:28">
      <c r="A322" s="5" t="s">
        <v>28</v>
      </c>
      <c r="B322" s="5" t="s">
        <v>264</v>
      </c>
      <c r="C322" s="5">
        <v>2027</v>
      </c>
      <c r="D322" s="5" t="s">
        <v>30</v>
      </c>
      <c r="E322" s="9" t="s">
        <v>333</v>
      </c>
      <c r="F322" s="9" t="s">
        <v>334</v>
      </c>
      <c r="G322" s="9" t="s">
        <v>311</v>
      </c>
      <c r="H322" s="9" t="s">
        <v>335</v>
      </c>
      <c r="I322" s="9" t="s">
        <v>269</v>
      </c>
      <c r="J322" s="9" t="s">
        <v>36</v>
      </c>
      <c r="K322" s="9">
        <v>1790</v>
      </c>
      <c r="L322" s="9"/>
      <c r="M322" s="9"/>
      <c r="N322" s="9"/>
      <c r="O322" s="9" t="s">
        <v>37</v>
      </c>
      <c r="P322" s="9" t="s">
        <v>45</v>
      </c>
      <c r="Q322" s="9"/>
      <c r="R322" s="10"/>
      <c r="S322" s="10"/>
      <c r="T322" s="10"/>
      <c r="U322" s="9" t="s">
        <v>242</v>
      </c>
      <c r="V322" t="s">
        <v>242</v>
      </c>
      <c r="W322" t="s">
        <v>138</v>
      </c>
      <c r="X322" t="s">
        <v>313</v>
      </c>
      <c r="Y322" t="s">
        <v>179</v>
      </c>
      <c r="Z322" t="s">
        <v>179</v>
      </c>
      <c r="AB322" t="str">
        <f t="shared" si="12"/>
        <v>24048</v>
      </c>
    </row>
    <row r="323" ht="14.25" spans="1:28">
      <c r="A323" s="5" t="s">
        <v>28</v>
      </c>
      <c r="B323" s="5" t="s">
        <v>264</v>
      </c>
      <c r="C323" s="5">
        <v>2027</v>
      </c>
      <c r="D323" s="5" t="s">
        <v>30</v>
      </c>
      <c r="E323" s="9" t="s">
        <v>336</v>
      </c>
      <c r="F323" s="9" t="s">
        <v>337</v>
      </c>
      <c r="G323" s="9" t="s">
        <v>330</v>
      </c>
      <c r="H323" s="9" t="s">
        <v>338</v>
      </c>
      <c r="I323" s="9" t="s">
        <v>276</v>
      </c>
      <c r="J323" s="9" t="s">
        <v>36</v>
      </c>
      <c r="K323" s="9">
        <v>1790</v>
      </c>
      <c r="L323" s="9"/>
      <c r="M323" s="9"/>
      <c r="N323" s="9"/>
      <c r="O323" s="9" t="s">
        <v>37</v>
      </c>
      <c r="P323" s="9" t="s">
        <v>38</v>
      </c>
      <c r="Q323" s="9"/>
      <c r="R323" s="10">
        <f t="shared" ref="R322:R385" si="15">SUMIFS(Q:Q,E:E,E323)</f>
        <v>0</v>
      </c>
      <c r="S323" s="10">
        <f>SUMIFS([1]Sheet1!$T:$T,[1]Sheet1!$I:$I,E323,[1]Sheet1!$C:$C,A323)</f>
        <v>0</v>
      </c>
      <c r="T323" s="10">
        <f t="shared" ref="T322:T385" si="16">R323-S323</f>
        <v>0</v>
      </c>
      <c r="U323" s="9"/>
      <c r="X323" t="s">
        <v>332</v>
      </c>
      <c r="Y323" t="s">
        <v>179</v>
      </c>
      <c r="Z323" t="s">
        <v>247</v>
      </c>
      <c r="AB323" t="str">
        <f t="shared" ref="AB323:AB386" si="17">MID(E323,6,5)</f>
        <v>24050</v>
      </c>
    </row>
    <row r="324" ht="14.25" spans="1:28">
      <c r="A324" s="5" t="s">
        <v>28</v>
      </c>
      <c r="B324" s="5" t="s">
        <v>264</v>
      </c>
      <c r="C324" s="5">
        <v>2027</v>
      </c>
      <c r="D324" s="5" t="s">
        <v>30</v>
      </c>
      <c r="E324" s="9" t="s">
        <v>336</v>
      </c>
      <c r="F324" s="9" t="s">
        <v>337</v>
      </c>
      <c r="G324" s="9" t="s">
        <v>330</v>
      </c>
      <c r="H324" s="9" t="s">
        <v>338</v>
      </c>
      <c r="I324" s="9" t="s">
        <v>276</v>
      </c>
      <c r="J324" s="9" t="s">
        <v>36</v>
      </c>
      <c r="K324" s="9">
        <v>1790</v>
      </c>
      <c r="L324" s="9"/>
      <c r="M324" s="9"/>
      <c r="N324" s="9"/>
      <c r="O324" s="9" t="s">
        <v>37</v>
      </c>
      <c r="P324" s="9" t="s">
        <v>42</v>
      </c>
      <c r="Q324" s="9"/>
      <c r="R324" s="10"/>
      <c r="S324" s="10"/>
      <c r="T324" s="10"/>
      <c r="U324" s="9"/>
      <c r="X324" t="s">
        <v>332</v>
      </c>
      <c r="Y324" t="s">
        <v>179</v>
      </c>
      <c r="Z324" t="s">
        <v>247</v>
      </c>
      <c r="AB324" t="str">
        <f t="shared" si="17"/>
        <v>24050</v>
      </c>
    </row>
    <row r="325" ht="14.25" spans="1:28">
      <c r="A325" s="5" t="s">
        <v>28</v>
      </c>
      <c r="B325" s="5" t="s">
        <v>264</v>
      </c>
      <c r="C325" s="5">
        <v>2027</v>
      </c>
      <c r="D325" s="5" t="s">
        <v>30</v>
      </c>
      <c r="E325" s="9" t="s">
        <v>336</v>
      </c>
      <c r="F325" s="9" t="s">
        <v>337</v>
      </c>
      <c r="G325" s="9" t="s">
        <v>330</v>
      </c>
      <c r="H325" s="9" t="s">
        <v>338</v>
      </c>
      <c r="I325" s="9" t="s">
        <v>276</v>
      </c>
      <c r="J325" s="9" t="s">
        <v>36</v>
      </c>
      <c r="K325" s="9">
        <v>1790</v>
      </c>
      <c r="L325" s="9"/>
      <c r="M325" s="9"/>
      <c r="N325" s="9"/>
      <c r="O325" s="9" t="s">
        <v>37</v>
      </c>
      <c r="P325" s="9" t="s">
        <v>43</v>
      </c>
      <c r="Q325" s="9"/>
      <c r="R325" s="10"/>
      <c r="S325" s="10"/>
      <c r="T325" s="10"/>
      <c r="U325" s="9"/>
      <c r="X325" t="s">
        <v>332</v>
      </c>
      <c r="Y325" t="s">
        <v>179</v>
      </c>
      <c r="Z325" t="s">
        <v>247</v>
      </c>
      <c r="AB325" t="str">
        <f t="shared" si="17"/>
        <v>24050</v>
      </c>
    </row>
    <row r="326" ht="14.25" spans="1:28">
      <c r="A326" s="5" t="s">
        <v>28</v>
      </c>
      <c r="B326" s="5" t="s">
        <v>264</v>
      </c>
      <c r="C326" s="5">
        <v>2027</v>
      </c>
      <c r="D326" s="5" t="s">
        <v>30</v>
      </c>
      <c r="E326" s="9" t="s">
        <v>336</v>
      </c>
      <c r="F326" s="9" t="s">
        <v>337</v>
      </c>
      <c r="G326" s="9" t="s">
        <v>330</v>
      </c>
      <c r="H326" s="9" t="s">
        <v>338</v>
      </c>
      <c r="I326" s="9" t="s">
        <v>276</v>
      </c>
      <c r="J326" s="9" t="s">
        <v>36</v>
      </c>
      <c r="K326" s="9">
        <v>1790</v>
      </c>
      <c r="L326" s="9"/>
      <c r="M326" s="9"/>
      <c r="N326" s="9"/>
      <c r="O326" s="9" t="s">
        <v>37</v>
      </c>
      <c r="P326" s="9" t="s">
        <v>44</v>
      </c>
      <c r="Q326" s="9"/>
      <c r="R326" s="10"/>
      <c r="S326" s="10"/>
      <c r="T326" s="10"/>
      <c r="U326" s="9"/>
      <c r="X326" t="s">
        <v>332</v>
      </c>
      <c r="Y326" t="s">
        <v>179</v>
      </c>
      <c r="Z326" t="s">
        <v>247</v>
      </c>
      <c r="AB326" t="str">
        <f t="shared" si="17"/>
        <v>24050</v>
      </c>
    </row>
    <row r="327" ht="14.25" spans="1:28">
      <c r="A327" s="5" t="s">
        <v>28</v>
      </c>
      <c r="B327" s="5" t="s">
        <v>264</v>
      </c>
      <c r="C327" s="5">
        <v>2027</v>
      </c>
      <c r="D327" s="5" t="s">
        <v>30</v>
      </c>
      <c r="E327" s="9" t="s">
        <v>336</v>
      </c>
      <c r="F327" s="9" t="s">
        <v>337</v>
      </c>
      <c r="G327" s="9" t="s">
        <v>330</v>
      </c>
      <c r="H327" s="9" t="s">
        <v>338</v>
      </c>
      <c r="I327" s="9" t="s">
        <v>276</v>
      </c>
      <c r="J327" s="9" t="s">
        <v>36</v>
      </c>
      <c r="K327" s="9">
        <v>1790</v>
      </c>
      <c r="L327" s="9"/>
      <c r="M327" s="9"/>
      <c r="N327" s="9"/>
      <c r="O327" s="9" t="s">
        <v>37</v>
      </c>
      <c r="P327" s="9" t="s">
        <v>45</v>
      </c>
      <c r="Q327" s="9"/>
      <c r="R327" s="10"/>
      <c r="S327" s="10"/>
      <c r="T327" s="10"/>
      <c r="U327" s="9"/>
      <c r="X327" t="s">
        <v>332</v>
      </c>
      <c r="Y327" t="s">
        <v>179</v>
      </c>
      <c r="Z327" t="s">
        <v>247</v>
      </c>
      <c r="AB327" t="str">
        <f t="shared" si="17"/>
        <v>24050</v>
      </c>
    </row>
    <row r="328" ht="14.25" spans="1:28">
      <c r="A328" s="5" t="s">
        <v>28</v>
      </c>
      <c r="B328" s="5" t="s">
        <v>264</v>
      </c>
      <c r="C328" s="5">
        <v>2027</v>
      </c>
      <c r="D328" s="5" t="s">
        <v>30</v>
      </c>
      <c r="E328" s="9" t="s">
        <v>339</v>
      </c>
      <c r="F328" s="9" t="s">
        <v>340</v>
      </c>
      <c r="G328" s="9" t="s">
        <v>182</v>
      </c>
      <c r="H328" s="9" t="s">
        <v>341</v>
      </c>
      <c r="I328" s="9" t="s">
        <v>276</v>
      </c>
      <c r="J328" s="9" t="s">
        <v>36</v>
      </c>
      <c r="K328" s="9">
        <v>790</v>
      </c>
      <c r="L328" s="9"/>
      <c r="M328" s="9"/>
      <c r="N328" s="9"/>
      <c r="O328" s="9" t="s">
        <v>37</v>
      </c>
      <c r="P328" s="9" t="s">
        <v>38</v>
      </c>
      <c r="Q328" s="9"/>
      <c r="R328" s="10">
        <f t="shared" si="15"/>
        <v>0</v>
      </c>
      <c r="S328" s="10">
        <f>SUMIFS([1]Sheet1!$T:$T,[1]Sheet1!$I:$I,E328,[1]Sheet1!$C:$C,A328)</f>
        <v>0</v>
      </c>
      <c r="T328" s="10">
        <f t="shared" si="16"/>
        <v>0</v>
      </c>
      <c r="U328" s="9"/>
      <c r="X328" t="s">
        <v>102</v>
      </c>
      <c r="Y328" t="s">
        <v>179</v>
      </c>
      <c r="Z328" t="s">
        <v>41</v>
      </c>
      <c r="AB328" t="str">
        <f t="shared" si="17"/>
        <v>24083</v>
      </c>
    </row>
    <row r="329" ht="14.25" spans="1:28">
      <c r="A329" s="5" t="s">
        <v>28</v>
      </c>
      <c r="B329" s="5" t="s">
        <v>264</v>
      </c>
      <c r="C329" s="5">
        <v>2027</v>
      </c>
      <c r="D329" s="5" t="s">
        <v>30</v>
      </c>
      <c r="E329" s="9" t="s">
        <v>339</v>
      </c>
      <c r="F329" s="9" t="s">
        <v>340</v>
      </c>
      <c r="G329" s="9" t="s">
        <v>182</v>
      </c>
      <c r="H329" s="9" t="s">
        <v>341</v>
      </c>
      <c r="I329" s="9" t="s">
        <v>276</v>
      </c>
      <c r="J329" s="9" t="s">
        <v>36</v>
      </c>
      <c r="K329" s="9">
        <v>790</v>
      </c>
      <c r="L329" s="9"/>
      <c r="M329" s="9"/>
      <c r="N329" s="9"/>
      <c r="O329" s="9" t="s">
        <v>37</v>
      </c>
      <c r="P329" s="9" t="s">
        <v>42</v>
      </c>
      <c r="Q329" s="9"/>
      <c r="R329" s="10"/>
      <c r="S329" s="10"/>
      <c r="T329" s="10"/>
      <c r="U329" s="9"/>
      <c r="X329" t="s">
        <v>102</v>
      </c>
      <c r="Y329" t="s">
        <v>179</v>
      </c>
      <c r="Z329" t="s">
        <v>41</v>
      </c>
      <c r="AB329" t="str">
        <f t="shared" si="17"/>
        <v>24083</v>
      </c>
    </row>
    <row r="330" ht="14.25" spans="1:28">
      <c r="A330" s="5" t="s">
        <v>28</v>
      </c>
      <c r="B330" s="5" t="s">
        <v>264</v>
      </c>
      <c r="C330" s="5">
        <v>2027</v>
      </c>
      <c r="D330" s="5" t="s">
        <v>30</v>
      </c>
      <c r="E330" s="9" t="s">
        <v>339</v>
      </c>
      <c r="F330" s="9" t="s">
        <v>340</v>
      </c>
      <c r="G330" s="9" t="s">
        <v>182</v>
      </c>
      <c r="H330" s="9" t="s">
        <v>341</v>
      </c>
      <c r="I330" s="9" t="s">
        <v>276</v>
      </c>
      <c r="J330" s="9" t="s">
        <v>36</v>
      </c>
      <c r="K330" s="9">
        <v>790</v>
      </c>
      <c r="L330" s="9"/>
      <c r="M330" s="9"/>
      <c r="N330" s="9"/>
      <c r="O330" s="9" t="s">
        <v>37</v>
      </c>
      <c r="P330" s="9" t="s">
        <v>43</v>
      </c>
      <c r="Q330" s="9"/>
      <c r="R330" s="10"/>
      <c r="S330" s="10"/>
      <c r="T330" s="10"/>
      <c r="U330" s="9"/>
      <c r="X330" t="s">
        <v>102</v>
      </c>
      <c r="Y330" t="s">
        <v>179</v>
      </c>
      <c r="Z330" t="s">
        <v>41</v>
      </c>
      <c r="AB330" t="str">
        <f t="shared" si="17"/>
        <v>24083</v>
      </c>
    </row>
    <row r="331" ht="14.25" spans="1:28">
      <c r="A331" s="5" t="s">
        <v>28</v>
      </c>
      <c r="B331" s="5" t="s">
        <v>264</v>
      </c>
      <c r="C331" s="5">
        <v>2027</v>
      </c>
      <c r="D331" s="5" t="s">
        <v>30</v>
      </c>
      <c r="E331" s="9" t="s">
        <v>339</v>
      </c>
      <c r="F331" s="9" t="s">
        <v>340</v>
      </c>
      <c r="G331" s="9" t="s">
        <v>182</v>
      </c>
      <c r="H331" s="9" t="s">
        <v>341</v>
      </c>
      <c r="I331" s="9" t="s">
        <v>276</v>
      </c>
      <c r="J331" s="9" t="s">
        <v>36</v>
      </c>
      <c r="K331" s="9">
        <v>790</v>
      </c>
      <c r="L331" s="9"/>
      <c r="M331" s="9"/>
      <c r="N331" s="9"/>
      <c r="O331" s="9" t="s">
        <v>37</v>
      </c>
      <c r="P331" s="9" t="s">
        <v>44</v>
      </c>
      <c r="Q331" s="9"/>
      <c r="R331" s="10"/>
      <c r="S331" s="10"/>
      <c r="T331" s="10"/>
      <c r="U331" s="9"/>
      <c r="X331" t="s">
        <v>102</v>
      </c>
      <c r="Y331" t="s">
        <v>179</v>
      </c>
      <c r="Z331" t="s">
        <v>41</v>
      </c>
      <c r="AB331" t="str">
        <f t="shared" si="17"/>
        <v>24083</v>
      </c>
    </row>
    <row r="332" ht="14.25" spans="1:28">
      <c r="A332" s="5" t="s">
        <v>28</v>
      </c>
      <c r="B332" s="5" t="s">
        <v>264</v>
      </c>
      <c r="C332" s="5">
        <v>2027</v>
      </c>
      <c r="D332" s="5" t="s">
        <v>30</v>
      </c>
      <c r="E332" s="9" t="s">
        <v>339</v>
      </c>
      <c r="F332" s="9" t="s">
        <v>340</v>
      </c>
      <c r="G332" s="9" t="s">
        <v>182</v>
      </c>
      <c r="H332" s="9" t="s">
        <v>341</v>
      </c>
      <c r="I332" s="9" t="s">
        <v>276</v>
      </c>
      <c r="J332" s="9" t="s">
        <v>36</v>
      </c>
      <c r="K332" s="9">
        <v>790</v>
      </c>
      <c r="L332" s="9"/>
      <c r="M332" s="9"/>
      <c r="N332" s="9"/>
      <c r="O332" s="9" t="s">
        <v>37</v>
      </c>
      <c r="P332" s="9" t="s">
        <v>45</v>
      </c>
      <c r="Q332" s="9"/>
      <c r="R332" s="10"/>
      <c r="S332" s="10"/>
      <c r="T332" s="10"/>
      <c r="U332" s="9"/>
      <c r="X332" t="s">
        <v>102</v>
      </c>
      <c r="Y332" t="s">
        <v>179</v>
      </c>
      <c r="Z332" t="s">
        <v>41</v>
      </c>
      <c r="AB332" t="str">
        <f t="shared" si="17"/>
        <v>24083</v>
      </c>
    </row>
    <row r="333" ht="14.25" spans="1:28">
      <c r="A333" s="5" t="s">
        <v>28</v>
      </c>
      <c r="B333" s="5" t="s">
        <v>264</v>
      </c>
      <c r="C333" s="5">
        <v>2027</v>
      </c>
      <c r="D333" s="5" t="s">
        <v>30</v>
      </c>
      <c r="E333" s="9" t="s">
        <v>342</v>
      </c>
      <c r="F333" s="9" t="s">
        <v>340</v>
      </c>
      <c r="G333" s="9" t="s">
        <v>343</v>
      </c>
      <c r="H333" s="9" t="s">
        <v>344</v>
      </c>
      <c r="I333" s="9" t="s">
        <v>276</v>
      </c>
      <c r="J333" s="9" t="s">
        <v>36</v>
      </c>
      <c r="K333" s="9">
        <v>790</v>
      </c>
      <c r="L333" s="9"/>
      <c r="M333" s="9"/>
      <c r="N333" s="9"/>
      <c r="O333" s="9" t="s">
        <v>37</v>
      </c>
      <c r="P333" s="9" t="s">
        <v>38</v>
      </c>
      <c r="Q333" s="9"/>
      <c r="R333" s="10">
        <f t="shared" si="15"/>
        <v>0</v>
      </c>
      <c r="S333" s="10">
        <f>SUMIFS([1]Sheet1!$T:$T,[1]Sheet1!$I:$I,E333,[1]Sheet1!$C:$C,A333)</f>
        <v>0</v>
      </c>
      <c r="T333" s="10">
        <f t="shared" si="16"/>
        <v>0</v>
      </c>
      <c r="U333" s="9"/>
      <c r="Y333" t="s">
        <v>179</v>
      </c>
      <c r="Z333" t="s">
        <v>41</v>
      </c>
      <c r="AB333" t="str">
        <f t="shared" si="17"/>
        <v>24083</v>
      </c>
    </row>
    <row r="334" ht="14.25" spans="1:28">
      <c r="A334" s="5" t="s">
        <v>28</v>
      </c>
      <c r="B334" s="5" t="s">
        <v>264</v>
      </c>
      <c r="C334" s="5">
        <v>2027</v>
      </c>
      <c r="D334" s="5" t="s">
        <v>30</v>
      </c>
      <c r="E334" s="9" t="s">
        <v>342</v>
      </c>
      <c r="F334" s="9" t="s">
        <v>340</v>
      </c>
      <c r="G334" s="9" t="s">
        <v>343</v>
      </c>
      <c r="H334" s="9" t="s">
        <v>344</v>
      </c>
      <c r="I334" s="9" t="s">
        <v>276</v>
      </c>
      <c r="J334" s="9" t="s">
        <v>36</v>
      </c>
      <c r="K334" s="9">
        <v>790</v>
      </c>
      <c r="L334" s="9"/>
      <c r="M334" s="9"/>
      <c r="N334" s="9"/>
      <c r="O334" s="9" t="s">
        <v>37</v>
      </c>
      <c r="P334" s="9" t="s">
        <v>42</v>
      </c>
      <c r="Q334" s="11"/>
      <c r="R334" s="10"/>
      <c r="S334" s="10"/>
      <c r="T334" s="10"/>
      <c r="U334" s="9"/>
      <c r="Y334" t="s">
        <v>179</v>
      </c>
      <c r="Z334" t="s">
        <v>41</v>
      </c>
      <c r="AB334" t="str">
        <f t="shared" si="17"/>
        <v>24083</v>
      </c>
    </row>
    <row r="335" ht="14.25" spans="1:28">
      <c r="A335" s="5" t="s">
        <v>28</v>
      </c>
      <c r="B335" s="5" t="s">
        <v>264</v>
      </c>
      <c r="C335" s="5">
        <v>2027</v>
      </c>
      <c r="D335" s="5" t="s">
        <v>30</v>
      </c>
      <c r="E335" s="9" t="s">
        <v>342</v>
      </c>
      <c r="F335" s="9" t="s">
        <v>340</v>
      </c>
      <c r="G335" s="9" t="s">
        <v>343</v>
      </c>
      <c r="H335" s="9" t="s">
        <v>344</v>
      </c>
      <c r="I335" s="9" t="s">
        <v>276</v>
      </c>
      <c r="J335" s="9" t="s">
        <v>36</v>
      </c>
      <c r="K335" s="9">
        <v>790</v>
      </c>
      <c r="L335" s="9"/>
      <c r="M335" s="9"/>
      <c r="N335" s="9"/>
      <c r="O335" s="9" t="s">
        <v>37</v>
      </c>
      <c r="P335" s="9" t="s">
        <v>43</v>
      </c>
      <c r="Q335" s="11"/>
      <c r="R335" s="10"/>
      <c r="S335" s="10"/>
      <c r="T335" s="10"/>
      <c r="U335" s="9"/>
      <c r="Y335" t="s">
        <v>179</v>
      </c>
      <c r="Z335" t="s">
        <v>41</v>
      </c>
      <c r="AB335" t="str">
        <f t="shared" si="17"/>
        <v>24083</v>
      </c>
    </row>
    <row r="336" ht="14.25" spans="1:28">
      <c r="A336" s="5" t="s">
        <v>28</v>
      </c>
      <c r="B336" s="5" t="s">
        <v>264</v>
      </c>
      <c r="C336" s="5">
        <v>2027</v>
      </c>
      <c r="D336" s="5" t="s">
        <v>30</v>
      </c>
      <c r="E336" s="9" t="s">
        <v>342</v>
      </c>
      <c r="F336" s="9" t="s">
        <v>340</v>
      </c>
      <c r="G336" s="9" t="s">
        <v>343</v>
      </c>
      <c r="H336" s="9" t="s">
        <v>344</v>
      </c>
      <c r="I336" s="9" t="s">
        <v>276</v>
      </c>
      <c r="J336" s="9" t="s">
        <v>36</v>
      </c>
      <c r="K336" s="9">
        <v>790</v>
      </c>
      <c r="L336" s="9"/>
      <c r="M336" s="9"/>
      <c r="N336" s="9"/>
      <c r="O336" s="9" t="s">
        <v>37</v>
      </c>
      <c r="P336" s="9" t="s">
        <v>44</v>
      </c>
      <c r="Q336" s="11"/>
      <c r="R336" s="10"/>
      <c r="S336" s="10"/>
      <c r="T336" s="10"/>
      <c r="U336" s="9"/>
      <c r="Y336" t="s">
        <v>179</v>
      </c>
      <c r="Z336" t="s">
        <v>41</v>
      </c>
      <c r="AB336" t="str">
        <f t="shared" si="17"/>
        <v>24083</v>
      </c>
    </row>
    <row r="337" ht="14.25" spans="1:28">
      <c r="A337" s="5" t="s">
        <v>28</v>
      </c>
      <c r="B337" s="5" t="s">
        <v>264</v>
      </c>
      <c r="C337" s="5">
        <v>2027</v>
      </c>
      <c r="D337" s="5" t="s">
        <v>30</v>
      </c>
      <c r="E337" s="9" t="s">
        <v>342</v>
      </c>
      <c r="F337" s="9" t="s">
        <v>340</v>
      </c>
      <c r="G337" s="9" t="s">
        <v>343</v>
      </c>
      <c r="H337" s="9" t="s">
        <v>344</v>
      </c>
      <c r="I337" s="9" t="s">
        <v>276</v>
      </c>
      <c r="J337" s="9" t="s">
        <v>36</v>
      </c>
      <c r="K337" s="9">
        <v>790</v>
      </c>
      <c r="L337" s="9"/>
      <c r="M337" s="9"/>
      <c r="N337" s="9"/>
      <c r="O337" s="9" t="s">
        <v>37</v>
      </c>
      <c r="P337" s="9" t="s">
        <v>45</v>
      </c>
      <c r="Q337" s="11"/>
      <c r="R337" s="10"/>
      <c r="S337" s="10"/>
      <c r="T337" s="10"/>
      <c r="U337" s="9"/>
      <c r="Y337" t="s">
        <v>179</v>
      </c>
      <c r="Z337" t="s">
        <v>41</v>
      </c>
      <c r="AB337" t="str">
        <f t="shared" si="17"/>
        <v>24083</v>
      </c>
    </row>
    <row r="338" ht="14.25" spans="1:28">
      <c r="A338" s="5" t="s">
        <v>28</v>
      </c>
      <c r="B338" s="5" t="s">
        <v>264</v>
      </c>
      <c r="C338" s="5">
        <v>2027</v>
      </c>
      <c r="D338" s="5" t="s">
        <v>30</v>
      </c>
      <c r="E338" s="9" t="s">
        <v>345</v>
      </c>
      <c r="F338" s="9" t="s">
        <v>340</v>
      </c>
      <c r="G338" s="9" t="s">
        <v>346</v>
      </c>
      <c r="H338" s="9" t="s">
        <v>347</v>
      </c>
      <c r="I338" s="9" t="s">
        <v>276</v>
      </c>
      <c r="J338" s="9" t="s">
        <v>36</v>
      </c>
      <c r="K338" s="9">
        <v>790</v>
      </c>
      <c r="L338" s="9"/>
      <c r="M338" s="9"/>
      <c r="N338" s="9"/>
      <c r="O338" s="9" t="s">
        <v>37</v>
      </c>
      <c r="P338" s="9" t="s">
        <v>38</v>
      </c>
      <c r="Q338" s="11"/>
      <c r="R338" s="10">
        <f t="shared" si="15"/>
        <v>0</v>
      </c>
      <c r="S338" s="10">
        <f>SUMIFS([1]Sheet1!$T:$T,[1]Sheet1!$I:$I,E338,[1]Sheet1!$C:$C,A338)</f>
        <v>0</v>
      </c>
      <c r="T338" s="10">
        <f t="shared" si="16"/>
        <v>0</v>
      </c>
      <c r="U338" s="9"/>
      <c r="X338" t="s">
        <v>191</v>
      </c>
      <c r="Y338" t="s">
        <v>179</v>
      </c>
      <c r="Z338" t="s">
        <v>41</v>
      </c>
      <c r="AB338" t="str">
        <f t="shared" si="17"/>
        <v>24083</v>
      </c>
    </row>
    <row r="339" ht="14.25" spans="1:28">
      <c r="A339" s="5" t="s">
        <v>28</v>
      </c>
      <c r="B339" s="5" t="s">
        <v>264</v>
      </c>
      <c r="C339" s="5">
        <v>2027</v>
      </c>
      <c r="D339" s="5" t="s">
        <v>30</v>
      </c>
      <c r="E339" s="9" t="s">
        <v>345</v>
      </c>
      <c r="F339" s="9" t="s">
        <v>340</v>
      </c>
      <c r="G339" s="9" t="s">
        <v>346</v>
      </c>
      <c r="H339" s="9" t="s">
        <v>347</v>
      </c>
      <c r="I339" s="9" t="s">
        <v>276</v>
      </c>
      <c r="J339" s="9" t="s">
        <v>36</v>
      </c>
      <c r="K339" s="9">
        <v>790</v>
      </c>
      <c r="L339" s="9"/>
      <c r="M339" s="9"/>
      <c r="N339" s="9"/>
      <c r="O339" s="9" t="s">
        <v>37</v>
      </c>
      <c r="P339" s="9" t="s">
        <v>42</v>
      </c>
      <c r="Q339" s="11"/>
      <c r="R339" s="10"/>
      <c r="S339" s="10"/>
      <c r="T339" s="10"/>
      <c r="U339" s="9"/>
      <c r="X339" t="s">
        <v>191</v>
      </c>
      <c r="Y339" t="s">
        <v>179</v>
      </c>
      <c r="Z339" t="s">
        <v>41</v>
      </c>
      <c r="AB339" t="str">
        <f t="shared" si="17"/>
        <v>24083</v>
      </c>
    </row>
    <row r="340" ht="14.25" spans="1:28">
      <c r="A340" s="5" t="s">
        <v>28</v>
      </c>
      <c r="B340" s="5" t="s">
        <v>264</v>
      </c>
      <c r="C340" s="5">
        <v>2027</v>
      </c>
      <c r="D340" s="5" t="s">
        <v>30</v>
      </c>
      <c r="E340" s="9" t="s">
        <v>345</v>
      </c>
      <c r="F340" s="9" t="s">
        <v>340</v>
      </c>
      <c r="G340" s="9" t="s">
        <v>346</v>
      </c>
      <c r="H340" s="9" t="s">
        <v>347</v>
      </c>
      <c r="I340" s="9" t="s">
        <v>276</v>
      </c>
      <c r="J340" s="9" t="s">
        <v>36</v>
      </c>
      <c r="K340" s="9">
        <v>790</v>
      </c>
      <c r="L340" s="9"/>
      <c r="M340" s="9"/>
      <c r="N340" s="9"/>
      <c r="O340" s="9" t="s">
        <v>37</v>
      </c>
      <c r="P340" s="9" t="s">
        <v>43</v>
      </c>
      <c r="Q340" s="11"/>
      <c r="R340" s="10"/>
      <c r="S340" s="10"/>
      <c r="T340" s="10"/>
      <c r="U340" s="9"/>
      <c r="X340" t="s">
        <v>191</v>
      </c>
      <c r="Y340" t="s">
        <v>179</v>
      </c>
      <c r="Z340" t="s">
        <v>41</v>
      </c>
      <c r="AB340" t="str">
        <f t="shared" si="17"/>
        <v>24083</v>
      </c>
    </row>
    <row r="341" ht="14.25" spans="1:28">
      <c r="A341" s="5" t="s">
        <v>28</v>
      </c>
      <c r="B341" s="5" t="s">
        <v>264</v>
      </c>
      <c r="C341" s="5">
        <v>2027</v>
      </c>
      <c r="D341" s="5" t="s">
        <v>30</v>
      </c>
      <c r="E341" s="9" t="s">
        <v>345</v>
      </c>
      <c r="F341" s="9" t="s">
        <v>340</v>
      </c>
      <c r="G341" s="9" t="s">
        <v>346</v>
      </c>
      <c r="H341" s="9" t="s">
        <v>347</v>
      </c>
      <c r="I341" s="9" t="s">
        <v>276</v>
      </c>
      <c r="J341" s="9" t="s">
        <v>36</v>
      </c>
      <c r="K341" s="9">
        <v>790</v>
      </c>
      <c r="L341" s="9"/>
      <c r="M341" s="9"/>
      <c r="N341" s="9"/>
      <c r="O341" s="9" t="s">
        <v>37</v>
      </c>
      <c r="P341" s="9" t="s">
        <v>44</v>
      </c>
      <c r="Q341" s="11"/>
      <c r="R341" s="10"/>
      <c r="S341" s="10"/>
      <c r="T341" s="10"/>
      <c r="U341" s="9"/>
      <c r="X341" t="s">
        <v>191</v>
      </c>
      <c r="Y341" t="s">
        <v>179</v>
      </c>
      <c r="Z341" t="s">
        <v>41</v>
      </c>
      <c r="AB341" t="str">
        <f t="shared" si="17"/>
        <v>24083</v>
      </c>
    </row>
    <row r="342" ht="14.25" spans="1:28">
      <c r="A342" s="5" t="s">
        <v>28</v>
      </c>
      <c r="B342" s="5" t="s">
        <v>264</v>
      </c>
      <c r="C342" s="5">
        <v>2027</v>
      </c>
      <c r="D342" s="5" t="s">
        <v>30</v>
      </c>
      <c r="E342" s="9" t="s">
        <v>345</v>
      </c>
      <c r="F342" s="9" t="s">
        <v>340</v>
      </c>
      <c r="G342" s="9" t="s">
        <v>346</v>
      </c>
      <c r="H342" s="9" t="s">
        <v>347</v>
      </c>
      <c r="I342" s="9" t="s">
        <v>276</v>
      </c>
      <c r="J342" s="9" t="s">
        <v>36</v>
      </c>
      <c r="K342" s="9">
        <v>790</v>
      </c>
      <c r="L342" s="9"/>
      <c r="M342" s="9"/>
      <c r="N342" s="9"/>
      <c r="O342" s="9" t="s">
        <v>37</v>
      </c>
      <c r="P342" s="9" t="s">
        <v>45</v>
      </c>
      <c r="Q342" s="11"/>
      <c r="R342" s="10"/>
      <c r="S342" s="10"/>
      <c r="T342" s="10"/>
      <c r="U342" s="9"/>
      <c r="X342" t="s">
        <v>191</v>
      </c>
      <c r="Y342" t="s">
        <v>179</v>
      </c>
      <c r="Z342" t="s">
        <v>41</v>
      </c>
      <c r="AB342" t="str">
        <f t="shared" si="17"/>
        <v>24083</v>
      </c>
    </row>
    <row r="343" ht="14.25" spans="1:28">
      <c r="A343" s="5" t="s">
        <v>28</v>
      </c>
      <c r="B343" s="5" t="s">
        <v>264</v>
      </c>
      <c r="C343" s="5">
        <v>2027</v>
      </c>
      <c r="D343" s="5" t="s">
        <v>30</v>
      </c>
      <c r="E343" s="9" t="s">
        <v>348</v>
      </c>
      <c r="F343" s="9" t="s">
        <v>349</v>
      </c>
      <c r="G343" s="9" t="s">
        <v>153</v>
      </c>
      <c r="H343" s="9" t="s">
        <v>350</v>
      </c>
      <c r="I343" s="9" t="s">
        <v>269</v>
      </c>
      <c r="J343" s="9" t="s">
        <v>36</v>
      </c>
      <c r="K343" s="9">
        <v>1190</v>
      </c>
      <c r="L343" s="9"/>
      <c r="M343" s="9"/>
      <c r="N343" s="9"/>
      <c r="O343" s="9" t="s">
        <v>37</v>
      </c>
      <c r="P343" s="9" t="s">
        <v>38</v>
      </c>
      <c r="Q343" s="11"/>
      <c r="R343" s="10">
        <f t="shared" si="15"/>
        <v>0</v>
      </c>
      <c r="S343" s="10">
        <f>SUMIFS([1]Sheet1!$T:$T,[1]Sheet1!$I:$I,E343,[1]Sheet1!$C:$C,A343)</f>
        <v>0</v>
      </c>
      <c r="T343" s="10">
        <f t="shared" si="16"/>
        <v>0</v>
      </c>
      <c r="U343" s="9"/>
      <c r="X343" t="s">
        <v>39</v>
      </c>
      <c r="Y343" t="s">
        <v>179</v>
      </c>
      <c r="Z343" t="s">
        <v>104</v>
      </c>
      <c r="AB343" t="str">
        <f t="shared" si="17"/>
        <v>24089</v>
      </c>
    </row>
    <row r="344" ht="14.25" spans="1:28">
      <c r="A344" s="5" t="s">
        <v>28</v>
      </c>
      <c r="B344" s="5" t="s">
        <v>264</v>
      </c>
      <c r="C344" s="5">
        <v>2027</v>
      </c>
      <c r="D344" s="5" t="s">
        <v>30</v>
      </c>
      <c r="E344" s="9" t="s">
        <v>348</v>
      </c>
      <c r="F344" s="9" t="s">
        <v>349</v>
      </c>
      <c r="G344" s="9" t="s">
        <v>153</v>
      </c>
      <c r="H344" s="9" t="s">
        <v>350</v>
      </c>
      <c r="I344" s="9" t="s">
        <v>269</v>
      </c>
      <c r="J344" s="9" t="s">
        <v>36</v>
      </c>
      <c r="K344" s="9">
        <v>1190</v>
      </c>
      <c r="L344" s="9"/>
      <c r="M344" s="9"/>
      <c r="N344" s="9"/>
      <c r="O344" s="9" t="s">
        <v>37</v>
      </c>
      <c r="P344" s="9" t="s">
        <v>42</v>
      </c>
      <c r="Q344" s="11"/>
      <c r="R344" s="10"/>
      <c r="S344" s="10"/>
      <c r="T344" s="10"/>
      <c r="U344" s="9"/>
      <c r="X344" t="s">
        <v>39</v>
      </c>
      <c r="Y344" t="s">
        <v>179</v>
      </c>
      <c r="Z344" t="s">
        <v>104</v>
      </c>
      <c r="AB344" t="str">
        <f t="shared" si="17"/>
        <v>24089</v>
      </c>
    </row>
    <row r="345" ht="14.25" spans="1:28">
      <c r="A345" s="5" t="s">
        <v>28</v>
      </c>
      <c r="B345" s="5" t="s">
        <v>264</v>
      </c>
      <c r="C345" s="5">
        <v>2027</v>
      </c>
      <c r="D345" s="5" t="s">
        <v>30</v>
      </c>
      <c r="E345" s="9" t="s">
        <v>348</v>
      </c>
      <c r="F345" s="9" t="s">
        <v>349</v>
      </c>
      <c r="G345" s="9" t="s">
        <v>153</v>
      </c>
      <c r="H345" s="9" t="s">
        <v>350</v>
      </c>
      <c r="I345" s="9" t="s">
        <v>269</v>
      </c>
      <c r="J345" s="9" t="s">
        <v>36</v>
      </c>
      <c r="K345" s="9">
        <v>1190</v>
      </c>
      <c r="L345" s="9"/>
      <c r="M345" s="9"/>
      <c r="N345" s="9"/>
      <c r="O345" s="9" t="s">
        <v>37</v>
      </c>
      <c r="P345" s="9" t="s">
        <v>43</v>
      </c>
      <c r="Q345" s="11"/>
      <c r="R345" s="10"/>
      <c r="S345" s="10"/>
      <c r="T345" s="10"/>
      <c r="U345" s="9"/>
      <c r="X345" t="s">
        <v>39</v>
      </c>
      <c r="Y345" t="s">
        <v>179</v>
      </c>
      <c r="Z345" t="s">
        <v>104</v>
      </c>
      <c r="AB345" t="str">
        <f t="shared" si="17"/>
        <v>24089</v>
      </c>
    </row>
    <row r="346" ht="14.25" spans="1:28">
      <c r="A346" s="5" t="s">
        <v>28</v>
      </c>
      <c r="B346" s="5" t="s">
        <v>264</v>
      </c>
      <c r="C346" s="5">
        <v>2027</v>
      </c>
      <c r="D346" s="5" t="s">
        <v>30</v>
      </c>
      <c r="E346" s="9" t="s">
        <v>348</v>
      </c>
      <c r="F346" s="9" t="s">
        <v>349</v>
      </c>
      <c r="G346" s="9" t="s">
        <v>153</v>
      </c>
      <c r="H346" s="9" t="s">
        <v>350</v>
      </c>
      <c r="I346" s="9" t="s">
        <v>269</v>
      </c>
      <c r="J346" s="9" t="s">
        <v>36</v>
      </c>
      <c r="K346" s="9">
        <v>1190</v>
      </c>
      <c r="L346" s="9"/>
      <c r="M346" s="9"/>
      <c r="N346" s="9"/>
      <c r="O346" s="9" t="s">
        <v>37</v>
      </c>
      <c r="P346" s="9" t="s">
        <v>44</v>
      </c>
      <c r="Q346" s="11"/>
      <c r="R346" s="10"/>
      <c r="S346" s="10"/>
      <c r="T346" s="10"/>
      <c r="U346" s="9"/>
      <c r="X346" t="s">
        <v>39</v>
      </c>
      <c r="Y346" t="s">
        <v>179</v>
      </c>
      <c r="Z346" t="s">
        <v>104</v>
      </c>
      <c r="AB346" t="str">
        <f t="shared" si="17"/>
        <v>24089</v>
      </c>
    </row>
    <row r="347" ht="14.25" spans="1:28">
      <c r="A347" s="5" t="s">
        <v>28</v>
      </c>
      <c r="B347" s="5" t="s">
        <v>264</v>
      </c>
      <c r="C347" s="5">
        <v>2027</v>
      </c>
      <c r="D347" s="5" t="s">
        <v>30</v>
      </c>
      <c r="E347" s="9" t="s">
        <v>348</v>
      </c>
      <c r="F347" s="9" t="s">
        <v>349</v>
      </c>
      <c r="G347" s="9" t="s">
        <v>153</v>
      </c>
      <c r="H347" s="9" t="s">
        <v>350</v>
      </c>
      <c r="I347" s="9" t="s">
        <v>269</v>
      </c>
      <c r="J347" s="9" t="s">
        <v>36</v>
      </c>
      <c r="K347" s="9">
        <v>1190</v>
      </c>
      <c r="L347" s="9"/>
      <c r="M347" s="9"/>
      <c r="N347" s="9"/>
      <c r="O347" s="9" t="s">
        <v>37</v>
      </c>
      <c r="P347" s="9" t="s">
        <v>45</v>
      </c>
      <c r="Q347" s="11"/>
      <c r="R347" s="10"/>
      <c r="S347" s="10"/>
      <c r="T347" s="10"/>
      <c r="U347" s="9"/>
      <c r="X347" t="s">
        <v>39</v>
      </c>
      <c r="Y347" t="s">
        <v>179</v>
      </c>
      <c r="Z347" t="s">
        <v>104</v>
      </c>
      <c r="AB347" t="str">
        <f t="shared" si="17"/>
        <v>24089</v>
      </c>
    </row>
    <row r="348" ht="14.25" spans="1:28">
      <c r="A348" s="5" t="s">
        <v>28</v>
      </c>
      <c r="B348" s="5" t="s">
        <v>264</v>
      </c>
      <c r="C348" s="5">
        <v>2027</v>
      </c>
      <c r="D348" s="5" t="s">
        <v>30</v>
      </c>
      <c r="E348" s="9" t="s">
        <v>351</v>
      </c>
      <c r="F348" s="9" t="s">
        <v>352</v>
      </c>
      <c r="G348" s="9" t="s">
        <v>117</v>
      </c>
      <c r="H348" s="9" t="s">
        <v>353</v>
      </c>
      <c r="I348" s="9" t="s">
        <v>276</v>
      </c>
      <c r="J348" s="9" t="s">
        <v>36</v>
      </c>
      <c r="K348" s="9">
        <v>490</v>
      </c>
      <c r="L348" s="9"/>
      <c r="M348" s="9"/>
      <c r="N348" s="9"/>
      <c r="O348" s="9" t="s">
        <v>37</v>
      </c>
      <c r="P348" s="9" t="s">
        <v>38</v>
      </c>
      <c r="Q348" s="11"/>
      <c r="R348" s="10">
        <f t="shared" si="15"/>
        <v>0</v>
      </c>
      <c r="S348" s="10">
        <f>SUMIFS([1]Sheet1!$T:$T,[1]Sheet1!$I:$I,E348,[1]Sheet1!$C:$C,A348)</f>
        <v>0</v>
      </c>
      <c r="T348" s="10">
        <f t="shared" si="16"/>
        <v>0</v>
      </c>
      <c r="U348" s="9"/>
      <c r="X348" t="s">
        <v>122</v>
      </c>
      <c r="Y348" t="s">
        <v>179</v>
      </c>
      <c r="Z348" t="s">
        <v>104</v>
      </c>
      <c r="AB348" t="str">
        <f t="shared" si="17"/>
        <v>24092</v>
      </c>
    </row>
    <row r="349" ht="14.25" spans="1:28">
      <c r="A349" s="5" t="s">
        <v>28</v>
      </c>
      <c r="B349" s="5" t="s">
        <v>264</v>
      </c>
      <c r="C349" s="5">
        <v>2027</v>
      </c>
      <c r="D349" s="5" t="s">
        <v>30</v>
      </c>
      <c r="E349" s="9" t="s">
        <v>351</v>
      </c>
      <c r="F349" s="9" t="s">
        <v>352</v>
      </c>
      <c r="G349" s="9" t="s">
        <v>117</v>
      </c>
      <c r="H349" s="9" t="s">
        <v>353</v>
      </c>
      <c r="I349" s="9" t="s">
        <v>276</v>
      </c>
      <c r="J349" s="9" t="s">
        <v>36</v>
      </c>
      <c r="K349" s="9">
        <v>490</v>
      </c>
      <c r="L349" s="9"/>
      <c r="M349" s="9"/>
      <c r="N349" s="9"/>
      <c r="O349" s="9" t="s">
        <v>37</v>
      </c>
      <c r="P349" s="9" t="s">
        <v>42</v>
      </c>
      <c r="Q349" s="11"/>
      <c r="R349" s="10"/>
      <c r="S349" s="10"/>
      <c r="T349" s="10"/>
      <c r="U349" s="9"/>
      <c r="X349" t="s">
        <v>122</v>
      </c>
      <c r="Y349" t="s">
        <v>179</v>
      </c>
      <c r="Z349" t="s">
        <v>104</v>
      </c>
      <c r="AB349" t="str">
        <f t="shared" si="17"/>
        <v>24092</v>
      </c>
    </row>
    <row r="350" ht="14.25" spans="1:28">
      <c r="A350" s="5" t="s">
        <v>28</v>
      </c>
      <c r="B350" s="5" t="s">
        <v>264</v>
      </c>
      <c r="C350" s="5">
        <v>2027</v>
      </c>
      <c r="D350" s="5" t="s">
        <v>30</v>
      </c>
      <c r="E350" s="9" t="s">
        <v>351</v>
      </c>
      <c r="F350" s="9" t="s">
        <v>352</v>
      </c>
      <c r="G350" s="9" t="s">
        <v>117</v>
      </c>
      <c r="H350" s="9" t="s">
        <v>353</v>
      </c>
      <c r="I350" s="9" t="s">
        <v>276</v>
      </c>
      <c r="J350" s="9" t="s">
        <v>36</v>
      </c>
      <c r="K350" s="9">
        <v>490</v>
      </c>
      <c r="L350" s="9"/>
      <c r="M350" s="9"/>
      <c r="N350" s="9"/>
      <c r="O350" s="9" t="s">
        <v>37</v>
      </c>
      <c r="P350" s="9" t="s">
        <v>43</v>
      </c>
      <c r="Q350" s="11"/>
      <c r="R350" s="10"/>
      <c r="S350" s="10"/>
      <c r="T350" s="10"/>
      <c r="U350" s="9"/>
      <c r="X350" t="s">
        <v>122</v>
      </c>
      <c r="Y350" t="s">
        <v>179</v>
      </c>
      <c r="Z350" t="s">
        <v>104</v>
      </c>
      <c r="AB350" t="str">
        <f t="shared" si="17"/>
        <v>24092</v>
      </c>
    </row>
    <row r="351" ht="14.25" spans="1:28">
      <c r="A351" s="5" t="s">
        <v>28</v>
      </c>
      <c r="B351" s="5" t="s">
        <v>264</v>
      </c>
      <c r="C351" s="5">
        <v>2027</v>
      </c>
      <c r="D351" s="5" t="s">
        <v>30</v>
      </c>
      <c r="E351" s="9" t="s">
        <v>351</v>
      </c>
      <c r="F351" s="9" t="s">
        <v>352</v>
      </c>
      <c r="G351" s="9" t="s">
        <v>117</v>
      </c>
      <c r="H351" s="9" t="s">
        <v>353</v>
      </c>
      <c r="I351" s="9" t="s">
        <v>276</v>
      </c>
      <c r="J351" s="9" t="s">
        <v>36</v>
      </c>
      <c r="K351" s="9">
        <v>490</v>
      </c>
      <c r="L351" s="9"/>
      <c r="M351" s="9"/>
      <c r="N351" s="9"/>
      <c r="O351" s="9" t="s">
        <v>37</v>
      </c>
      <c r="P351" s="9" t="s">
        <v>44</v>
      </c>
      <c r="Q351" s="11"/>
      <c r="R351" s="10"/>
      <c r="S351" s="10"/>
      <c r="T351" s="10"/>
      <c r="U351" s="9"/>
      <c r="X351" t="s">
        <v>122</v>
      </c>
      <c r="Y351" t="s">
        <v>179</v>
      </c>
      <c r="Z351" t="s">
        <v>104</v>
      </c>
      <c r="AB351" t="str">
        <f t="shared" si="17"/>
        <v>24092</v>
      </c>
    </row>
    <row r="352" ht="14.25" spans="1:28">
      <c r="A352" s="5" t="s">
        <v>28</v>
      </c>
      <c r="B352" s="5" t="s">
        <v>264</v>
      </c>
      <c r="C352" s="5">
        <v>2027</v>
      </c>
      <c r="D352" s="5" t="s">
        <v>30</v>
      </c>
      <c r="E352" s="9" t="s">
        <v>351</v>
      </c>
      <c r="F352" s="9" t="s">
        <v>352</v>
      </c>
      <c r="G352" s="9" t="s">
        <v>117</v>
      </c>
      <c r="H352" s="9" t="s">
        <v>353</v>
      </c>
      <c r="I352" s="9" t="s">
        <v>276</v>
      </c>
      <c r="J352" s="9" t="s">
        <v>36</v>
      </c>
      <c r="K352" s="9">
        <v>490</v>
      </c>
      <c r="L352" s="9"/>
      <c r="M352" s="9"/>
      <c r="N352" s="9"/>
      <c r="O352" s="9" t="s">
        <v>37</v>
      </c>
      <c r="P352" s="9" t="s">
        <v>45</v>
      </c>
      <c r="Q352" s="11"/>
      <c r="R352" s="10"/>
      <c r="S352" s="10"/>
      <c r="T352" s="10"/>
      <c r="U352" s="9"/>
      <c r="X352" t="s">
        <v>122</v>
      </c>
      <c r="Y352" t="s">
        <v>179</v>
      </c>
      <c r="Z352" t="s">
        <v>104</v>
      </c>
      <c r="AB352" t="str">
        <f t="shared" si="17"/>
        <v>24092</v>
      </c>
    </row>
    <row r="353" ht="14.25" spans="1:28">
      <c r="A353" s="5" t="s">
        <v>28</v>
      </c>
      <c r="B353" s="5" t="s">
        <v>264</v>
      </c>
      <c r="C353" s="5">
        <v>2027</v>
      </c>
      <c r="D353" s="5" t="s">
        <v>30</v>
      </c>
      <c r="E353" s="9" t="s">
        <v>354</v>
      </c>
      <c r="F353" s="9" t="s">
        <v>352</v>
      </c>
      <c r="G353" s="9" t="s">
        <v>355</v>
      </c>
      <c r="H353" s="9" t="s">
        <v>356</v>
      </c>
      <c r="I353" s="9" t="s">
        <v>276</v>
      </c>
      <c r="J353" s="9" t="s">
        <v>36</v>
      </c>
      <c r="K353" s="9">
        <v>490</v>
      </c>
      <c r="L353" s="9"/>
      <c r="M353" s="9"/>
      <c r="N353" s="9"/>
      <c r="O353" s="9" t="s">
        <v>37</v>
      </c>
      <c r="P353" s="9" t="s">
        <v>38</v>
      </c>
      <c r="Q353" s="11"/>
      <c r="R353" s="10">
        <f t="shared" si="15"/>
        <v>0</v>
      </c>
      <c r="S353" s="10">
        <f>SUMIFS([1]Sheet1!$T:$T,[1]Sheet1!$I:$I,E353,[1]Sheet1!$C:$C,A353)</f>
        <v>0</v>
      </c>
      <c r="T353" s="10">
        <f t="shared" si="16"/>
        <v>0</v>
      </c>
      <c r="U353" s="9"/>
      <c r="Y353" t="s">
        <v>179</v>
      </c>
      <c r="Z353" t="s">
        <v>104</v>
      </c>
      <c r="AB353" t="str">
        <f t="shared" si="17"/>
        <v>24092</v>
      </c>
    </row>
    <row r="354" ht="14.25" spans="1:28">
      <c r="A354" s="5" t="s">
        <v>28</v>
      </c>
      <c r="B354" s="5" t="s">
        <v>264</v>
      </c>
      <c r="C354" s="5">
        <v>2027</v>
      </c>
      <c r="D354" s="5" t="s">
        <v>30</v>
      </c>
      <c r="E354" s="9" t="s">
        <v>354</v>
      </c>
      <c r="F354" s="9" t="s">
        <v>352</v>
      </c>
      <c r="G354" s="9" t="s">
        <v>355</v>
      </c>
      <c r="H354" s="9" t="s">
        <v>356</v>
      </c>
      <c r="I354" s="9" t="s">
        <v>276</v>
      </c>
      <c r="J354" s="9" t="s">
        <v>36</v>
      </c>
      <c r="K354" s="9">
        <v>490</v>
      </c>
      <c r="L354" s="9"/>
      <c r="M354" s="9"/>
      <c r="N354" s="9"/>
      <c r="O354" s="9" t="s">
        <v>37</v>
      </c>
      <c r="P354" s="9" t="s">
        <v>42</v>
      </c>
      <c r="Q354" s="11"/>
      <c r="R354" s="10"/>
      <c r="S354" s="10"/>
      <c r="T354" s="10"/>
      <c r="U354" s="9"/>
      <c r="Y354" t="s">
        <v>179</v>
      </c>
      <c r="Z354" t="s">
        <v>104</v>
      </c>
      <c r="AB354" t="str">
        <f t="shared" si="17"/>
        <v>24092</v>
      </c>
    </row>
    <row r="355" ht="14.25" spans="1:28">
      <c r="A355" s="5" t="s">
        <v>28</v>
      </c>
      <c r="B355" s="5" t="s">
        <v>264</v>
      </c>
      <c r="C355" s="5">
        <v>2027</v>
      </c>
      <c r="D355" s="5" t="s">
        <v>30</v>
      </c>
      <c r="E355" s="9" t="s">
        <v>354</v>
      </c>
      <c r="F355" s="9" t="s">
        <v>352</v>
      </c>
      <c r="G355" s="9" t="s">
        <v>355</v>
      </c>
      <c r="H355" s="9" t="s">
        <v>356</v>
      </c>
      <c r="I355" s="9" t="s">
        <v>276</v>
      </c>
      <c r="J355" s="9" t="s">
        <v>36</v>
      </c>
      <c r="K355" s="9">
        <v>490</v>
      </c>
      <c r="L355" s="9"/>
      <c r="M355" s="9"/>
      <c r="N355" s="9"/>
      <c r="O355" s="9" t="s">
        <v>37</v>
      </c>
      <c r="P355" s="9" t="s">
        <v>43</v>
      </c>
      <c r="Q355" s="11"/>
      <c r="R355" s="10"/>
      <c r="S355" s="10"/>
      <c r="T355" s="10"/>
      <c r="U355" s="9"/>
      <c r="Y355" t="s">
        <v>179</v>
      </c>
      <c r="Z355" t="s">
        <v>104</v>
      </c>
      <c r="AB355" t="str">
        <f t="shared" si="17"/>
        <v>24092</v>
      </c>
    </row>
    <row r="356" ht="14.25" spans="1:28">
      <c r="A356" s="5" t="s">
        <v>28</v>
      </c>
      <c r="B356" s="5" t="s">
        <v>264</v>
      </c>
      <c r="C356" s="5">
        <v>2027</v>
      </c>
      <c r="D356" s="5" t="s">
        <v>30</v>
      </c>
      <c r="E356" s="9" t="s">
        <v>354</v>
      </c>
      <c r="F356" s="9" t="s">
        <v>352</v>
      </c>
      <c r="G356" s="9" t="s">
        <v>355</v>
      </c>
      <c r="H356" s="9" t="s">
        <v>356</v>
      </c>
      <c r="I356" s="9" t="s">
        <v>276</v>
      </c>
      <c r="J356" s="9" t="s">
        <v>36</v>
      </c>
      <c r="K356" s="9">
        <v>490</v>
      </c>
      <c r="L356" s="9"/>
      <c r="M356" s="9"/>
      <c r="N356" s="9"/>
      <c r="O356" s="9" t="s">
        <v>37</v>
      </c>
      <c r="P356" s="9" t="s">
        <v>44</v>
      </c>
      <c r="Q356" s="11"/>
      <c r="R356" s="10"/>
      <c r="S356" s="10"/>
      <c r="T356" s="10"/>
      <c r="U356" s="9"/>
      <c r="Y356" t="s">
        <v>179</v>
      </c>
      <c r="Z356" t="s">
        <v>104</v>
      </c>
      <c r="AB356" t="str">
        <f t="shared" si="17"/>
        <v>24092</v>
      </c>
    </row>
    <row r="357" ht="14.25" spans="1:28">
      <c r="A357" s="5" t="s">
        <v>28</v>
      </c>
      <c r="B357" s="5" t="s">
        <v>264</v>
      </c>
      <c r="C357" s="5">
        <v>2027</v>
      </c>
      <c r="D357" s="5" t="s">
        <v>30</v>
      </c>
      <c r="E357" s="9" t="s">
        <v>354</v>
      </c>
      <c r="F357" s="9" t="s">
        <v>352</v>
      </c>
      <c r="G357" s="9" t="s">
        <v>355</v>
      </c>
      <c r="H357" s="9" t="s">
        <v>356</v>
      </c>
      <c r="I357" s="9" t="s">
        <v>276</v>
      </c>
      <c r="J357" s="9" t="s">
        <v>36</v>
      </c>
      <c r="K357" s="9">
        <v>490</v>
      </c>
      <c r="L357" s="9"/>
      <c r="M357" s="9"/>
      <c r="N357" s="9"/>
      <c r="O357" s="9" t="s">
        <v>37</v>
      </c>
      <c r="P357" s="9" t="s">
        <v>45</v>
      </c>
      <c r="Q357" s="11"/>
      <c r="R357" s="10"/>
      <c r="S357" s="10"/>
      <c r="T357" s="10"/>
      <c r="U357" s="9"/>
      <c r="Y357" t="s">
        <v>179</v>
      </c>
      <c r="Z357" t="s">
        <v>104</v>
      </c>
      <c r="AB357" t="str">
        <f t="shared" si="17"/>
        <v>24092</v>
      </c>
    </row>
    <row r="358" ht="14.25" spans="1:28">
      <c r="A358" s="5" t="s">
        <v>28</v>
      </c>
      <c r="B358" s="5" t="s">
        <v>264</v>
      </c>
      <c r="C358" s="5">
        <v>2027</v>
      </c>
      <c r="D358" s="5" t="s">
        <v>30</v>
      </c>
      <c r="E358" s="9" t="s">
        <v>357</v>
      </c>
      <c r="F358" s="9" t="s">
        <v>352</v>
      </c>
      <c r="G358" s="9" t="s">
        <v>346</v>
      </c>
      <c r="H358" s="9" t="s">
        <v>358</v>
      </c>
      <c r="I358" s="9" t="s">
        <v>276</v>
      </c>
      <c r="J358" s="9" t="s">
        <v>36</v>
      </c>
      <c r="K358" s="9">
        <v>490</v>
      </c>
      <c r="L358" s="9"/>
      <c r="M358" s="9"/>
      <c r="N358" s="9"/>
      <c r="O358" s="9" t="s">
        <v>37</v>
      </c>
      <c r="P358" s="9" t="s">
        <v>38</v>
      </c>
      <c r="Q358" s="9"/>
      <c r="R358" s="10">
        <f t="shared" si="15"/>
        <v>0</v>
      </c>
      <c r="S358" s="10">
        <f>SUMIFS([1]Sheet1!$T:$T,[1]Sheet1!$I:$I,E358,[1]Sheet1!$C:$C,A358)</f>
        <v>0</v>
      </c>
      <c r="T358" s="10">
        <f t="shared" si="16"/>
        <v>0</v>
      </c>
      <c r="U358" s="9"/>
      <c r="X358" t="s">
        <v>191</v>
      </c>
      <c r="Y358" t="s">
        <v>179</v>
      </c>
      <c r="Z358" t="s">
        <v>104</v>
      </c>
      <c r="AB358" t="str">
        <f t="shared" si="17"/>
        <v>24092</v>
      </c>
    </row>
    <row r="359" ht="14.25" spans="1:28">
      <c r="A359" s="5" t="s">
        <v>28</v>
      </c>
      <c r="B359" s="5" t="s">
        <v>264</v>
      </c>
      <c r="C359" s="5">
        <v>2027</v>
      </c>
      <c r="D359" s="5" t="s">
        <v>30</v>
      </c>
      <c r="E359" s="9" t="s">
        <v>357</v>
      </c>
      <c r="F359" s="9" t="s">
        <v>352</v>
      </c>
      <c r="G359" s="9" t="s">
        <v>346</v>
      </c>
      <c r="H359" s="9" t="s">
        <v>358</v>
      </c>
      <c r="I359" s="9" t="s">
        <v>276</v>
      </c>
      <c r="J359" s="9" t="s">
        <v>36</v>
      </c>
      <c r="K359" s="9">
        <v>490</v>
      </c>
      <c r="L359" s="9"/>
      <c r="M359" s="9"/>
      <c r="N359" s="9"/>
      <c r="O359" s="9" t="s">
        <v>37</v>
      </c>
      <c r="P359" s="9" t="s">
        <v>42</v>
      </c>
      <c r="Q359" s="9"/>
      <c r="R359" s="10"/>
      <c r="S359" s="10"/>
      <c r="T359" s="10"/>
      <c r="U359" s="9"/>
      <c r="X359" t="s">
        <v>191</v>
      </c>
      <c r="Y359" t="s">
        <v>179</v>
      </c>
      <c r="Z359" t="s">
        <v>104</v>
      </c>
      <c r="AB359" t="str">
        <f t="shared" si="17"/>
        <v>24092</v>
      </c>
    </row>
    <row r="360" ht="14.25" spans="1:28">
      <c r="A360" s="5" t="s">
        <v>28</v>
      </c>
      <c r="B360" s="5" t="s">
        <v>264</v>
      </c>
      <c r="C360" s="5">
        <v>2027</v>
      </c>
      <c r="D360" s="5" t="s">
        <v>30</v>
      </c>
      <c r="E360" s="9" t="s">
        <v>357</v>
      </c>
      <c r="F360" s="9" t="s">
        <v>352</v>
      </c>
      <c r="G360" s="9" t="s">
        <v>346</v>
      </c>
      <c r="H360" s="9" t="s">
        <v>358</v>
      </c>
      <c r="I360" s="9" t="s">
        <v>276</v>
      </c>
      <c r="J360" s="9" t="s">
        <v>36</v>
      </c>
      <c r="K360" s="9">
        <v>490</v>
      </c>
      <c r="L360" s="9"/>
      <c r="M360" s="9"/>
      <c r="N360" s="9"/>
      <c r="O360" s="9" t="s">
        <v>37</v>
      </c>
      <c r="P360" s="9" t="s">
        <v>43</v>
      </c>
      <c r="Q360" s="9"/>
      <c r="R360" s="10"/>
      <c r="S360" s="10"/>
      <c r="T360" s="10"/>
      <c r="U360" s="9"/>
      <c r="X360" t="s">
        <v>191</v>
      </c>
      <c r="Y360" t="s">
        <v>179</v>
      </c>
      <c r="Z360" t="s">
        <v>104</v>
      </c>
      <c r="AB360" t="str">
        <f t="shared" si="17"/>
        <v>24092</v>
      </c>
    </row>
    <row r="361" ht="14.25" spans="1:28">
      <c r="A361" s="5" t="s">
        <v>28</v>
      </c>
      <c r="B361" s="5" t="s">
        <v>264</v>
      </c>
      <c r="C361" s="5">
        <v>2027</v>
      </c>
      <c r="D361" s="5" t="s">
        <v>30</v>
      </c>
      <c r="E361" s="9" t="s">
        <v>357</v>
      </c>
      <c r="F361" s="9" t="s">
        <v>352</v>
      </c>
      <c r="G361" s="9" t="s">
        <v>346</v>
      </c>
      <c r="H361" s="9" t="s">
        <v>358</v>
      </c>
      <c r="I361" s="9" t="s">
        <v>276</v>
      </c>
      <c r="J361" s="9" t="s">
        <v>36</v>
      </c>
      <c r="K361" s="9">
        <v>490</v>
      </c>
      <c r="L361" s="9"/>
      <c r="M361" s="9"/>
      <c r="N361" s="9"/>
      <c r="O361" s="9" t="s">
        <v>37</v>
      </c>
      <c r="P361" s="9" t="s">
        <v>44</v>
      </c>
      <c r="Q361" s="9"/>
      <c r="R361" s="10"/>
      <c r="S361" s="10"/>
      <c r="T361" s="10"/>
      <c r="U361" s="9"/>
      <c r="X361" t="s">
        <v>191</v>
      </c>
      <c r="Y361" t="s">
        <v>179</v>
      </c>
      <c r="Z361" t="s">
        <v>104</v>
      </c>
      <c r="AB361" t="str">
        <f t="shared" si="17"/>
        <v>24092</v>
      </c>
    </row>
    <row r="362" ht="14.25" spans="1:28">
      <c r="A362" s="5" t="s">
        <v>28</v>
      </c>
      <c r="B362" s="5" t="s">
        <v>264</v>
      </c>
      <c r="C362" s="5">
        <v>2027</v>
      </c>
      <c r="D362" s="5" t="s">
        <v>30</v>
      </c>
      <c r="E362" s="9" t="s">
        <v>357</v>
      </c>
      <c r="F362" s="9" t="s">
        <v>352</v>
      </c>
      <c r="G362" s="9" t="s">
        <v>346</v>
      </c>
      <c r="H362" s="9" t="s">
        <v>358</v>
      </c>
      <c r="I362" s="9" t="s">
        <v>276</v>
      </c>
      <c r="J362" s="9" t="s">
        <v>36</v>
      </c>
      <c r="K362" s="9">
        <v>490</v>
      </c>
      <c r="L362" s="9"/>
      <c r="M362" s="9"/>
      <c r="N362" s="9"/>
      <c r="O362" s="9" t="s">
        <v>37</v>
      </c>
      <c r="P362" s="9" t="s">
        <v>45</v>
      </c>
      <c r="Q362" s="9"/>
      <c r="R362" s="10"/>
      <c r="S362" s="10"/>
      <c r="T362" s="10"/>
      <c r="U362" s="9"/>
      <c r="X362" t="s">
        <v>191</v>
      </c>
      <c r="Y362" t="s">
        <v>179</v>
      </c>
      <c r="Z362" t="s">
        <v>104</v>
      </c>
      <c r="AB362" t="str">
        <f t="shared" si="17"/>
        <v>24092</v>
      </c>
    </row>
    <row r="363" ht="14.25" spans="1:28">
      <c r="A363" s="5" t="s">
        <v>28</v>
      </c>
      <c r="B363" s="5" t="s">
        <v>264</v>
      </c>
      <c r="C363" s="5">
        <v>2027</v>
      </c>
      <c r="D363" s="5" t="s">
        <v>30</v>
      </c>
      <c r="E363" s="9" t="s">
        <v>359</v>
      </c>
      <c r="F363" s="9" t="s">
        <v>360</v>
      </c>
      <c r="G363" s="9" t="s">
        <v>117</v>
      </c>
      <c r="H363" s="9" t="s">
        <v>361</v>
      </c>
      <c r="I363" s="9" t="s">
        <v>276</v>
      </c>
      <c r="J363" s="9" t="s">
        <v>36</v>
      </c>
      <c r="K363" s="9">
        <v>390</v>
      </c>
      <c r="L363" s="9"/>
      <c r="M363" s="9"/>
      <c r="N363" s="9"/>
      <c r="O363" s="9" t="s">
        <v>37</v>
      </c>
      <c r="P363" s="9" t="s">
        <v>38</v>
      </c>
      <c r="Q363" s="9"/>
      <c r="R363" s="10">
        <f t="shared" si="15"/>
        <v>0</v>
      </c>
      <c r="S363" s="10">
        <f>SUMIFS([1]Sheet1!$T:$T,[1]Sheet1!$I:$I,E363,[1]Sheet1!$C:$C,A363)</f>
        <v>0</v>
      </c>
      <c r="T363" s="10">
        <f t="shared" si="16"/>
        <v>0</v>
      </c>
      <c r="U363" s="9"/>
      <c r="X363" t="s">
        <v>122</v>
      </c>
      <c r="Y363" t="s">
        <v>179</v>
      </c>
      <c r="Z363" t="s">
        <v>41</v>
      </c>
      <c r="AB363" t="str">
        <f t="shared" si="17"/>
        <v>24093</v>
      </c>
    </row>
    <row r="364" ht="14.25" spans="1:28">
      <c r="A364" s="5" t="s">
        <v>28</v>
      </c>
      <c r="B364" s="5" t="s">
        <v>264</v>
      </c>
      <c r="C364" s="5">
        <v>2027</v>
      </c>
      <c r="D364" s="5" t="s">
        <v>30</v>
      </c>
      <c r="E364" s="9" t="s">
        <v>359</v>
      </c>
      <c r="F364" s="9" t="s">
        <v>360</v>
      </c>
      <c r="G364" s="9" t="s">
        <v>117</v>
      </c>
      <c r="H364" s="9" t="s">
        <v>361</v>
      </c>
      <c r="I364" s="9" t="s">
        <v>276</v>
      </c>
      <c r="J364" s="9" t="s">
        <v>36</v>
      </c>
      <c r="K364" s="9">
        <v>390</v>
      </c>
      <c r="L364" s="9"/>
      <c r="M364" s="9"/>
      <c r="N364" s="9"/>
      <c r="O364" s="9" t="s">
        <v>37</v>
      </c>
      <c r="P364" s="9" t="s">
        <v>42</v>
      </c>
      <c r="Q364" s="9"/>
      <c r="R364" s="10"/>
      <c r="S364" s="10"/>
      <c r="T364" s="10"/>
      <c r="U364" s="9"/>
      <c r="X364" t="s">
        <v>122</v>
      </c>
      <c r="Y364" t="s">
        <v>179</v>
      </c>
      <c r="Z364" t="s">
        <v>41</v>
      </c>
      <c r="AB364" t="str">
        <f t="shared" si="17"/>
        <v>24093</v>
      </c>
    </row>
    <row r="365" ht="14.25" spans="1:28">
      <c r="A365" s="5" t="s">
        <v>28</v>
      </c>
      <c r="B365" s="5" t="s">
        <v>264</v>
      </c>
      <c r="C365" s="5">
        <v>2027</v>
      </c>
      <c r="D365" s="5" t="s">
        <v>30</v>
      </c>
      <c r="E365" s="9" t="s">
        <v>359</v>
      </c>
      <c r="F365" s="9" t="s">
        <v>360</v>
      </c>
      <c r="G365" s="9" t="s">
        <v>117</v>
      </c>
      <c r="H365" s="9" t="s">
        <v>361</v>
      </c>
      <c r="I365" s="9" t="s">
        <v>276</v>
      </c>
      <c r="J365" s="9" t="s">
        <v>36</v>
      </c>
      <c r="K365" s="9">
        <v>390</v>
      </c>
      <c r="L365" s="9"/>
      <c r="M365" s="9"/>
      <c r="N365" s="9"/>
      <c r="O365" s="9" t="s">
        <v>37</v>
      </c>
      <c r="P365" s="9" t="s">
        <v>43</v>
      </c>
      <c r="Q365" s="9"/>
      <c r="R365" s="10"/>
      <c r="S365" s="10"/>
      <c r="T365" s="10"/>
      <c r="U365" s="9"/>
      <c r="X365" t="s">
        <v>122</v>
      </c>
      <c r="Y365" t="s">
        <v>179</v>
      </c>
      <c r="Z365" t="s">
        <v>41</v>
      </c>
      <c r="AB365" t="str">
        <f t="shared" si="17"/>
        <v>24093</v>
      </c>
    </row>
    <row r="366" ht="14.25" spans="1:28">
      <c r="A366" s="5" t="s">
        <v>28</v>
      </c>
      <c r="B366" s="5" t="s">
        <v>264</v>
      </c>
      <c r="C366" s="5">
        <v>2027</v>
      </c>
      <c r="D366" s="5" t="s">
        <v>30</v>
      </c>
      <c r="E366" s="9" t="s">
        <v>359</v>
      </c>
      <c r="F366" s="9" t="s">
        <v>360</v>
      </c>
      <c r="G366" s="9" t="s">
        <v>117</v>
      </c>
      <c r="H366" s="9" t="s">
        <v>361</v>
      </c>
      <c r="I366" s="9" t="s">
        <v>276</v>
      </c>
      <c r="J366" s="9" t="s">
        <v>36</v>
      </c>
      <c r="K366" s="9">
        <v>390</v>
      </c>
      <c r="L366" s="9"/>
      <c r="M366" s="9"/>
      <c r="N366" s="9"/>
      <c r="O366" s="9" t="s">
        <v>37</v>
      </c>
      <c r="P366" s="9" t="s">
        <v>44</v>
      </c>
      <c r="Q366" s="9"/>
      <c r="R366" s="10"/>
      <c r="S366" s="10"/>
      <c r="T366" s="10"/>
      <c r="U366" s="9"/>
      <c r="X366" t="s">
        <v>122</v>
      </c>
      <c r="Y366" t="s">
        <v>179</v>
      </c>
      <c r="Z366" t="s">
        <v>41</v>
      </c>
      <c r="AB366" t="str">
        <f t="shared" si="17"/>
        <v>24093</v>
      </c>
    </row>
    <row r="367" ht="14.25" spans="1:28">
      <c r="A367" s="5" t="s">
        <v>28</v>
      </c>
      <c r="B367" s="5" t="s">
        <v>264</v>
      </c>
      <c r="C367" s="5">
        <v>2027</v>
      </c>
      <c r="D367" s="5" t="s">
        <v>30</v>
      </c>
      <c r="E367" s="9" t="s">
        <v>359</v>
      </c>
      <c r="F367" s="9" t="s">
        <v>360</v>
      </c>
      <c r="G367" s="9" t="s">
        <v>117</v>
      </c>
      <c r="H367" s="9" t="s">
        <v>361</v>
      </c>
      <c r="I367" s="9" t="s">
        <v>276</v>
      </c>
      <c r="J367" s="9" t="s">
        <v>36</v>
      </c>
      <c r="K367" s="9">
        <v>390</v>
      </c>
      <c r="L367" s="9"/>
      <c r="M367" s="9"/>
      <c r="N367" s="9"/>
      <c r="O367" s="9" t="s">
        <v>37</v>
      </c>
      <c r="P367" s="9" t="s">
        <v>45</v>
      </c>
      <c r="Q367" s="9"/>
      <c r="R367" s="10"/>
      <c r="S367" s="10"/>
      <c r="T367" s="10"/>
      <c r="U367" s="9"/>
      <c r="X367" t="s">
        <v>122</v>
      </c>
      <c r="Y367" t="s">
        <v>179</v>
      </c>
      <c r="Z367" t="s">
        <v>41</v>
      </c>
      <c r="AB367" t="str">
        <f t="shared" si="17"/>
        <v>24093</v>
      </c>
    </row>
    <row r="368" ht="14.25" spans="1:28">
      <c r="A368" s="5" t="s">
        <v>28</v>
      </c>
      <c r="B368" s="5" t="s">
        <v>264</v>
      </c>
      <c r="C368" s="5">
        <v>2027</v>
      </c>
      <c r="D368" s="5" t="s">
        <v>30</v>
      </c>
      <c r="E368" s="9" t="s">
        <v>362</v>
      </c>
      <c r="F368" s="9" t="s">
        <v>360</v>
      </c>
      <c r="G368" s="9" t="s">
        <v>363</v>
      </c>
      <c r="H368" s="9" t="s">
        <v>364</v>
      </c>
      <c r="I368" s="9" t="s">
        <v>276</v>
      </c>
      <c r="J368" s="9" t="s">
        <v>36</v>
      </c>
      <c r="K368" s="9">
        <v>390</v>
      </c>
      <c r="L368" s="9"/>
      <c r="M368" s="9"/>
      <c r="N368" s="9"/>
      <c r="O368" s="9" t="s">
        <v>37</v>
      </c>
      <c r="P368" s="9" t="s">
        <v>38</v>
      </c>
      <c r="Q368" s="9"/>
      <c r="R368" s="10">
        <f t="shared" si="15"/>
        <v>0</v>
      </c>
      <c r="S368" s="10">
        <f>SUMIFS([1]Sheet1!$T:$T,[1]Sheet1!$I:$I,E368,[1]Sheet1!$C:$C,A368)</f>
        <v>0</v>
      </c>
      <c r="T368" s="10">
        <f t="shared" si="16"/>
        <v>0</v>
      </c>
      <c r="U368" s="9"/>
      <c r="X368" t="s">
        <v>54</v>
      </c>
      <c r="Y368" t="s">
        <v>179</v>
      </c>
      <c r="Z368" t="s">
        <v>41</v>
      </c>
      <c r="AB368" t="str">
        <f t="shared" si="17"/>
        <v>24093</v>
      </c>
    </row>
    <row r="369" ht="14.25" spans="1:28">
      <c r="A369" s="5" t="s">
        <v>28</v>
      </c>
      <c r="B369" s="5" t="s">
        <v>264</v>
      </c>
      <c r="C369" s="5">
        <v>2027</v>
      </c>
      <c r="D369" s="5" t="s">
        <v>30</v>
      </c>
      <c r="E369" s="9" t="s">
        <v>362</v>
      </c>
      <c r="F369" s="9" t="s">
        <v>360</v>
      </c>
      <c r="G369" s="9" t="s">
        <v>363</v>
      </c>
      <c r="H369" s="9" t="s">
        <v>364</v>
      </c>
      <c r="I369" s="9" t="s">
        <v>276</v>
      </c>
      <c r="J369" s="9" t="s">
        <v>36</v>
      </c>
      <c r="K369" s="9">
        <v>390</v>
      </c>
      <c r="L369" s="9"/>
      <c r="M369" s="9"/>
      <c r="N369" s="9"/>
      <c r="O369" s="9" t="s">
        <v>37</v>
      </c>
      <c r="P369" s="9" t="s">
        <v>42</v>
      </c>
      <c r="Q369" s="9"/>
      <c r="R369" s="10"/>
      <c r="S369" s="10"/>
      <c r="T369" s="10"/>
      <c r="U369" s="9"/>
      <c r="X369" t="s">
        <v>54</v>
      </c>
      <c r="Y369" t="s">
        <v>179</v>
      </c>
      <c r="Z369" t="s">
        <v>41</v>
      </c>
      <c r="AB369" t="str">
        <f t="shared" si="17"/>
        <v>24093</v>
      </c>
    </row>
    <row r="370" ht="14.25" spans="1:28">
      <c r="A370" s="5" t="s">
        <v>28</v>
      </c>
      <c r="B370" s="5" t="s">
        <v>264</v>
      </c>
      <c r="C370" s="5">
        <v>2027</v>
      </c>
      <c r="D370" s="5" t="s">
        <v>30</v>
      </c>
      <c r="E370" s="9" t="s">
        <v>362</v>
      </c>
      <c r="F370" s="9" t="s">
        <v>360</v>
      </c>
      <c r="G370" s="9" t="s">
        <v>363</v>
      </c>
      <c r="H370" s="9" t="s">
        <v>364</v>
      </c>
      <c r="I370" s="9" t="s">
        <v>276</v>
      </c>
      <c r="J370" s="9" t="s">
        <v>36</v>
      </c>
      <c r="K370" s="9">
        <v>390</v>
      </c>
      <c r="L370" s="9"/>
      <c r="M370" s="9"/>
      <c r="N370" s="9"/>
      <c r="O370" s="9" t="s">
        <v>37</v>
      </c>
      <c r="P370" s="9" t="s">
        <v>43</v>
      </c>
      <c r="Q370" s="9"/>
      <c r="R370" s="10"/>
      <c r="S370" s="10"/>
      <c r="T370" s="10"/>
      <c r="U370" s="9"/>
      <c r="X370" t="s">
        <v>54</v>
      </c>
      <c r="Y370" t="s">
        <v>179</v>
      </c>
      <c r="Z370" t="s">
        <v>41</v>
      </c>
      <c r="AB370" t="str">
        <f t="shared" si="17"/>
        <v>24093</v>
      </c>
    </row>
    <row r="371" ht="14.25" spans="1:28">
      <c r="A371" s="5" t="s">
        <v>28</v>
      </c>
      <c r="B371" s="5" t="s">
        <v>264</v>
      </c>
      <c r="C371" s="5">
        <v>2027</v>
      </c>
      <c r="D371" s="5" t="s">
        <v>30</v>
      </c>
      <c r="E371" s="9" t="s">
        <v>362</v>
      </c>
      <c r="F371" s="9" t="s">
        <v>360</v>
      </c>
      <c r="G371" s="9" t="s">
        <v>363</v>
      </c>
      <c r="H371" s="9" t="s">
        <v>364</v>
      </c>
      <c r="I371" s="9" t="s">
        <v>276</v>
      </c>
      <c r="J371" s="9" t="s">
        <v>36</v>
      </c>
      <c r="K371" s="9">
        <v>390</v>
      </c>
      <c r="L371" s="9"/>
      <c r="M371" s="9"/>
      <c r="N371" s="9"/>
      <c r="O371" s="9" t="s">
        <v>37</v>
      </c>
      <c r="P371" s="9" t="s">
        <v>44</v>
      </c>
      <c r="Q371" s="9"/>
      <c r="R371" s="10"/>
      <c r="S371" s="10"/>
      <c r="T371" s="10"/>
      <c r="U371" s="9"/>
      <c r="X371" t="s">
        <v>54</v>
      </c>
      <c r="Y371" t="s">
        <v>179</v>
      </c>
      <c r="Z371" t="s">
        <v>41</v>
      </c>
      <c r="AB371" t="str">
        <f t="shared" si="17"/>
        <v>24093</v>
      </c>
    </row>
    <row r="372" ht="14.25" spans="1:28">
      <c r="A372" s="5" t="s">
        <v>28</v>
      </c>
      <c r="B372" s="5" t="s">
        <v>264</v>
      </c>
      <c r="C372" s="5">
        <v>2027</v>
      </c>
      <c r="D372" s="5" t="s">
        <v>30</v>
      </c>
      <c r="E372" s="9" t="s">
        <v>362</v>
      </c>
      <c r="F372" s="9" t="s">
        <v>360</v>
      </c>
      <c r="G372" s="9" t="s">
        <v>363</v>
      </c>
      <c r="H372" s="9" t="s">
        <v>364</v>
      </c>
      <c r="I372" s="9" t="s">
        <v>276</v>
      </c>
      <c r="J372" s="9" t="s">
        <v>36</v>
      </c>
      <c r="K372" s="9">
        <v>390</v>
      </c>
      <c r="L372" s="9"/>
      <c r="M372" s="9"/>
      <c r="N372" s="9"/>
      <c r="O372" s="9" t="s">
        <v>37</v>
      </c>
      <c r="P372" s="9" t="s">
        <v>45</v>
      </c>
      <c r="Q372" s="9"/>
      <c r="R372" s="10"/>
      <c r="S372" s="10"/>
      <c r="T372" s="10"/>
      <c r="U372" s="9"/>
      <c r="X372" t="s">
        <v>54</v>
      </c>
      <c r="Y372" t="s">
        <v>179</v>
      </c>
      <c r="Z372" t="s">
        <v>41</v>
      </c>
      <c r="AB372" t="str">
        <f t="shared" si="17"/>
        <v>24093</v>
      </c>
    </row>
    <row r="373" ht="14.25" spans="1:28">
      <c r="A373" s="5" t="s">
        <v>28</v>
      </c>
      <c r="B373" s="5" t="s">
        <v>264</v>
      </c>
      <c r="C373" s="5">
        <v>2027</v>
      </c>
      <c r="D373" s="5" t="s">
        <v>30</v>
      </c>
      <c r="E373" s="9" t="s">
        <v>365</v>
      </c>
      <c r="F373" s="9" t="s">
        <v>366</v>
      </c>
      <c r="G373" s="9" t="s">
        <v>182</v>
      </c>
      <c r="H373" s="9" t="s">
        <v>367</v>
      </c>
      <c r="I373" s="9" t="s">
        <v>269</v>
      </c>
      <c r="J373" s="9" t="s">
        <v>36</v>
      </c>
      <c r="K373" s="9">
        <v>490</v>
      </c>
      <c r="L373" s="9"/>
      <c r="M373" s="9"/>
      <c r="N373" s="9"/>
      <c r="O373" s="9" t="s">
        <v>37</v>
      </c>
      <c r="P373" s="9" t="s">
        <v>38</v>
      </c>
      <c r="Q373" s="9"/>
      <c r="R373" s="10">
        <f t="shared" si="15"/>
        <v>0</v>
      </c>
      <c r="S373" s="10">
        <f>SUMIFS([1]Sheet1!$T:$T,[1]Sheet1!$I:$I,E373,[1]Sheet1!$C:$C,A373)</f>
        <v>0</v>
      </c>
      <c r="T373" s="10">
        <f t="shared" si="16"/>
        <v>0</v>
      </c>
      <c r="U373" s="9" t="s">
        <v>148</v>
      </c>
      <c r="V373" t="s">
        <v>184</v>
      </c>
      <c r="W373" t="s">
        <v>138</v>
      </c>
      <c r="X373" t="s">
        <v>102</v>
      </c>
      <c r="Y373" t="s">
        <v>179</v>
      </c>
      <c r="Z373" t="s">
        <v>41</v>
      </c>
      <c r="AB373" t="str">
        <f t="shared" si="17"/>
        <v>24101</v>
      </c>
    </row>
    <row r="374" ht="14.25" spans="1:28">
      <c r="A374" s="5" t="s">
        <v>28</v>
      </c>
      <c r="B374" s="5" t="s">
        <v>264</v>
      </c>
      <c r="C374" s="5">
        <v>2027</v>
      </c>
      <c r="D374" s="5" t="s">
        <v>30</v>
      </c>
      <c r="E374" s="9" t="s">
        <v>365</v>
      </c>
      <c r="F374" s="9" t="s">
        <v>366</v>
      </c>
      <c r="G374" s="9" t="s">
        <v>182</v>
      </c>
      <c r="H374" s="9" t="s">
        <v>367</v>
      </c>
      <c r="I374" s="9" t="s">
        <v>269</v>
      </c>
      <c r="J374" s="9" t="s">
        <v>36</v>
      </c>
      <c r="K374" s="9">
        <v>490</v>
      </c>
      <c r="L374" s="9"/>
      <c r="M374" s="9"/>
      <c r="N374" s="9"/>
      <c r="O374" s="9" t="s">
        <v>37</v>
      </c>
      <c r="P374" s="9" t="s">
        <v>42</v>
      </c>
      <c r="Q374" s="9"/>
      <c r="R374" s="10"/>
      <c r="S374" s="10"/>
      <c r="T374" s="10"/>
      <c r="U374" s="9" t="s">
        <v>148</v>
      </c>
      <c r="V374" t="s">
        <v>184</v>
      </c>
      <c r="W374" t="s">
        <v>138</v>
      </c>
      <c r="X374" t="s">
        <v>102</v>
      </c>
      <c r="Y374" t="s">
        <v>179</v>
      </c>
      <c r="Z374" t="s">
        <v>41</v>
      </c>
      <c r="AB374" t="str">
        <f t="shared" si="17"/>
        <v>24101</v>
      </c>
    </row>
    <row r="375" ht="14.25" spans="1:28">
      <c r="A375" s="5" t="s">
        <v>28</v>
      </c>
      <c r="B375" s="5" t="s">
        <v>264</v>
      </c>
      <c r="C375" s="5">
        <v>2027</v>
      </c>
      <c r="D375" s="5" t="s">
        <v>30</v>
      </c>
      <c r="E375" s="9" t="s">
        <v>365</v>
      </c>
      <c r="F375" s="9" t="s">
        <v>366</v>
      </c>
      <c r="G375" s="9" t="s">
        <v>182</v>
      </c>
      <c r="H375" s="9" t="s">
        <v>367</v>
      </c>
      <c r="I375" s="9" t="s">
        <v>269</v>
      </c>
      <c r="J375" s="9" t="s">
        <v>36</v>
      </c>
      <c r="K375" s="9">
        <v>490</v>
      </c>
      <c r="L375" s="9"/>
      <c r="M375" s="9"/>
      <c r="N375" s="9"/>
      <c r="O375" s="9" t="s">
        <v>37</v>
      </c>
      <c r="P375" s="9" t="s">
        <v>43</v>
      </c>
      <c r="Q375" s="9"/>
      <c r="R375" s="10"/>
      <c r="S375" s="10"/>
      <c r="T375" s="10"/>
      <c r="U375" s="9" t="s">
        <v>148</v>
      </c>
      <c r="V375" t="s">
        <v>184</v>
      </c>
      <c r="W375" t="s">
        <v>138</v>
      </c>
      <c r="X375" t="s">
        <v>102</v>
      </c>
      <c r="Y375" t="s">
        <v>179</v>
      </c>
      <c r="Z375" t="s">
        <v>41</v>
      </c>
      <c r="AB375" t="str">
        <f t="shared" si="17"/>
        <v>24101</v>
      </c>
    </row>
    <row r="376" ht="14.25" spans="1:28">
      <c r="A376" s="5" t="s">
        <v>28</v>
      </c>
      <c r="B376" s="5" t="s">
        <v>264</v>
      </c>
      <c r="C376" s="5">
        <v>2027</v>
      </c>
      <c r="D376" s="5" t="s">
        <v>30</v>
      </c>
      <c r="E376" s="9" t="s">
        <v>365</v>
      </c>
      <c r="F376" s="9" t="s">
        <v>366</v>
      </c>
      <c r="G376" s="9" t="s">
        <v>182</v>
      </c>
      <c r="H376" s="9" t="s">
        <v>367</v>
      </c>
      <c r="I376" s="9" t="s">
        <v>269</v>
      </c>
      <c r="J376" s="9" t="s">
        <v>36</v>
      </c>
      <c r="K376" s="9">
        <v>490</v>
      </c>
      <c r="L376" s="9"/>
      <c r="M376" s="9"/>
      <c r="N376" s="9"/>
      <c r="O376" s="9" t="s">
        <v>37</v>
      </c>
      <c r="P376" s="9" t="s">
        <v>44</v>
      </c>
      <c r="Q376" s="9"/>
      <c r="R376" s="10"/>
      <c r="S376" s="10"/>
      <c r="T376" s="10"/>
      <c r="U376" s="9" t="s">
        <v>148</v>
      </c>
      <c r="V376" t="s">
        <v>184</v>
      </c>
      <c r="W376" t="s">
        <v>138</v>
      </c>
      <c r="X376" t="s">
        <v>102</v>
      </c>
      <c r="Y376" t="s">
        <v>179</v>
      </c>
      <c r="Z376" t="s">
        <v>41</v>
      </c>
      <c r="AB376" t="str">
        <f t="shared" si="17"/>
        <v>24101</v>
      </c>
    </row>
    <row r="377" ht="14.25" spans="1:28">
      <c r="A377" s="5" t="s">
        <v>28</v>
      </c>
      <c r="B377" s="5" t="s">
        <v>264</v>
      </c>
      <c r="C377" s="5">
        <v>2027</v>
      </c>
      <c r="D377" s="5" t="s">
        <v>30</v>
      </c>
      <c r="E377" s="9" t="s">
        <v>365</v>
      </c>
      <c r="F377" s="9" t="s">
        <v>366</v>
      </c>
      <c r="G377" s="9" t="s">
        <v>182</v>
      </c>
      <c r="H377" s="9" t="s">
        <v>367</v>
      </c>
      <c r="I377" s="9" t="s">
        <v>269</v>
      </c>
      <c r="J377" s="9" t="s">
        <v>36</v>
      </c>
      <c r="K377" s="9">
        <v>490</v>
      </c>
      <c r="L377" s="9"/>
      <c r="M377" s="9"/>
      <c r="N377" s="9"/>
      <c r="O377" s="9" t="s">
        <v>37</v>
      </c>
      <c r="P377" s="9" t="s">
        <v>45</v>
      </c>
      <c r="Q377" s="9"/>
      <c r="R377" s="10"/>
      <c r="S377" s="10"/>
      <c r="T377" s="10"/>
      <c r="U377" s="9" t="s">
        <v>148</v>
      </c>
      <c r="V377" t="s">
        <v>184</v>
      </c>
      <c r="W377" t="s">
        <v>138</v>
      </c>
      <c r="X377" t="s">
        <v>102</v>
      </c>
      <c r="Y377" t="s">
        <v>179</v>
      </c>
      <c r="Z377" t="s">
        <v>41</v>
      </c>
      <c r="AB377" t="str">
        <f t="shared" si="17"/>
        <v>24101</v>
      </c>
    </row>
    <row r="378" ht="14.25" spans="1:28">
      <c r="A378" s="5" t="s">
        <v>28</v>
      </c>
      <c r="B378" s="5" t="s">
        <v>264</v>
      </c>
      <c r="C378" s="5">
        <v>2027</v>
      </c>
      <c r="D378" s="5" t="s">
        <v>30</v>
      </c>
      <c r="E378" s="9" t="s">
        <v>368</v>
      </c>
      <c r="F378" s="9" t="s">
        <v>366</v>
      </c>
      <c r="G378" s="9" t="s">
        <v>369</v>
      </c>
      <c r="H378" s="9" t="s">
        <v>370</v>
      </c>
      <c r="I378" s="9" t="s">
        <v>269</v>
      </c>
      <c r="J378" s="9" t="s">
        <v>36</v>
      </c>
      <c r="K378" s="9">
        <v>490</v>
      </c>
      <c r="L378" s="9"/>
      <c r="M378" s="9"/>
      <c r="N378" s="9"/>
      <c r="O378" s="9" t="s">
        <v>37</v>
      </c>
      <c r="P378" s="9" t="s">
        <v>38</v>
      </c>
      <c r="Q378" s="9"/>
      <c r="R378" s="10">
        <f t="shared" si="15"/>
        <v>0</v>
      </c>
      <c r="S378" s="10">
        <f>SUMIFS([1]Sheet1!$T:$T,[1]Sheet1!$I:$I,E378,[1]Sheet1!$C:$C,A378)</f>
        <v>0</v>
      </c>
      <c r="T378" s="10">
        <f t="shared" si="16"/>
        <v>0</v>
      </c>
      <c r="U378" s="9"/>
      <c r="Y378" t="s">
        <v>179</v>
      </c>
      <c r="Z378" t="s">
        <v>41</v>
      </c>
      <c r="AB378" t="str">
        <f t="shared" si="17"/>
        <v>24101</v>
      </c>
    </row>
    <row r="379" ht="14.25" spans="1:28">
      <c r="A379" s="5" t="s">
        <v>28</v>
      </c>
      <c r="B379" s="5" t="s">
        <v>264</v>
      </c>
      <c r="C379" s="5">
        <v>2027</v>
      </c>
      <c r="D379" s="5" t="s">
        <v>30</v>
      </c>
      <c r="E379" s="9" t="s">
        <v>368</v>
      </c>
      <c r="F379" s="9" t="s">
        <v>366</v>
      </c>
      <c r="G379" s="9" t="s">
        <v>369</v>
      </c>
      <c r="H379" s="9" t="s">
        <v>370</v>
      </c>
      <c r="I379" s="9" t="s">
        <v>269</v>
      </c>
      <c r="J379" s="9" t="s">
        <v>36</v>
      </c>
      <c r="K379" s="9">
        <v>490</v>
      </c>
      <c r="L379" s="9"/>
      <c r="M379" s="9"/>
      <c r="N379" s="9"/>
      <c r="O379" s="9" t="s">
        <v>37</v>
      </c>
      <c r="P379" s="9" t="s">
        <v>42</v>
      </c>
      <c r="Q379" s="9"/>
      <c r="R379" s="10"/>
      <c r="S379" s="10"/>
      <c r="T379" s="10"/>
      <c r="U379" s="9"/>
      <c r="Y379" t="s">
        <v>179</v>
      </c>
      <c r="Z379" t="s">
        <v>41</v>
      </c>
      <c r="AB379" t="str">
        <f t="shared" si="17"/>
        <v>24101</v>
      </c>
    </row>
    <row r="380" ht="14.25" spans="1:28">
      <c r="A380" s="5" t="s">
        <v>28</v>
      </c>
      <c r="B380" s="5" t="s">
        <v>264</v>
      </c>
      <c r="C380" s="5">
        <v>2027</v>
      </c>
      <c r="D380" s="5" t="s">
        <v>30</v>
      </c>
      <c r="E380" s="9" t="s">
        <v>368</v>
      </c>
      <c r="F380" s="9" t="s">
        <v>366</v>
      </c>
      <c r="G380" s="9" t="s">
        <v>369</v>
      </c>
      <c r="H380" s="9" t="s">
        <v>370</v>
      </c>
      <c r="I380" s="9" t="s">
        <v>269</v>
      </c>
      <c r="J380" s="9" t="s">
        <v>36</v>
      </c>
      <c r="K380" s="9">
        <v>490</v>
      </c>
      <c r="L380" s="9"/>
      <c r="M380" s="9"/>
      <c r="N380" s="9"/>
      <c r="O380" s="9" t="s">
        <v>37</v>
      </c>
      <c r="P380" s="9" t="s">
        <v>43</v>
      </c>
      <c r="Q380" s="9"/>
      <c r="R380" s="10"/>
      <c r="S380" s="10"/>
      <c r="T380" s="10"/>
      <c r="U380" s="9"/>
      <c r="Y380" t="s">
        <v>179</v>
      </c>
      <c r="Z380" t="s">
        <v>41</v>
      </c>
      <c r="AB380" t="str">
        <f t="shared" si="17"/>
        <v>24101</v>
      </c>
    </row>
    <row r="381" ht="14.25" spans="1:28">
      <c r="A381" s="5" t="s">
        <v>28</v>
      </c>
      <c r="B381" s="5" t="s">
        <v>264</v>
      </c>
      <c r="C381" s="5">
        <v>2027</v>
      </c>
      <c r="D381" s="5" t="s">
        <v>30</v>
      </c>
      <c r="E381" s="9" t="s">
        <v>368</v>
      </c>
      <c r="F381" s="9" t="s">
        <v>366</v>
      </c>
      <c r="G381" s="9" t="s">
        <v>369</v>
      </c>
      <c r="H381" s="9" t="s">
        <v>370</v>
      </c>
      <c r="I381" s="9" t="s">
        <v>269</v>
      </c>
      <c r="J381" s="9" t="s">
        <v>36</v>
      </c>
      <c r="K381" s="9">
        <v>490</v>
      </c>
      <c r="L381" s="9"/>
      <c r="M381" s="9"/>
      <c r="N381" s="9"/>
      <c r="O381" s="9" t="s">
        <v>37</v>
      </c>
      <c r="P381" s="9" t="s">
        <v>44</v>
      </c>
      <c r="Q381" s="9"/>
      <c r="R381" s="10"/>
      <c r="S381" s="10"/>
      <c r="T381" s="10"/>
      <c r="U381" s="9"/>
      <c r="Y381" t="s">
        <v>179</v>
      </c>
      <c r="Z381" t="s">
        <v>41</v>
      </c>
      <c r="AB381" t="str">
        <f t="shared" si="17"/>
        <v>24101</v>
      </c>
    </row>
    <row r="382" ht="14.25" spans="1:28">
      <c r="A382" s="5" t="s">
        <v>28</v>
      </c>
      <c r="B382" s="5" t="s">
        <v>264</v>
      </c>
      <c r="C382" s="5">
        <v>2027</v>
      </c>
      <c r="D382" s="5" t="s">
        <v>30</v>
      </c>
      <c r="E382" s="9" t="s">
        <v>368</v>
      </c>
      <c r="F382" s="9" t="s">
        <v>366</v>
      </c>
      <c r="G382" s="9" t="s">
        <v>369</v>
      </c>
      <c r="H382" s="9" t="s">
        <v>370</v>
      </c>
      <c r="I382" s="9" t="s">
        <v>269</v>
      </c>
      <c r="J382" s="9" t="s">
        <v>36</v>
      </c>
      <c r="K382" s="9">
        <v>490</v>
      </c>
      <c r="L382" s="9"/>
      <c r="M382" s="9"/>
      <c r="N382" s="9"/>
      <c r="O382" s="9" t="s">
        <v>37</v>
      </c>
      <c r="P382" s="9" t="s">
        <v>45</v>
      </c>
      <c r="Q382" s="9"/>
      <c r="R382" s="10"/>
      <c r="S382" s="10"/>
      <c r="T382" s="10"/>
      <c r="U382" s="9"/>
      <c r="Y382" t="s">
        <v>179</v>
      </c>
      <c r="Z382" t="s">
        <v>41</v>
      </c>
      <c r="AB382" t="str">
        <f t="shared" si="17"/>
        <v>24101</v>
      </c>
    </row>
    <row r="383" ht="14.25" spans="1:28">
      <c r="A383" s="5" t="s">
        <v>28</v>
      </c>
      <c r="B383" s="5" t="s">
        <v>264</v>
      </c>
      <c r="C383" s="5">
        <v>2027</v>
      </c>
      <c r="D383" s="5" t="s">
        <v>30</v>
      </c>
      <c r="E383" s="9" t="s">
        <v>371</v>
      </c>
      <c r="F383" s="9" t="s">
        <v>372</v>
      </c>
      <c r="G383" s="9" t="s">
        <v>373</v>
      </c>
      <c r="H383" s="9" t="s">
        <v>374</v>
      </c>
      <c r="I383" s="9" t="s">
        <v>276</v>
      </c>
      <c r="J383" s="9" t="s">
        <v>36</v>
      </c>
      <c r="K383" s="9">
        <v>1390</v>
      </c>
      <c r="L383" s="9"/>
      <c r="M383" s="9"/>
      <c r="N383" s="9"/>
      <c r="O383" s="9" t="s">
        <v>37</v>
      </c>
      <c r="P383" s="9" t="s">
        <v>38</v>
      </c>
      <c r="Q383" s="9"/>
      <c r="R383" s="10">
        <f t="shared" si="15"/>
        <v>0</v>
      </c>
      <c r="S383" s="10">
        <f>SUMIFS([1]Sheet1!$T:$T,[1]Sheet1!$I:$I,E383,[1]Sheet1!$C:$C,A383)</f>
        <v>0</v>
      </c>
      <c r="T383" s="10">
        <f t="shared" si="16"/>
        <v>0</v>
      </c>
      <c r="U383" s="9"/>
      <c r="X383" t="s">
        <v>308</v>
      </c>
      <c r="Y383" t="s">
        <v>179</v>
      </c>
      <c r="Z383" t="s">
        <v>247</v>
      </c>
      <c r="AB383" t="str">
        <f t="shared" si="17"/>
        <v>24119</v>
      </c>
    </row>
    <row r="384" ht="14.25" spans="1:28">
      <c r="A384" s="5" t="s">
        <v>28</v>
      </c>
      <c r="B384" s="5" t="s">
        <v>264</v>
      </c>
      <c r="C384" s="5">
        <v>2027</v>
      </c>
      <c r="D384" s="5" t="s">
        <v>30</v>
      </c>
      <c r="E384" s="9" t="s">
        <v>371</v>
      </c>
      <c r="F384" s="9" t="s">
        <v>372</v>
      </c>
      <c r="G384" s="9" t="s">
        <v>373</v>
      </c>
      <c r="H384" s="9" t="s">
        <v>374</v>
      </c>
      <c r="I384" s="9" t="s">
        <v>276</v>
      </c>
      <c r="J384" s="9" t="s">
        <v>36</v>
      </c>
      <c r="K384" s="9">
        <v>1390</v>
      </c>
      <c r="L384" s="9"/>
      <c r="M384" s="9"/>
      <c r="N384" s="9"/>
      <c r="O384" s="9" t="s">
        <v>37</v>
      </c>
      <c r="P384" s="9" t="s">
        <v>42</v>
      </c>
      <c r="Q384" s="9"/>
      <c r="R384" s="10"/>
      <c r="S384" s="10"/>
      <c r="T384" s="10"/>
      <c r="U384" s="9"/>
      <c r="X384" t="s">
        <v>308</v>
      </c>
      <c r="Y384" t="s">
        <v>179</v>
      </c>
      <c r="Z384" t="s">
        <v>247</v>
      </c>
      <c r="AB384" t="str">
        <f t="shared" si="17"/>
        <v>24119</v>
      </c>
    </row>
    <row r="385" ht="14.25" spans="1:28">
      <c r="A385" s="5" t="s">
        <v>28</v>
      </c>
      <c r="B385" s="5" t="s">
        <v>264</v>
      </c>
      <c r="C385" s="5">
        <v>2027</v>
      </c>
      <c r="D385" s="5" t="s">
        <v>30</v>
      </c>
      <c r="E385" s="9" t="s">
        <v>371</v>
      </c>
      <c r="F385" s="9" t="s">
        <v>372</v>
      </c>
      <c r="G385" s="9" t="s">
        <v>373</v>
      </c>
      <c r="H385" s="9" t="s">
        <v>374</v>
      </c>
      <c r="I385" s="9" t="s">
        <v>276</v>
      </c>
      <c r="J385" s="9" t="s">
        <v>36</v>
      </c>
      <c r="K385" s="9">
        <v>1390</v>
      </c>
      <c r="L385" s="9"/>
      <c r="M385" s="9"/>
      <c r="N385" s="9"/>
      <c r="O385" s="9" t="s">
        <v>37</v>
      </c>
      <c r="P385" s="9" t="s">
        <v>43</v>
      </c>
      <c r="Q385" s="9"/>
      <c r="R385" s="10"/>
      <c r="S385" s="10"/>
      <c r="T385" s="10"/>
      <c r="U385" s="9"/>
      <c r="X385" t="s">
        <v>308</v>
      </c>
      <c r="Y385" t="s">
        <v>179</v>
      </c>
      <c r="Z385" t="s">
        <v>247</v>
      </c>
      <c r="AB385" t="str">
        <f t="shared" si="17"/>
        <v>24119</v>
      </c>
    </row>
    <row r="386" ht="14.25" spans="1:28">
      <c r="A386" s="5" t="s">
        <v>28</v>
      </c>
      <c r="B386" s="5" t="s">
        <v>264</v>
      </c>
      <c r="C386" s="5">
        <v>2027</v>
      </c>
      <c r="D386" s="5" t="s">
        <v>30</v>
      </c>
      <c r="E386" s="9" t="s">
        <v>371</v>
      </c>
      <c r="F386" s="9" t="s">
        <v>372</v>
      </c>
      <c r="G386" s="9" t="s">
        <v>373</v>
      </c>
      <c r="H386" s="9" t="s">
        <v>374</v>
      </c>
      <c r="I386" s="9" t="s">
        <v>276</v>
      </c>
      <c r="J386" s="9" t="s">
        <v>36</v>
      </c>
      <c r="K386" s="9">
        <v>1390</v>
      </c>
      <c r="L386" s="9"/>
      <c r="M386" s="9"/>
      <c r="N386" s="9"/>
      <c r="O386" s="9" t="s">
        <v>37</v>
      </c>
      <c r="P386" s="9" t="s">
        <v>44</v>
      </c>
      <c r="Q386" s="9"/>
      <c r="R386" s="10"/>
      <c r="S386" s="10"/>
      <c r="T386" s="10"/>
      <c r="U386" s="9"/>
      <c r="X386" t="s">
        <v>308</v>
      </c>
      <c r="Y386" t="s">
        <v>179</v>
      </c>
      <c r="Z386" t="s">
        <v>247</v>
      </c>
      <c r="AB386" t="str">
        <f t="shared" si="17"/>
        <v>24119</v>
      </c>
    </row>
    <row r="387" ht="14.25" spans="1:28">
      <c r="A387" s="5" t="s">
        <v>28</v>
      </c>
      <c r="B387" s="5" t="s">
        <v>264</v>
      </c>
      <c r="C387" s="5">
        <v>2027</v>
      </c>
      <c r="D387" s="5" t="s">
        <v>30</v>
      </c>
      <c r="E387" s="9" t="s">
        <v>371</v>
      </c>
      <c r="F387" s="9" t="s">
        <v>372</v>
      </c>
      <c r="G387" s="9" t="s">
        <v>373</v>
      </c>
      <c r="H387" s="9" t="s">
        <v>374</v>
      </c>
      <c r="I387" s="9" t="s">
        <v>276</v>
      </c>
      <c r="J387" s="9" t="s">
        <v>36</v>
      </c>
      <c r="K387" s="9">
        <v>1390</v>
      </c>
      <c r="L387" s="9"/>
      <c r="M387" s="9"/>
      <c r="N387" s="9"/>
      <c r="O387" s="9" t="s">
        <v>37</v>
      </c>
      <c r="P387" s="9" t="s">
        <v>45</v>
      </c>
      <c r="Q387" s="9"/>
      <c r="R387" s="10"/>
      <c r="S387" s="10"/>
      <c r="T387" s="10"/>
      <c r="U387" s="9"/>
      <c r="X387" t="s">
        <v>308</v>
      </c>
      <c r="Y387" t="s">
        <v>179</v>
      </c>
      <c r="Z387" t="s">
        <v>247</v>
      </c>
      <c r="AB387" t="str">
        <f t="shared" ref="AB387:AB450" si="18">MID(E387,6,5)</f>
        <v>24119</v>
      </c>
    </row>
    <row r="388" ht="14.25" spans="1:28">
      <c r="A388" s="5" t="s">
        <v>28</v>
      </c>
      <c r="B388" s="5" t="s">
        <v>264</v>
      </c>
      <c r="C388" s="5">
        <v>2027</v>
      </c>
      <c r="D388" s="5" t="s">
        <v>30</v>
      </c>
      <c r="E388" s="9" t="s">
        <v>375</v>
      </c>
      <c r="F388" s="9" t="s">
        <v>376</v>
      </c>
      <c r="G388" s="9" t="s">
        <v>182</v>
      </c>
      <c r="H388" s="9" t="s">
        <v>377</v>
      </c>
      <c r="I388" s="9" t="s">
        <v>276</v>
      </c>
      <c r="J388" s="9" t="s">
        <v>36</v>
      </c>
      <c r="K388" s="9">
        <v>1390</v>
      </c>
      <c r="L388" s="9"/>
      <c r="M388" s="9"/>
      <c r="N388" s="9"/>
      <c r="O388" s="9" t="s">
        <v>37</v>
      </c>
      <c r="P388" s="9" t="s">
        <v>38</v>
      </c>
      <c r="Q388" s="9"/>
      <c r="R388" s="10">
        <f t="shared" ref="R386:R449" si="19">SUMIFS(Q:Q,E:E,E388)</f>
        <v>0</v>
      </c>
      <c r="S388" s="10">
        <f>SUMIFS([1]Sheet1!$T:$T,[1]Sheet1!$I:$I,E388,[1]Sheet1!$C:$C,A388)</f>
        <v>0</v>
      </c>
      <c r="T388" s="10">
        <f t="shared" ref="T386:T449" si="20">R388-S388</f>
        <v>0</v>
      </c>
      <c r="U388" s="9"/>
      <c r="X388" t="s">
        <v>102</v>
      </c>
      <c r="Y388" t="s">
        <v>179</v>
      </c>
      <c r="Z388" t="s">
        <v>104</v>
      </c>
      <c r="AB388" t="str">
        <f t="shared" si="18"/>
        <v>24124</v>
      </c>
    </row>
    <row r="389" ht="14.25" spans="1:28">
      <c r="A389" s="5" t="s">
        <v>28</v>
      </c>
      <c r="B389" s="5" t="s">
        <v>264</v>
      </c>
      <c r="C389" s="5">
        <v>2027</v>
      </c>
      <c r="D389" s="5" t="s">
        <v>30</v>
      </c>
      <c r="E389" s="9" t="s">
        <v>375</v>
      </c>
      <c r="F389" s="9" t="s">
        <v>376</v>
      </c>
      <c r="G389" s="9" t="s">
        <v>182</v>
      </c>
      <c r="H389" s="9" t="s">
        <v>377</v>
      </c>
      <c r="I389" s="9" t="s">
        <v>276</v>
      </c>
      <c r="J389" s="9" t="s">
        <v>36</v>
      </c>
      <c r="K389" s="9">
        <v>1390</v>
      </c>
      <c r="L389" s="9"/>
      <c r="M389" s="9"/>
      <c r="N389" s="9"/>
      <c r="O389" s="9" t="s">
        <v>37</v>
      </c>
      <c r="P389" s="9" t="s">
        <v>42</v>
      </c>
      <c r="Q389" s="9"/>
      <c r="R389" s="10"/>
      <c r="S389" s="10"/>
      <c r="T389" s="10"/>
      <c r="U389" s="9"/>
      <c r="X389" t="s">
        <v>102</v>
      </c>
      <c r="Y389" t="s">
        <v>179</v>
      </c>
      <c r="Z389" t="s">
        <v>104</v>
      </c>
      <c r="AB389" t="str">
        <f t="shared" si="18"/>
        <v>24124</v>
      </c>
    </row>
    <row r="390" ht="14.25" spans="1:28">
      <c r="A390" s="5" t="s">
        <v>28</v>
      </c>
      <c r="B390" s="5" t="s">
        <v>264</v>
      </c>
      <c r="C390" s="5">
        <v>2027</v>
      </c>
      <c r="D390" s="5" t="s">
        <v>30</v>
      </c>
      <c r="E390" s="9" t="s">
        <v>375</v>
      </c>
      <c r="F390" s="9" t="s">
        <v>376</v>
      </c>
      <c r="G390" s="9" t="s">
        <v>182</v>
      </c>
      <c r="H390" s="9" t="s">
        <v>377</v>
      </c>
      <c r="I390" s="9" t="s">
        <v>276</v>
      </c>
      <c r="J390" s="9" t="s">
        <v>36</v>
      </c>
      <c r="K390" s="9">
        <v>1390</v>
      </c>
      <c r="L390" s="9"/>
      <c r="M390" s="9"/>
      <c r="N390" s="9"/>
      <c r="O390" s="9" t="s">
        <v>37</v>
      </c>
      <c r="P390" s="9" t="s">
        <v>43</v>
      </c>
      <c r="Q390" s="9"/>
      <c r="R390" s="10"/>
      <c r="S390" s="10"/>
      <c r="T390" s="10"/>
      <c r="U390" s="9"/>
      <c r="X390" t="s">
        <v>102</v>
      </c>
      <c r="Y390" t="s">
        <v>179</v>
      </c>
      <c r="Z390" t="s">
        <v>104</v>
      </c>
      <c r="AB390" t="str">
        <f t="shared" si="18"/>
        <v>24124</v>
      </c>
    </row>
    <row r="391" ht="14.25" spans="1:28">
      <c r="A391" s="5" t="s">
        <v>28</v>
      </c>
      <c r="B391" s="5" t="s">
        <v>264</v>
      </c>
      <c r="C391" s="5">
        <v>2027</v>
      </c>
      <c r="D391" s="5" t="s">
        <v>30</v>
      </c>
      <c r="E391" s="9" t="s">
        <v>375</v>
      </c>
      <c r="F391" s="9" t="s">
        <v>376</v>
      </c>
      <c r="G391" s="9" t="s">
        <v>182</v>
      </c>
      <c r="H391" s="9" t="s">
        <v>377</v>
      </c>
      <c r="I391" s="9" t="s">
        <v>276</v>
      </c>
      <c r="J391" s="9" t="s">
        <v>36</v>
      </c>
      <c r="K391" s="9">
        <v>1390</v>
      </c>
      <c r="L391" s="9"/>
      <c r="M391" s="9"/>
      <c r="N391" s="9"/>
      <c r="O391" s="9" t="s">
        <v>37</v>
      </c>
      <c r="P391" s="9" t="s">
        <v>44</v>
      </c>
      <c r="Q391" s="9"/>
      <c r="R391" s="10"/>
      <c r="S391" s="10"/>
      <c r="T391" s="10"/>
      <c r="U391" s="9"/>
      <c r="X391" t="s">
        <v>102</v>
      </c>
      <c r="Y391" t="s">
        <v>179</v>
      </c>
      <c r="Z391" t="s">
        <v>104</v>
      </c>
      <c r="AB391" t="str">
        <f t="shared" si="18"/>
        <v>24124</v>
      </c>
    </row>
    <row r="392" ht="14.25" spans="1:28">
      <c r="A392" s="5" t="s">
        <v>28</v>
      </c>
      <c r="B392" s="5" t="s">
        <v>264</v>
      </c>
      <c r="C392" s="5">
        <v>2027</v>
      </c>
      <c r="D392" s="5" t="s">
        <v>30</v>
      </c>
      <c r="E392" s="9" t="s">
        <v>375</v>
      </c>
      <c r="F392" s="9" t="s">
        <v>376</v>
      </c>
      <c r="G392" s="9" t="s">
        <v>182</v>
      </c>
      <c r="H392" s="9" t="s">
        <v>377</v>
      </c>
      <c r="I392" s="9" t="s">
        <v>276</v>
      </c>
      <c r="J392" s="9" t="s">
        <v>36</v>
      </c>
      <c r="K392" s="9">
        <v>1390</v>
      </c>
      <c r="L392" s="9"/>
      <c r="M392" s="9"/>
      <c r="N392" s="9"/>
      <c r="O392" s="9" t="s">
        <v>37</v>
      </c>
      <c r="P392" s="9" t="s">
        <v>45</v>
      </c>
      <c r="Q392" s="9"/>
      <c r="R392" s="10"/>
      <c r="S392" s="10"/>
      <c r="T392" s="10"/>
      <c r="U392" s="9"/>
      <c r="X392" t="s">
        <v>102</v>
      </c>
      <c r="Y392" t="s">
        <v>179</v>
      </c>
      <c r="Z392" t="s">
        <v>104</v>
      </c>
      <c r="AB392" t="str">
        <f t="shared" si="18"/>
        <v>24124</v>
      </c>
    </row>
    <row r="393" ht="14.25" spans="1:28">
      <c r="A393" s="5" t="s">
        <v>28</v>
      </c>
      <c r="B393" s="5" t="s">
        <v>264</v>
      </c>
      <c r="C393" s="5">
        <v>2027</v>
      </c>
      <c r="D393" s="5" t="s">
        <v>30</v>
      </c>
      <c r="E393" s="9" t="s">
        <v>378</v>
      </c>
      <c r="F393" s="9" t="s">
        <v>379</v>
      </c>
      <c r="G393" s="9" t="s">
        <v>380</v>
      </c>
      <c r="H393" s="9" t="s">
        <v>381</v>
      </c>
      <c r="I393" s="9" t="s">
        <v>276</v>
      </c>
      <c r="J393" s="9" t="s">
        <v>36</v>
      </c>
      <c r="K393" s="9">
        <v>1790</v>
      </c>
      <c r="L393" s="9"/>
      <c r="M393" s="9"/>
      <c r="N393" s="9"/>
      <c r="O393" s="9" t="s">
        <v>37</v>
      </c>
      <c r="P393" s="9" t="s">
        <v>38</v>
      </c>
      <c r="Q393" s="9"/>
      <c r="R393" s="10">
        <f t="shared" si="19"/>
        <v>0</v>
      </c>
      <c r="S393" s="10">
        <f>SUMIFS([1]Sheet1!$T:$T,[1]Sheet1!$I:$I,E393,[1]Sheet1!$C:$C,A393)</f>
        <v>0</v>
      </c>
      <c r="T393" s="10">
        <f t="shared" si="20"/>
        <v>0</v>
      </c>
      <c r="U393" s="9"/>
      <c r="Y393" t="s">
        <v>179</v>
      </c>
      <c r="Z393" t="s">
        <v>179</v>
      </c>
      <c r="AB393" t="str">
        <f t="shared" si="18"/>
        <v>24126</v>
      </c>
    </row>
    <row r="394" ht="14.25" spans="1:28">
      <c r="A394" s="5" t="s">
        <v>28</v>
      </c>
      <c r="B394" s="5" t="s">
        <v>264</v>
      </c>
      <c r="C394" s="5">
        <v>2027</v>
      </c>
      <c r="D394" s="5" t="s">
        <v>30</v>
      </c>
      <c r="E394" s="9" t="s">
        <v>378</v>
      </c>
      <c r="F394" s="9" t="s">
        <v>379</v>
      </c>
      <c r="G394" s="9" t="s">
        <v>380</v>
      </c>
      <c r="H394" s="9" t="s">
        <v>381</v>
      </c>
      <c r="I394" s="9" t="s">
        <v>276</v>
      </c>
      <c r="J394" s="9" t="s">
        <v>36</v>
      </c>
      <c r="K394" s="9">
        <v>1790</v>
      </c>
      <c r="L394" s="9"/>
      <c r="M394" s="9"/>
      <c r="N394" s="9"/>
      <c r="O394" s="9" t="s">
        <v>37</v>
      </c>
      <c r="P394" s="9" t="s">
        <v>42</v>
      </c>
      <c r="Q394" s="9"/>
      <c r="R394" s="10"/>
      <c r="S394" s="10"/>
      <c r="T394" s="10"/>
      <c r="U394" s="9"/>
      <c r="Y394" t="s">
        <v>179</v>
      </c>
      <c r="Z394" t="s">
        <v>179</v>
      </c>
      <c r="AB394" t="str">
        <f t="shared" si="18"/>
        <v>24126</v>
      </c>
    </row>
    <row r="395" ht="14.25" spans="1:28">
      <c r="A395" s="5" t="s">
        <v>28</v>
      </c>
      <c r="B395" s="5" t="s">
        <v>264</v>
      </c>
      <c r="C395" s="5">
        <v>2027</v>
      </c>
      <c r="D395" s="5" t="s">
        <v>30</v>
      </c>
      <c r="E395" s="9" t="s">
        <v>378</v>
      </c>
      <c r="F395" s="9" t="s">
        <v>379</v>
      </c>
      <c r="G395" s="9" t="s">
        <v>380</v>
      </c>
      <c r="H395" s="9" t="s">
        <v>381</v>
      </c>
      <c r="I395" s="9" t="s">
        <v>276</v>
      </c>
      <c r="J395" s="9" t="s">
        <v>36</v>
      </c>
      <c r="K395" s="9">
        <v>1790</v>
      </c>
      <c r="L395" s="9"/>
      <c r="M395" s="9"/>
      <c r="N395" s="9"/>
      <c r="O395" s="9" t="s">
        <v>37</v>
      </c>
      <c r="P395" s="9" t="s">
        <v>43</v>
      </c>
      <c r="Q395" s="9"/>
      <c r="R395" s="10"/>
      <c r="S395" s="10"/>
      <c r="T395" s="10"/>
      <c r="U395" s="9"/>
      <c r="Y395" t="s">
        <v>179</v>
      </c>
      <c r="Z395" t="s">
        <v>179</v>
      </c>
      <c r="AB395" t="str">
        <f t="shared" si="18"/>
        <v>24126</v>
      </c>
    </row>
    <row r="396" ht="14.25" spans="1:28">
      <c r="A396" s="5" t="s">
        <v>28</v>
      </c>
      <c r="B396" s="5" t="s">
        <v>264</v>
      </c>
      <c r="C396" s="5">
        <v>2027</v>
      </c>
      <c r="D396" s="5" t="s">
        <v>30</v>
      </c>
      <c r="E396" s="9" t="s">
        <v>378</v>
      </c>
      <c r="F396" s="9" t="s">
        <v>379</v>
      </c>
      <c r="G396" s="9" t="s">
        <v>380</v>
      </c>
      <c r="H396" s="9" t="s">
        <v>381</v>
      </c>
      <c r="I396" s="9" t="s">
        <v>276</v>
      </c>
      <c r="J396" s="9" t="s">
        <v>36</v>
      </c>
      <c r="K396" s="9">
        <v>1790</v>
      </c>
      <c r="L396" s="9"/>
      <c r="M396" s="9"/>
      <c r="N396" s="9"/>
      <c r="O396" s="9" t="s">
        <v>37</v>
      </c>
      <c r="P396" s="9" t="s">
        <v>44</v>
      </c>
      <c r="Q396" s="9"/>
      <c r="R396" s="10"/>
      <c r="S396" s="10"/>
      <c r="T396" s="10"/>
      <c r="U396" s="9"/>
      <c r="Y396" t="s">
        <v>179</v>
      </c>
      <c r="Z396" t="s">
        <v>179</v>
      </c>
      <c r="AB396" t="str">
        <f t="shared" si="18"/>
        <v>24126</v>
      </c>
    </row>
    <row r="397" ht="14.25" spans="1:28">
      <c r="A397" s="5" t="s">
        <v>28</v>
      </c>
      <c r="B397" s="5" t="s">
        <v>264</v>
      </c>
      <c r="C397" s="5">
        <v>2027</v>
      </c>
      <c r="D397" s="5" t="s">
        <v>30</v>
      </c>
      <c r="E397" s="9" t="s">
        <v>378</v>
      </c>
      <c r="F397" s="9" t="s">
        <v>379</v>
      </c>
      <c r="G397" s="9" t="s">
        <v>380</v>
      </c>
      <c r="H397" s="9" t="s">
        <v>381</v>
      </c>
      <c r="I397" s="9" t="s">
        <v>276</v>
      </c>
      <c r="J397" s="9" t="s">
        <v>36</v>
      </c>
      <c r="K397" s="9">
        <v>1790</v>
      </c>
      <c r="L397" s="9"/>
      <c r="M397" s="9"/>
      <c r="N397" s="9"/>
      <c r="O397" s="9" t="s">
        <v>37</v>
      </c>
      <c r="P397" s="9" t="s">
        <v>45</v>
      </c>
      <c r="Q397" s="9"/>
      <c r="R397" s="10"/>
      <c r="S397" s="10"/>
      <c r="T397" s="10"/>
      <c r="U397" s="9"/>
      <c r="Y397" t="s">
        <v>179</v>
      </c>
      <c r="Z397" t="s">
        <v>179</v>
      </c>
      <c r="AB397" t="str">
        <f t="shared" si="18"/>
        <v>24126</v>
      </c>
    </row>
    <row r="398" ht="14.25" spans="1:28">
      <c r="A398" s="5" t="s">
        <v>28</v>
      </c>
      <c r="B398" s="5" t="s">
        <v>264</v>
      </c>
      <c r="C398" s="5">
        <v>2027</v>
      </c>
      <c r="D398" s="5" t="s">
        <v>30</v>
      </c>
      <c r="E398" s="9" t="s">
        <v>382</v>
      </c>
      <c r="F398" s="9" t="s">
        <v>383</v>
      </c>
      <c r="G398" s="9" t="s">
        <v>384</v>
      </c>
      <c r="H398" s="9" t="s">
        <v>385</v>
      </c>
      <c r="I398" s="9" t="s">
        <v>269</v>
      </c>
      <c r="J398" s="9" t="s">
        <v>36</v>
      </c>
      <c r="K398" s="9">
        <v>490</v>
      </c>
      <c r="L398" s="9"/>
      <c r="M398" s="9"/>
      <c r="N398" s="9"/>
      <c r="O398" s="9" t="s">
        <v>37</v>
      </c>
      <c r="P398" s="9" t="s">
        <v>38</v>
      </c>
      <c r="Q398" s="9"/>
      <c r="R398" s="10">
        <f t="shared" si="19"/>
        <v>0</v>
      </c>
      <c r="S398" s="10">
        <f>SUMIFS([1]Sheet1!$T:$T,[1]Sheet1!$I:$I,E398,[1]Sheet1!$C:$C,A398)</f>
        <v>0</v>
      </c>
      <c r="T398" s="10">
        <f t="shared" si="20"/>
        <v>0</v>
      </c>
      <c r="U398" s="9"/>
      <c r="Y398" t="s">
        <v>179</v>
      </c>
      <c r="Z398" t="s">
        <v>41</v>
      </c>
      <c r="AB398" t="str">
        <f t="shared" si="18"/>
        <v>24127</v>
      </c>
    </row>
    <row r="399" ht="14.25" spans="1:28">
      <c r="A399" s="5" t="s">
        <v>28</v>
      </c>
      <c r="B399" s="5" t="s">
        <v>264</v>
      </c>
      <c r="C399" s="5">
        <v>2027</v>
      </c>
      <c r="D399" s="5" t="s">
        <v>30</v>
      </c>
      <c r="E399" s="9" t="s">
        <v>382</v>
      </c>
      <c r="F399" s="9" t="s">
        <v>383</v>
      </c>
      <c r="G399" s="9" t="s">
        <v>384</v>
      </c>
      <c r="H399" s="9" t="s">
        <v>385</v>
      </c>
      <c r="I399" s="9" t="s">
        <v>269</v>
      </c>
      <c r="J399" s="9" t="s">
        <v>36</v>
      </c>
      <c r="K399" s="9">
        <v>490</v>
      </c>
      <c r="L399" s="9"/>
      <c r="M399" s="9"/>
      <c r="N399" s="9"/>
      <c r="O399" s="9" t="s">
        <v>37</v>
      </c>
      <c r="P399" s="9" t="s">
        <v>42</v>
      </c>
      <c r="Q399" s="9"/>
      <c r="R399" s="10"/>
      <c r="S399" s="10"/>
      <c r="T399" s="10"/>
      <c r="U399" s="9"/>
      <c r="Y399" t="s">
        <v>179</v>
      </c>
      <c r="Z399" t="s">
        <v>41</v>
      </c>
      <c r="AB399" t="str">
        <f t="shared" si="18"/>
        <v>24127</v>
      </c>
    </row>
    <row r="400" ht="14.25" spans="1:28">
      <c r="A400" s="5" t="s">
        <v>28</v>
      </c>
      <c r="B400" s="5" t="s">
        <v>264</v>
      </c>
      <c r="C400" s="5">
        <v>2027</v>
      </c>
      <c r="D400" s="5" t="s">
        <v>30</v>
      </c>
      <c r="E400" s="9" t="s">
        <v>382</v>
      </c>
      <c r="F400" s="9" t="s">
        <v>383</v>
      </c>
      <c r="G400" s="9" t="s">
        <v>384</v>
      </c>
      <c r="H400" s="9" t="s">
        <v>385</v>
      </c>
      <c r="I400" s="9" t="s">
        <v>269</v>
      </c>
      <c r="J400" s="9" t="s">
        <v>36</v>
      </c>
      <c r="K400" s="9">
        <v>490</v>
      </c>
      <c r="L400" s="9"/>
      <c r="M400" s="9"/>
      <c r="N400" s="9"/>
      <c r="O400" s="9" t="s">
        <v>37</v>
      </c>
      <c r="P400" s="9" t="s">
        <v>43</v>
      </c>
      <c r="Q400" s="9"/>
      <c r="R400" s="10"/>
      <c r="S400" s="10"/>
      <c r="T400" s="10"/>
      <c r="U400" s="9"/>
      <c r="Y400" t="s">
        <v>179</v>
      </c>
      <c r="Z400" t="s">
        <v>41</v>
      </c>
      <c r="AB400" t="str">
        <f t="shared" si="18"/>
        <v>24127</v>
      </c>
    </row>
    <row r="401" ht="14.25" spans="1:28">
      <c r="A401" s="5" t="s">
        <v>28</v>
      </c>
      <c r="B401" s="5" t="s">
        <v>264</v>
      </c>
      <c r="C401" s="5">
        <v>2027</v>
      </c>
      <c r="D401" s="5" t="s">
        <v>30</v>
      </c>
      <c r="E401" s="9" t="s">
        <v>382</v>
      </c>
      <c r="F401" s="9" t="s">
        <v>383</v>
      </c>
      <c r="G401" s="9" t="s">
        <v>384</v>
      </c>
      <c r="H401" s="9" t="s">
        <v>385</v>
      </c>
      <c r="I401" s="9" t="s">
        <v>269</v>
      </c>
      <c r="J401" s="9" t="s">
        <v>36</v>
      </c>
      <c r="K401" s="9">
        <v>490</v>
      </c>
      <c r="L401" s="9"/>
      <c r="M401" s="9"/>
      <c r="N401" s="9"/>
      <c r="O401" s="9" t="s">
        <v>37</v>
      </c>
      <c r="P401" s="9" t="s">
        <v>44</v>
      </c>
      <c r="Q401" s="9"/>
      <c r="R401" s="10"/>
      <c r="S401" s="10"/>
      <c r="T401" s="10"/>
      <c r="U401" s="9"/>
      <c r="Y401" t="s">
        <v>179</v>
      </c>
      <c r="Z401" t="s">
        <v>41</v>
      </c>
      <c r="AB401" t="str">
        <f t="shared" si="18"/>
        <v>24127</v>
      </c>
    </row>
    <row r="402" ht="14.25" spans="1:28">
      <c r="A402" s="5" t="s">
        <v>28</v>
      </c>
      <c r="B402" s="5" t="s">
        <v>264</v>
      </c>
      <c r="C402" s="5">
        <v>2027</v>
      </c>
      <c r="D402" s="5" t="s">
        <v>30</v>
      </c>
      <c r="E402" s="9" t="s">
        <v>382</v>
      </c>
      <c r="F402" s="9" t="s">
        <v>383</v>
      </c>
      <c r="G402" s="9" t="s">
        <v>384</v>
      </c>
      <c r="H402" s="9" t="s">
        <v>385</v>
      </c>
      <c r="I402" s="9" t="s">
        <v>269</v>
      </c>
      <c r="J402" s="9" t="s">
        <v>36</v>
      </c>
      <c r="K402" s="9">
        <v>490</v>
      </c>
      <c r="L402" s="9"/>
      <c r="M402" s="9"/>
      <c r="N402" s="9"/>
      <c r="O402" s="9" t="s">
        <v>37</v>
      </c>
      <c r="P402" s="9" t="s">
        <v>45</v>
      </c>
      <c r="Q402" s="9"/>
      <c r="R402" s="10"/>
      <c r="S402" s="10"/>
      <c r="T402" s="10"/>
      <c r="U402" s="9"/>
      <c r="Y402" t="s">
        <v>179</v>
      </c>
      <c r="Z402" t="s">
        <v>41</v>
      </c>
      <c r="AB402" t="str">
        <f t="shared" si="18"/>
        <v>24127</v>
      </c>
    </row>
    <row r="403" ht="14.25" spans="1:28">
      <c r="A403" s="5" t="s">
        <v>28</v>
      </c>
      <c r="B403" s="5" t="s">
        <v>264</v>
      </c>
      <c r="C403" s="5">
        <v>2027</v>
      </c>
      <c r="D403" s="5" t="s">
        <v>30</v>
      </c>
      <c r="E403" s="9" t="s">
        <v>386</v>
      </c>
      <c r="F403" s="9" t="s">
        <v>383</v>
      </c>
      <c r="G403" s="9" t="s">
        <v>387</v>
      </c>
      <c r="H403" s="9" t="s">
        <v>388</v>
      </c>
      <c r="I403" s="9" t="s">
        <v>269</v>
      </c>
      <c r="J403" s="9" t="s">
        <v>36</v>
      </c>
      <c r="K403" s="9">
        <v>490</v>
      </c>
      <c r="L403" s="9"/>
      <c r="M403" s="9"/>
      <c r="N403" s="9"/>
      <c r="O403" s="9" t="s">
        <v>37</v>
      </c>
      <c r="P403" s="9" t="s">
        <v>38</v>
      </c>
      <c r="Q403" s="9"/>
      <c r="R403" s="10">
        <f t="shared" si="19"/>
        <v>0</v>
      </c>
      <c r="S403" s="10">
        <f>SUMIFS([1]Sheet1!$T:$T,[1]Sheet1!$I:$I,E403,[1]Sheet1!$C:$C,A403)</f>
        <v>0</v>
      </c>
      <c r="T403" s="10">
        <f t="shared" si="20"/>
        <v>0</v>
      </c>
      <c r="U403" s="9"/>
      <c r="Y403" t="s">
        <v>179</v>
      </c>
      <c r="Z403" t="s">
        <v>41</v>
      </c>
      <c r="AB403" t="str">
        <f t="shared" si="18"/>
        <v>24127</v>
      </c>
    </row>
    <row r="404" ht="14.25" spans="1:28">
      <c r="A404" s="5" t="s">
        <v>28</v>
      </c>
      <c r="B404" s="5" t="s">
        <v>264</v>
      </c>
      <c r="C404" s="5">
        <v>2027</v>
      </c>
      <c r="D404" s="5" t="s">
        <v>30</v>
      </c>
      <c r="E404" s="9" t="s">
        <v>386</v>
      </c>
      <c r="F404" s="9" t="s">
        <v>383</v>
      </c>
      <c r="G404" s="9" t="s">
        <v>387</v>
      </c>
      <c r="H404" s="9" t="s">
        <v>388</v>
      </c>
      <c r="I404" s="9" t="s">
        <v>269</v>
      </c>
      <c r="J404" s="9" t="s">
        <v>36</v>
      </c>
      <c r="K404" s="9">
        <v>490</v>
      </c>
      <c r="L404" s="9"/>
      <c r="M404" s="9"/>
      <c r="N404" s="9"/>
      <c r="O404" s="9" t="s">
        <v>37</v>
      </c>
      <c r="P404" s="9" t="s">
        <v>42</v>
      </c>
      <c r="Q404" s="9"/>
      <c r="R404" s="10"/>
      <c r="S404" s="10"/>
      <c r="T404" s="10"/>
      <c r="U404" s="9"/>
      <c r="Y404" t="s">
        <v>179</v>
      </c>
      <c r="Z404" t="s">
        <v>41</v>
      </c>
      <c r="AB404" t="str">
        <f t="shared" si="18"/>
        <v>24127</v>
      </c>
    </row>
    <row r="405" ht="14.25" spans="1:28">
      <c r="A405" s="5" t="s">
        <v>28</v>
      </c>
      <c r="B405" s="5" t="s">
        <v>264</v>
      </c>
      <c r="C405" s="5">
        <v>2027</v>
      </c>
      <c r="D405" s="5" t="s">
        <v>30</v>
      </c>
      <c r="E405" s="9" t="s">
        <v>386</v>
      </c>
      <c r="F405" s="9" t="s">
        <v>383</v>
      </c>
      <c r="G405" s="9" t="s">
        <v>387</v>
      </c>
      <c r="H405" s="9" t="s">
        <v>388</v>
      </c>
      <c r="I405" s="9" t="s">
        <v>269</v>
      </c>
      <c r="J405" s="9" t="s">
        <v>36</v>
      </c>
      <c r="K405" s="9">
        <v>490</v>
      </c>
      <c r="L405" s="9"/>
      <c r="M405" s="9"/>
      <c r="N405" s="9"/>
      <c r="O405" s="9" t="s">
        <v>37</v>
      </c>
      <c r="P405" s="9" t="s">
        <v>43</v>
      </c>
      <c r="Q405" s="9"/>
      <c r="R405" s="10"/>
      <c r="S405" s="10"/>
      <c r="T405" s="10"/>
      <c r="U405" s="9"/>
      <c r="Y405" t="s">
        <v>179</v>
      </c>
      <c r="Z405" t="s">
        <v>41</v>
      </c>
      <c r="AB405" t="str">
        <f t="shared" si="18"/>
        <v>24127</v>
      </c>
    </row>
    <row r="406" ht="14.25" spans="1:28">
      <c r="A406" s="5" t="s">
        <v>28</v>
      </c>
      <c r="B406" s="5" t="s">
        <v>264</v>
      </c>
      <c r="C406" s="5">
        <v>2027</v>
      </c>
      <c r="D406" s="5" t="s">
        <v>30</v>
      </c>
      <c r="E406" s="9" t="s">
        <v>386</v>
      </c>
      <c r="F406" s="9" t="s">
        <v>383</v>
      </c>
      <c r="G406" s="9" t="s">
        <v>387</v>
      </c>
      <c r="H406" s="9" t="s">
        <v>388</v>
      </c>
      <c r="I406" s="9" t="s">
        <v>269</v>
      </c>
      <c r="J406" s="9" t="s">
        <v>36</v>
      </c>
      <c r="K406" s="9">
        <v>490</v>
      </c>
      <c r="L406" s="9"/>
      <c r="M406" s="9"/>
      <c r="N406" s="9"/>
      <c r="O406" s="9" t="s">
        <v>37</v>
      </c>
      <c r="P406" s="9" t="s">
        <v>44</v>
      </c>
      <c r="Q406" s="9"/>
      <c r="R406" s="10"/>
      <c r="S406" s="10"/>
      <c r="T406" s="10"/>
      <c r="U406" s="9"/>
      <c r="Y406" t="s">
        <v>179</v>
      </c>
      <c r="Z406" t="s">
        <v>41</v>
      </c>
      <c r="AB406" t="str">
        <f t="shared" si="18"/>
        <v>24127</v>
      </c>
    </row>
    <row r="407" ht="14.25" spans="1:28">
      <c r="A407" s="5" t="s">
        <v>28</v>
      </c>
      <c r="B407" s="5" t="s">
        <v>264</v>
      </c>
      <c r="C407" s="5">
        <v>2027</v>
      </c>
      <c r="D407" s="5" t="s">
        <v>30</v>
      </c>
      <c r="E407" s="9" t="s">
        <v>386</v>
      </c>
      <c r="F407" s="9" t="s">
        <v>383</v>
      </c>
      <c r="G407" s="9" t="s">
        <v>387</v>
      </c>
      <c r="H407" s="9" t="s">
        <v>388</v>
      </c>
      <c r="I407" s="9" t="s">
        <v>269</v>
      </c>
      <c r="J407" s="9" t="s">
        <v>36</v>
      </c>
      <c r="K407" s="9">
        <v>490</v>
      </c>
      <c r="L407" s="9"/>
      <c r="M407" s="9"/>
      <c r="N407" s="9"/>
      <c r="O407" s="9" t="s">
        <v>37</v>
      </c>
      <c r="P407" s="9" t="s">
        <v>45</v>
      </c>
      <c r="Q407" s="9"/>
      <c r="R407" s="10"/>
      <c r="S407" s="10"/>
      <c r="T407" s="10"/>
      <c r="U407" s="9"/>
      <c r="Y407" t="s">
        <v>179</v>
      </c>
      <c r="Z407" t="s">
        <v>41</v>
      </c>
      <c r="AB407" t="str">
        <f t="shared" si="18"/>
        <v>24127</v>
      </c>
    </row>
    <row r="408" ht="14.25" spans="1:28">
      <c r="A408" s="5" t="s">
        <v>28</v>
      </c>
      <c r="B408" s="5" t="s">
        <v>264</v>
      </c>
      <c r="C408" s="5">
        <v>2027</v>
      </c>
      <c r="D408" s="5" t="s">
        <v>30</v>
      </c>
      <c r="E408" s="9" t="s">
        <v>389</v>
      </c>
      <c r="F408" s="9" t="s">
        <v>383</v>
      </c>
      <c r="G408" s="9" t="s">
        <v>346</v>
      </c>
      <c r="H408" s="9" t="s">
        <v>390</v>
      </c>
      <c r="I408" s="9" t="s">
        <v>269</v>
      </c>
      <c r="J408" s="9" t="s">
        <v>36</v>
      </c>
      <c r="K408" s="9">
        <v>490</v>
      </c>
      <c r="L408" s="9"/>
      <c r="M408" s="9"/>
      <c r="N408" s="9"/>
      <c r="O408" s="9" t="s">
        <v>37</v>
      </c>
      <c r="P408" s="9" t="s">
        <v>38</v>
      </c>
      <c r="Q408" s="9"/>
      <c r="R408" s="10">
        <f t="shared" si="19"/>
        <v>0</v>
      </c>
      <c r="S408" s="10">
        <f>SUMIFS([1]Sheet1!$T:$T,[1]Sheet1!$I:$I,E408,[1]Sheet1!$C:$C,A408)</f>
        <v>0</v>
      </c>
      <c r="T408" s="10">
        <f t="shared" si="20"/>
        <v>0</v>
      </c>
      <c r="U408" s="9" t="s">
        <v>148</v>
      </c>
      <c r="V408" t="s">
        <v>184</v>
      </c>
      <c r="W408" t="s">
        <v>138</v>
      </c>
      <c r="X408" t="s">
        <v>191</v>
      </c>
      <c r="Y408" t="s">
        <v>179</v>
      </c>
      <c r="Z408" t="s">
        <v>41</v>
      </c>
      <c r="AB408" t="str">
        <f t="shared" si="18"/>
        <v>24127</v>
      </c>
    </row>
    <row r="409" ht="14.25" spans="1:28">
      <c r="A409" s="5" t="s">
        <v>28</v>
      </c>
      <c r="B409" s="5" t="s">
        <v>264</v>
      </c>
      <c r="C409" s="5">
        <v>2027</v>
      </c>
      <c r="D409" s="5" t="s">
        <v>30</v>
      </c>
      <c r="E409" s="9" t="s">
        <v>389</v>
      </c>
      <c r="F409" s="9" t="s">
        <v>383</v>
      </c>
      <c r="G409" s="9" t="s">
        <v>346</v>
      </c>
      <c r="H409" s="9" t="s">
        <v>390</v>
      </c>
      <c r="I409" s="9" t="s">
        <v>269</v>
      </c>
      <c r="J409" s="9" t="s">
        <v>36</v>
      </c>
      <c r="K409" s="9">
        <v>490</v>
      </c>
      <c r="L409" s="9"/>
      <c r="M409" s="9"/>
      <c r="N409" s="9"/>
      <c r="O409" s="9" t="s">
        <v>37</v>
      </c>
      <c r="P409" s="9" t="s">
        <v>42</v>
      </c>
      <c r="Q409" s="9"/>
      <c r="R409" s="10"/>
      <c r="S409" s="10"/>
      <c r="T409" s="10"/>
      <c r="U409" s="9" t="s">
        <v>148</v>
      </c>
      <c r="V409" t="s">
        <v>184</v>
      </c>
      <c r="W409" t="s">
        <v>138</v>
      </c>
      <c r="X409" t="s">
        <v>191</v>
      </c>
      <c r="Y409" t="s">
        <v>179</v>
      </c>
      <c r="Z409" t="s">
        <v>41</v>
      </c>
      <c r="AB409" t="str">
        <f t="shared" si="18"/>
        <v>24127</v>
      </c>
    </row>
    <row r="410" ht="14.25" spans="1:28">
      <c r="A410" s="5" t="s">
        <v>28</v>
      </c>
      <c r="B410" s="5" t="s">
        <v>264</v>
      </c>
      <c r="C410" s="5">
        <v>2027</v>
      </c>
      <c r="D410" s="5" t="s">
        <v>30</v>
      </c>
      <c r="E410" s="9" t="s">
        <v>389</v>
      </c>
      <c r="F410" s="9" t="s">
        <v>383</v>
      </c>
      <c r="G410" s="9" t="s">
        <v>346</v>
      </c>
      <c r="H410" s="9" t="s">
        <v>390</v>
      </c>
      <c r="I410" s="9" t="s">
        <v>269</v>
      </c>
      <c r="J410" s="9" t="s">
        <v>36</v>
      </c>
      <c r="K410" s="9">
        <v>490</v>
      </c>
      <c r="L410" s="9"/>
      <c r="M410" s="9"/>
      <c r="N410" s="9"/>
      <c r="O410" s="9" t="s">
        <v>37</v>
      </c>
      <c r="P410" s="9" t="s">
        <v>43</v>
      </c>
      <c r="Q410" s="9"/>
      <c r="R410" s="10"/>
      <c r="S410" s="10"/>
      <c r="T410" s="10"/>
      <c r="U410" s="9" t="s">
        <v>148</v>
      </c>
      <c r="V410" t="s">
        <v>184</v>
      </c>
      <c r="W410" t="s">
        <v>138</v>
      </c>
      <c r="X410" t="s">
        <v>191</v>
      </c>
      <c r="Y410" t="s">
        <v>179</v>
      </c>
      <c r="Z410" t="s">
        <v>41</v>
      </c>
      <c r="AB410" t="str">
        <f t="shared" si="18"/>
        <v>24127</v>
      </c>
    </row>
    <row r="411" ht="14.25" spans="1:28">
      <c r="A411" s="5" t="s">
        <v>28</v>
      </c>
      <c r="B411" s="5" t="s">
        <v>264</v>
      </c>
      <c r="C411" s="5">
        <v>2027</v>
      </c>
      <c r="D411" s="5" t="s">
        <v>30</v>
      </c>
      <c r="E411" s="9" t="s">
        <v>389</v>
      </c>
      <c r="F411" s="9" t="s">
        <v>383</v>
      </c>
      <c r="G411" s="9" t="s">
        <v>346</v>
      </c>
      <c r="H411" s="9" t="s">
        <v>390</v>
      </c>
      <c r="I411" s="9" t="s">
        <v>269</v>
      </c>
      <c r="J411" s="9" t="s">
        <v>36</v>
      </c>
      <c r="K411" s="9">
        <v>490</v>
      </c>
      <c r="L411" s="9"/>
      <c r="M411" s="9"/>
      <c r="N411" s="9"/>
      <c r="O411" s="9" t="s">
        <v>37</v>
      </c>
      <c r="P411" s="9" t="s">
        <v>44</v>
      </c>
      <c r="Q411" s="9"/>
      <c r="R411" s="10"/>
      <c r="S411" s="10"/>
      <c r="T411" s="10"/>
      <c r="U411" s="9" t="s">
        <v>148</v>
      </c>
      <c r="V411" t="s">
        <v>184</v>
      </c>
      <c r="W411" t="s">
        <v>138</v>
      </c>
      <c r="X411" t="s">
        <v>191</v>
      </c>
      <c r="Y411" t="s">
        <v>179</v>
      </c>
      <c r="Z411" t="s">
        <v>41</v>
      </c>
      <c r="AB411" t="str">
        <f t="shared" si="18"/>
        <v>24127</v>
      </c>
    </row>
    <row r="412" ht="14.25" spans="1:28">
      <c r="A412" s="5" t="s">
        <v>28</v>
      </c>
      <c r="B412" s="5" t="s">
        <v>264</v>
      </c>
      <c r="C412" s="5">
        <v>2027</v>
      </c>
      <c r="D412" s="5" t="s">
        <v>30</v>
      </c>
      <c r="E412" s="9" t="s">
        <v>389</v>
      </c>
      <c r="F412" s="9" t="s">
        <v>383</v>
      </c>
      <c r="G412" s="9" t="s">
        <v>346</v>
      </c>
      <c r="H412" s="9" t="s">
        <v>390</v>
      </c>
      <c r="I412" s="9" t="s">
        <v>269</v>
      </c>
      <c r="J412" s="9" t="s">
        <v>36</v>
      </c>
      <c r="K412" s="9">
        <v>490</v>
      </c>
      <c r="L412" s="9"/>
      <c r="M412" s="9"/>
      <c r="N412" s="9"/>
      <c r="O412" s="9" t="s">
        <v>37</v>
      </c>
      <c r="P412" s="9" t="s">
        <v>45</v>
      </c>
      <c r="Q412" s="9"/>
      <c r="R412" s="10"/>
      <c r="S412" s="10"/>
      <c r="T412" s="10"/>
      <c r="U412" s="9" t="s">
        <v>148</v>
      </c>
      <c r="V412" t="s">
        <v>184</v>
      </c>
      <c r="W412" t="s">
        <v>138</v>
      </c>
      <c r="X412" t="s">
        <v>191</v>
      </c>
      <c r="Y412" t="s">
        <v>179</v>
      </c>
      <c r="Z412" t="s">
        <v>41</v>
      </c>
      <c r="AB412" t="str">
        <f t="shared" si="18"/>
        <v>24127</v>
      </c>
    </row>
    <row r="413" ht="14.25" spans="1:28">
      <c r="A413" s="5" t="s">
        <v>28</v>
      </c>
      <c r="B413" s="5" t="s">
        <v>264</v>
      </c>
      <c r="C413" s="5">
        <v>2027</v>
      </c>
      <c r="D413" s="5" t="s">
        <v>30</v>
      </c>
      <c r="E413" s="9" t="s">
        <v>391</v>
      </c>
      <c r="F413" s="9" t="s">
        <v>383</v>
      </c>
      <c r="G413" s="9" t="s">
        <v>189</v>
      </c>
      <c r="H413" s="9" t="s">
        <v>392</v>
      </c>
      <c r="I413" s="9" t="s">
        <v>269</v>
      </c>
      <c r="J413" s="9" t="s">
        <v>36</v>
      </c>
      <c r="K413" s="9">
        <v>490</v>
      </c>
      <c r="L413" s="9"/>
      <c r="M413" s="9"/>
      <c r="N413" s="9"/>
      <c r="O413" s="9" t="s">
        <v>37</v>
      </c>
      <c r="P413" s="9" t="s">
        <v>38</v>
      </c>
      <c r="Q413" s="9"/>
      <c r="R413" s="10">
        <f t="shared" si="19"/>
        <v>0</v>
      </c>
      <c r="S413" s="10">
        <f>SUMIFS([1]Sheet1!$T:$T,[1]Sheet1!$I:$I,E413,[1]Sheet1!$C:$C,A413)</f>
        <v>0</v>
      </c>
      <c r="T413" s="10">
        <f t="shared" si="20"/>
        <v>0</v>
      </c>
      <c r="U413" s="9" t="s">
        <v>148</v>
      </c>
      <c r="V413" t="s">
        <v>184</v>
      </c>
      <c r="W413" t="s">
        <v>138</v>
      </c>
      <c r="X413" t="s">
        <v>191</v>
      </c>
      <c r="Y413" t="s">
        <v>179</v>
      </c>
      <c r="Z413" t="s">
        <v>41</v>
      </c>
      <c r="AB413" t="str">
        <f t="shared" si="18"/>
        <v>24127</v>
      </c>
    </row>
    <row r="414" ht="14.25" spans="1:28">
      <c r="A414" s="5" t="s">
        <v>28</v>
      </c>
      <c r="B414" s="5" t="s">
        <v>264</v>
      </c>
      <c r="C414" s="5">
        <v>2027</v>
      </c>
      <c r="D414" s="5" t="s">
        <v>30</v>
      </c>
      <c r="E414" s="9" t="s">
        <v>391</v>
      </c>
      <c r="F414" s="9" t="s">
        <v>383</v>
      </c>
      <c r="G414" s="9" t="s">
        <v>189</v>
      </c>
      <c r="H414" s="9" t="s">
        <v>392</v>
      </c>
      <c r="I414" s="9" t="s">
        <v>269</v>
      </c>
      <c r="J414" s="9" t="s">
        <v>36</v>
      </c>
      <c r="K414" s="9">
        <v>490</v>
      </c>
      <c r="L414" s="9"/>
      <c r="M414" s="9"/>
      <c r="N414" s="9"/>
      <c r="O414" s="9" t="s">
        <v>37</v>
      </c>
      <c r="P414" s="9" t="s">
        <v>42</v>
      </c>
      <c r="Q414" s="9"/>
      <c r="R414" s="10"/>
      <c r="S414" s="10"/>
      <c r="T414" s="10"/>
      <c r="U414" s="9" t="s">
        <v>148</v>
      </c>
      <c r="V414" t="s">
        <v>184</v>
      </c>
      <c r="W414" t="s">
        <v>138</v>
      </c>
      <c r="X414" t="s">
        <v>191</v>
      </c>
      <c r="Y414" t="s">
        <v>179</v>
      </c>
      <c r="Z414" t="s">
        <v>41</v>
      </c>
      <c r="AB414" t="str">
        <f t="shared" si="18"/>
        <v>24127</v>
      </c>
    </row>
    <row r="415" ht="14.25" spans="1:28">
      <c r="A415" s="5" t="s">
        <v>28</v>
      </c>
      <c r="B415" s="5" t="s">
        <v>264</v>
      </c>
      <c r="C415" s="5">
        <v>2027</v>
      </c>
      <c r="D415" s="5" t="s">
        <v>30</v>
      </c>
      <c r="E415" s="9" t="s">
        <v>391</v>
      </c>
      <c r="F415" s="9" t="s">
        <v>383</v>
      </c>
      <c r="G415" s="9" t="s">
        <v>189</v>
      </c>
      <c r="H415" s="9" t="s">
        <v>392</v>
      </c>
      <c r="I415" s="9" t="s">
        <v>269</v>
      </c>
      <c r="J415" s="9" t="s">
        <v>36</v>
      </c>
      <c r="K415" s="9">
        <v>490</v>
      </c>
      <c r="L415" s="9"/>
      <c r="M415" s="9"/>
      <c r="N415" s="9"/>
      <c r="O415" s="9" t="s">
        <v>37</v>
      </c>
      <c r="P415" s="9" t="s">
        <v>43</v>
      </c>
      <c r="Q415" s="9"/>
      <c r="R415" s="10"/>
      <c r="S415" s="10"/>
      <c r="T415" s="10"/>
      <c r="U415" s="9" t="s">
        <v>148</v>
      </c>
      <c r="V415" t="s">
        <v>184</v>
      </c>
      <c r="W415" t="s">
        <v>138</v>
      </c>
      <c r="X415" t="s">
        <v>191</v>
      </c>
      <c r="Y415" t="s">
        <v>179</v>
      </c>
      <c r="Z415" t="s">
        <v>41</v>
      </c>
      <c r="AB415" t="str">
        <f t="shared" si="18"/>
        <v>24127</v>
      </c>
    </row>
    <row r="416" ht="14.25" spans="1:28">
      <c r="A416" s="5" t="s">
        <v>28</v>
      </c>
      <c r="B416" s="5" t="s">
        <v>264</v>
      </c>
      <c r="C416" s="5">
        <v>2027</v>
      </c>
      <c r="D416" s="5" t="s">
        <v>30</v>
      </c>
      <c r="E416" s="9" t="s">
        <v>391</v>
      </c>
      <c r="F416" s="9" t="s">
        <v>383</v>
      </c>
      <c r="G416" s="9" t="s">
        <v>189</v>
      </c>
      <c r="H416" s="9" t="s">
        <v>392</v>
      </c>
      <c r="I416" s="9" t="s">
        <v>269</v>
      </c>
      <c r="J416" s="9" t="s">
        <v>36</v>
      </c>
      <c r="K416" s="9">
        <v>490</v>
      </c>
      <c r="L416" s="9"/>
      <c r="M416" s="9"/>
      <c r="N416" s="9"/>
      <c r="O416" s="9" t="s">
        <v>37</v>
      </c>
      <c r="P416" s="9" t="s">
        <v>44</v>
      </c>
      <c r="Q416" s="9"/>
      <c r="R416" s="10"/>
      <c r="S416" s="10"/>
      <c r="T416" s="10"/>
      <c r="U416" s="9" t="s">
        <v>148</v>
      </c>
      <c r="V416" t="s">
        <v>184</v>
      </c>
      <c r="W416" t="s">
        <v>138</v>
      </c>
      <c r="X416" t="s">
        <v>191</v>
      </c>
      <c r="Y416" t="s">
        <v>179</v>
      </c>
      <c r="Z416" t="s">
        <v>41</v>
      </c>
      <c r="AB416" t="str">
        <f t="shared" si="18"/>
        <v>24127</v>
      </c>
    </row>
    <row r="417" ht="14.25" spans="1:28">
      <c r="A417" s="5" t="s">
        <v>28</v>
      </c>
      <c r="B417" s="5" t="s">
        <v>264</v>
      </c>
      <c r="C417" s="5">
        <v>2027</v>
      </c>
      <c r="D417" s="5" t="s">
        <v>30</v>
      </c>
      <c r="E417" s="9" t="s">
        <v>391</v>
      </c>
      <c r="F417" s="9" t="s">
        <v>383</v>
      </c>
      <c r="G417" s="9" t="s">
        <v>189</v>
      </c>
      <c r="H417" s="9" t="s">
        <v>392</v>
      </c>
      <c r="I417" s="9" t="s">
        <v>269</v>
      </c>
      <c r="J417" s="9" t="s">
        <v>36</v>
      </c>
      <c r="K417" s="9">
        <v>490</v>
      </c>
      <c r="L417" s="9"/>
      <c r="M417" s="9"/>
      <c r="N417" s="9"/>
      <c r="O417" s="9" t="s">
        <v>37</v>
      </c>
      <c r="P417" s="9" t="s">
        <v>45</v>
      </c>
      <c r="Q417" s="9"/>
      <c r="R417" s="10"/>
      <c r="S417" s="10"/>
      <c r="T417" s="10"/>
      <c r="U417" s="9" t="s">
        <v>148</v>
      </c>
      <c r="V417" t="s">
        <v>184</v>
      </c>
      <c r="W417" t="s">
        <v>138</v>
      </c>
      <c r="X417" t="s">
        <v>191</v>
      </c>
      <c r="Y417" t="s">
        <v>179</v>
      </c>
      <c r="Z417" t="s">
        <v>41</v>
      </c>
      <c r="AB417" t="str">
        <f t="shared" si="18"/>
        <v>24127</v>
      </c>
    </row>
    <row r="418" ht="14.25" spans="1:28">
      <c r="A418" s="5" t="s">
        <v>28</v>
      </c>
      <c r="B418" s="5" t="s">
        <v>264</v>
      </c>
      <c r="C418" s="5">
        <v>2027</v>
      </c>
      <c r="D418" s="5" t="s">
        <v>30</v>
      </c>
      <c r="E418" s="9" t="s">
        <v>393</v>
      </c>
      <c r="F418" s="9" t="s">
        <v>394</v>
      </c>
      <c r="G418" s="9" t="s">
        <v>343</v>
      </c>
      <c r="H418" s="9" t="s">
        <v>395</v>
      </c>
      <c r="I418" s="9" t="s">
        <v>276</v>
      </c>
      <c r="J418" s="9" t="s">
        <v>36</v>
      </c>
      <c r="K418" s="9">
        <v>490</v>
      </c>
      <c r="L418" s="9"/>
      <c r="M418" s="9"/>
      <c r="N418" s="9"/>
      <c r="O418" s="9" t="s">
        <v>37</v>
      </c>
      <c r="P418" s="9" t="s">
        <v>38</v>
      </c>
      <c r="Q418" s="9"/>
      <c r="R418" s="10">
        <f t="shared" si="19"/>
        <v>0</v>
      </c>
      <c r="S418" s="10">
        <f>SUMIFS([1]Sheet1!$T:$T,[1]Sheet1!$I:$I,E418,[1]Sheet1!$C:$C,A418)</f>
        <v>0</v>
      </c>
      <c r="T418" s="10">
        <f t="shared" si="20"/>
        <v>0</v>
      </c>
      <c r="U418" s="9"/>
      <c r="Y418" t="s">
        <v>179</v>
      </c>
      <c r="Z418" t="s">
        <v>104</v>
      </c>
      <c r="AB418" t="str">
        <f t="shared" si="18"/>
        <v>24133</v>
      </c>
    </row>
    <row r="419" ht="14.25" spans="1:28">
      <c r="A419" s="5" t="s">
        <v>28</v>
      </c>
      <c r="B419" s="5" t="s">
        <v>264</v>
      </c>
      <c r="C419" s="5">
        <v>2027</v>
      </c>
      <c r="D419" s="5" t="s">
        <v>30</v>
      </c>
      <c r="E419" s="9" t="s">
        <v>393</v>
      </c>
      <c r="F419" s="9" t="s">
        <v>394</v>
      </c>
      <c r="G419" s="9" t="s">
        <v>343</v>
      </c>
      <c r="H419" s="9" t="s">
        <v>395</v>
      </c>
      <c r="I419" s="9" t="s">
        <v>276</v>
      </c>
      <c r="J419" s="9" t="s">
        <v>36</v>
      </c>
      <c r="K419" s="9">
        <v>490</v>
      </c>
      <c r="L419" s="9"/>
      <c r="M419" s="9"/>
      <c r="N419" s="9"/>
      <c r="O419" s="9" t="s">
        <v>37</v>
      </c>
      <c r="P419" s="9" t="s">
        <v>42</v>
      </c>
      <c r="Q419" s="9"/>
      <c r="R419" s="10"/>
      <c r="S419" s="10"/>
      <c r="T419" s="10"/>
      <c r="U419" s="9"/>
      <c r="Y419" t="s">
        <v>179</v>
      </c>
      <c r="Z419" t="s">
        <v>104</v>
      </c>
      <c r="AB419" t="str">
        <f t="shared" si="18"/>
        <v>24133</v>
      </c>
    </row>
    <row r="420" ht="14.25" spans="1:28">
      <c r="A420" s="5" t="s">
        <v>28</v>
      </c>
      <c r="B420" s="5" t="s">
        <v>264</v>
      </c>
      <c r="C420" s="5">
        <v>2027</v>
      </c>
      <c r="D420" s="5" t="s">
        <v>30</v>
      </c>
      <c r="E420" s="9" t="s">
        <v>393</v>
      </c>
      <c r="F420" s="9" t="s">
        <v>394</v>
      </c>
      <c r="G420" s="9" t="s">
        <v>343</v>
      </c>
      <c r="H420" s="9" t="s">
        <v>395</v>
      </c>
      <c r="I420" s="9" t="s">
        <v>276</v>
      </c>
      <c r="J420" s="9" t="s">
        <v>36</v>
      </c>
      <c r="K420" s="9">
        <v>490</v>
      </c>
      <c r="L420" s="9"/>
      <c r="M420" s="9"/>
      <c r="N420" s="9"/>
      <c r="O420" s="9" t="s">
        <v>37</v>
      </c>
      <c r="P420" s="9" t="s">
        <v>43</v>
      </c>
      <c r="Q420" s="9"/>
      <c r="R420" s="10"/>
      <c r="S420" s="10"/>
      <c r="T420" s="10"/>
      <c r="U420" s="9"/>
      <c r="Y420" t="s">
        <v>179</v>
      </c>
      <c r="Z420" t="s">
        <v>104</v>
      </c>
      <c r="AB420" t="str">
        <f t="shared" si="18"/>
        <v>24133</v>
      </c>
    </row>
    <row r="421" ht="14.25" spans="1:28">
      <c r="A421" s="5" t="s">
        <v>28</v>
      </c>
      <c r="B421" s="5" t="s">
        <v>264</v>
      </c>
      <c r="C421" s="5">
        <v>2027</v>
      </c>
      <c r="D421" s="5" t="s">
        <v>30</v>
      </c>
      <c r="E421" s="9" t="s">
        <v>393</v>
      </c>
      <c r="F421" s="9" t="s">
        <v>394</v>
      </c>
      <c r="G421" s="9" t="s">
        <v>343</v>
      </c>
      <c r="H421" s="9" t="s">
        <v>395</v>
      </c>
      <c r="I421" s="9" t="s">
        <v>276</v>
      </c>
      <c r="J421" s="9" t="s">
        <v>36</v>
      </c>
      <c r="K421" s="9">
        <v>490</v>
      </c>
      <c r="L421" s="9"/>
      <c r="M421" s="9"/>
      <c r="N421" s="9"/>
      <c r="O421" s="9" t="s">
        <v>37</v>
      </c>
      <c r="P421" s="9" t="s">
        <v>44</v>
      </c>
      <c r="Q421" s="9"/>
      <c r="R421" s="10"/>
      <c r="S421" s="10"/>
      <c r="T421" s="10"/>
      <c r="U421" s="9"/>
      <c r="Y421" t="s">
        <v>179</v>
      </c>
      <c r="Z421" t="s">
        <v>104</v>
      </c>
      <c r="AB421" t="str">
        <f t="shared" si="18"/>
        <v>24133</v>
      </c>
    </row>
    <row r="422" ht="14.25" spans="1:28">
      <c r="A422" s="5" t="s">
        <v>28</v>
      </c>
      <c r="B422" s="5" t="s">
        <v>264</v>
      </c>
      <c r="C422" s="5">
        <v>2027</v>
      </c>
      <c r="D422" s="5" t="s">
        <v>30</v>
      </c>
      <c r="E422" s="9" t="s">
        <v>393</v>
      </c>
      <c r="F422" s="9" t="s">
        <v>394</v>
      </c>
      <c r="G422" s="9" t="s">
        <v>343</v>
      </c>
      <c r="H422" s="9" t="s">
        <v>395</v>
      </c>
      <c r="I422" s="9" t="s">
        <v>276</v>
      </c>
      <c r="J422" s="9" t="s">
        <v>36</v>
      </c>
      <c r="K422" s="9">
        <v>490</v>
      </c>
      <c r="L422" s="9"/>
      <c r="M422" s="9"/>
      <c r="N422" s="9"/>
      <c r="O422" s="9" t="s">
        <v>37</v>
      </c>
      <c r="P422" s="9" t="s">
        <v>45</v>
      </c>
      <c r="Q422" s="9"/>
      <c r="R422" s="10"/>
      <c r="S422" s="10"/>
      <c r="T422" s="10"/>
      <c r="U422" s="9"/>
      <c r="Y422" t="s">
        <v>179</v>
      </c>
      <c r="Z422" t="s">
        <v>104</v>
      </c>
      <c r="AB422" t="str">
        <f t="shared" si="18"/>
        <v>24133</v>
      </c>
    </row>
    <row r="423" ht="14.25" spans="1:28">
      <c r="A423" s="5" t="s">
        <v>28</v>
      </c>
      <c r="B423" s="5" t="s">
        <v>264</v>
      </c>
      <c r="C423" s="5">
        <v>2027</v>
      </c>
      <c r="D423" s="5" t="s">
        <v>30</v>
      </c>
      <c r="E423" s="9" t="s">
        <v>396</v>
      </c>
      <c r="F423" s="9" t="s">
        <v>394</v>
      </c>
      <c r="G423" s="9" t="s">
        <v>397</v>
      </c>
      <c r="H423" s="9" t="s">
        <v>398</v>
      </c>
      <c r="I423" s="9" t="s">
        <v>276</v>
      </c>
      <c r="J423" s="9" t="s">
        <v>36</v>
      </c>
      <c r="K423" s="9">
        <v>490</v>
      </c>
      <c r="L423" s="9"/>
      <c r="M423" s="9"/>
      <c r="N423" s="9"/>
      <c r="O423" s="9" t="s">
        <v>37</v>
      </c>
      <c r="P423" s="9" t="s">
        <v>38</v>
      </c>
      <c r="Q423" s="9"/>
      <c r="R423" s="10">
        <f t="shared" si="19"/>
        <v>0</v>
      </c>
      <c r="S423" s="10">
        <f>SUMIFS([1]Sheet1!$T:$T,[1]Sheet1!$I:$I,E423,[1]Sheet1!$C:$C,A423)</f>
        <v>0</v>
      </c>
      <c r="T423" s="10">
        <f t="shared" si="20"/>
        <v>0</v>
      </c>
      <c r="U423" s="9"/>
      <c r="Y423" t="s">
        <v>179</v>
      </c>
      <c r="Z423" t="s">
        <v>104</v>
      </c>
      <c r="AB423" t="str">
        <f t="shared" si="18"/>
        <v>24133</v>
      </c>
    </row>
    <row r="424" ht="14.25" spans="1:28">
      <c r="A424" s="5" t="s">
        <v>28</v>
      </c>
      <c r="B424" s="5" t="s">
        <v>264</v>
      </c>
      <c r="C424" s="5">
        <v>2027</v>
      </c>
      <c r="D424" s="5" t="s">
        <v>30</v>
      </c>
      <c r="E424" s="9" t="s">
        <v>396</v>
      </c>
      <c r="F424" s="9" t="s">
        <v>394</v>
      </c>
      <c r="G424" s="9" t="s">
        <v>397</v>
      </c>
      <c r="H424" s="9" t="s">
        <v>398</v>
      </c>
      <c r="I424" s="9" t="s">
        <v>276</v>
      </c>
      <c r="J424" s="9" t="s">
        <v>36</v>
      </c>
      <c r="K424" s="9">
        <v>490</v>
      </c>
      <c r="L424" s="9"/>
      <c r="M424" s="9"/>
      <c r="N424" s="9"/>
      <c r="O424" s="9" t="s">
        <v>37</v>
      </c>
      <c r="P424" s="9" t="s">
        <v>42</v>
      </c>
      <c r="Q424" s="9"/>
      <c r="R424" s="10"/>
      <c r="S424" s="10"/>
      <c r="T424" s="10"/>
      <c r="U424" s="9"/>
      <c r="Y424" t="s">
        <v>179</v>
      </c>
      <c r="Z424" t="s">
        <v>104</v>
      </c>
      <c r="AB424" t="str">
        <f t="shared" si="18"/>
        <v>24133</v>
      </c>
    </row>
    <row r="425" ht="14.25" spans="1:28">
      <c r="A425" s="5" t="s">
        <v>28</v>
      </c>
      <c r="B425" s="5" t="s">
        <v>264</v>
      </c>
      <c r="C425" s="5">
        <v>2027</v>
      </c>
      <c r="D425" s="5" t="s">
        <v>30</v>
      </c>
      <c r="E425" s="9" t="s">
        <v>396</v>
      </c>
      <c r="F425" s="9" t="s">
        <v>394</v>
      </c>
      <c r="G425" s="9" t="s">
        <v>397</v>
      </c>
      <c r="H425" s="9" t="s">
        <v>398</v>
      </c>
      <c r="I425" s="9" t="s">
        <v>276</v>
      </c>
      <c r="J425" s="9" t="s">
        <v>36</v>
      </c>
      <c r="K425" s="9">
        <v>490</v>
      </c>
      <c r="L425" s="9"/>
      <c r="M425" s="9"/>
      <c r="N425" s="9"/>
      <c r="O425" s="9" t="s">
        <v>37</v>
      </c>
      <c r="P425" s="9" t="s">
        <v>43</v>
      </c>
      <c r="Q425" s="9"/>
      <c r="R425" s="10"/>
      <c r="S425" s="10"/>
      <c r="T425" s="10"/>
      <c r="U425" s="9"/>
      <c r="Y425" t="s">
        <v>179</v>
      </c>
      <c r="Z425" t="s">
        <v>104</v>
      </c>
      <c r="AB425" t="str">
        <f t="shared" si="18"/>
        <v>24133</v>
      </c>
    </row>
    <row r="426" ht="14.25" spans="1:28">
      <c r="A426" s="5" t="s">
        <v>28</v>
      </c>
      <c r="B426" s="5" t="s">
        <v>264</v>
      </c>
      <c r="C426" s="5">
        <v>2027</v>
      </c>
      <c r="D426" s="5" t="s">
        <v>30</v>
      </c>
      <c r="E426" s="9" t="s">
        <v>396</v>
      </c>
      <c r="F426" s="9" t="s">
        <v>394</v>
      </c>
      <c r="G426" s="9" t="s">
        <v>397</v>
      </c>
      <c r="H426" s="9" t="s">
        <v>398</v>
      </c>
      <c r="I426" s="9" t="s">
        <v>276</v>
      </c>
      <c r="J426" s="9" t="s">
        <v>36</v>
      </c>
      <c r="K426" s="9">
        <v>490</v>
      </c>
      <c r="L426" s="9"/>
      <c r="M426" s="9"/>
      <c r="N426" s="9"/>
      <c r="O426" s="9" t="s">
        <v>37</v>
      </c>
      <c r="P426" s="9" t="s">
        <v>44</v>
      </c>
      <c r="Q426" s="9"/>
      <c r="R426" s="10"/>
      <c r="S426" s="10"/>
      <c r="T426" s="10"/>
      <c r="U426" s="9"/>
      <c r="Y426" t="s">
        <v>179</v>
      </c>
      <c r="Z426" t="s">
        <v>104</v>
      </c>
      <c r="AB426" t="str">
        <f t="shared" si="18"/>
        <v>24133</v>
      </c>
    </row>
    <row r="427" ht="14.25" spans="1:28">
      <c r="A427" s="5" t="s">
        <v>28</v>
      </c>
      <c r="B427" s="5" t="s">
        <v>264</v>
      </c>
      <c r="C427" s="5">
        <v>2027</v>
      </c>
      <c r="D427" s="5" t="s">
        <v>30</v>
      </c>
      <c r="E427" s="9" t="s">
        <v>396</v>
      </c>
      <c r="F427" s="9" t="s">
        <v>394</v>
      </c>
      <c r="G427" s="9" t="s">
        <v>397</v>
      </c>
      <c r="H427" s="9" t="s">
        <v>398</v>
      </c>
      <c r="I427" s="9" t="s">
        <v>276</v>
      </c>
      <c r="J427" s="9" t="s">
        <v>36</v>
      </c>
      <c r="K427" s="9">
        <v>490</v>
      </c>
      <c r="L427" s="9"/>
      <c r="M427" s="9"/>
      <c r="N427" s="9"/>
      <c r="O427" s="9" t="s">
        <v>37</v>
      </c>
      <c r="P427" s="9" t="s">
        <v>45</v>
      </c>
      <c r="Q427" s="9"/>
      <c r="R427" s="10"/>
      <c r="S427" s="10"/>
      <c r="T427" s="10"/>
      <c r="U427" s="9"/>
      <c r="Y427" t="s">
        <v>179</v>
      </c>
      <c r="Z427" t="s">
        <v>104</v>
      </c>
      <c r="AB427" t="str">
        <f t="shared" si="18"/>
        <v>24133</v>
      </c>
    </row>
    <row r="428" ht="14.25" spans="1:28">
      <c r="A428" s="5" t="s">
        <v>28</v>
      </c>
      <c r="B428" s="5" t="s">
        <v>264</v>
      </c>
      <c r="C428" s="5">
        <v>2027</v>
      </c>
      <c r="D428" s="5" t="s">
        <v>30</v>
      </c>
      <c r="E428" s="9" t="s">
        <v>399</v>
      </c>
      <c r="F428" s="9" t="s">
        <v>400</v>
      </c>
      <c r="G428" s="9" t="s">
        <v>401</v>
      </c>
      <c r="H428" s="9" t="s">
        <v>402</v>
      </c>
      <c r="I428" s="9" t="s">
        <v>403</v>
      </c>
      <c r="J428" s="9" t="s">
        <v>36</v>
      </c>
      <c r="K428" s="9">
        <v>1190</v>
      </c>
      <c r="L428" s="9"/>
      <c r="M428" s="9"/>
      <c r="N428" s="9"/>
      <c r="O428" s="9" t="s">
        <v>37</v>
      </c>
      <c r="P428" s="9" t="s">
        <v>38</v>
      </c>
      <c r="Q428" s="9"/>
      <c r="R428" s="10">
        <f t="shared" si="19"/>
        <v>0</v>
      </c>
      <c r="S428" s="10">
        <f>SUMIFS([1]Sheet1!$T:$T,[1]Sheet1!$I:$I,E428,[1]Sheet1!$C:$C,A428)</f>
        <v>0</v>
      </c>
      <c r="T428" s="10">
        <f t="shared" si="20"/>
        <v>0</v>
      </c>
      <c r="U428" s="9"/>
      <c r="Y428" t="s">
        <v>179</v>
      </c>
      <c r="Z428" t="s">
        <v>41</v>
      </c>
      <c r="AB428" t="str">
        <f t="shared" si="18"/>
        <v>24141</v>
      </c>
    </row>
    <row r="429" ht="14.25" spans="1:28">
      <c r="A429" s="5" t="s">
        <v>28</v>
      </c>
      <c r="B429" s="5" t="s">
        <v>264</v>
      </c>
      <c r="C429" s="5">
        <v>2027</v>
      </c>
      <c r="D429" s="5" t="s">
        <v>30</v>
      </c>
      <c r="E429" s="9" t="s">
        <v>399</v>
      </c>
      <c r="F429" s="9" t="s">
        <v>400</v>
      </c>
      <c r="G429" s="9" t="s">
        <v>401</v>
      </c>
      <c r="H429" s="9" t="s">
        <v>402</v>
      </c>
      <c r="I429" s="9" t="s">
        <v>403</v>
      </c>
      <c r="J429" s="9" t="s">
        <v>36</v>
      </c>
      <c r="K429" s="9">
        <v>1190</v>
      </c>
      <c r="L429" s="9"/>
      <c r="M429" s="9"/>
      <c r="N429" s="9"/>
      <c r="O429" s="9" t="s">
        <v>37</v>
      </c>
      <c r="P429" s="9" t="s">
        <v>42</v>
      </c>
      <c r="Q429" s="9"/>
      <c r="R429" s="10"/>
      <c r="S429" s="10"/>
      <c r="T429" s="10"/>
      <c r="U429" s="9"/>
      <c r="Y429" t="s">
        <v>179</v>
      </c>
      <c r="Z429" t="s">
        <v>41</v>
      </c>
      <c r="AB429" t="str">
        <f t="shared" si="18"/>
        <v>24141</v>
      </c>
    </row>
    <row r="430" ht="14.25" spans="1:28">
      <c r="A430" s="5" t="s">
        <v>28</v>
      </c>
      <c r="B430" s="5" t="s">
        <v>264</v>
      </c>
      <c r="C430" s="5">
        <v>2027</v>
      </c>
      <c r="D430" s="5" t="s">
        <v>30</v>
      </c>
      <c r="E430" s="9" t="s">
        <v>399</v>
      </c>
      <c r="F430" s="9" t="s">
        <v>400</v>
      </c>
      <c r="G430" s="9" t="s">
        <v>401</v>
      </c>
      <c r="H430" s="9" t="s">
        <v>402</v>
      </c>
      <c r="I430" s="9" t="s">
        <v>403</v>
      </c>
      <c r="J430" s="9" t="s">
        <v>36</v>
      </c>
      <c r="K430" s="9">
        <v>1190</v>
      </c>
      <c r="L430" s="9"/>
      <c r="M430" s="9"/>
      <c r="N430" s="9"/>
      <c r="O430" s="9" t="s">
        <v>37</v>
      </c>
      <c r="P430" s="9" t="s">
        <v>43</v>
      </c>
      <c r="Q430" s="9"/>
      <c r="R430" s="10"/>
      <c r="S430" s="10"/>
      <c r="T430" s="10"/>
      <c r="U430" s="9"/>
      <c r="Y430" t="s">
        <v>179</v>
      </c>
      <c r="Z430" t="s">
        <v>41</v>
      </c>
      <c r="AB430" t="str">
        <f t="shared" si="18"/>
        <v>24141</v>
      </c>
    </row>
    <row r="431" ht="14.25" spans="1:28">
      <c r="A431" s="5" t="s">
        <v>28</v>
      </c>
      <c r="B431" s="5" t="s">
        <v>264</v>
      </c>
      <c r="C431" s="5">
        <v>2027</v>
      </c>
      <c r="D431" s="5" t="s">
        <v>30</v>
      </c>
      <c r="E431" s="9" t="s">
        <v>399</v>
      </c>
      <c r="F431" s="9" t="s">
        <v>400</v>
      </c>
      <c r="G431" s="9" t="s">
        <v>401</v>
      </c>
      <c r="H431" s="9" t="s">
        <v>402</v>
      </c>
      <c r="I431" s="9" t="s">
        <v>403</v>
      </c>
      <c r="J431" s="9" t="s">
        <v>36</v>
      </c>
      <c r="K431" s="9">
        <v>1190</v>
      </c>
      <c r="L431" s="9"/>
      <c r="M431" s="9"/>
      <c r="N431" s="9"/>
      <c r="O431" s="9" t="s">
        <v>37</v>
      </c>
      <c r="P431" s="9" t="s">
        <v>44</v>
      </c>
      <c r="Q431" s="9"/>
      <c r="R431" s="10"/>
      <c r="S431" s="10"/>
      <c r="T431" s="10"/>
      <c r="U431" s="9"/>
      <c r="Y431" t="s">
        <v>179</v>
      </c>
      <c r="Z431" t="s">
        <v>41</v>
      </c>
      <c r="AB431" t="str">
        <f t="shared" si="18"/>
        <v>24141</v>
      </c>
    </row>
    <row r="432" ht="14.25" spans="1:28">
      <c r="A432" s="5" t="s">
        <v>28</v>
      </c>
      <c r="B432" s="5" t="s">
        <v>264</v>
      </c>
      <c r="C432" s="5">
        <v>2027</v>
      </c>
      <c r="D432" s="5" t="s">
        <v>30</v>
      </c>
      <c r="E432" s="9" t="s">
        <v>399</v>
      </c>
      <c r="F432" s="9" t="s">
        <v>400</v>
      </c>
      <c r="G432" s="9" t="s">
        <v>401</v>
      </c>
      <c r="H432" s="9" t="s">
        <v>402</v>
      </c>
      <c r="I432" s="9" t="s">
        <v>403</v>
      </c>
      <c r="J432" s="9" t="s">
        <v>36</v>
      </c>
      <c r="K432" s="9">
        <v>1190</v>
      </c>
      <c r="L432" s="9"/>
      <c r="M432" s="9"/>
      <c r="N432" s="9"/>
      <c r="O432" s="9" t="s">
        <v>37</v>
      </c>
      <c r="P432" s="9" t="s">
        <v>45</v>
      </c>
      <c r="Q432" s="9"/>
      <c r="R432" s="10"/>
      <c r="S432" s="10"/>
      <c r="T432" s="10"/>
      <c r="U432" s="9"/>
      <c r="Y432" t="s">
        <v>179</v>
      </c>
      <c r="Z432" t="s">
        <v>41</v>
      </c>
      <c r="AB432" t="str">
        <f t="shared" si="18"/>
        <v>24141</v>
      </c>
    </row>
    <row r="433" ht="14.25" spans="1:28">
      <c r="A433" s="5" t="s">
        <v>28</v>
      </c>
      <c r="B433" s="5" t="s">
        <v>264</v>
      </c>
      <c r="C433" s="5">
        <v>2027</v>
      </c>
      <c r="D433" s="5" t="s">
        <v>30</v>
      </c>
      <c r="E433" s="9" t="s">
        <v>404</v>
      </c>
      <c r="F433" s="9" t="s">
        <v>405</v>
      </c>
      <c r="G433" s="9" t="s">
        <v>182</v>
      </c>
      <c r="H433" s="9" t="s">
        <v>406</v>
      </c>
      <c r="I433" s="9" t="s">
        <v>276</v>
      </c>
      <c r="J433" s="9" t="s">
        <v>36</v>
      </c>
      <c r="K433" s="9">
        <v>890</v>
      </c>
      <c r="L433" s="9"/>
      <c r="M433" s="9"/>
      <c r="N433" s="9"/>
      <c r="O433" s="9" t="s">
        <v>37</v>
      </c>
      <c r="P433" s="9" t="s">
        <v>38</v>
      </c>
      <c r="Q433" s="9"/>
      <c r="R433" s="10">
        <f t="shared" si="19"/>
        <v>0</v>
      </c>
      <c r="S433" s="10">
        <f>SUMIFS([1]Sheet1!$T:$T,[1]Sheet1!$I:$I,E433,[1]Sheet1!$C:$C,A433)</f>
        <v>0</v>
      </c>
      <c r="T433" s="10">
        <f t="shared" si="20"/>
        <v>0</v>
      </c>
      <c r="U433" s="9"/>
      <c r="X433" t="s">
        <v>102</v>
      </c>
      <c r="Y433" t="s">
        <v>179</v>
      </c>
      <c r="Z433" t="s">
        <v>104</v>
      </c>
      <c r="AB433" t="str">
        <f t="shared" si="18"/>
        <v>24159</v>
      </c>
    </row>
    <row r="434" ht="14.25" spans="1:28">
      <c r="A434" s="5" t="s">
        <v>28</v>
      </c>
      <c r="B434" s="5" t="s">
        <v>264</v>
      </c>
      <c r="C434" s="5">
        <v>2027</v>
      </c>
      <c r="D434" s="5" t="s">
        <v>30</v>
      </c>
      <c r="E434" s="9" t="s">
        <v>404</v>
      </c>
      <c r="F434" s="9" t="s">
        <v>405</v>
      </c>
      <c r="G434" s="9" t="s">
        <v>182</v>
      </c>
      <c r="H434" s="9" t="s">
        <v>406</v>
      </c>
      <c r="I434" s="9" t="s">
        <v>276</v>
      </c>
      <c r="J434" s="9" t="s">
        <v>36</v>
      </c>
      <c r="K434" s="9">
        <v>890</v>
      </c>
      <c r="L434" s="9"/>
      <c r="M434" s="9"/>
      <c r="N434" s="9"/>
      <c r="O434" s="9" t="s">
        <v>37</v>
      </c>
      <c r="P434" s="9" t="s">
        <v>42</v>
      </c>
      <c r="Q434" s="9"/>
      <c r="R434" s="10"/>
      <c r="S434" s="10"/>
      <c r="T434" s="10"/>
      <c r="U434" s="9"/>
      <c r="X434" t="s">
        <v>102</v>
      </c>
      <c r="Y434" t="s">
        <v>179</v>
      </c>
      <c r="Z434" t="s">
        <v>104</v>
      </c>
      <c r="AB434" t="str">
        <f t="shared" si="18"/>
        <v>24159</v>
      </c>
    </row>
    <row r="435" ht="14.25" spans="1:28">
      <c r="A435" s="5" t="s">
        <v>28</v>
      </c>
      <c r="B435" s="5" t="s">
        <v>264</v>
      </c>
      <c r="C435" s="5">
        <v>2027</v>
      </c>
      <c r="D435" s="5" t="s">
        <v>30</v>
      </c>
      <c r="E435" s="9" t="s">
        <v>404</v>
      </c>
      <c r="F435" s="9" t="s">
        <v>405</v>
      </c>
      <c r="G435" s="9" t="s">
        <v>182</v>
      </c>
      <c r="H435" s="9" t="s">
        <v>406</v>
      </c>
      <c r="I435" s="9" t="s">
        <v>276</v>
      </c>
      <c r="J435" s="9" t="s">
        <v>36</v>
      </c>
      <c r="K435" s="9">
        <v>890</v>
      </c>
      <c r="L435" s="9"/>
      <c r="M435" s="9"/>
      <c r="N435" s="9"/>
      <c r="O435" s="9" t="s">
        <v>37</v>
      </c>
      <c r="P435" s="9" t="s">
        <v>43</v>
      </c>
      <c r="Q435" s="9"/>
      <c r="R435" s="10"/>
      <c r="S435" s="10"/>
      <c r="T435" s="10"/>
      <c r="U435" s="9"/>
      <c r="X435" t="s">
        <v>102</v>
      </c>
      <c r="Y435" t="s">
        <v>179</v>
      </c>
      <c r="Z435" t="s">
        <v>104</v>
      </c>
      <c r="AB435" t="str">
        <f t="shared" si="18"/>
        <v>24159</v>
      </c>
    </row>
    <row r="436" ht="14.25" spans="1:28">
      <c r="A436" s="5" t="s">
        <v>28</v>
      </c>
      <c r="B436" s="5" t="s">
        <v>264</v>
      </c>
      <c r="C436" s="5">
        <v>2027</v>
      </c>
      <c r="D436" s="5" t="s">
        <v>30</v>
      </c>
      <c r="E436" s="9" t="s">
        <v>404</v>
      </c>
      <c r="F436" s="9" t="s">
        <v>405</v>
      </c>
      <c r="G436" s="9" t="s">
        <v>182</v>
      </c>
      <c r="H436" s="9" t="s">
        <v>406</v>
      </c>
      <c r="I436" s="9" t="s">
        <v>276</v>
      </c>
      <c r="J436" s="9" t="s">
        <v>36</v>
      </c>
      <c r="K436" s="9">
        <v>890</v>
      </c>
      <c r="L436" s="9"/>
      <c r="M436" s="9"/>
      <c r="N436" s="9"/>
      <c r="O436" s="9" t="s">
        <v>37</v>
      </c>
      <c r="P436" s="9" t="s">
        <v>44</v>
      </c>
      <c r="Q436" s="11"/>
      <c r="R436" s="10"/>
      <c r="S436" s="10"/>
      <c r="T436" s="10"/>
      <c r="U436" s="9"/>
      <c r="X436" t="s">
        <v>102</v>
      </c>
      <c r="Y436" t="s">
        <v>179</v>
      </c>
      <c r="Z436" t="s">
        <v>104</v>
      </c>
      <c r="AB436" t="str">
        <f t="shared" si="18"/>
        <v>24159</v>
      </c>
    </row>
    <row r="437" ht="14.25" spans="1:28">
      <c r="A437" s="5" t="s">
        <v>28</v>
      </c>
      <c r="B437" s="5" t="s">
        <v>264</v>
      </c>
      <c r="C437" s="5">
        <v>2027</v>
      </c>
      <c r="D437" s="5" t="s">
        <v>30</v>
      </c>
      <c r="E437" s="9" t="s">
        <v>404</v>
      </c>
      <c r="F437" s="9" t="s">
        <v>405</v>
      </c>
      <c r="G437" s="9" t="s">
        <v>182</v>
      </c>
      <c r="H437" s="9" t="s">
        <v>406</v>
      </c>
      <c r="I437" s="9" t="s">
        <v>276</v>
      </c>
      <c r="J437" s="9" t="s">
        <v>36</v>
      </c>
      <c r="K437" s="9">
        <v>890</v>
      </c>
      <c r="L437" s="9"/>
      <c r="M437" s="9"/>
      <c r="N437" s="9"/>
      <c r="O437" s="9" t="s">
        <v>37</v>
      </c>
      <c r="P437" s="9" t="s">
        <v>45</v>
      </c>
      <c r="Q437" s="11"/>
      <c r="R437" s="10"/>
      <c r="S437" s="10"/>
      <c r="T437" s="10"/>
      <c r="U437" s="9"/>
      <c r="X437" t="s">
        <v>102</v>
      </c>
      <c r="Y437" t="s">
        <v>179</v>
      </c>
      <c r="Z437" t="s">
        <v>104</v>
      </c>
      <c r="AB437" t="str">
        <f t="shared" si="18"/>
        <v>24159</v>
      </c>
    </row>
    <row r="438" ht="14.25" spans="1:28">
      <c r="A438" s="5" t="s">
        <v>28</v>
      </c>
      <c r="B438" s="5" t="s">
        <v>264</v>
      </c>
      <c r="C438" s="5">
        <v>2027</v>
      </c>
      <c r="D438" s="5" t="s">
        <v>30</v>
      </c>
      <c r="E438" s="9" t="s">
        <v>407</v>
      </c>
      <c r="F438" s="9" t="s">
        <v>405</v>
      </c>
      <c r="G438" s="9" t="s">
        <v>408</v>
      </c>
      <c r="H438" s="9" t="s">
        <v>409</v>
      </c>
      <c r="I438" s="9" t="s">
        <v>276</v>
      </c>
      <c r="J438" s="9" t="s">
        <v>36</v>
      </c>
      <c r="K438" s="9">
        <v>890</v>
      </c>
      <c r="L438" s="9"/>
      <c r="M438" s="9"/>
      <c r="N438" s="9"/>
      <c r="O438" s="9" t="s">
        <v>37</v>
      </c>
      <c r="P438" s="9" t="s">
        <v>38</v>
      </c>
      <c r="Q438" s="11"/>
      <c r="R438" s="10">
        <f t="shared" si="19"/>
        <v>0</v>
      </c>
      <c r="S438" s="10">
        <f>SUMIFS([1]Sheet1!$T:$T,[1]Sheet1!$I:$I,E438,[1]Sheet1!$C:$C,A438)</f>
        <v>0</v>
      </c>
      <c r="T438" s="10">
        <f t="shared" si="20"/>
        <v>0</v>
      </c>
      <c r="U438" s="9"/>
      <c r="Y438" t="s">
        <v>179</v>
      </c>
      <c r="Z438" t="s">
        <v>104</v>
      </c>
      <c r="AB438" t="str">
        <f t="shared" si="18"/>
        <v>24159</v>
      </c>
    </row>
    <row r="439" ht="14.25" spans="1:28">
      <c r="A439" s="5" t="s">
        <v>28</v>
      </c>
      <c r="B439" s="5" t="s">
        <v>264</v>
      </c>
      <c r="C439" s="5">
        <v>2027</v>
      </c>
      <c r="D439" s="5" t="s">
        <v>30</v>
      </c>
      <c r="E439" s="9" t="s">
        <v>407</v>
      </c>
      <c r="F439" s="9" t="s">
        <v>405</v>
      </c>
      <c r="G439" s="9" t="s">
        <v>408</v>
      </c>
      <c r="H439" s="9" t="s">
        <v>409</v>
      </c>
      <c r="I439" s="9" t="s">
        <v>276</v>
      </c>
      <c r="J439" s="9" t="s">
        <v>36</v>
      </c>
      <c r="K439" s="9">
        <v>890</v>
      </c>
      <c r="L439" s="9"/>
      <c r="M439" s="9"/>
      <c r="N439" s="9"/>
      <c r="O439" s="9" t="s">
        <v>37</v>
      </c>
      <c r="P439" s="9" t="s">
        <v>42</v>
      </c>
      <c r="Q439" s="11"/>
      <c r="R439" s="10"/>
      <c r="S439" s="10"/>
      <c r="T439" s="10"/>
      <c r="U439" s="9"/>
      <c r="Y439" t="s">
        <v>179</v>
      </c>
      <c r="Z439" t="s">
        <v>104</v>
      </c>
      <c r="AB439" t="str">
        <f t="shared" si="18"/>
        <v>24159</v>
      </c>
    </row>
    <row r="440" ht="14.25" spans="1:28">
      <c r="A440" s="5" t="s">
        <v>28</v>
      </c>
      <c r="B440" s="5" t="s">
        <v>264</v>
      </c>
      <c r="C440" s="5">
        <v>2027</v>
      </c>
      <c r="D440" s="5" t="s">
        <v>30</v>
      </c>
      <c r="E440" s="9" t="s">
        <v>407</v>
      </c>
      <c r="F440" s="9" t="s">
        <v>405</v>
      </c>
      <c r="G440" s="9" t="s">
        <v>408</v>
      </c>
      <c r="H440" s="9" t="s">
        <v>409</v>
      </c>
      <c r="I440" s="9" t="s">
        <v>276</v>
      </c>
      <c r="J440" s="9" t="s">
        <v>36</v>
      </c>
      <c r="K440" s="9">
        <v>890</v>
      </c>
      <c r="L440" s="9"/>
      <c r="M440" s="9"/>
      <c r="N440" s="9"/>
      <c r="O440" s="9" t="s">
        <v>37</v>
      </c>
      <c r="P440" s="9" t="s">
        <v>43</v>
      </c>
      <c r="Q440" s="11"/>
      <c r="R440" s="10"/>
      <c r="S440" s="10"/>
      <c r="T440" s="10"/>
      <c r="U440" s="9"/>
      <c r="Y440" t="s">
        <v>179</v>
      </c>
      <c r="Z440" t="s">
        <v>104</v>
      </c>
      <c r="AB440" t="str">
        <f t="shared" si="18"/>
        <v>24159</v>
      </c>
    </row>
    <row r="441" ht="14.25" spans="1:28">
      <c r="A441" s="5" t="s">
        <v>28</v>
      </c>
      <c r="B441" s="5" t="s">
        <v>264</v>
      </c>
      <c r="C441" s="5">
        <v>2027</v>
      </c>
      <c r="D441" s="5" t="s">
        <v>30</v>
      </c>
      <c r="E441" s="9" t="s">
        <v>407</v>
      </c>
      <c r="F441" s="9" t="s">
        <v>405</v>
      </c>
      <c r="G441" s="9" t="s">
        <v>408</v>
      </c>
      <c r="H441" s="9" t="s">
        <v>409</v>
      </c>
      <c r="I441" s="9" t="s">
        <v>276</v>
      </c>
      <c r="J441" s="9" t="s">
        <v>36</v>
      </c>
      <c r="K441" s="9">
        <v>890</v>
      </c>
      <c r="L441" s="9"/>
      <c r="M441" s="9"/>
      <c r="N441" s="9"/>
      <c r="O441" s="9" t="s">
        <v>37</v>
      </c>
      <c r="P441" s="9" t="s">
        <v>44</v>
      </c>
      <c r="Q441" s="11"/>
      <c r="R441" s="10"/>
      <c r="S441" s="10"/>
      <c r="T441" s="10"/>
      <c r="U441" s="9"/>
      <c r="Y441" t="s">
        <v>179</v>
      </c>
      <c r="Z441" t="s">
        <v>104</v>
      </c>
      <c r="AB441" t="str">
        <f t="shared" si="18"/>
        <v>24159</v>
      </c>
    </row>
    <row r="442" ht="14.25" spans="1:28">
      <c r="A442" s="5" t="s">
        <v>28</v>
      </c>
      <c r="B442" s="5" t="s">
        <v>264</v>
      </c>
      <c r="C442" s="5">
        <v>2027</v>
      </c>
      <c r="D442" s="5" t="s">
        <v>30</v>
      </c>
      <c r="E442" s="9" t="s">
        <v>407</v>
      </c>
      <c r="F442" s="9" t="s">
        <v>405</v>
      </c>
      <c r="G442" s="9" t="s">
        <v>408</v>
      </c>
      <c r="H442" s="9" t="s">
        <v>409</v>
      </c>
      <c r="I442" s="9" t="s">
        <v>276</v>
      </c>
      <c r="J442" s="9" t="s">
        <v>36</v>
      </c>
      <c r="K442" s="9">
        <v>890</v>
      </c>
      <c r="L442" s="9"/>
      <c r="M442" s="9"/>
      <c r="N442" s="9"/>
      <c r="O442" s="9" t="s">
        <v>37</v>
      </c>
      <c r="P442" s="9" t="s">
        <v>45</v>
      </c>
      <c r="Q442" s="11"/>
      <c r="R442" s="10"/>
      <c r="S442" s="10"/>
      <c r="T442" s="10"/>
      <c r="U442" s="9"/>
      <c r="Y442" t="s">
        <v>179</v>
      </c>
      <c r="Z442" t="s">
        <v>104</v>
      </c>
      <c r="AB442" t="str">
        <f t="shared" si="18"/>
        <v>24159</v>
      </c>
    </row>
    <row r="443" ht="14.25" spans="1:28">
      <c r="A443" s="5" t="s">
        <v>28</v>
      </c>
      <c r="B443" s="5" t="s">
        <v>264</v>
      </c>
      <c r="C443" s="5">
        <v>2027</v>
      </c>
      <c r="D443" s="5" t="s">
        <v>30</v>
      </c>
      <c r="E443" s="9" t="s">
        <v>410</v>
      </c>
      <c r="F443" s="9" t="s">
        <v>411</v>
      </c>
      <c r="G443" s="9" t="s">
        <v>182</v>
      </c>
      <c r="H443" s="9" t="s">
        <v>412</v>
      </c>
      <c r="I443" s="9" t="s">
        <v>276</v>
      </c>
      <c r="J443" s="9" t="s">
        <v>74</v>
      </c>
      <c r="K443" s="9">
        <v>1190</v>
      </c>
      <c r="L443" s="9"/>
      <c r="M443" s="9"/>
      <c r="N443" s="9"/>
      <c r="O443" s="9" t="s">
        <v>68</v>
      </c>
      <c r="P443" s="9" t="s">
        <v>69</v>
      </c>
      <c r="Q443" s="11"/>
      <c r="R443" s="10">
        <f t="shared" si="19"/>
        <v>0</v>
      </c>
      <c r="S443" s="10">
        <f>SUMIFS([1]Sheet1!$T:$T,[1]Sheet1!$I:$I,E443,[1]Sheet1!$C:$C,A443)</f>
        <v>0</v>
      </c>
      <c r="T443" s="10">
        <f t="shared" si="20"/>
        <v>0</v>
      </c>
      <c r="U443" s="9"/>
      <c r="X443" t="s">
        <v>102</v>
      </c>
      <c r="Y443" t="s">
        <v>179</v>
      </c>
      <c r="Z443" t="s">
        <v>413</v>
      </c>
      <c r="AB443" t="str">
        <f t="shared" si="18"/>
        <v>24175</v>
      </c>
    </row>
    <row r="444" ht="14.25" spans="1:28">
      <c r="A444" s="5" t="s">
        <v>28</v>
      </c>
      <c r="B444" s="5" t="s">
        <v>264</v>
      </c>
      <c r="C444" s="5">
        <v>2027</v>
      </c>
      <c r="D444" s="5" t="s">
        <v>30</v>
      </c>
      <c r="E444" s="9" t="s">
        <v>410</v>
      </c>
      <c r="F444" s="9" t="s">
        <v>411</v>
      </c>
      <c r="G444" s="9" t="s">
        <v>182</v>
      </c>
      <c r="H444" s="9" t="s">
        <v>412</v>
      </c>
      <c r="I444" s="9" t="s">
        <v>276</v>
      </c>
      <c r="J444" s="9" t="s">
        <v>74</v>
      </c>
      <c r="K444" s="9">
        <v>1190</v>
      </c>
      <c r="L444" s="9"/>
      <c r="M444" s="9"/>
      <c r="N444" s="9"/>
      <c r="O444" s="9" t="s">
        <v>68</v>
      </c>
      <c r="P444" s="9" t="s">
        <v>72</v>
      </c>
      <c r="Q444" s="11"/>
      <c r="R444" s="10"/>
      <c r="S444" s="10"/>
      <c r="T444" s="10"/>
      <c r="U444" s="9"/>
      <c r="X444" t="s">
        <v>102</v>
      </c>
      <c r="Y444" t="s">
        <v>179</v>
      </c>
      <c r="Z444" t="s">
        <v>413</v>
      </c>
      <c r="AB444" t="str">
        <f t="shared" si="18"/>
        <v>24175</v>
      </c>
    </row>
    <row r="445" ht="14.25" spans="1:28">
      <c r="A445" s="5" t="s">
        <v>28</v>
      </c>
      <c r="B445" s="5" t="s">
        <v>264</v>
      </c>
      <c r="C445" s="5">
        <v>2027</v>
      </c>
      <c r="D445" s="5" t="s">
        <v>30</v>
      </c>
      <c r="E445" s="9" t="s">
        <v>410</v>
      </c>
      <c r="F445" s="9" t="s">
        <v>411</v>
      </c>
      <c r="G445" s="9" t="s">
        <v>182</v>
      </c>
      <c r="H445" s="9" t="s">
        <v>412</v>
      </c>
      <c r="I445" s="9" t="s">
        <v>276</v>
      </c>
      <c r="J445" s="9" t="s">
        <v>74</v>
      </c>
      <c r="K445" s="9">
        <v>1190</v>
      </c>
      <c r="L445" s="9"/>
      <c r="M445" s="9"/>
      <c r="N445" s="9"/>
      <c r="O445" s="9" t="s">
        <v>68</v>
      </c>
      <c r="P445" s="9" t="s">
        <v>73</v>
      </c>
      <c r="Q445" s="11"/>
      <c r="R445" s="10"/>
      <c r="S445" s="10"/>
      <c r="T445" s="10"/>
      <c r="U445" s="9"/>
      <c r="X445" t="s">
        <v>102</v>
      </c>
      <c r="Y445" t="s">
        <v>179</v>
      </c>
      <c r="Z445" t="s">
        <v>413</v>
      </c>
      <c r="AB445" t="str">
        <f t="shared" si="18"/>
        <v>24175</v>
      </c>
    </row>
    <row r="446" ht="14.25" spans="1:28">
      <c r="A446" s="5" t="s">
        <v>28</v>
      </c>
      <c r="B446" s="5" t="s">
        <v>264</v>
      </c>
      <c r="C446" s="5">
        <v>2027</v>
      </c>
      <c r="D446" s="5" t="s">
        <v>30</v>
      </c>
      <c r="E446" s="9" t="s">
        <v>410</v>
      </c>
      <c r="F446" s="9" t="s">
        <v>411</v>
      </c>
      <c r="G446" s="9" t="s">
        <v>182</v>
      </c>
      <c r="H446" s="9" t="s">
        <v>412</v>
      </c>
      <c r="I446" s="9" t="s">
        <v>276</v>
      </c>
      <c r="J446" s="9" t="s">
        <v>74</v>
      </c>
      <c r="K446" s="9">
        <v>1190</v>
      </c>
      <c r="L446" s="9"/>
      <c r="M446" s="9"/>
      <c r="N446" s="9"/>
      <c r="O446" s="9" t="s">
        <v>68</v>
      </c>
      <c r="P446" s="9" t="s">
        <v>74</v>
      </c>
      <c r="Q446" s="11"/>
      <c r="R446" s="10"/>
      <c r="S446" s="10"/>
      <c r="T446" s="10"/>
      <c r="U446" s="9"/>
      <c r="X446" t="s">
        <v>102</v>
      </c>
      <c r="Y446" t="s">
        <v>179</v>
      </c>
      <c r="Z446" t="s">
        <v>413</v>
      </c>
      <c r="AB446" t="str">
        <f t="shared" si="18"/>
        <v>24175</v>
      </c>
    </row>
    <row r="447" ht="14.25" spans="1:28">
      <c r="A447" s="5" t="s">
        <v>28</v>
      </c>
      <c r="B447" s="5" t="s">
        <v>264</v>
      </c>
      <c r="C447" s="5">
        <v>2027</v>
      </c>
      <c r="D447" s="5" t="s">
        <v>30</v>
      </c>
      <c r="E447" s="9" t="s">
        <v>410</v>
      </c>
      <c r="F447" s="9" t="s">
        <v>411</v>
      </c>
      <c r="G447" s="9" t="s">
        <v>182</v>
      </c>
      <c r="H447" s="9" t="s">
        <v>412</v>
      </c>
      <c r="I447" s="9" t="s">
        <v>276</v>
      </c>
      <c r="J447" s="9" t="s">
        <v>74</v>
      </c>
      <c r="K447" s="9">
        <v>1190</v>
      </c>
      <c r="L447" s="9"/>
      <c r="M447" s="9"/>
      <c r="N447" s="9"/>
      <c r="O447" s="9" t="s">
        <v>68</v>
      </c>
      <c r="P447" s="9" t="s">
        <v>75</v>
      </c>
      <c r="Q447" s="11"/>
      <c r="R447" s="10"/>
      <c r="S447" s="10"/>
      <c r="T447" s="10"/>
      <c r="U447" s="9"/>
      <c r="X447" t="s">
        <v>102</v>
      </c>
      <c r="Y447" t="s">
        <v>179</v>
      </c>
      <c r="Z447" t="s">
        <v>413</v>
      </c>
      <c r="AB447" t="str">
        <f t="shared" si="18"/>
        <v>24175</v>
      </c>
    </row>
    <row r="448" ht="14.25" spans="1:28">
      <c r="A448" s="5" t="s">
        <v>28</v>
      </c>
      <c r="B448" s="5" t="s">
        <v>264</v>
      </c>
      <c r="C448" s="5">
        <v>2027</v>
      </c>
      <c r="D448" s="5" t="s">
        <v>30</v>
      </c>
      <c r="E448" s="9" t="s">
        <v>410</v>
      </c>
      <c r="F448" s="9" t="s">
        <v>411</v>
      </c>
      <c r="G448" s="9" t="s">
        <v>182</v>
      </c>
      <c r="H448" s="9" t="s">
        <v>412</v>
      </c>
      <c r="I448" s="9" t="s">
        <v>276</v>
      </c>
      <c r="J448" s="9" t="s">
        <v>74</v>
      </c>
      <c r="K448" s="9">
        <v>1190</v>
      </c>
      <c r="L448" s="9"/>
      <c r="M448" s="9"/>
      <c r="N448" s="9"/>
      <c r="O448" s="9" t="s">
        <v>68</v>
      </c>
      <c r="P448" s="9" t="s">
        <v>76</v>
      </c>
      <c r="Q448" s="9"/>
      <c r="R448" s="10"/>
      <c r="S448" s="10"/>
      <c r="T448" s="10"/>
      <c r="U448" s="9"/>
      <c r="X448" t="s">
        <v>102</v>
      </c>
      <c r="Y448" t="s">
        <v>179</v>
      </c>
      <c r="Z448" t="s">
        <v>413</v>
      </c>
      <c r="AB448" t="str">
        <f t="shared" si="18"/>
        <v>24175</v>
      </c>
    </row>
    <row r="449" ht="14.25" spans="1:28">
      <c r="A449" s="5" t="s">
        <v>28</v>
      </c>
      <c r="B449" s="5" t="s">
        <v>264</v>
      </c>
      <c r="C449" s="5">
        <v>2027</v>
      </c>
      <c r="D449" s="5" t="s">
        <v>30</v>
      </c>
      <c r="E449" s="9" t="s">
        <v>410</v>
      </c>
      <c r="F449" s="9" t="s">
        <v>411</v>
      </c>
      <c r="G449" s="9" t="s">
        <v>182</v>
      </c>
      <c r="H449" s="9" t="s">
        <v>412</v>
      </c>
      <c r="I449" s="9" t="s">
        <v>276</v>
      </c>
      <c r="J449" s="9" t="s">
        <v>74</v>
      </c>
      <c r="K449" s="9">
        <v>1190</v>
      </c>
      <c r="L449" s="9"/>
      <c r="M449" s="9"/>
      <c r="N449" s="9"/>
      <c r="O449" s="9" t="s">
        <v>68</v>
      </c>
      <c r="P449" s="9" t="s">
        <v>77</v>
      </c>
      <c r="Q449" s="9"/>
      <c r="R449" s="10"/>
      <c r="S449" s="10"/>
      <c r="T449" s="10"/>
      <c r="U449" s="9"/>
      <c r="X449" t="s">
        <v>102</v>
      </c>
      <c r="Y449" t="s">
        <v>179</v>
      </c>
      <c r="Z449" t="s">
        <v>413</v>
      </c>
      <c r="AB449" t="str">
        <f t="shared" si="18"/>
        <v>24175</v>
      </c>
    </row>
    <row r="450" ht="14.25" spans="1:28">
      <c r="A450" s="5" t="s">
        <v>28</v>
      </c>
      <c r="B450" s="5" t="s">
        <v>264</v>
      </c>
      <c r="C450" s="5">
        <v>2027</v>
      </c>
      <c r="D450" s="5" t="s">
        <v>30</v>
      </c>
      <c r="E450" s="9" t="s">
        <v>414</v>
      </c>
      <c r="F450" s="9" t="s">
        <v>411</v>
      </c>
      <c r="G450" s="9" t="s">
        <v>408</v>
      </c>
      <c r="H450" s="9" t="s">
        <v>415</v>
      </c>
      <c r="I450" s="9" t="s">
        <v>276</v>
      </c>
      <c r="J450" s="9" t="s">
        <v>74</v>
      </c>
      <c r="K450" s="9">
        <v>1190</v>
      </c>
      <c r="L450" s="9"/>
      <c r="M450" s="9"/>
      <c r="N450" s="9"/>
      <c r="O450" s="9" t="s">
        <v>68</v>
      </c>
      <c r="P450" s="9" t="s">
        <v>69</v>
      </c>
      <c r="Q450" s="9"/>
      <c r="R450" s="10">
        <f t="shared" ref="R450:R513" si="21">SUMIFS(Q:Q,E:E,E450)</f>
        <v>0</v>
      </c>
      <c r="S450" s="10">
        <f>SUMIFS([1]Sheet1!$T:$T,[1]Sheet1!$I:$I,E450,[1]Sheet1!$C:$C,A450)</f>
        <v>0</v>
      </c>
      <c r="T450" s="10">
        <f t="shared" ref="T450:T513" si="22">R450-S450</f>
        <v>0</v>
      </c>
      <c r="U450" s="9"/>
      <c r="Y450" t="s">
        <v>179</v>
      </c>
      <c r="Z450" t="s">
        <v>413</v>
      </c>
      <c r="AB450" t="str">
        <f t="shared" si="18"/>
        <v>24175</v>
      </c>
    </row>
    <row r="451" ht="14.25" spans="1:28">
      <c r="A451" s="5" t="s">
        <v>28</v>
      </c>
      <c r="B451" s="5" t="s">
        <v>264</v>
      </c>
      <c r="C451" s="5">
        <v>2027</v>
      </c>
      <c r="D451" s="5" t="s">
        <v>30</v>
      </c>
      <c r="E451" s="9" t="s">
        <v>414</v>
      </c>
      <c r="F451" s="9" t="s">
        <v>411</v>
      </c>
      <c r="G451" s="9" t="s">
        <v>408</v>
      </c>
      <c r="H451" s="9" t="s">
        <v>415</v>
      </c>
      <c r="I451" s="9" t="s">
        <v>276</v>
      </c>
      <c r="J451" s="9" t="s">
        <v>74</v>
      </c>
      <c r="K451" s="9">
        <v>1190</v>
      </c>
      <c r="L451" s="9"/>
      <c r="M451" s="9"/>
      <c r="N451" s="9"/>
      <c r="O451" s="9" t="s">
        <v>68</v>
      </c>
      <c r="P451" s="9" t="s">
        <v>72</v>
      </c>
      <c r="Q451" s="9"/>
      <c r="R451" s="10"/>
      <c r="S451" s="10"/>
      <c r="T451" s="10"/>
      <c r="U451" s="9"/>
      <c r="Y451" t="s">
        <v>179</v>
      </c>
      <c r="Z451" t="s">
        <v>413</v>
      </c>
      <c r="AB451" t="str">
        <f t="shared" ref="AB451:AB514" si="23">MID(E451,6,5)</f>
        <v>24175</v>
      </c>
    </row>
    <row r="452" ht="14.25" spans="1:28">
      <c r="A452" s="5" t="s">
        <v>28</v>
      </c>
      <c r="B452" s="5" t="s">
        <v>264</v>
      </c>
      <c r="C452" s="5">
        <v>2027</v>
      </c>
      <c r="D452" s="5" t="s">
        <v>30</v>
      </c>
      <c r="E452" s="9" t="s">
        <v>414</v>
      </c>
      <c r="F452" s="9" t="s">
        <v>411</v>
      </c>
      <c r="G452" s="9" t="s">
        <v>408</v>
      </c>
      <c r="H452" s="9" t="s">
        <v>415</v>
      </c>
      <c r="I452" s="9" t="s">
        <v>276</v>
      </c>
      <c r="J452" s="9" t="s">
        <v>74</v>
      </c>
      <c r="K452" s="9">
        <v>1190</v>
      </c>
      <c r="L452" s="9"/>
      <c r="M452" s="9"/>
      <c r="N452" s="9"/>
      <c r="O452" s="9" t="s">
        <v>68</v>
      </c>
      <c r="P452" s="9" t="s">
        <v>73</v>
      </c>
      <c r="Q452" s="9"/>
      <c r="R452" s="10"/>
      <c r="S452" s="10"/>
      <c r="T452" s="10"/>
      <c r="U452" s="9"/>
      <c r="Y452" t="s">
        <v>179</v>
      </c>
      <c r="Z452" t="s">
        <v>413</v>
      </c>
      <c r="AB452" t="str">
        <f t="shared" si="23"/>
        <v>24175</v>
      </c>
    </row>
    <row r="453" ht="14.25" spans="1:28">
      <c r="A453" s="5" t="s">
        <v>28</v>
      </c>
      <c r="B453" s="5" t="s">
        <v>264</v>
      </c>
      <c r="C453" s="5">
        <v>2027</v>
      </c>
      <c r="D453" s="5" t="s">
        <v>30</v>
      </c>
      <c r="E453" s="9" t="s">
        <v>414</v>
      </c>
      <c r="F453" s="9" t="s">
        <v>411</v>
      </c>
      <c r="G453" s="9" t="s">
        <v>408</v>
      </c>
      <c r="H453" s="9" t="s">
        <v>415</v>
      </c>
      <c r="I453" s="9" t="s">
        <v>276</v>
      </c>
      <c r="J453" s="9" t="s">
        <v>74</v>
      </c>
      <c r="K453" s="9">
        <v>1190</v>
      </c>
      <c r="L453" s="9"/>
      <c r="M453" s="9"/>
      <c r="N453" s="9"/>
      <c r="O453" s="9" t="s">
        <v>68</v>
      </c>
      <c r="P453" s="9" t="s">
        <v>74</v>
      </c>
      <c r="Q453" s="9"/>
      <c r="R453" s="10"/>
      <c r="S453" s="10"/>
      <c r="T453" s="10"/>
      <c r="U453" s="9"/>
      <c r="Y453" t="s">
        <v>179</v>
      </c>
      <c r="Z453" t="s">
        <v>413</v>
      </c>
      <c r="AB453" t="str">
        <f t="shared" si="23"/>
        <v>24175</v>
      </c>
    </row>
    <row r="454" ht="14.25" spans="1:28">
      <c r="A454" s="5" t="s">
        <v>28</v>
      </c>
      <c r="B454" s="5" t="s">
        <v>264</v>
      </c>
      <c r="C454" s="5">
        <v>2027</v>
      </c>
      <c r="D454" s="5" t="s">
        <v>30</v>
      </c>
      <c r="E454" s="9" t="s">
        <v>414</v>
      </c>
      <c r="F454" s="9" t="s">
        <v>411</v>
      </c>
      <c r="G454" s="9" t="s">
        <v>408</v>
      </c>
      <c r="H454" s="9" t="s">
        <v>415</v>
      </c>
      <c r="I454" s="9" t="s">
        <v>276</v>
      </c>
      <c r="J454" s="9" t="s">
        <v>74</v>
      </c>
      <c r="K454" s="9">
        <v>1190</v>
      </c>
      <c r="L454" s="9"/>
      <c r="M454" s="9"/>
      <c r="N454" s="9"/>
      <c r="O454" s="9" t="s">
        <v>68</v>
      </c>
      <c r="P454" s="9" t="s">
        <v>75</v>
      </c>
      <c r="Q454" s="9"/>
      <c r="R454" s="10"/>
      <c r="S454" s="10"/>
      <c r="T454" s="10"/>
      <c r="U454" s="9"/>
      <c r="Y454" t="s">
        <v>179</v>
      </c>
      <c r="Z454" t="s">
        <v>413</v>
      </c>
      <c r="AB454" t="str">
        <f t="shared" si="23"/>
        <v>24175</v>
      </c>
    </row>
    <row r="455" ht="14.25" spans="1:28">
      <c r="A455" s="5" t="s">
        <v>28</v>
      </c>
      <c r="B455" s="5" t="s">
        <v>264</v>
      </c>
      <c r="C455" s="5">
        <v>2027</v>
      </c>
      <c r="D455" s="5" t="s">
        <v>30</v>
      </c>
      <c r="E455" s="9" t="s">
        <v>414</v>
      </c>
      <c r="F455" s="9" t="s">
        <v>411</v>
      </c>
      <c r="G455" s="9" t="s">
        <v>408</v>
      </c>
      <c r="H455" s="9" t="s">
        <v>415</v>
      </c>
      <c r="I455" s="9" t="s">
        <v>276</v>
      </c>
      <c r="J455" s="9" t="s">
        <v>74</v>
      </c>
      <c r="K455" s="9">
        <v>1190</v>
      </c>
      <c r="L455" s="9"/>
      <c r="M455" s="9"/>
      <c r="N455" s="9"/>
      <c r="O455" s="9" t="s">
        <v>68</v>
      </c>
      <c r="P455" s="9" t="s">
        <v>76</v>
      </c>
      <c r="Q455" s="9"/>
      <c r="R455" s="10"/>
      <c r="S455" s="10"/>
      <c r="T455" s="10"/>
      <c r="U455" s="9"/>
      <c r="Y455" t="s">
        <v>179</v>
      </c>
      <c r="Z455" t="s">
        <v>413</v>
      </c>
      <c r="AB455" t="str">
        <f t="shared" si="23"/>
        <v>24175</v>
      </c>
    </row>
    <row r="456" ht="14.25" spans="1:28">
      <c r="A456" s="5" t="s">
        <v>28</v>
      </c>
      <c r="B456" s="5" t="s">
        <v>264</v>
      </c>
      <c r="C456" s="5">
        <v>2027</v>
      </c>
      <c r="D456" s="5" t="s">
        <v>30</v>
      </c>
      <c r="E456" s="9" t="s">
        <v>414</v>
      </c>
      <c r="F456" s="9" t="s">
        <v>411</v>
      </c>
      <c r="G456" s="9" t="s">
        <v>408</v>
      </c>
      <c r="H456" s="9" t="s">
        <v>415</v>
      </c>
      <c r="I456" s="9" t="s">
        <v>276</v>
      </c>
      <c r="J456" s="9" t="s">
        <v>74</v>
      </c>
      <c r="K456" s="9">
        <v>1190</v>
      </c>
      <c r="L456" s="9"/>
      <c r="M456" s="9"/>
      <c r="N456" s="9"/>
      <c r="O456" s="9" t="s">
        <v>68</v>
      </c>
      <c r="P456" s="9" t="s">
        <v>77</v>
      </c>
      <c r="Q456" s="9"/>
      <c r="R456" s="10"/>
      <c r="S456" s="10"/>
      <c r="T456" s="10"/>
      <c r="U456" s="9"/>
      <c r="Y456" t="s">
        <v>179</v>
      </c>
      <c r="Z456" t="s">
        <v>413</v>
      </c>
      <c r="AB456" t="str">
        <f t="shared" si="23"/>
        <v>24175</v>
      </c>
    </row>
    <row r="457" ht="14.25" spans="1:28">
      <c r="A457" s="5" t="s">
        <v>28</v>
      </c>
      <c r="B457" s="5" t="s">
        <v>264</v>
      </c>
      <c r="C457" s="5">
        <v>2027</v>
      </c>
      <c r="D457" s="5" t="s">
        <v>30</v>
      </c>
      <c r="E457" s="9" t="s">
        <v>416</v>
      </c>
      <c r="F457" s="9" t="s">
        <v>417</v>
      </c>
      <c r="G457" s="9" t="s">
        <v>182</v>
      </c>
      <c r="H457" s="9" t="s">
        <v>418</v>
      </c>
      <c r="I457" s="9" t="s">
        <v>276</v>
      </c>
      <c r="J457" s="9" t="s">
        <v>36</v>
      </c>
      <c r="K457" s="9">
        <v>1190</v>
      </c>
      <c r="L457" s="9"/>
      <c r="M457" s="9"/>
      <c r="N457" s="9"/>
      <c r="O457" s="9" t="s">
        <v>37</v>
      </c>
      <c r="P457" s="9" t="s">
        <v>38</v>
      </c>
      <c r="Q457" s="9"/>
      <c r="R457" s="10">
        <f t="shared" si="21"/>
        <v>0</v>
      </c>
      <c r="S457" s="10">
        <f>SUMIFS([1]Sheet1!$T:$T,[1]Sheet1!$I:$I,E457,[1]Sheet1!$C:$C,A457)</f>
        <v>0</v>
      </c>
      <c r="T457" s="10">
        <f t="shared" si="22"/>
        <v>0</v>
      </c>
      <c r="U457" s="9"/>
      <c r="X457" t="s">
        <v>102</v>
      </c>
      <c r="Y457" t="s">
        <v>179</v>
      </c>
      <c r="Z457" t="s">
        <v>104</v>
      </c>
      <c r="AB457" t="str">
        <f t="shared" si="23"/>
        <v>24219</v>
      </c>
    </row>
    <row r="458" ht="14.25" spans="1:28">
      <c r="A458" s="5" t="s">
        <v>28</v>
      </c>
      <c r="B458" s="5" t="s">
        <v>264</v>
      </c>
      <c r="C458" s="5">
        <v>2027</v>
      </c>
      <c r="D458" s="5" t="s">
        <v>30</v>
      </c>
      <c r="E458" s="9" t="s">
        <v>416</v>
      </c>
      <c r="F458" s="9" t="s">
        <v>417</v>
      </c>
      <c r="G458" s="9" t="s">
        <v>182</v>
      </c>
      <c r="H458" s="9" t="s">
        <v>418</v>
      </c>
      <c r="I458" s="9" t="s">
        <v>276</v>
      </c>
      <c r="J458" s="9" t="s">
        <v>36</v>
      </c>
      <c r="K458" s="9">
        <v>1190</v>
      </c>
      <c r="L458" s="9"/>
      <c r="M458" s="9"/>
      <c r="N458" s="9"/>
      <c r="O458" s="9" t="s">
        <v>37</v>
      </c>
      <c r="P458" s="9" t="s">
        <v>42</v>
      </c>
      <c r="Q458" s="9"/>
      <c r="R458" s="10"/>
      <c r="S458" s="10"/>
      <c r="T458" s="10"/>
      <c r="U458" s="9"/>
      <c r="X458" t="s">
        <v>102</v>
      </c>
      <c r="Y458" t="s">
        <v>179</v>
      </c>
      <c r="Z458" t="s">
        <v>104</v>
      </c>
      <c r="AB458" t="str">
        <f t="shared" si="23"/>
        <v>24219</v>
      </c>
    </row>
    <row r="459" ht="14.25" spans="1:28">
      <c r="A459" s="5" t="s">
        <v>28</v>
      </c>
      <c r="B459" s="5" t="s">
        <v>264</v>
      </c>
      <c r="C459" s="5">
        <v>2027</v>
      </c>
      <c r="D459" s="5" t="s">
        <v>30</v>
      </c>
      <c r="E459" s="9" t="s">
        <v>416</v>
      </c>
      <c r="F459" s="9" t="s">
        <v>417</v>
      </c>
      <c r="G459" s="9" t="s">
        <v>182</v>
      </c>
      <c r="H459" s="9" t="s">
        <v>418</v>
      </c>
      <c r="I459" s="9" t="s">
        <v>276</v>
      </c>
      <c r="J459" s="9" t="s">
        <v>36</v>
      </c>
      <c r="K459" s="9">
        <v>1190</v>
      </c>
      <c r="L459" s="9"/>
      <c r="M459" s="9"/>
      <c r="N459" s="9"/>
      <c r="O459" s="9" t="s">
        <v>37</v>
      </c>
      <c r="P459" s="9" t="s">
        <v>43</v>
      </c>
      <c r="Q459" s="9"/>
      <c r="R459" s="10"/>
      <c r="S459" s="10"/>
      <c r="T459" s="10"/>
      <c r="U459" s="9"/>
      <c r="X459" t="s">
        <v>102</v>
      </c>
      <c r="Y459" t="s">
        <v>179</v>
      </c>
      <c r="Z459" t="s">
        <v>104</v>
      </c>
      <c r="AB459" t="str">
        <f t="shared" si="23"/>
        <v>24219</v>
      </c>
    </row>
    <row r="460" ht="14.25" spans="1:28">
      <c r="A460" s="5" t="s">
        <v>28</v>
      </c>
      <c r="B460" s="5" t="s">
        <v>264</v>
      </c>
      <c r="C460" s="5">
        <v>2027</v>
      </c>
      <c r="D460" s="5" t="s">
        <v>30</v>
      </c>
      <c r="E460" s="9" t="s">
        <v>416</v>
      </c>
      <c r="F460" s="9" t="s">
        <v>417</v>
      </c>
      <c r="G460" s="9" t="s">
        <v>182</v>
      </c>
      <c r="H460" s="9" t="s">
        <v>418</v>
      </c>
      <c r="I460" s="9" t="s">
        <v>276</v>
      </c>
      <c r="J460" s="9" t="s">
        <v>36</v>
      </c>
      <c r="K460" s="9">
        <v>1190</v>
      </c>
      <c r="L460" s="9"/>
      <c r="M460" s="9"/>
      <c r="N460" s="9"/>
      <c r="O460" s="9" t="s">
        <v>37</v>
      </c>
      <c r="P460" s="9" t="s">
        <v>44</v>
      </c>
      <c r="Q460" s="9"/>
      <c r="R460" s="10"/>
      <c r="S460" s="10"/>
      <c r="T460" s="10"/>
      <c r="U460" s="9"/>
      <c r="X460" t="s">
        <v>102</v>
      </c>
      <c r="Y460" t="s">
        <v>179</v>
      </c>
      <c r="Z460" t="s">
        <v>104</v>
      </c>
      <c r="AB460" t="str">
        <f t="shared" si="23"/>
        <v>24219</v>
      </c>
    </row>
    <row r="461" ht="14.25" spans="1:28">
      <c r="A461" s="5" t="s">
        <v>28</v>
      </c>
      <c r="B461" s="5" t="s">
        <v>264</v>
      </c>
      <c r="C461" s="5">
        <v>2027</v>
      </c>
      <c r="D461" s="5" t="s">
        <v>30</v>
      </c>
      <c r="E461" s="9" t="s">
        <v>416</v>
      </c>
      <c r="F461" s="9" t="s">
        <v>417</v>
      </c>
      <c r="G461" s="9" t="s">
        <v>182</v>
      </c>
      <c r="H461" s="9" t="s">
        <v>418</v>
      </c>
      <c r="I461" s="9" t="s">
        <v>276</v>
      </c>
      <c r="J461" s="9" t="s">
        <v>36</v>
      </c>
      <c r="K461" s="9">
        <v>1190</v>
      </c>
      <c r="L461" s="9"/>
      <c r="M461" s="9"/>
      <c r="N461" s="9"/>
      <c r="O461" s="9" t="s">
        <v>37</v>
      </c>
      <c r="P461" s="9" t="s">
        <v>45</v>
      </c>
      <c r="Q461" s="9"/>
      <c r="R461" s="10"/>
      <c r="S461" s="10"/>
      <c r="T461" s="10"/>
      <c r="U461" s="9"/>
      <c r="X461" t="s">
        <v>102</v>
      </c>
      <c r="Y461" t="s">
        <v>179</v>
      </c>
      <c r="Z461" t="s">
        <v>104</v>
      </c>
      <c r="AB461" t="str">
        <f t="shared" si="23"/>
        <v>24219</v>
      </c>
    </row>
    <row r="462" ht="14.25" spans="1:28">
      <c r="A462" s="5" t="s">
        <v>28</v>
      </c>
      <c r="B462" s="5" t="s">
        <v>264</v>
      </c>
      <c r="C462" s="5">
        <v>2027</v>
      </c>
      <c r="D462" s="5" t="s">
        <v>30</v>
      </c>
      <c r="E462" s="9" t="s">
        <v>419</v>
      </c>
      <c r="F462" s="9" t="s">
        <v>417</v>
      </c>
      <c r="G462" s="9" t="s">
        <v>363</v>
      </c>
      <c r="H462" s="9" t="s">
        <v>420</v>
      </c>
      <c r="I462" s="9" t="s">
        <v>276</v>
      </c>
      <c r="J462" s="9" t="s">
        <v>36</v>
      </c>
      <c r="K462" s="9">
        <v>1190</v>
      </c>
      <c r="L462" s="9"/>
      <c r="M462" s="9"/>
      <c r="N462" s="9"/>
      <c r="O462" s="9" t="s">
        <v>37</v>
      </c>
      <c r="P462" s="9" t="s">
        <v>38</v>
      </c>
      <c r="Q462" s="9"/>
      <c r="R462" s="10">
        <f t="shared" si="21"/>
        <v>0</v>
      </c>
      <c r="S462" s="10">
        <f>SUMIFS([1]Sheet1!$T:$T,[1]Sheet1!$I:$I,E462,[1]Sheet1!$C:$C,A462)</f>
        <v>0</v>
      </c>
      <c r="T462" s="10">
        <f t="shared" si="22"/>
        <v>0</v>
      </c>
      <c r="U462" s="9"/>
      <c r="X462" t="s">
        <v>54</v>
      </c>
      <c r="Y462" t="s">
        <v>179</v>
      </c>
      <c r="Z462" t="s">
        <v>104</v>
      </c>
      <c r="AB462" t="str">
        <f t="shared" si="23"/>
        <v>24219</v>
      </c>
    </row>
    <row r="463" ht="14.25" spans="1:28">
      <c r="A463" s="5" t="s">
        <v>28</v>
      </c>
      <c r="B463" s="5" t="s">
        <v>264</v>
      </c>
      <c r="C463" s="5">
        <v>2027</v>
      </c>
      <c r="D463" s="5" t="s">
        <v>30</v>
      </c>
      <c r="E463" s="9" t="s">
        <v>419</v>
      </c>
      <c r="F463" s="9" t="s">
        <v>417</v>
      </c>
      <c r="G463" s="9" t="s">
        <v>363</v>
      </c>
      <c r="H463" s="9" t="s">
        <v>420</v>
      </c>
      <c r="I463" s="9" t="s">
        <v>276</v>
      </c>
      <c r="J463" s="9" t="s">
        <v>36</v>
      </c>
      <c r="K463" s="9">
        <v>1190</v>
      </c>
      <c r="L463" s="9"/>
      <c r="M463" s="9"/>
      <c r="N463" s="9"/>
      <c r="O463" s="9" t="s">
        <v>37</v>
      </c>
      <c r="P463" s="9" t="s">
        <v>42</v>
      </c>
      <c r="Q463" s="9"/>
      <c r="R463" s="10"/>
      <c r="S463" s="10"/>
      <c r="T463" s="10"/>
      <c r="U463" s="9"/>
      <c r="X463" t="s">
        <v>54</v>
      </c>
      <c r="Y463" t="s">
        <v>179</v>
      </c>
      <c r="Z463" t="s">
        <v>104</v>
      </c>
      <c r="AB463" t="str">
        <f t="shared" si="23"/>
        <v>24219</v>
      </c>
    </row>
    <row r="464" ht="14.25" spans="1:28">
      <c r="A464" s="5" t="s">
        <v>28</v>
      </c>
      <c r="B464" s="5" t="s">
        <v>264</v>
      </c>
      <c r="C464" s="5">
        <v>2027</v>
      </c>
      <c r="D464" s="5" t="s">
        <v>30</v>
      </c>
      <c r="E464" s="9" t="s">
        <v>419</v>
      </c>
      <c r="F464" s="9" t="s">
        <v>417</v>
      </c>
      <c r="G464" s="9" t="s">
        <v>363</v>
      </c>
      <c r="H464" s="9" t="s">
        <v>420</v>
      </c>
      <c r="I464" s="9" t="s">
        <v>276</v>
      </c>
      <c r="J464" s="9" t="s">
        <v>36</v>
      </c>
      <c r="K464" s="9">
        <v>1190</v>
      </c>
      <c r="L464" s="9"/>
      <c r="M464" s="9"/>
      <c r="N464" s="9"/>
      <c r="O464" s="9" t="s">
        <v>37</v>
      </c>
      <c r="P464" s="9" t="s">
        <v>43</v>
      </c>
      <c r="Q464" s="9"/>
      <c r="R464" s="10"/>
      <c r="S464" s="10"/>
      <c r="T464" s="10"/>
      <c r="U464" s="9"/>
      <c r="X464" t="s">
        <v>54</v>
      </c>
      <c r="Y464" t="s">
        <v>179</v>
      </c>
      <c r="Z464" t="s">
        <v>104</v>
      </c>
      <c r="AB464" t="str">
        <f t="shared" si="23"/>
        <v>24219</v>
      </c>
    </row>
    <row r="465" ht="14.25" spans="1:28">
      <c r="A465" s="5" t="s">
        <v>28</v>
      </c>
      <c r="B465" s="5" t="s">
        <v>264</v>
      </c>
      <c r="C465" s="5">
        <v>2027</v>
      </c>
      <c r="D465" s="5" t="s">
        <v>30</v>
      </c>
      <c r="E465" s="9" t="s">
        <v>419</v>
      </c>
      <c r="F465" s="9" t="s">
        <v>417</v>
      </c>
      <c r="G465" s="9" t="s">
        <v>363</v>
      </c>
      <c r="H465" s="9" t="s">
        <v>420</v>
      </c>
      <c r="I465" s="9" t="s">
        <v>276</v>
      </c>
      <c r="J465" s="9" t="s">
        <v>36</v>
      </c>
      <c r="K465" s="9">
        <v>1190</v>
      </c>
      <c r="L465" s="9"/>
      <c r="M465" s="9"/>
      <c r="N465" s="9"/>
      <c r="O465" s="9" t="s">
        <v>37</v>
      </c>
      <c r="P465" s="9" t="s">
        <v>44</v>
      </c>
      <c r="Q465" s="9"/>
      <c r="R465" s="10"/>
      <c r="S465" s="10"/>
      <c r="T465" s="10"/>
      <c r="U465" s="9"/>
      <c r="X465" t="s">
        <v>54</v>
      </c>
      <c r="Y465" t="s">
        <v>179</v>
      </c>
      <c r="Z465" t="s">
        <v>104</v>
      </c>
      <c r="AB465" t="str">
        <f t="shared" si="23"/>
        <v>24219</v>
      </c>
    </row>
    <row r="466" ht="14.25" spans="1:28">
      <c r="A466" s="5" t="s">
        <v>28</v>
      </c>
      <c r="B466" s="5" t="s">
        <v>264</v>
      </c>
      <c r="C466" s="5">
        <v>2027</v>
      </c>
      <c r="D466" s="5" t="s">
        <v>30</v>
      </c>
      <c r="E466" s="9" t="s">
        <v>419</v>
      </c>
      <c r="F466" s="9" t="s">
        <v>417</v>
      </c>
      <c r="G466" s="9" t="s">
        <v>363</v>
      </c>
      <c r="H466" s="9" t="s">
        <v>420</v>
      </c>
      <c r="I466" s="9" t="s">
        <v>276</v>
      </c>
      <c r="J466" s="9" t="s">
        <v>36</v>
      </c>
      <c r="K466" s="9">
        <v>1190</v>
      </c>
      <c r="L466" s="9"/>
      <c r="M466" s="9"/>
      <c r="N466" s="9"/>
      <c r="O466" s="9" t="s">
        <v>37</v>
      </c>
      <c r="P466" s="9" t="s">
        <v>45</v>
      </c>
      <c r="Q466" s="9"/>
      <c r="R466" s="10"/>
      <c r="S466" s="10"/>
      <c r="T466" s="10"/>
      <c r="U466" s="9"/>
      <c r="X466" t="s">
        <v>54</v>
      </c>
      <c r="Y466" t="s">
        <v>179</v>
      </c>
      <c r="Z466" t="s">
        <v>104</v>
      </c>
      <c r="AB466" t="str">
        <f t="shared" si="23"/>
        <v>24219</v>
      </c>
    </row>
    <row r="467" ht="14.25" spans="1:28">
      <c r="A467" s="5" t="s">
        <v>28</v>
      </c>
      <c r="B467" s="5" t="s">
        <v>264</v>
      </c>
      <c r="C467" s="5">
        <v>2027</v>
      </c>
      <c r="D467" s="5" t="s">
        <v>30</v>
      </c>
      <c r="E467" s="9" t="s">
        <v>421</v>
      </c>
      <c r="F467" s="9" t="s">
        <v>422</v>
      </c>
      <c r="G467" s="9" t="s">
        <v>423</v>
      </c>
      <c r="H467" s="9" t="s">
        <v>424</v>
      </c>
      <c r="I467" s="9" t="s">
        <v>269</v>
      </c>
      <c r="J467" s="9" t="s">
        <v>74</v>
      </c>
      <c r="K467" s="9">
        <v>1190</v>
      </c>
      <c r="L467" s="9"/>
      <c r="M467" s="9"/>
      <c r="N467" s="9"/>
      <c r="O467" s="9" t="s">
        <v>68</v>
      </c>
      <c r="P467" s="9" t="s">
        <v>69</v>
      </c>
      <c r="Q467" s="9"/>
      <c r="R467" s="10">
        <f t="shared" si="21"/>
        <v>0</v>
      </c>
      <c r="S467" s="10">
        <f>SUMIFS([1]Sheet1!$T:$T,[1]Sheet1!$I:$I,E467,[1]Sheet1!$C:$C,A467)</f>
        <v>0</v>
      </c>
      <c r="T467" s="10">
        <f t="shared" si="22"/>
        <v>0</v>
      </c>
      <c r="U467" s="9"/>
      <c r="Y467" t="s">
        <v>179</v>
      </c>
      <c r="Z467" t="s">
        <v>104</v>
      </c>
      <c r="AB467" t="str">
        <f t="shared" si="23"/>
        <v>24234</v>
      </c>
    </row>
    <row r="468" ht="14.25" spans="1:28">
      <c r="A468" s="5" t="s">
        <v>28</v>
      </c>
      <c r="B468" s="5" t="s">
        <v>264</v>
      </c>
      <c r="C468" s="5">
        <v>2027</v>
      </c>
      <c r="D468" s="5" t="s">
        <v>30</v>
      </c>
      <c r="E468" s="9" t="s">
        <v>421</v>
      </c>
      <c r="F468" s="9" t="s">
        <v>422</v>
      </c>
      <c r="G468" s="9" t="s">
        <v>423</v>
      </c>
      <c r="H468" s="9" t="s">
        <v>424</v>
      </c>
      <c r="I468" s="9" t="s">
        <v>269</v>
      </c>
      <c r="J468" s="9" t="s">
        <v>74</v>
      </c>
      <c r="K468" s="9">
        <v>1190</v>
      </c>
      <c r="L468" s="9"/>
      <c r="M468" s="9"/>
      <c r="N468" s="9"/>
      <c r="O468" s="9" t="s">
        <v>68</v>
      </c>
      <c r="P468" s="9" t="s">
        <v>72</v>
      </c>
      <c r="Q468" s="9"/>
      <c r="R468" s="10"/>
      <c r="S468" s="10"/>
      <c r="T468" s="10"/>
      <c r="U468" s="9"/>
      <c r="Y468" t="s">
        <v>179</v>
      </c>
      <c r="Z468" t="s">
        <v>104</v>
      </c>
      <c r="AB468" t="str">
        <f t="shared" si="23"/>
        <v>24234</v>
      </c>
    </row>
    <row r="469" ht="14.25" spans="1:28">
      <c r="A469" s="5" t="s">
        <v>28</v>
      </c>
      <c r="B469" s="5" t="s">
        <v>264</v>
      </c>
      <c r="C469" s="5">
        <v>2027</v>
      </c>
      <c r="D469" s="5" t="s">
        <v>30</v>
      </c>
      <c r="E469" s="9" t="s">
        <v>421</v>
      </c>
      <c r="F469" s="9" t="s">
        <v>422</v>
      </c>
      <c r="G469" s="9" t="s">
        <v>423</v>
      </c>
      <c r="H469" s="9" t="s">
        <v>424</v>
      </c>
      <c r="I469" s="9" t="s">
        <v>269</v>
      </c>
      <c r="J469" s="9" t="s">
        <v>74</v>
      </c>
      <c r="K469" s="9">
        <v>1190</v>
      </c>
      <c r="L469" s="9"/>
      <c r="M469" s="9"/>
      <c r="N469" s="9"/>
      <c r="O469" s="9" t="s">
        <v>68</v>
      </c>
      <c r="P469" s="9" t="s">
        <v>73</v>
      </c>
      <c r="Q469" s="9"/>
      <c r="R469" s="10"/>
      <c r="S469" s="10"/>
      <c r="T469" s="10"/>
      <c r="U469" s="9"/>
      <c r="Y469" t="s">
        <v>179</v>
      </c>
      <c r="Z469" t="s">
        <v>104</v>
      </c>
      <c r="AB469" t="str">
        <f t="shared" si="23"/>
        <v>24234</v>
      </c>
    </row>
    <row r="470" ht="14.25" spans="1:28">
      <c r="A470" s="5" t="s">
        <v>28</v>
      </c>
      <c r="B470" s="5" t="s">
        <v>264</v>
      </c>
      <c r="C470" s="5">
        <v>2027</v>
      </c>
      <c r="D470" s="5" t="s">
        <v>30</v>
      </c>
      <c r="E470" s="9" t="s">
        <v>421</v>
      </c>
      <c r="F470" s="9" t="s">
        <v>422</v>
      </c>
      <c r="G470" s="9" t="s">
        <v>423</v>
      </c>
      <c r="H470" s="9" t="s">
        <v>424</v>
      </c>
      <c r="I470" s="9" t="s">
        <v>269</v>
      </c>
      <c r="J470" s="9" t="s">
        <v>74</v>
      </c>
      <c r="K470" s="9">
        <v>1190</v>
      </c>
      <c r="L470" s="9"/>
      <c r="M470" s="9"/>
      <c r="N470" s="9"/>
      <c r="O470" s="9" t="s">
        <v>68</v>
      </c>
      <c r="P470" s="9" t="s">
        <v>74</v>
      </c>
      <c r="Q470" s="9"/>
      <c r="R470" s="10"/>
      <c r="S470" s="10"/>
      <c r="T470" s="10"/>
      <c r="U470" s="9"/>
      <c r="Y470" t="s">
        <v>179</v>
      </c>
      <c r="Z470" t="s">
        <v>104</v>
      </c>
      <c r="AB470" t="str">
        <f t="shared" si="23"/>
        <v>24234</v>
      </c>
    </row>
    <row r="471" ht="14.25" spans="1:28">
      <c r="A471" s="5" t="s">
        <v>28</v>
      </c>
      <c r="B471" s="5" t="s">
        <v>264</v>
      </c>
      <c r="C471" s="5">
        <v>2027</v>
      </c>
      <c r="D471" s="5" t="s">
        <v>30</v>
      </c>
      <c r="E471" s="9" t="s">
        <v>421</v>
      </c>
      <c r="F471" s="9" t="s">
        <v>422</v>
      </c>
      <c r="G471" s="9" t="s">
        <v>423</v>
      </c>
      <c r="H471" s="9" t="s">
        <v>424</v>
      </c>
      <c r="I471" s="9" t="s">
        <v>269</v>
      </c>
      <c r="J471" s="9" t="s">
        <v>74</v>
      </c>
      <c r="K471" s="9">
        <v>1190</v>
      </c>
      <c r="L471" s="9"/>
      <c r="M471" s="9"/>
      <c r="N471" s="9"/>
      <c r="O471" s="9" t="s">
        <v>68</v>
      </c>
      <c r="P471" s="9" t="s">
        <v>75</v>
      </c>
      <c r="Q471" s="9"/>
      <c r="R471" s="10"/>
      <c r="S471" s="10"/>
      <c r="T471" s="10"/>
      <c r="U471" s="9"/>
      <c r="Y471" t="s">
        <v>179</v>
      </c>
      <c r="Z471" t="s">
        <v>104</v>
      </c>
      <c r="AB471" t="str">
        <f t="shared" si="23"/>
        <v>24234</v>
      </c>
    </row>
    <row r="472" ht="14.25" spans="1:28">
      <c r="A472" s="5" t="s">
        <v>28</v>
      </c>
      <c r="B472" s="5" t="s">
        <v>264</v>
      </c>
      <c r="C472" s="5">
        <v>2027</v>
      </c>
      <c r="D472" s="5" t="s">
        <v>30</v>
      </c>
      <c r="E472" s="9" t="s">
        <v>421</v>
      </c>
      <c r="F472" s="9" t="s">
        <v>422</v>
      </c>
      <c r="G472" s="9" t="s">
        <v>423</v>
      </c>
      <c r="H472" s="9" t="s">
        <v>424</v>
      </c>
      <c r="I472" s="9" t="s">
        <v>269</v>
      </c>
      <c r="J472" s="9" t="s">
        <v>74</v>
      </c>
      <c r="K472" s="9">
        <v>1190</v>
      </c>
      <c r="L472" s="9"/>
      <c r="M472" s="9"/>
      <c r="N472" s="9"/>
      <c r="O472" s="9" t="s">
        <v>68</v>
      </c>
      <c r="P472" s="9" t="s">
        <v>76</v>
      </c>
      <c r="Q472" s="9"/>
      <c r="R472" s="10"/>
      <c r="S472" s="10"/>
      <c r="T472" s="10"/>
      <c r="U472" s="9"/>
      <c r="Y472" t="s">
        <v>179</v>
      </c>
      <c r="Z472" t="s">
        <v>104</v>
      </c>
      <c r="AB472" t="str">
        <f t="shared" si="23"/>
        <v>24234</v>
      </c>
    </row>
    <row r="473" ht="14.25" spans="1:28">
      <c r="A473" s="5" t="s">
        <v>28</v>
      </c>
      <c r="B473" s="5" t="s">
        <v>264</v>
      </c>
      <c r="C473" s="5">
        <v>2027</v>
      </c>
      <c r="D473" s="5" t="s">
        <v>30</v>
      </c>
      <c r="E473" s="9" t="s">
        <v>421</v>
      </c>
      <c r="F473" s="9" t="s">
        <v>422</v>
      </c>
      <c r="G473" s="9" t="s">
        <v>423</v>
      </c>
      <c r="H473" s="9" t="s">
        <v>424</v>
      </c>
      <c r="I473" s="9" t="s">
        <v>269</v>
      </c>
      <c r="J473" s="9" t="s">
        <v>74</v>
      </c>
      <c r="K473" s="9">
        <v>1190</v>
      </c>
      <c r="L473" s="9"/>
      <c r="M473" s="9"/>
      <c r="N473" s="9"/>
      <c r="O473" s="9" t="s">
        <v>68</v>
      </c>
      <c r="P473" s="9" t="s">
        <v>77</v>
      </c>
      <c r="Q473" s="9"/>
      <c r="R473" s="10"/>
      <c r="S473" s="10"/>
      <c r="T473" s="10"/>
      <c r="U473" s="9"/>
      <c r="Y473" t="s">
        <v>179</v>
      </c>
      <c r="Z473" t="s">
        <v>104</v>
      </c>
      <c r="AB473" t="str">
        <f t="shared" si="23"/>
        <v>24234</v>
      </c>
    </row>
    <row r="474" ht="14.25" spans="1:28">
      <c r="A474" s="5" t="s">
        <v>28</v>
      </c>
      <c r="B474" s="5" t="s">
        <v>264</v>
      </c>
      <c r="C474" s="5">
        <v>2027</v>
      </c>
      <c r="D474" s="5" t="s">
        <v>30</v>
      </c>
      <c r="E474" s="9" t="s">
        <v>425</v>
      </c>
      <c r="F474" s="9" t="s">
        <v>422</v>
      </c>
      <c r="G474" s="9" t="s">
        <v>408</v>
      </c>
      <c r="H474" s="9" t="s">
        <v>426</v>
      </c>
      <c r="I474" s="9" t="s">
        <v>269</v>
      </c>
      <c r="J474" s="9" t="s">
        <v>74</v>
      </c>
      <c r="K474" s="9">
        <v>1190</v>
      </c>
      <c r="L474" s="9"/>
      <c r="M474" s="9"/>
      <c r="N474" s="9"/>
      <c r="O474" s="9" t="s">
        <v>68</v>
      </c>
      <c r="P474" s="9" t="s">
        <v>69</v>
      </c>
      <c r="Q474" s="9"/>
      <c r="R474" s="10">
        <f t="shared" si="21"/>
        <v>0</v>
      </c>
      <c r="S474" s="10">
        <f>SUMIFS([1]Sheet1!$T:$T,[1]Sheet1!$I:$I,E474,[1]Sheet1!$C:$C,A474)</f>
        <v>0</v>
      </c>
      <c r="T474" s="10">
        <f t="shared" si="22"/>
        <v>0</v>
      </c>
      <c r="U474" s="9"/>
      <c r="Y474" t="s">
        <v>179</v>
      </c>
      <c r="Z474" t="s">
        <v>104</v>
      </c>
      <c r="AB474" t="str">
        <f t="shared" si="23"/>
        <v>24234</v>
      </c>
    </row>
    <row r="475" ht="14.25" spans="1:28">
      <c r="A475" s="5" t="s">
        <v>28</v>
      </c>
      <c r="B475" s="5" t="s">
        <v>264</v>
      </c>
      <c r="C475" s="5">
        <v>2027</v>
      </c>
      <c r="D475" s="5" t="s">
        <v>30</v>
      </c>
      <c r="E475" s="9" t="s">
        <v>425</v>
      </c>
      <c r="F475" s="9" t="s">
        <v>422</v>
      </c>
      <c r="G475" s="9" t="s">
        <v>408</v>
      </c>
      <c r="H475" s="9" t="s">
        <v>426</v>
      </c>
      <c r="I475" s="9" t="s">
        <v>269</v>
      </c>
      <c r="J475" s="9" t="s">
        <v>74</v>
      </c>
      <c r="K475" s="9">
        <v>1190</v>
      </c>
      <c r="L475" s="9"/>
      <c r="M475" s="9"/>
      <c r="N475" s="9"/>
      <c r="O475" s="9" t="s">
        <v>68</v>
      </c>
      <c r="P475" s="9" t="s">
        <v>72</v>
      </c>
      <c r="Q475" s="9"/>
      <c r="R475" s="10"/>
      <c r="S475" s="10"/>
      <c r="T475" s="10"/>
      <c r="U475" s="9"/>
      <c r="Y475" t="s">
        <v>179</v>
      </c>
      <c r="Z475" t="s">
        <v>104</v>
      </c>
      <c r="AB475" t="str">
        <f t="shared" si="23"/>
        <v>24234</v>
      </c>
    </row>
    <row r="476" ht="14.25" spans="1:28">
      <c r="A476" s="5" t="s">
        <v>28</v>
      </c>
      <c r="B476" s="5" t="s">
        <v>264</v>
      </c>
      <c r="C476" s="5">
        <v>2027</v>
      </c>
      <c r="D476" s="5" t="s">
        <v>30</v>
      </c>
      <c r="E476" s="9" t="s">
        <v>425</v>
      </c>
      <c r="F476" s="9" t="s">
        <v>422</v>
      </c>
      <c r="G476" s="9" t="s">
        <v>408</v>
      </c>
      <c r="H476" s="9" t="s">
        <v>426</v>
      </c>
      <c r="I476" s="9" t="s">
        <v>269</v>
      </c>
      <c r="J476" s="9" t="s">
        <v>74</v>
      </c>
      <c r="K476" s="9">
        <v>1190</v>
      </c>
      <c r="L476" s="9"/>
      <c r="M476" s="9"/>
      <c r="N476" s="9"/>
      <c r="O476" s="9" t="s">
        <v>68</v>
      </c>
      <c r="P476" s="9" t="s">
        <v>73</v>
      </c>
      <c r="Q476" s="9"/>
      <c r="R476" s="10"/>
      <c r="S476" s="10"/>
      <c r="T476" s="10"/>
      <c r="U476" s="9"/>
      <c r="Y476" t="s">
        <v>179</v>
      </c>
      <c r="Z476" t="s">
        <v>104</v>
      </c>
      <c r="AB476" t="str">
        <f t="shared" si="23"/>
        <v>24234</v>
      </c>
    </row>
    <row r="477" ht="14.25" spans="1:28">
      <c r="A477" s="5" t="s">
        <v>28</v>
      </c>
      <c r="B477" s="5" t="s">
        <v>264</v>
      </c>
      <c r="C477" s="5">
        <v>2027</v>
      </c>
      <c r="D477" s="5" t="s">
        <v>30</v>
      </c>
      <c r="E477" s="9" t="s">
        <v>425</v>
      </c>
      <c r="F477" s="9" t="s">
        <v>422</v>
      </c>
      <c r="G477" s="9" t="s">
        <v>408</v>
      </c>
      <c r="H477" s="9" t="s">
        <v>426</v>
      </c>
      <c r="I477" s="9" t="s">
        <v>269</v>
      </c>
      <c r="J477" s="9" t="s">
        <v>74</v>
      </c>
      <c r="K477" s="9">
        <v>1190</v>
      </c>
      <c r="L477" s="9"/>
      <c r="M477" s="9"/>
      <c r="N477" s="9"/>
      <c r="O477" s="9" t="s">
        <v>68</v>
      </c>
      <c r="P477" s="9" t="s">
        <v>74</v>
      </c>
      <c r="Q477" s="9"/>
      <c r="R477" s="10"/>
      <c r="S477" s="10"/>
      <c r="T477" s="10"/>
      <c r="U477" s="9"/>
      <c r="Y477" t="s">
        <v>179</v>
      </c>
      <c r="Z477" t="s">
        <v>104</v>
      </c>
      <c r="AB477" t="str">
        <f t="shared" si="23"/>
        <v>24234</v>
      </c>
    </row>
    <row r="478" ht="14.25" spans="1:28">
      <c r="A478" s="5" t="s">
        <v>28</v>
      </c>
      <c r="B478" s="5" t="s">
        <v>264</v>
      </c>
      <c r="C478" s="5">
        <v>2027</v>
      </c>
      <c r="D478" s="5" t="s">
        <v>30</v>
      </c>
      <c r="E478" s="9" t="s">
        <v>425</v>
      </c>
      <c r="F478" s="9" t="s">
        <v>422</v>
      </c>
      <c r="G478" s="9" t="s">
        <v>408</v>
      </c>
      <c r="H478" s="9" t="s">
        <v>426</v>
      </c>
      <c r="I478" s="9" t="s">
        <v>269</v>
      </c>
      <c r="J478" s="9" t="s">
        <v>74</v>
      </c>
      <c r="K478" s="9">
        <v>1190</v>
      </c>
      <c r="L478" s="9"/>
      <c r="M478" s="9"/>
      <c r="N478" s="9"/>
      <c r="O478" s="9" t="s">
        <v>68</v>
      </c>
      <c r="P478" s="9" t="s">
        <v>75</v>
      </c>
      <c r="Q478" s="9"/>
      <c r="R478" s="10"/>
      <c r="S478" s="10"/>
      <c r="T478" s="10"/>
      <c r="U478" s="9"/>
      <c r="Y478" t="s">
        <v>179</v>
      </c>
      <c r="Z478" t="s">
        <v>104</v>
      </c>
      <c r="AB478" t="str">
        <f t="shared" si="23"/>
        <v>24234</v>
      </c>
    </row>
    <row r="479" ht="14.25" spans="1:28">
      <c r="A479" s="5" t="s">
        <v>28</v>
      </c>
      <c r="B479" s="5" t="s">
        <v>264</v>
      </c>
      <c r="C479" s="5">
        <v>2027</v>
      </c>
      <c r="D479" s="5" t="s">
        <v>30</v>
      </c>
      <c r="E479" s="9" t="s">
        <v>425</v>
      </c>
      <c r="F479" s="9" t="s">
        <v>422</v>
      </c>
      <c r="G479" s="9" t="s">
        <v>408</v>
      </c>
      <c r="H479" s="9" t="s">
        <v>426</v>
      </c>
      <c r="I479" s="9" t="s">
        <v>269</v>
      </c>
      <c r="J479" s="9" t="s">
        <v>74</v>
      </c>
      <c r="K479" s="9">
        <v>1190</v>
      </c>
      <c r="L479" s="9"/>
      <c r="M479" s="9"/>
      <c r="N479" s="9"/>
      <c r="O479" s="9" t="s">
        <v>68</v>
      </c>
      <c r="P479" s="9" t="s">
        <v>76</v>
      </c>
      <c r="Q479" s="9"/>
      <c r="R479" s="10"/>
      <c r="S479" s="10"/>
      <c r="T479" s="10"/>
      <c r="U479" s="9"/>
      <c r="Y479" t="s">
        <v>179</v>
      </c>
      <c r="Z479" t="s">
        <v>104</v>
      </c>
      <c r="AB479" t="str">
        <f t="shared" si="23"/>
        <v>24234</v>
      </c>
    </row>
    <row r="480" ht="14.25" spans="1:28">
      <c r="A480" s="5" t="s">
        <v>28</v>
      </c>
      <c r="B480" s="5" t="s">
        <v>264</v>
      </c>
      <c r="C480" s="5">
        <v>2027</v>
      </c>
      <c r="D480" s="5" t="s">
        <v>30</v>
      </c>
      <c r="E480" s="9" t="s">
        <v>425</v>
      </c>
      <c r="F480" s="9" t="s">
        <v>422</v>
      </c>
      <c r="G480" s="9" t="s">
        <v>408</v>
      </c>
      <c r="H480" s="9" t="s">
        <v>426</v>
      </c>
      <c r="I480" s="9" t="s">
        <v>269</v>
      </c>
      <c r="J480" s="9" t="s">
        <v>74</v>
      </c>
      <c r="K480" s="9">
        <v>1190</v>
      </c>
      <c r="L480" s="9"/>
      <c r="M480" s="9"/>
      <c r="N480" s="9"/>
      <c r="O480" s="9" t="s">
        <v>68</v>
      </c>
      <c r="P480" s="9" t="s">
        <v>77</v>
      </c>
      <c r="Q480" s="9"/>
      <c r="R480" s="10"/>
      <c r="S480" s="10"/>
      <c r="T480" s="10"/>
      <c r="U480" s="9"/>
      <c r="Y480" t="s">
        <v>179</v>
      </c>
      <c r="Z480" t="s">
        <v>104</v>
      </c>
      <c r="AB480" t="str">
        <f t="shared" si="23"/>
        <v>24234</v>
      </c>
    </row>
    <row r="481" ht="14.25" spans="1:28">
      <c r="A481" s="5" t="s">
        <v>28</v>
      </c>
      <c r="B481" s="5" t="s">
        <v>264</v>
      </c>
      <c r="C481" s="5">
        <v>2027</v>
      </c>
      <c r="D481" s="5" t="s">
        <v>30</v>
      </c>
      <c r="E481" s="9" t="s">
        <v>427</v>
      </c>
      <c r="F481" s="9" t="s">
        <v>428</v>
      </c>
      <c r="G481" s="9" t="s">
        <v>397</v>
      </c>
      <c r="H481" s="9" t="s">
        <v>429</v>
      </c>
      <c r="I481" s="9" t="s">
        <v>276</v>
      </c>
      <c r="J481" s="9" t="s">
        <v>36</v>
      </c>
      <c r="K481" s="9">
        <v>490</v>
      </c>
      <c r="L481" s="9"/>
      <c r="M481" s="9"/>
      <c r="N481" s="9"/>
      <c r="O481" s="9" t="s">
        <v>37</v>
      </c>
      <c r="P481" s="9" t="s">
        <v>38</v>
      </c>
      <c r="Q481" s="9"/>
      <c r="R481" s="10">
        <f t="shared" si="21"/>
        <v>0</v>
      </c>
      <c r="S481" s="10">
        <f>SUMIFS([1]Sheet1!$T:$T,[1]Sheet1!$I:$I,E481,[1]Sheet1!$C:$C,A481)</f>
        <v>0</v>
      </c>
      <c r="T481" s="10">
        <f t="shared" si="22"/>
        <v>0</v>
      </c>
      <c r="U481" s="9"/>
      <c r="Y481" t="s">
        <v>179</v>
      </c>
      <c r="Z481" t="s">
        <v>104</v>
      </c>
      <c r="AB481" t="str">
        <f t="shared" si="23"/>
        <v>24254</v>
      </c>
    </row>
    <row r="482" ht="14.25" spans="1:28">
      <c r="A482" s="5" t="s">
        <v>28</v>
      </c>
      <c r="B482" s="5" t="s">
        <v>264</v>
      </c>
      <c r="C482" s="5">
        <v>2027</v>
      </c>
      <c r="D482" s="5" t="s">
        <v>30</v>
      </c>
      <c r="E482" s="9" t="s">
        <v>427</v>
      </c>
      <c r="F482" s="9" t="s">
        <v>428</v>
      </c>
      <c r="G482" s="9" t="s">
        <v>397</v>
      </c>
      <c r="H482" s="9" t="s">
        <v>429</v>
      </c>
      <c r="I482" s="9" t="s">
        <v>276</v>
      </c>
      <c r="J482" s="9" t="s">
        <v>36</v>
      </c>
      <c r="K482" s="9">
        <v>490</v>
      </c>
      <c r="L482" s="9"/>
      <c r="M482" s="9"/>
      <c r="N482" s="9"/>
      <c r="O482" s="9" t="s">
        <v>37</v>
      </c>
      <c r="P482" s="9" t="s">
        <v>42</v>
      </c>
      <c r="Q482" s="9"/>
      <c r="R482" s="10"/>
      <c r="S482" s="10"/>
      <c r="T482" s="10"/>
      <c r="U482" s="9"/>
      <c r="Y482" t="s">
        <v>179</v>
      </c>
      <c r="Z482" t="s">
        <v>104</v>
      </c>
      <c r="AB482" t="str">
        <f t="shared" si="23"/>
        <v>24254</v>
      </c>
    </row>
    <row r="483" ht="14.25" spans="1:28">
      <c r="A483" s="5" t="s">
        <v>28</v>
      </c>
      <c r="B483" s="5" t="s">
        <v>264</v>
      </c>
      <c r="C483" s="5">
        <v>2027</v>
      </c>
      <c r="D483" s="5" t="s">
        <v>30</v>
      </c>
      <c r="E483" s="9" t="s">
        <v>427</v>
      </c>
      <c r="F483" s="9" t="s">
        <v>428</v>
      </c>
      <c r="G483" s="9" t="s">
        <v>397</v>
      </c>
      <c r="H483" s="9" t="s">
        <v>429</v>
      </c>
      <c r="I483" s="9" t="s">
        <v>276</v>
      </c>
      <c r="J483" s="9" t="s">
        <v>36</v>
      </c>
      <c r="K483" s="9">
        <v>490</v>
      </c>
      <c r="L483" s="9"/>
      <c r="M483" s="9"/>
      <c r="N483" s="9"/>
      <c r="O483" s="9" t="s">
        <v>37</v>
      </c>
      <c r="P483" s="9" t="s">
        <v>43</v>
      </c>
      <c r="Q483" s="9"/>
      <c r="R483" s="10"/>
      <c r="S483" s="10"/>
      <c r="T483" s="10"/>
      <c r="U483" s="9"/>
      <c r="Y483" t="s">
        <v>179</v>
      </c>
      <c r="Z483" t="s">
        <v>104</v>
      </c>
      <c r="AB483" t="str">
        <f t="shared" si="23"/>
        <v>24254</v>
      </c>
    </row>
    <row r="484" ht="14.25" spans="1:28">
      <c r="A484" s="5" t="s">
        <v>28</v>
      </c>
      <c r="B484" s="5" t="s">
        <v>264</v>
      </c>
      <c r="C484" s="5">
        <v>2027</v>
      </c>
      <c r="D484" s="5" t="s">
        <v>30</v>
      </c>
      <c r="E484" s="9" t="s">
        <v>427</v>
      </c>
      <c r="F484" s="9" t="s">
        <v>428</v>
      </c>
      <c r="G484" s="9" t="s">
        <v>397</v>
      </c>
      <c r="H484" s="9" t="s">
        <v>429</v>
      </c>
      <c r="I484" s="9" t="s">
        <v>276</v>
      </c>
      <c r="J484" s="9" t="s">
        <v>36</v>
      </c>
      <c r="K484" s="9">
        <v>490</v>
      </c>
      <c r="L484" s="9"/>
      <c r="M484" s="9"/>
      <c r="N484" s="9"/>
      <c r="O484" s="9" t="s">
        <v>37</v>
      </c>
      <c r="P484" s="9" t="s">
        <v>44</v>
      </c>
      <c r="Q484" s="9"/>
      <c r="R484" s="10"/>
      <c r="S484" s="10"/>
      <c r="T484" s="10"/>
      <c r="U484" s="9"/>
      <c r="Y484" t="s">
        <v>179</v>
      </c>
      <c r="Z484" t="s">
        <v>104</v>
      </c>
      <c r="AB484" t="str">
        <f t="shared" si="23"/>
        <v>24254</v>
      </c>
    </row>
    <row r="485" ht="14.25" spans="1:28">
      <c r="A485" s="5" t="s">
        <v>28</v>
      </c>
      <c r="B485" s="5" t="s">
        <v>264</v>
      </c>
      <c r="C485" s="5">
        <v>2027</v>
      </c>
      <c r="D485" s="5" t="s">
        <v>30</v>
      </c>
      <c r="E485" s="9" t="s">
        <v>427</v>
      </c>
      <c r="F485" s="9" t="s">
        <v>428</v>
      </c>
      <c r="G485" s="9" t="s">
        <v>397</v>
      </c>
      <c r="H485" s="9" t="s">
        <v>429</v>
      </c>
      <c r="I485" s="9" t="s">
        <v>276</v>
      </c>
      <c r="J485" s="9" t="s">
        <v>36</v>
      </c>
      <c r="K485" s="9">
        <v>490</v>
      </c>
      <c r="L485" s="9"/>
      <c r="M485" s="9"/>
      <c r="N485" s="9"/>
      <c r="O485" s="9" t="s">
        <v>37</v>
      </c>
      <c r="P485" s="9" t="s">
        <v>45</v>
      </c>
      <c r="Q485" s="9"/>
      <c r="R485" s="10"/>
      <c r="S485" s="10"/>
      <c r="T485" s="10"/>
      <c r="U485" s="9"/>
      <c r="Y485" t="s">
        <v>179</v>
      </c>
      <c r="Z485" t="s">
        <v>104</v>
      </c>
      <c r="AB485" t="str">
        <f t="shared" si="23"/>
        <v>24254</v>
      </c>
    </row>
    <row r="486" ht="14.25" spans="1:28">
      <c r="A486" s="5" t="s">
        <v>28</v>
      </c>
      <c r="B486" s="5" t="s">
        <v>264</v>
      </c>
      <c r="C486" s="5">
        <v>2027</v>
      </c>
      <c r="D486" s="5" t="s">
        <v>30</v>
      </c>
      <c r="E486" s="9" t="s">
        <v>430</v>
      </c>
      <c r="F486" s="9" t="s">
        <v>431</v>
      </c>
      <c r="G486" s="9" t="s">
        <v>117</v>
      </c>
      <c r="H486" s="9" t="s">
        <v>432</v>
      </c>
      <c r="I486" s="9" t="s">
        <v>269</v>
      </c>
      <c r="J486" s="9" t="s">
        <v>36</v>
      </c>
      <c r="K486" s="9">
        <v>690</v>
      </c>
      <c r="L486" s="9"/>
      <c r="M486" s="9"/>
      <c r="N486" s="9"/>
      <c r="O486" s="9" t="s">
        <v>37</v>
      </c>
      <c r="P486" s="9" t="s">
        <v>38</v>
      </c>
      <c r="Q486" s="9"/>
      <c r="R486" s="10">
        <f t="shared" si="21"/>
        <v>0</v>
      </c>
      <c r="S486" s="10">
        <f>SUMIFS([1]Sheet1!$T:$T,[1]Sheet1!$I:$I,E486,[1]Sheet1!$C:$C,A486)</f>
        <v>0</v>
      </c>
      <c r="T486" s="10">
        <f t="shared" si="22"/>
        <v>0</v>
      </c>
      <c r="U486" s="9"/>
      <c r="X486" t="s">
        <v>122</v>
      </c>
      <c r="Y486" t="s">
        <v>179</v>
      </c>
      <c r="Z486" t="s">
        <v>179</v>
      </c>
      <c r="AB486" t="str">
        <f t="shared" si="23"/>
        <v>24257</v>
      </c>
    </row>
    <row r="487" ht="14.25" spans="1:28">
      <c r="A487" s="5" t="s">
        <v>28</v>
      </c>
      <c r="B487" s="5" t="s">
        <v>264</v>
      </c>
      <c r="C487" s="5">
        <v>2027</v>
      </c>
      <c r="D487" s="5" t="s">
        <v>30</v>
      </c>
      <c r="E487" s="9" t="s">
        <v>430</v>
      </c>
      <c r="F487" s="9" t="s">
        <v>431</v>
      </c>
      <c r="G487" s="9" t="s">
        <v>117</v>
      </c>
      <c r="H487" s="9" t="s">
        <v>432</v>
      </c>
      <c r="I487" s="9" t="s">
        <v>269</v>
      </c>
      <c r="J487" s="9" t="s">
        <v>36</v>
      </c>
      <c r="K487" s="9">
        <v>690</v>
      </c>
      <c r="L487" s="9"/>
      <c r="M487" s="9"/>
      <c r="N487" s="9"/>
      <c r="O487" s="9" t="s">
        <v>37</v>
      </c>
      <c r="P487" s="9" t="s">
        <v>42</v>
      </c>
      <c r="Q487" s="9"/>
      <c r="R487" s="10"/>
      <c r="S487" s="10"/>
      <c r="T487" s="10"/>
      <c r="U487" s="9"/>
      <c r="X487" t="s">
        <v>122</v>
      </c>
      <c r="Y487" t="s">
        <v>179</v>
      </c>
      <c r="Z487" t="s">
        <v>179</v>
      </c>
      <c r="AB487" t="str">
        <f t="shared" si="23"/>
        <v>24257</v>
      </c>
    </row>
    <row r="488" ht="14.25" spans="1:28">
      <c r="A488" s="5" t="s">
        <v>28</v>
      </c>
      <c r="B488" s="5" t="s">
        <v>264</v>
      </c>
      <c r="C488" s="5">
        <v>2027</v>
      </c>
      <c r="D488" s="5" t="s">
        <v>30</v>
      </c>
      <c r="E488" s="9" t="s">
        <v>430</v>
      </c>
      <c r="F488" s="9" t="s">
        <v>431</v>
      </c>
      <c r="G488" s="9" t="s">
        <v>117</v>
      </c>
      <c r="H488" s="9" t="s">
        <v>432</v>
      </c>
      <c r="I488" s="9" t="s">
        <v>269</v>
      </c>
      <c r="J488" s="9" t="s">
        <v>36</v>
      </c>
      <c r="K488" s="9">
        <v>690</v>
      </c>
      <c r="L488" s="9"/>
      <c r="M488" s="9"/>
      <c r="N488" s="9"/>
      <c r="O488" s="9" t="s">
        <v>37</v>
      </c>
      <c r="P488" s="9" t="s">
        <v>43</v>
      </c>
      <c r="Q488" s="9"/>
      <c r="R488" s="10"/>
      <c r="S488" s="10"/>
      <c r="T488" s="10"/>
      <c r="U488" s="9"/>
      <c r="X488" t="s">
        <v>122</v>
      </c>
      <c r="Y488" t="s">
        <v>179</v>
      </c>
      <c r="Z488" t="s">
        <v>179</v>
      </c>
      <c r="AB488" t="str">
        <f t="shared" si="23"/>
        <v>24257</v>
      </c>
    </row>
    <row r="489" ht="14.25" spans="1:28">
      <c r="A489" s="5" t="s">
        <v>28</v>
      </c>
      <c r="B489" s="5" t="s">
        <v>264</v>
      </c>
      <c r="C489" s="5">
        <v>2027</v>
      </c>
      <c r="D489" s="5" t="s">
        <v>30</v>
      </c>
      <c r="E489" s="9" t="s">
        <v>430</v>
      </c>
      <c r="F489" s="9" t="s">
        <v>431</v>
      </c>
      <c r="G489" s="9" t="s">
        <v>117</v>
      </c>
      <c r="H489" s="9" t="s">
        <v>432</v>
      </c>
      <c r="I489" s="9" t="s">
        <v>269</v>
      </c>
      <c r="J489" s="9" t="s">
        <v>36</v>
      </c>
      <c r="K489" s="9">
        <v>690</v>
      </c>
      <c r="L489" s="9"/>
      <c r="M489" s="9"/>
      <c r="N489" s="9"/>
      <c r="O489" s="9" t="s">
        <v>37</v>
      </c>
      <c r="P489" s="9" t="s">
        <v>44</v>
      </c>
      <c r="Q489" s="9"/>
      <c r="R489" s="10"/>
      <c r="S489" s="10"/>
      <c r="T489" s="10"/>
      <c r="U489" s="9"/>
      <c r="X489" t="s">
        <v>122</v>
      </c>
      <c r="Y489" t="s">
        <v>179</v>
      </c>
      <c r="Z489" t="s">
        <v>179</v>
      </c>
      <c r="AB489" t="str">
        <f t="shared" si="23"/>
        <v>24257</v>
      </c>
    </row>
    <row r="490" ht="14.25" spans="1:28">
      <c r="A490" s="5" t="s">
        <v>28</v>
      </c>
      <c r="B490" s="5" t="s">
        <v>264</v>
      </c>
      <c r="C490" s="5">
        <v>2027</v>
      </c>
      <c r="D490" s="5" t="s">
        <v>30</v>
      </c>
      <c r="E490" s="9" t="s">
        <v>430</v>
      </c>
      <c r="F490" s="9" t="s">
        <v>431</v>
      </c>
      <c r="G490" s="9" t="s">
        <v>117</v>
      </c>
      <c r="H490" s="9" t="s">
        <v>432</v>
      </c>
      <c r="I490" s="9" t="s">
        <v>269</v>
      </c>
      <c r="J490" s="9" t="s">
        <v>36</v>
      </c>
      <c r="K490" s="9">
        <v>690</v>
      </c>
      <c r="L490" s="9"/>
      <c r="M490" s="9"/>
      <c r="N490" s="9"/>
      <c r="O490" s="9" t="s">
        <v>37</v>
      </c>
      <c r="P490" s="9" t="s">
        <v>45</v>
      </c>
      <c r="Q490" s="9"/>
      <c r="R490" s="10"/>
      <c r="S490" s="10"/>
      <c r="T490" s="10"/>
      <c r="U490" s="9"/>
      <c r="X490" t="s">
        <v>122</v>
      </c>
      <c r="Y490" t="s">
        <v>179</v>
      </c>
      <c r="Z490" t="s">
        <v>179</v>
      </c>
      <c r="AB490" t="str">
        <f t="shared" si="23"/>
        <v>24257</v>
      </c>
    </row>
    <row r="491" ht="14.25" spans="1:28">
      <c r="A491" s="5" t="s">
        <v>28</v>
      </c>
      <c r="B491" s="5" t="s">
        <v>264</v>
      </c>
      <c r="C491" s="5">
        <v>2027</v>
      </c>
      <c r="D491" s="5" t="s">
        <v>30</v>
      </c>
      <c r="E491" s="9" t="s">
        <v>433</v>
      </c>
      <c r="F491" s="9" t="s">
        <v>431</v>
      </c>
      <c r="G491" s="9" t="s">
        <v>355</v>
      </c>
      <c r="H491" s="9" t="s">
        <v>434</v>
      </c>
      <c r="I491" s="9" t="s">
        <v>269</v>
      </c>
      <c r="J491" s="9" t="s">
        <v>36</v>
      </c>
      <c r="K491" s="9">
        <v>690</v>
      </c>
      <c r="L491" s="9"/>
      <c r="M491" s="9"/>
      <c r="N491" s="9"/>
      <c r="O491" s="9" t="s">
        <v>37</v>
      </c>
      <c r="P491" s="9" t="s">
        <v>38</v>
      </c>
      <c r="Q491" s="9"/>
      <c r="R491" s="10">
        <f t="shared" si="21"/>
        <v>0</v>
      </c>
      <c r="S491" s="10">
        <f>SUMIFS([1]Sheet1!$T:$T,[1]Sheet1!$I:$I,E491,[1]Sheet1!$C:$C,A491)</f>
        <v>0</v>
      </c>
      <c r="T491" s="10">
        <f t="shared" si="22"/>
        <v>0</v>
      </c>
      <c r="U491" s="9"/>
      <c r="Y491" t="s">
        <v>179</v>
      </c>
      <c r="Z491" t="s">
        <v>179</v>
      </c>
      <c r="AB491" t="str">
        <f t="shared" si="23"/>
        <v>24257</v>
      </c>
    </row>
    <row r="492" ht="14.25" spans="1:28">
      <c r="A492" s="5" t="s">
        <v>28</v>
      </c>
      <c r="B492" s="5" t="s">
        <v>264</v>
      </c>
      <c r="C492" s="5">
        <v>2027</v>
      </c>
      <c r="D492" s="5" t="s">
        <v>30</v>
      </c>
      <c r="E492" s="9" t="s">
        <v>433</v>
      </c>
      <c r="F492" s="9" t="s">
        <v>431</v>
      </c>
      <c r="G492" s="9" t="s">
        <v>355</v>
      </c>
      <c r="H492" s="9" t="s">
        <v>434</v>
      </c>
      <c r="I492" s="9" t="s">
        <v>269</v>
      </c>
      <c r="J492" s="9" t="s">
        <v>36</v>
      </c>
      <c r="K492" s="9">
        <v>690</v>
      </c>
      <c r="L492" s="9"/>
      <c r="M492" s="9"/>
      <c r="N492" s="9"/>
      <c r="O492" s="9" t="s">
        <v>37</v>
      </c>
      <c r="P492" s="9" t="s">
        <v>42</v>
      </c>
      <c r="Q492" s="9"/>
      <c r="R492" s="10"/>
      <c r="S492" s="10"/>
      <c r="T492" s="10"/>
      <c r="U492" s="9"/>
      <c r="Y492" t="s">
        <v>179</v>
      </c>
      <c r="Z492" t="s">
        <v>179</v>
      </c>
      <c r="AB492" t="str">
        <f t="shared" si="23"/>
        <v>24257</v>
      </c>
    </row>
    <row r="493" ht="14.25" spans="1:28">
      <c r="A493" s="5" t="s">
        <v>28</v>
      </c>
      <c r="B493" s="5" t="s">
        <v>264</v>
      </c>
      <c r="C493" s="5">
        <v>2027</v>
      </c>
      <c r="D493" s="5" t="s">
        <v>30</v>
      </c>
      <c r="E493" s="9" t="s">
        <v>433</v>
      </c>
      <c r="F493" s="9" t="s">
        <v>431</v>
      </c>
      <c r="G493" s="9" t="s">
        <v>355</v>
      </c>
      <c r="H493" s="9" t="s">
        <v>434</v>
      </c>
      <c r="I493" s="9" t="s">
        <v>269</v>
      </c>
      <c r="J493" s="9" t="s">
        <v>36</v>
      </c>
      <c r="K493" s="9">
        <v>690</v>
      </c>
      <c r="L493" s="9"/>
      <c r="M493" s="9"/>
      <c r="N493" s="9"/>
      <c r="O493" s="9" t="s">
        <v>37</v>
      </c>
      <c r="P493" s="9" t="s">
        <v>43</v>
      </c>
      <c r="Q493" s="9"/>
      <c r="R493" s="10"/>
      <c r="S493" s="10"/>
      <c r="T493" s="10"/>
      <c r="U493" s="9"/>
      <c r="Y493" t="s">
        <v>179</v>
      </c>
      <c r="Z493" t="s">
        <v>179</v>
      </c>
      <c r="AB493" t="str">
        <f t="shared" si="23"/>
        <v>24257</v>
      </c>
    </row>
    <row r="494" ht="14.25" spans="1:28">
      <c r="A494" s="5" t="s">
        <v>28</v>
      </c>
      <c r="B494" s="5" t="s">
        <v>264</v>
      </c>
      <c r="C494" s="5">
        <v>2027</v>
      </c>
      <c r="D494" s="5" t="s">
        <v>30</v>
      </c>
      <c r="E494" s="9" t="s">
        <v>433</v>
      </c>
      <c r="F494" s="9" t="s">
        <v>431</v>
      </c>
      <c r="G494" s="9" t="s">
        <v>355</v>
      </c>
      <c r="H494" s="9" t="s">
        <v>434</v>
      </c>
      <c r="I494" s="9" t="s">
        <v>269</v>
      </c>
      <c r="J494" s="9" t="s">
        <v>36</v>
      </c>
      <c r="K494" s="9">
        <v>690</v>
      </c>
      <c r="L494" s="9"/>
      <c r="M494" s="9"/>
      <c r="N494" s="9"/>
      <c r="O494" s="9" t="s">
        <v>37</v>
      </c>
      <c r="P494" s="9" t="s">
        <v>44</v>
      </c>
      <c r="Q494" s="9"/>
      <c r="R494" s="10"/>
      <c r="S494" s="10"/>
      <c r="T494" s="10"/>
      <c r="U494" s="9"/>
      <c r="Y494" t="s">
        <v>179</v>
      </c>
      <c r="Z494" t="s">
        <v>179</v>
      </c>
      <c r="AB494" t="str">
        <f t="shared" si="23"/>
        <v>24257</v>
      </c>
    </row>
    <row r="495" ht="14.25" spans="1:28">
      <c r="A495" s="5" t="s">
        <v>28</v>
      </c>
      <c r="B495" s="5" t="s">
        <v>264</v>
      </c>
      <c r="C495" s="5">
        <v>2027</v>
      </c>
      <c r="D495" s="5" t="s">
        <v>30</v>
      </c>
      <c r="E495" s="9" t="s">
        <v>433</v>
      </c>
      <c r="F495" s="9" t="s">
        <v>431</v>
      </c>
      <c r="G495" s="9" t="s">
        <v>355</v>
      </c>
      <c r="H495" s="9" t="s">
        <v>434</v>
      </c>
      <c r="I495" s="9" t="s">
        <v>269</v>
      </c>
      <c r="J495" s="9" t="s">
        <v>36</v>
      </c>
      <c r="K495" s="9">
        <v>690</v>
      </c>
      <c r="L495" s="9"/>
      <c r="M495" s="9"/>
      <c r="N495" s="9"/>
      <c r="O495" s="9" t="s">
        <v>37</v>
      </c>
      <c r="P495" s="9" t="s">
        <v>45</v>
      </c>
      <c r="Q495" s="9"/>
      <c r="R495" s="10"/>
      <c r="S495" s="10"/>
      <c r="T495" s="10"/>
      <c r="U495" s="9"/>
      <c r="Y495" t="s">
        <v>179</v>
      </c>
      <c r="Z495" t="s">
        <v>179</v>
      </c>
      <c r="AB495" t="str">
        <f t="shared" si="23"/>
        <v>24257</v>
      </c>
    </row>
    <row r="496" ht="14.25" spans="1:28">
      <c r="A496" s="5" t="s">
        <v>28</v>
      </c>
      <c r="B496" s="5" t="s">
        <v>264</v>
      </c>
      <c r="C496" s="5">
        <v>2027</v>
      </c>
      <c r="D496" s="5" t="s">
        <v>30</v>
      </c>
      <c r="E496" s="9" t="s">
        <v>435</v>
      </c>
      <c r="F496" s="9" t="s">
        <v>436</v>
      </c>
      <c r="G496" s="9" t="s">
        <v>182</v>
      </c>
      <c r="H496" s="9" t="s">
        <v>437</v>
      </c>
      <c r="I496" s="9" t="s">
        <v>276</v>
      </c>
      <c r="J496" s="9" t="s">
        <v>36</v>
      </c>
      <c r="K496" s="9">
        <v>490</v>
      </c>
      <c r="L496" s="9"/>
      <c r="M496" s="9"/>
      <c r="N496" s="9"/>
      <c r="O496" s="9" t="s">
        <v>37</v>
      </c>
      <c r="P496" s="9" t="s">
        <v>38</v>
      </c>
      <c r="Q496" s="9"/>
      <c r="R496" s="10">
        <f t="shared" si="21"/>
        <v>0</v>
      </c>
      <c r="S496" s="10">
        <f>SUMIFS([1]Sheet1!$T:$T,[1]Sheet1!$I:$I,E496,[1]Sheet1!$C:$C,A496)</f>
        <v>0</v>
      </c>
      <c r="T496" s="10">
        <f t="shared" si="22"/>
        <v>0</v>
      </c>
      <c r="U496" s="9"/>
      <c r="X496" t="s">
        <v>102</v>
      </c>
      <c r="Y496" t="s">
        <v>179</v>
      </c>
      <c r="Z496" t="s">
        <v>104</v>
      </c>
      <c r="AB496" t="str">
        <f t="shared" si="23"/>
        <v>24273</v>
      </c>
    </row>
    <row r="497" ht="14.25" spans="1:28">
      <c r="A497" s="5" t="s">
        <v>28</v>
      </c>
      <c r="B497" s="5" t="s">
        <v>264</v>
      </c>
      <c r="C497" s="5">
        <v>2027</v>
      </c>
      <c r="D497" s="5" t="s">
        <v>30</v>
      </c>
      <c r="E497" s="9" t="s">
        <v>435</v>
      </c>
      <c r="F497" s="9" t="s">
        <v>436</v>
      </c>
      <c r="G497" s="9" t="s">
        <v>182</v>
      </c>
      <c r="H497" s="9" t="s">
        <v>437</v>
      </c>
      <c r="I497" s="9" t="s">
        <v>276</v>
      </c>
      <c r="J497" s="9" t="s">
        <v>36</v>
      </c>
      <c r="K497" s="9">
        <v>490</v>
      </c>
      <c r="L497" s="9"/>
      <c r="M497" s="9"/>
      <c r="N497" s="9"/>
      <c r="O497" s="9" t="s">
        <v>37</v>
      </c>
      <c r="P497" s="9" t="s">
        <v>42</v>
      </c>
      <c r="Q497" s="9"/>
      <c r="R497" s="10"/>
      <c r="S497" s="10"/>
      <c r="T497" s="10"/>
      <c r="U497" s="9"/>
      <c r="X497" t="s">
        <v>102</v>
      </c>
      <c r="Y497" t="s">
        <v>179</v>
      </c>
      <c r="Z497" t="s">
        <v>104</v>
      </c>
      <c r="AB497" t="str">
        <f t="shared" si="23"/>
        <v>24273</v>
      </c>
    </row>
    <row r="498" ht="14.25" spans="1:28">
      <c r="A498" s="5" t="s">
        <v>28</v>
      </c>
      <c r="B498" s="5" t="s">
        <v>264</v>
      </c>
      <c r="C498" s="5">
        <v>2027</v>
      </c>
      <c r="D498" s="5" t="s">
        <v>30</v>
      </c>
      <c r="E498" s="9" t="s">
        <v>435</v>
      </c>
      <c r="F498" s="9" t="s">
        <v>436</v>
      </c>
      <c r="G498" s="9" t="s">
        <v>182</v>
      </c>
      <c r="H498" s="9" t="s">
        <v>437</v>
      </c>
      <c r="I498" s="9" t="s">
        <v>276</v>
      </c>
      <c r="J498" s="9" t="s">
        <v>36</v>
      </c>
      <c r="K498" s="9">
        <v>490</v>
      </c>
      <c r="L498" s="9"/>
      <c r="M498" s="9"/>
      <c r="N498" s="9"/>
      <c r="O498" s="9" t="s">
        <v>37</v>
      </c>
      <c r="P498" s="9" t="s">
        <v>43</v>
      </c>
      <c r="Q498" s="9"/>
      <c r="R498" s="10"/>
      <c r="S498" s="10"/>
      <c r="T498" s="10"/>
      <c r="U498" s="9"/>
      <c r="X498" t="s">
        <v>102</v>
      </c>
      <c r="Y498" t="s">
        <v>179</v>
      </c>
      <c r="Z498" t="s">
        <v>104</v>
      </c>
      <c r="AB498" t="str">
        <f t="shared" si="23"/>
        <v>24273</v>
      </c>
    </row>
    <row r="499" ht="14.25" spans="1:28">
      <c r="A499" s="5" t="s">
        <v>28</v>
      </c>
      <c r="B499" s="5" t="s">
        <v>264</v>
      </c>
      <c r="C499" s="5">
        <v>2027</v>
      </c>
      <c r="D499" s="5" t="s">
        <v>30</v>
      </c>
      <c r="E499" s="9" t="s">
        <v>435</v>
      </c>
      <c r="F499" s="9" t="s">
        <v>436</v>
      </c>
      <c r="G499" s="9" t="s">
        <v>182</v>
      </c>
      <c r="H499" s="9" t="s">
        <v>437</v>
      </c>
      <c r="I499" s="9" t="s">
        <v>276</v>
      </c>
      <c r="J499" s="9" t="s">
        <v>36</v>
      </c>
      <c r="K499" s="9">
        <v>490</v>
      </c>
      <c r="L499" s="9"/>
      <c r="M499" s="9"/>
      <c r="N499" s="9"/>
      <c r="O499" s="9" t="s">
        <v>37</v>
      </c>
      <c r="P499" s="9" t="s">
        <v>44</v>
      </c>
      <c r="Q499" s="9"/>
      <c r="R499" s="10"/>
      <c r="S499" s="10"/>
      <c r="T499" s="10"/>
      <c r="U499" s="9"/>
      <c r="X499" t="s">
        <v>102</v>
      </c>
      <c r="Y499" t="s">
        <v>179</v>
      </c>
      <c r="Z499" t="s">
        <v>104</v>
      </c>
      <c r="AB499" t="str">
        <f t="shared" si="23"/>
        <v>24273</v>
      </c>
    </row>
    <row r="500" ht="14.25" spans="1:28">
      <c r="A500" s="5" t="s">
        <v>28</v>
      </c>
      <c r="B500" s="5" t="s">
        <v>264</v>
      </c>
      <c r="C500" s="5">
        <v>2027</v>
      </c>
      <c r="D500" s="5" t="s">
        <v>30</v>
      </c>
      <c r="E500" s="9" t="s">
        <v>435</v>
      </c>
      <c r="F500" s="9" t="s">
        <v>436</v>
      </c>
      <c r="G500" s="9" t="s">
        <v>182</v>
      </c>
      <c r="H500" s="9" t="s">
        <v>437</v>
      </c>
      <c r="I500" s="9" t="s">
        <v>276</v>
      </c>
      <c r="J500" s="9" t="s">
        <v>36</v>
      </c>
      <c r="K500" s="9">
        <v>490</v>
      </c>
      <c r="L500" s="9"/>
      <c r="M500" s="9"/>
      <c r="N500" s="9"/>
      <c r="O500" s="9" t="s">
        <v>37</v>
      </c>
      <c r="P500" s="9" t="s">
        <v>45</v>
      </c>
      <c r="Q500" s="9"/>
      <c r="R500" s="10"/>
      <c r="S500" s="10"/>
      <c r="T500" s="10"/>
      <c r="U500" s="9"/>
      <c r="X500" t="s">
        <v>102</v>
      </c>
      <c r="Y500" t="s">
        <v>179</v>
      </c>
      <c r="Z500" t="s">
        <v>104</v>
      </c>
      <c r="AB500" t="str">
        <f t="shared" si="23"/>
        <v>24273</v>
      </c>
    </row>
    <row r="501" ht="14.25" spans="1:28">
      <c r="A501" s="5" t="s">
        <v>28</v>
      </c>
      <c r="B501" s="5" t="s">
        <v>264</v>
      </c>
      <c r="C501" s="5">
        <v>2027</v>
      </c>
      <c r="D501" s="5" t="s">
        <v>30</v>
      </c>
      <c r="E501" s="9" t="s">
        <v>438</v>
      </c>
      <c r="F501" s="9" t="s">
        <v>436</v>
      </c>
      <c r="G501" s="9" t="s">
        <v>346</v>
      </c>
      <c r="H501" s="9" t="s">
        <v>439</v>
      </c>
      <c r="I501" s="9" t="s">
        <v>276</v>
      </c>
      <c r="J501" s="9" t="s">
        <v>36</v>
      </c>
      <c r="K501" s="9">
        <v>490</v>
      </c>
      <c r="L501" s="9"/>
      <c r="M501" s="9"/>
      <c r="N501" s="9"/>
      <c r="O501" s="9" t="s">
        <v>37</v>
      </c>
      <c r="P501" s="9" t="s">
        <v>38</v>
      </c>
      <c r="Q501" s="9"/>
      <c r="R501" s="10">
        <f t="shared" si="21"/>
        <v>0</v>
      </c>
      <c r="S501" s="10">
        <f>SUMIFS([1]Sheet1!$T:$T,[1]Sheet1!$I:$I,E501,[1]Sheet1!$C:$C,A501)</f>
        <v>0</v>
      </c>
      <c r="T501" s="10">
        <f t="shared" si="22"/>
        <v>0</v>
      </c>
      <c r="U501" s="9"/>
      <c r="X501" t="s">
        <v>191</v>
      </c>
      <c r="Y501" t="s">
        <v>179</v>
      </c>
      <c r="Z501" t="s">
        <v>104</v>
      </c>
      <c r="AB501" t="str">
        <f t="shared" si="23"/>
        <v>24273</v>
      </c>
    </row>
    <row r="502" ht="14.25" spans="1:28">
      <c r="A502" s="5" t="s">
        <v>28</v>
      </c>
      <c r="B502" s="5" t="s">
        <v>264</v>
      </c>
      <c r="C502" s="5">
        <v>2027</v>
      </c>
      <c r="D502" s="5" t="s">
        <v>30</v>
      </c>
      <c r="E502" s="9" t="s">
        <v>438</v>
      </c>
      <c r="F502" s="9" t="s">
        <v>436</v>
      </c>
      <c r="G502" s="9" t="s">
        <v>346</v>
      </c>
      <c r="H502" s="9" t="s">
        <v>439</v>
      </c>
      <c r="I502" s="9" t="s">
        <v>276</v>
      </c>
      <c r="J502" s="9" t="s">
        <v>36</v>
      </c>
      <c r="K502" s="9">
        <v>490</v>
      </c>
      <c r="L502" s="9"/>
      <c r="M502" s="9"/>
      <c r="N502" s="9"/>
      <c r="O502" s="9" t="s">
        <v>37</v>
      </c>
      <c r="P502" s="9" t="s">
        <v>42</v>
      </c>
      <c r="Q502" s="9"/>
      <c r="R502" s="10"/>
      <c r="S502" s="10"/>
      <c r="T502" s="10"/>
      <c r="U502" s="9"/>
      <c r="X502" t="s">
        <v>191</v>
      </c>
      <c r="Y502" t="s">
        <v>179</v>
      </c>
      <c r="Z502" t="s">
        <v>104</v>
      </c>
      <c r="AB502" t="str">
        <f t="shared" si="23"/>
        <v>24273</v>
      </c>
    </row>
    <row r="503" ht="14.25" spans="1:28">
      <c r="A503" s="5" t="s">
        <v>28</v>
      </c>
      <c r="B503" s="5" t="s">
        <v>264</v>
      </c>
      <c r="C503" s="5">
        <v>2027</v>
      </c>
      <c r="D503" s="5" t="s">
        <v>30</v>
      </c>
      <c r="E503" s="9" t="s">
        <v>438</v>
      </c>
      <c r="F503" s="9" t="s">
        <v>436</v>
      </c>
      <c r="G503" s="9" t="s">
        <v>346</v>
      </c>
      <c r="H503" s="9" t="s">
        <v>439</v>
      </c>
      <c r="I503" s="9" t="s">
        <v>276</v>
      </c>
      <c r="J503" s="9" t="s">
        <v>36</v>
      </c>
      <c r="K503" s="9">
        <v>490</v>
      </c>
      <c r="L503" s="9"/>
      <c r="M503" s="9"/>
      <c r="N503" s="9"/>
      <c r="O503" s="9" t="s">
        <v>37</v>
      </c>
      <c r="P503" s="9" t="s">
        <v>43</v>
      </c>
      <c r="Q503" s="9"/>
      <c r="R503" s="10"/>
      <c r="S503" s="10"/>
      <c r="T503" s="10"/>
      <c r="U503" s="9"/>
      <c r="X503" t="s">
        <v>191</v>
      </c>
      <c r="Y503" t="s">
        <v>179</v>
      </c>
      <c r="Z503" t="s">
        <v>104</v>
      </c>
      <c r="AB503" t="str">
        <f t="shared" si="23"/>
        <v>24273</v>
      </c>
    </row>
    <row r="504" ht="14.25" spans="1:28">
      <c r="A504" s="5" t="s">
        <v>28</v>
      </c>
      <c r="B504" s="5" t="s">
        <v>264</v>
      </c>
      <c r="C504" s="5">
        <v>2027</v>
      </c>
      <c r="D504" s="5" t="s">
        <v>30</v>
      </c>
      <c r="E504" s="9" t="s">
        <v>438</v>
      </c>
      <c r="F504" s="9" t="s">
        <v>436</v>
      </c>
      <c r="G504" s="9" t="s">
        <v>346</v>
      </c>
      <c r="H504" s="9" t="s">
        <v>439</v>
      </c>
      <c r="I504" s="9" t="s">
        <v>276</v>
      </c>
      <c r="J504" s="9" t="s">
        <v>36</v>
      </c>
      <c r="K504" s="9">
        <v>490</v>
      </c>
      <c r="L504" s="9"/>
      <c r="M504" s="9"/>
      <c r="N504" s="9"/>
      <c r="O504" s="9" t="s">
        <v>37</v>
      </c>
      <c r="P504" s="9" t="s">
        <v>44</v>
      </c>
      <c r="Q504" s="9"/>
      <c r="R504" s="10"/>
      <c r="S504" s="10"/>
      <c r="T504" s="10"/>
      <c r="U504" s="9"/>
      <c r="X504" t="s">
        <v>191</v>
      </c>
      <c r="Y504" t="s">
        <v>179</v>
      </c>
      <c r="Z504" t="s">
        <v>104</v>
      </c>
      <c r="AB504" t="str">
        <f t="shared" si="23"/>
        <v>24273</v>
      </c>
    </row>
    <row r="505" ht="14.25" spans="1:28">
      <c r="A505" s="5" t="s">
        <v>28</v>
      </c>
      <c r="B505" s="5" t="s">
        <v>264</v>
      </c>
      <c r="C505" s="5">
        <v>2027</v>
      </c>
      <c r="D505" s="5" t="s">
        <v>30</v>
      </c>
      <c r="E505" s="9" t="s">
        <v>438</v>
      </c>
      <c r="F505" s="9" t="s">
        <v>436</v>
      </c>
      <c r="G505" s="9" t="s">
        <v>346</v>
      </c>
      <c r="H505" s="9" t="s">
        <v>439</v>
      </c>
      <c r="I505" s="9" t="s">
        <v>276</v>
      </c>
      <c r="J505" s="9" t="s">
        <v>36</v>
      </c>
      <c r="K505" s="9">
        <v>490</v>
      </c>
      <c r="L505" s="9"/>
      <c r="M505" s="9"/>
      <c r="N505" s="9"/>
      <c r="O505" s="9" t="s">
        <v>37</v>
      </c>
      <c r="P505" s="9" t="s">
        <v>45</v>
      </c>
      <c r="Q505" s="9"/>
      <c r="R505" s="10"/>
      <c r="S505" s="10"/>
      <c r="T505" s="10"/>
      <c r="U505" s="9"/>
      <c r="X505" t="s">
        <v>191</v>
      </c>
      <c r="Y505" t="s">
        <v>179</v>
      </c>
      <c r="Z505" t="s">
        <v>104</v>
      </c>
      <c r="AB505" t="str">
        <f t="shared" si="23"/>
        <v>24273</v>
      </c>
    </row>
    <row r="506" ht="14.25" spans="1:28">
      <c r="A506" s="5" t="s">
        <v>28</v>
      </c>
      <c r="B506" s="5" t="s">
        <v>264</v>
      </c>
      <c r="C506" s="5">
        <v>2027</v>
      </c>
      <c r="D506" s="5" t="s">
        <v>30</v>
      </c>
      <c r="E506" s="9" t="s">
        <v>440</v>
      </c>
      <c r="F506" s="9" t="s">
        <v>441</v>
      </c>
      <c r="G506" s="9" t="s">
        <v>316</v>
      </c>
      <c r="H506" s="9" t="s">
        <v>442</v>
      </c>
      <c r="I506" s="9" t="s">
        <v>403</v>
      </c>
      <c r="J506" s="9" t="s">
        <v>74</v>
      </c>
      <c r="K506" s="9">
        <v>990</v>
      </c>
      <c r="L506" s="9"/>
      <c r="M506" s="9"/>
      <c r="N506" s="9"/>
      <c r="O506" s="9" t="s">
        <v>68</v>
      </c>
      <c r="P506" s="9" t="s">
        <v>318</v>
      </c>
      <c r="Q506" s="9"/>
      <c r="R506" s="10">
        <f t="shared" si="21"/>
        <v>0</v>
      </c>
      <c r="S506" s="10">
        <f>SUMIFS([1]Sheet1!$T:$T,[1]Sheet1!$I:$I,E506,[1]Sheet1!$C:$C,A506)</f>
        <v>0</v>
      </c>
      <c r="T506" s="10">
        <f t="shared" si="22"/>
        <v>0</v>
      </c>
      <c r="U506" s="9"/>
      <c r="X506" t="s">
        <v>308</v>
      </c>
      <c r="Y506" t="s">
        <v>179</v>
      </c>
      <c r="Z506" t="s">
        <v>179</v>
      </c>
      <c r="AB506" t="str">
        <f t="shared" si="23"/>
        <v>24340</v>
      </c>
    </row>
    <row r="507" ht="14.25" spans="1:28">
      <c r="A507" s="5" t="s">
        <v>28</v>
      </c>
      <c r="B507" s="5" t="s">
        <v>264</v>
      </c>
      <c r="C507" s="5">
        <v>2027</v>
      </c>
      <c r="D507" s="5" t="s">
        <v>30</v>
      </c>
      <c r="E507" s="9" t="s">
        <v>440</v>
      </c>
      <c r="F507" s="9" t="s">
        <v>441</v>
      </c>
      <c r="G507" s="9" t="s">
        <v>316</v>
      </c>
      <c r="H507" s="9" t="s">
        <v>442</v>
      </c>
      <c r="I507" s="9" t="s">
        <v>403</v>
      </c>
      <c r="J507" s="9" t="s">
        <v>74</v>
      </c>
      <c r="K507" s="9">
        <v>990</v>
      </c>
      <c r="L507" s="9"/>
      <c r="M507" s="9"/>
      <c r="N507" s="9"/>
      <c r="O507" s="9" t="s">
        <v>68</v>
      </c>
      <c r="P507" s="9" t="s">
        <v>69</v>
      </c>
      <c r="Q507" s="9"/>
      <c r="R507" s="10"/>
      <c r="S507" s="10"/>
      <c r="T507" s="10"/>
      <c r="U507" s="9"/>
      <c r="X507" t="s">
        <v>308</v>
      </c>
      <c r="Y507" t="s">
        <v>179</v>
      </c>
      <c r="Z507" t="s">
        <v>179</v>
      </c>
      <c r="AB507" t="str">
        <f t="shared" si="23"/>
        <v>24340</v>
      </c>
    </row>
    <row r="508" ht="14.25" spans="1:28">
      <c r="A508" s="5" t="s">
        <v>28</v>
      </c>
      <c r="B508" s="5" t="s">
        <v>264</v>
      </c>
      <c r="C508" s="5">
        <v>2027</v>
      </c>
      <c r="D508" s="5" t="s">
        <v>30</v>
      </c>
      <c r="E508" s="9" t="s">
        <v>440</v>
      </c>
      <c r="F508" s="9" t="s">
        <v>441</v>
      </c>
      <c r="G508" s="9" t="s">
        <v>316</v>
      </c>
      <c r="H508" s="9" t="s">
        <v>442</v>
      </c>
      <c r="I508" s="9" t="s">
        <v>403</v>
      </c>
      <c r="J508" s="9" t="s">
        <v>74</v>
      </c>
      <c r="K508" s="9">
        <v>990</v>
      </c>
      <c r="L508" s="9"/>
      <c r="M508" s="9"/>
      <c r="N508" s="9"/>
      <c r="O508" s="9" t="s">
        <v>68</v>
      </c>
      <c r="P508" s="9" t="s">
        <v>72</v>
      </c>
      <c r="Q508" s="9"/>
      <c r="R508" s="10"/>
      <c r="S508" s="10"/>
      <c r="T508" s="10"/>
      <c r="U508" s="9"/>
      <c r="X508" t="s">
        <v>308</v>
      </c>
      <c r="Y508" t="s">
        <v>179</v>
      </c>
      <c r="Z508" t="s">
        <v>179</v>
      </c>
      <c r="AB508" t="str">
        <f t="shared" si="23"/>
        <v>24340</v>
      </c>
    </row>
    <row r="509" ht="14.25" spans="1:28">
      <c r="A509" s="5" t="s">
        <v>28</v>
      </c>
      <c r="B509" s="5" t="s">
        <v>264</v>
      </c>
      <c r="C509" s="5">
        <v>2027</v>
      </c>
      <c r="D509" s="5" t="s">
        <v>30</v>
      </c>
      <c r="E509" s="9" t="s">
        <v>440</v>
      </c>
      <c r="F509" s="9" t="s">
        <v>441</v>
      </c>
      <c r="G509" s="9" t="s">
        <v>316</v>
      </c>
      <c r="H509" s="9" t="s">
        <v>442</v>
      </c>
      <c r="I509" s="9" t="s">
        <v>403</v>
      </c>
      <c r="J509" s="9" t="s">
        <v>74</v>
      </c>
      <c r="K509" s="9">
        <v>990</v>
      </c>
      <c r="L509" s="9"/>
      <c r="M509" s="9"/>
      <c r="N509" s="9"/>
      <c r="O509" s="9" t="s">
        <v>68</v>
      </c>
      <c r="P509" s="9" t="s">
        <v>73</v>
      </c>
      <c r="Q509" s="9"/>
      <c r="R509" s="10"/>
      <c r="S509" s="10"/>
      <c r="T509" s="10"/>
      <c r="U509" s="9"/>
      <c r="X509" t="s">
        <v>308</v>
      </c>
      <c r="Y509" t="s">
        <v>179</v>
      </c>
      <c r="Z509" t="s">
        <v>179</v>
      </c>
      <c r="AB509" t="str">
        <f t="shared" si="23"/>
        <v>24340</v>
      </c>
    </row>
    <row r="510" ht="14.25" spans="1:28">
      <c r="A510" s="5" t="s">
        <v>28</v>
      </c>
      <c r="B510" s="5" t="s">
        <v>264</v>
      </c>
      <c r="C510" s="5">
        <v>2027</v>
      </c>
      <c r="D510" s="5" t="s">
        <v>30</v>
      </c>
      <c r="E510" s="9" t="s">
        <v>440</v>
      </c>
      <c r="F510" s="9" t="s">
        <v>441</v>
      </c>
      <c r="G510" s="9" t="s">
        <v>316</v>
      </c>
      <c r="H510" s="9" t="s">
        <v>442</v>
      </c>
      <c r="I510" s="9" t="s">
        <v>403</v>
      </c>
      <c r="J510" s="9" t="s">
        <v>74</v>
      </c>
      <c r="K510" s="9">
        <v>990</v>
      </c>
      <c r="L510" s="9"/>
      <c r="M510" s="9"/>
      <c r="N510" s="9"/>
      <c r="O510" s="9" t="s">
        <v>68</v>
      </c>
      <c r="P510" s="9" t="s">
        <v>74</v>
      </c>
      <c r="Q510" s="9"/>
      <c r="R510" s="10"/>
      <c r="S510" s="10"/>
      <c r="T510" s="10"/>
      <c r="U510" s="9"/>
      <c r="X510" t="s">
        <v>308</v>
      </c>
      <c r="Y510" t="s">
        <v>179</v>
      </c>
      <c r="Z510" t="s">
        <v>179</v>
      </c>
      <c r="AB510" t="str">
        <f t="shared" si="23"/>
        <v>24340</v>
      </c>
    </row>
    <row r="511" ht="14.25" spans="1:28">
      <c r="A511" s="5" t="s">
        <v>28</v>
      </c>
      <c r="B511" s="5" t="s">
        <v>264</v>
      </c>
      <c r="C511" s="5">
        <v>2027</v>
      </c>
      <c r="D511" s="5" t="s">
        <v>30</v>
      </c>
      <c r="E511" s="9" t="s">
        <v>440</v>
      </c>
      <c r="F511" s="9" t="s">
        <v>441</v>
      </c>
      <c r="G511" s="9" t="s">
        <v>316</v>
      </c>
      <c r="H511" s="9" t="s">
        <v>442</v>
      </c>
      <c r="I511" s="9" t="s">
        <v>403</v>
      </c>
      <c r="J511" s="9" t="s">
        <v>74</v>
      </c>
      <c r="K511" s="9">
        <v>990</v>
      </c>
      <c r="L511" s="9"/>
      <c r="M511" s="9"/>
      <c r="N511" s="9"/>
      <c r="O511" s="9" t="s">
        <v>68</v>
      </c>
      <c r="P511" s="9" t="s">
        <v>75</v>
      </c>
      <c r="Q511" s="9"/>
      <c r="R511" s="10"/>
      <c r="S511" s="10"/>
      <c r="T511" s="10"/>
      <c r="U511" s="9"/>
      <c r="X511" t="s">
        <v>308</v>
      </c>
      <c r="Y511" t="s">
        <v>179</v>
      </c>
      <c r="Z511" t="s">
        <v>179</v>
      </c>
      <c r="AB511" t="str">
        <f t="shared" si="23"/>
        <v>24340</v>
      </c>
    </row>
    <row r="512" ht="14.25" spans="1:28">
      <c r="A512" s="5" t="s">
        <v>28</v>
      </c>
      <c r="B512" s="5" t="s">
        <v>264</v>
      </c>
      <c r="C512" s="5">
        <v>2027</v>
      </c>
      <c r="D512" s="5" t="s">
        <v>30</v>
      </c>
      <c r="E512" s="9" t="s">
        <v>440</v>
      </c>
      <c r="F512" s="9" t="s">
        <v>441</v>
      </c>
      <c r="G512" s="9" t="s">
        <v>316</v>
      </c>
      <c r="H512" s="9" t="s">
        <v>442</v>
      </c>
      <c r="I512" s="9" t="s">
        <v>403</v>
      </c>
      <c r="J512" s="9" t="s">
        <v>74</v>
      </c>
      <c r="K512" s="9">
        <v>990</v>
      </c>
      <c r="L512" s="9"/>
      <c r="M512" s="9"/>
      <c r="N512" s="9"/>
      <c r="O512" s="9" t="s">
        <v>68</v>
      </c>
      <c r="P512" s="9" t="s">
        <v>76</v>
      </c>
      <c r="Q512" s="9"/>
      <c r="R512" s="10"/>
      <c r="S512" s="10"/>
      <c r="T512" s="10"/>
      <c r="U512" s="9"/>
      <c r="X512" t="s">
        <v>308</v>
      </c>
      <c r="Y512" t="s">
        <v>179</v>
      </c>
      <c r="Z512" t="s">
        <v>179</v>
      </c>
      <c r="AB512" t="str">
        <f t="shared" si="23"/>
        <v>24340</v>
      </c>
    </row>
    <row r="513" ht="14.25" spans="1:28">
      <c r="A513" s="5" t="s">
        <v>28</v>
      </c>
      <c r="B513" s="5" t="s">
        <v>264</v>
      </c>
      <c r="C513" s="5">
        <v>2027</v>
      </c>
      <c r="D513" s="5" t="s">
        <v>30</v>
      </c>
      <c r="E513" s="9" t="s">
        <v>443</v>
      </c>
      <c r="F513" s="9" t="s">
        <v>444</v>
      </c>
      <c r="G513" s="9" t="s">
        <v>316</v>
      </c>
      <c r="H513" s="9" t="s">
        <v>445</v>
      </c>
      <c r="I513" s="9" t="s">
        <v>269</v>
      </c>
      <c r="J513" s="9" t="s">
        <v>74</v>
      </c>
      <c r="K513" s="9">
        <v>890</v>
      </c>
      <c r="L513" s="9"/>
      <c r="M513" s="9"/>
      <c r="N513" s="9"/>
      <c r="O513" s="9" t="s">
        <v>68</v>
      </c>
      <c r="P513" s="9" t="s">
        <v>318</v>
      </c>
      <c r="Q513" s="9"/>
      <c r="R513" s="10">
        <f t="shared" si="21"/>
        <v>0</v>
      </c>
      <c r="S513" s="10">
        <f>SUMIFS([1]Sheet1!$T:$T,[1]Sheet1!$I:$I,E513,[1]Sheet1!$C:$C,A513)</f>
        <v>0</v>
      </c>
      <c r="T513" s="10">
        <f t="shared" si="22"/>
        <v>0</v>
      </c>
      <c r="U513" s="9"/>
      <c r="X513" t="s">
        <v>308</v>
      </c>
      <c r="Y513" t="s">
        <v>179</v>
      </c>
      <c r="Z513" t="s">
        <v>179</v>
      </c>
      <c r="AB513" t="str">
        <f t="shared" si="23"/>
        <v>24346</v>
      </c>
    </row>
    <row r="514" ht="14.25" spans="1:28">
      <c r="A514" s="5" t="s">
        <v>28</v>
      </c>
      <c r="B514" s="5" t="s">
        <v>264</v>
      </c>
      <c r="C514" s="5">
        <v>2027</v>
      </c>
      <c r="D514" s="5" t="s">
        <v>30</v>
      </c>
      <c r="E514" s="9" t="s">
        <v>443</v>
      </c>
      <c r="F514" s="9" t="s">
        <v>444</v>
      </c>
      <c r="G514" s="9" t="s">
        <v>316</v>
      </c>
      <c r="H514" s="9" t="s">
        <v>445</v>
      </c>
      <c r="I514" s="9" t="s">
        <v>269</v>
      </c>
      <c r="J514" s="9" t="s">
        <v>74</v>
      </c>
      <c r="K514" s="9">
        <v>890</v>
      </c>
      <c r="L514" s="9"/>
      <c r="M514" s="9"/>
      <c r="N514" s="9"/>
      <c r="O514" s="9" t="s">
        <v>68</v>
      </c>
      <c r="P514" s="9" t="s">
        <v>69</v>
      </c>
      <c r="Q514" s="11"/>
      <c r="R514" s="10"/>
      <c r="S514" s="10"/>
      <c r="T514" s="10"/>
      <c r="U514" s="9"/>
      <c r="X514" t="s">
        <v>308</v>
      </c>
      <c r="Y514" t="s">
        <v>179</v>
      </c>
      <c r="Z514" t="s">
        <v>179</v>
      </c>
      <c r="AB514" t="str">
        <f t="shared" si="23"/>
        <v>24346</v>
      </c>
    </row>
    <row r="515" ht="14.25" spans="1:28">
      <c r="A515" s="5" t="s">
        <v>28</v>
      </c>
      <c r="B515" s="5" t="s">
        <v>264</v>
      </c>
      <c r="C515" s="5">
        <v>2027</v>
      </c>
      <c r="D515" s="5" t="s">
        <v>30</v>
      </c>
      <c r="E515" s="9" t="s">
        <v>443</v>
      </c>
      <c r="F515" s="9" t="s">
        <v>444</v>
      </c>
      <c r="G515" s="9" t="s">
        <v>316</v>
      </c>
      <c r="H515" s="9" t="s">
        <v>445</v>
      </c>
      <c r="I515" s="9" t="s">
        <v>269</v>
      </c>
      <c r="J515" s="9" t="s">
        <v>74</v>
      </c>
      <c r="K515" s="9">
        <v>890</v>
      </c>
      <c r="L515" s="9"/>
      <c r="M515" s="9"/>
      <c r="N515" s="9"/>
      <c r="O515" s="9" t="s">
        <v>68</v>
      </c>
      <c r="P515" s="9" t="s">
        <v>72</v>
      </c>
      <c r="Q515" s="11"/>
      <c r="R515" s="10"/>
      <c r="S515" s="10"/>
      <c r="T515" s="10"/>
      <c r="U515" s="9"/>
      <c r="X515" t="s">
        <v>308</v>
      </c>
      <c r="Y515" t="s">
        <v>179</v>
      </c>
      <c r="Z515" t="s">
        <v>179</v>
      </c>
      <c r="AB515" t="str">
        <f t="shared" ref="AB515:AB578" si="24">MID(E515,6,5)</f>
        <v>24346</v>
      </c>
    </row>
    <row r="516" ht="14.25" spans="1:28">
      <c r="A516" s="5" t="s">
        <v>28</v>
      </c>
      <c r="B516" s="5" t="s">
        <v>264</v>
      </c>
      <c r="C516" s="5">
        <v>2027</v>
      </c>
      <c r="D516" s="5" t="s">
        <v>30</v>
      </c>
      <c r="E516" s="9" t="s">
        <v>443</v>
      </c>
      <c r="F516" s="9" t="s">
        <v>444</v>
      </c>
      <c r="G516" s="9" t="s">
        <v>316</v>
      </c>
      <c r="H516" s="9" t="s">
        <v>445</v>
      </c>
      <c r="I516" s="9" t="s">
        <v>269</v>
      </c>
      <c r="J516" s="9" t="s">
        <v>74</v>
      </c>
      <c r="K516" s="9">
        <v>890</v>
      </c>
      <c r="L516" s="9"/>
      <c r="M516" s="9"/>
      <c r="N516" s="9"/>
      <c r="O516" s="9" t="s">
        <v>68</v>
      </c>
      <c r="P516" s="9" t="s">
        <v>73</v>
      </c>
      <c r="Q516" s="11"/>
      <c r="R516" s="10"/>
      <c r="S516" s="10"/>
      <c r="T516" s="10"/>
      <c r="U516" s="9"/>
      <c r="X516" t="s">
        <v>308</v>
      </c>
      <c r="Y516" t="s">
        <v>179</v>
      </c>
      <c r="Z516" t="s">
        <v>179</v>
      </c>
      <c r="AB516" t="str">
        <f t="shared" si="24"/>
        <v>24346</v>
      </c>
    </row>
    <row r="517" ht="14.25" spans="1:28">
      <c r="A517" s="5" t="s">
        <v>28</v>
      </c>
      <c r="B517" s="5" t="s">
        <v>264</v>
      </c>
      <c r="C517" s="5">
        <v>2027</v>
      </c>
      <c r="D517" s="5" t="s">
        <v>30</v>
      </c>
      <c r="E517" s="9" t="s">
        <v>443</v>
      </c>
      <c r="F517" s="9" t="s">
        <v>444</v>
      </c>
      <c r="G517" s="9" t="s">
        <v>316</v>
      </c>
      <c r="H517" s="9" t="s">
        <v>445</v>
      </c>
      <c r="I517" s="9" t="s">
        <v>269</v>
      </c>
      <c r="J517" s="9" t="s">
        <v>74</v>
      </c>
      <c r="K517" s="9">
        <v>890</v>
      </c>
      <c r="L517" s="9"/>
      <c r="M517" s="9"/>
      <c r="N517" s="9"/>
      <c r="O517" s="9" t="s">
        <v>68</v>
      </c>
      <c r="P517" s="9" t="s">
        <v>74</v>
      </c>
      <c r="Q517" s="11"/>
      <c r="R517" s="10"/>
      <c r="S517" s="10"/>
      <c r="T517" s="10"/>
      <c r="U517" s="9"/>
      <c r="X517" t="s">
        <v>308</v>
      </c>
      <c r="Y517" t="s">
        <v>179</v>
      </c>
      <c r="Z517" t="s">
        <v>179</v>
      </c>
      <c r="AB517" t="str">
        <f t="shared" si="24"/>
        <v>24346</v>
      </c>
    </row>
    <row r="518" ht="14.25" spans="1:28">
      <c r="A518" s="5" t="s">
        <v>28</v>
      </c>
      <c r="B518" s="5" t="s">
        <v>264</v>
      </c>
      <c r="C518" s="5">
        <v>2027</v>
      </c>
      <c r="D518" s="5" t="s">
        <v>30</v>
      </c>
      <c r="E518" s="9" t="s">
        <v>443</v>
      </c>
      <c r="F518" s="9" t="s">
        <v>444</v>
      </c>
      <c r="G518" s="9" t="s">
        <v>316</v>
      </c>
      <c r="H518" s="9" t="s">
        <v>445</v>
      </c>
      <c r="I518" s="9" t="s">
        <v>269</v>
      </c>
      <c r="J518" s="9" t="s">
        <v>74</v>
      </c>
      <c r="K518" s="9">
        <v>890</v>
      </c>
      <c r="L518" s="9"/>
      <c r="M518" s="9"/>
      <c r="N518" s="9"/>
      <c r="O518" s="9" t="s">
        <v>68</v>
      </c>
      <c r="P518" s="9" t="s">
        <v>75</v>
      </c>
      <c r="Q518" s="11"/>
      <c r="R518" s="10"/>
      <c r="S518" s="10"/>
      <c r="T518" s="10"/>
      <c r="U518" s="9"/>
      <c r="X518" t="s">
        <v>308</v>
      </c>
      <c r="Y518" t="s">
        <v>179</v>
      </c>
      <c r="Z518" t="s">
        <v>179</v>
      </c>
      <c r="AB518" t="str">
        <f t="shared" si="24"/>
        <v>24346</v>
      </c>
    </row>
    <row r="519" ht="14.25" spans="1:28">
      <c r="A519" s="5" t="s">
        <v>28</v>
      </c>
      <c r="B519" s="5" t="s">
        <v>264</v>
      </c>
      <c r="C519" s="5">
        <v>2027</v>
      </c>
      <c r="D519" s="5" t="s">
        <v>30</v>
      </c>
      <c r="E519" s="9" t="s">
        <v>443</v>
      </c>
      <c r="F519" s="9" t="s">
        <v>444</v>
      </c>
      <c r="G519" s="9" t="s">
        <v>316</v>
      </c>
      <c r="H519" s="9" t="s">
        <v>445</v>
      </c>
      <c r="I519" s="9" t="s">
        <v>269</v>
      </c>
      <c r="J519" s="9" t="s">
        <v>74</v>
      </c>
      <c r="K519" s="9">
        <v>890</v>
      </c>
      <c r="L519" s="9"/>
      <c r="M519" s="9"/>
      <c r="N519" s="9"/>
      <c r="O519" s="9" t="s">
        <v>68</v>
      </c>
      <c r="P519" s="9" t="s">
        <v>76</v>
      </c>
      <c r="Q519" s="11"/>
      <c r="R519" s="10"/>
      <c r="S519" s="10"/>
      <c r="T519" s="10"/>
      <c r="U519" s="9"/>
      <c r="X519" t="s">
        <v>308</v>
      </c>
      <c r="Y519" t="s">
        <v>179</v>
      </c>
      <c r="Z519" t="s">
        <v>179</v>
      </c>
      <c r="AB519" t="str">
        <f t="shared" si="24"/>
        <v>24346</v>
      </c>
    </row>
    <row r="520" ht="14.25" spans="1:28">
      <c r="A520" s="5" t="s">
        <v>28</v>
      </c>
      <c r="B520" s="5" t="s">
        <v>264</v>
      </c>
      <c r="C520" s="5">
        <v>2027</v>
      </c>
      <c r="D520" s="5" t="s">
        <v>30</v>
      </c>
      <c r="E520" s="9" t="s">
        <v>446</v>
      </c>
      <c r="F520" s="9" t="s">
        <v>447</v>
      </c>
      <c r="G520" s="9" t="s">
        <v>448</v>
      </c>
      <c r="H520" s="9" t="s">
        <v>449</v>
      </c>
      <c r="I520" s="9" t="s">
        <v>269</v>
      </c>
      <c r="J520" s="9" t="s">
        <v>36</v>
      </c>
      <c r="K520" s="9">
        <v>590</v>
      </c>
      <c r="L520" s="9"/>
      <c r="M520" s="9"/>
      <c r="N520" s="9"/>
      <c r="O520" s="9" t="s">
        <v>37</v>
      </c>
      <c r="P520" s="9" t="s">
        <v>38</v>
      </c>
      <c r="Q520" s="9"/>
      <c r="R520" s="10">
        <f t="shared" ref="R514:R577" si="25">SUMIFS(Q:Q,E:E,E520)</f>
        <v>0</v>
      </c>
      <c r="S520" s="10">
        <f>SUMIFS([1]Sheet1!$T:$T,[1]Sheet1!$I:$I,E520,[1]Sheet1!$C:$C,A520)</f>
        <v>0</v>
      </c>
      <c r="T520" s="10">
        <f t="shared" ref="T514:T577" si="26">R520-S520</f>
        <v>0</v>
      </c>
      <c r="U520" s="9"/>
      <c r="Y520" t="s">
        <v>179</v>
      </c>
      <c r="Z520" t="s">
        <v>104</v>
      </c>
      <c r="AB520" t="str">
        <f t="shared" si="24"/>
        <v>24365</v>
      </c>
    </row>
    <row r="521" ht="14.25" spans="1:28">
      <c r="A521" s="5" t="s">
        <v>28</v>
      </c>
      <c r="B521" s="5" t="s">
        <v>264</v>
      </c>
      <c r="C521" s="5">
        <v>2027</v>
      </c>
      <c r="D521" s="5" t="s">
        <v>30</v>
      </c>
      <c r="E521" s="9" t="s">
        <v>446</v>
      </c>
      <c r="F521" s="9" t="s">
        <v>447</v>
      </c>
      <c r="G521" s="9" t="s">
        <v>448</v>
      </c>
      <c r="H521" s="9" t="s">
        <v>449</v>
      </c>
      <c r="I521" s="9" t="s">
        <v>269</v>
      </c>
      <c r="J521" s="9" t="s">
        <v>36</v>
      </c>
      <c r="K521" s="9">
        <v>590</v>
      </c>
      <c r="L521" s="9"/>
      <c r="M521" s="9"/>
      <c r="N521" s="9"/>
      <c r="O521" s="9" t="s">
        <v>37</v>
      </c>
      <c r="P521" s="9" t="s">
        <v>42</v>
      </c>
      <c r="Q521" s="9"/>
      <c r="R521" s="10"/>
      <c r="S521" s="10"/>
      <c r="T521" s="10"/>
      <c r="U521" s="9"/>
      <c r="Y521" t="s">
        <v>179</v>
      </c>
      <c r="Z521" t="s">
        <v>104</v>
      </c>
      <c r="AB521" t="str">
        <f t="shared" si="24"/>
        <v>24365</v>
      </c>
    </row>
    <row r="522" ht="14.25" spans="1:28">
      <c r="A522" s="5" t="s">
        <v>28</v>
      </c>
      <c r="B522" s="5" t="s">
        <v>264</v>
      </c>
      <c r="C522" s="5">
        <v>2027</v>
      </c>
      <c r="D522" s="5" t="s">
        <v>30</v>
      </c>
      <c r="E522" s="9" t="s">
        <v>446</v>
      </c>
      <c r="F522" s="9" t="s">
        <v>447</v>
      </c>
      <c r="G522" s="9" t="s">
        <v>448</v>
      </c>
      <c r="H522" s="9" t="s">
        <v>449</v>
      </c>
      <c r="I522" s="9" t="s">
        <v>269</v>
      </c>
      <c r="J522" s="9" t="s">
        <v>36</v>
      </c>
      <c r="K522" s="9">
        <v>590</v>
      </c>
      <c r="L522" s="9"/>
      <c r="M522" s="9"/>
      <c r="N522" s="9"/>
      <c r="O522" s="9" t="s">
        <v>37</v>
      </c>
      <c r="P522" s="9" t="s">
        <v>43</v>
      </c>
      <c r="Q522" s="9"/>
      <c r="R522" s="10"/>
      <c r="S522" s="10"/>
      <c r="T522" s="10"/>
      <c r="U522" s="9"/>
      <c r="Y522" t="s">
        <v>179</v>
      </c>
      <c r="Z522" t="s">
        <v>104</v>
      </c>
      <c r="AB522" t="str">
        <f t="shared" si="24"/>
        <v>24365</v>
      </c>
    </row>
    <row r="523" ht="14.25" spans="1:28">
      <c r="A523" s="5" t="s">
        <v>28</v>
      </c>
      <c r="B523" s="5" t="s">
        <v>264</v>
      </c>
      <c r="C523" s="5">
        <v>2027</v>
      </c>
      <c r="D523" s="5" t="s">
        <v>30</v>
      </c>
      <c r="E523" s="9" t="s">
        <v>446</v>
      </c>
      <c r="F523" s="9" t="s">
        <v>447</v>
      </c>
      <c r="G523" s="9" t="s">
        <v>448</v>
      </c>
      <c r="H523" s="9" t="s">
        <v>449</v>
      </c>
      <c r="I523" s="9" t="s">
        <v>269</v>
      </c>
      <c r="J523" s="9" t="s">
        <v>36</v>
      </c>
      <c r="K523" s="9">
        <v>590</v>
      </c>
      <c r="L523" s="9"/>
      <c r="M523" s="9"/>
      <c r="N523" s="9"/>
      <c r="O523" s="9" t="s">
        <v>37</v>
      </c>
      <c r="P523" s="9" t="s">
        <v>44</v>
      </c>
      <c r="Q523" s="9"/>
      <c r="R523" s="10"/>
      <c r="S523" s="10"/>
      <c r="T523" s="10"/>
      <c r="U523" s="9"/>
      <c r="Y523" t="s">
        <v>179</v>
      </c>
      <c r="Z523" t="s">
        <v>104</v>
      </c>
      <c r="AB523" t="str">
        <f t="shared" si="24"/>
        <v>24365</v>
      </c>
    </row>
    <row r="524" ht="14.25" spans="1:28">
      <c r="A524" s="5" t="s">
        <v>28</v>
      </c>
      <c r="B524" s="5" t="s">
        <v>264</v>
      </c>
      <c r="C524" s="5">
        <v>2027</v>
      </c>
      <c r="D524" s="5" t="s">
        <v>30</v>
      </c>
      <c r="E524" s="9" t="s">
        <v>446</v>
      </c>
      <c r="F524" s="9" t="s">
        <v>447</v>
      </c>
      <c r="G524" s="9" t="s">
        <v>448</v>
      </c>
      <c r="H524" s="9" t="s">
        <v>449</v>
      </c>
      <c r="I524" s="9" t="s">
        <v>269</v>
      </c>
      <c r="J524" s="9" t="s">
        <v>36</v>
      </c>
      <c r="K524" s="9">
        <v>590</v>
      </c>
      <c r="L524" s="9"/>
      <c r="M524" s="9"/>
      <c r="N524" s="9"/>
      <c r="O524" s="9" t="s">
        <v>37</v>
      </c>
      <c r="P524" s="9" t="s">
        <v>45</v>
      </c>
      <c r="Q524" s="9"/>
      <c r="R524" s="10"/>
      <c r="S524" s="10"/>
      <c r="T524" s="10"/>
      <c r="U524" s="9"/>
      <c r="Y524" t="s">
        <v>179</v>
      </c>
      <c r="Z524" t="s">
        <v>104</v>
      </c>
      <c r="AB524" t="str">
        <f t="shared" si="24"/>
        <v>24365</v>
      </c>
    </row>
    <row r="525" ht="14.25" spans="1:28">
      <c r="A525" s="5" t="s">
        <v>28</v>
      </c>
      <c r="B525" s="5" t="s">
        <v>264</v>
      </c>
      <c r="C525" s="5">
        <v>2027</v>
      </c>
      <c r="D525" s="5" t="s">
        <v>30</v>
      </c>
      <c r="E525" s="9" t="s">
        <v>450</v>
      </c>
      <c r="F525" s="9" t="s">
        <v>447</v>
      </c>
      <c r="G525" s="9" t="s">
        <v>189</v>
      </c>
      <c r="H525" s="9" t="s">
        <v>451</v>
      </c>
      <c r="I525" s="9" t="s">
        <v>269</v>
      </c>
      <c r="J525" s="9" t="s">
        <v>36</v>
      </c>
      <c r="K525" s="9">
        <v>590</v>
      </c>
      <c r="L525" s="9"/>
      <c r="M525" s="9"/>
      <c r="N525" s="9"/>
      <c r="O525" s="9" t="s">
        <v>37</v>
      </c>
      <c r="P525" s="9" t="s">
        <v>38</v>
      </c>
      <c r="Q525" s="9"/>
      <c r="R525" s="10">
        <f t="shared" si="25"/>
        <v>0</v>
      </c>
      <c r="S525" s="10">
        <f>SUMIFS([1]Sheet1!$T:$T,[1]Sheet1!$I:$I,E525,[1]Sheet1!$C:$C,A525)</f>
        <v>0</v>
      </c>
      <c r="T525" s="10">
        <f t="shared" si="26"/>
        <v>0</v>
      </c>
      <c r="U525" s="9" t="s">
        <v>148</v>
      </c>
      <c r="V525" t="s">
        <v>184</v>
      </c>
      <c r="W525" t="s">
        <v>138</v>
      </c>
      <c r="X525" t="s">
        <v>191</v>
      </c>
      <c r="Y525" t="s">
        <v>179</v>
      </c>
      <c r="Z525" t="s">
        <v>104</v>
      </c>
      <c r="AB525" t="str">
        <f t="shared" si="24"/>
        <v>24365</v>
      </c>
    </row>
    <row r="526" ht="14.25" spans="1:28">
      <c r="A526" s="5" t="s">
        <v>28</v>
      </c>
      <c r="B526" s="5" t="s">
        <v>264</v>
      </c>
      <c r="C526" s="5">
        <v>2027</v>
      </c>
      <c r="D526" s="5" t="s">
        <v>30</v>
      </c>
      <c r="E526" s="9" t="s">
        <v>450</v>
      </c>
      <c r="F526" s="9" t="s">
        <v>447</v>
      </c>
      <c r="G526" s="9" t="s">
        <v>189</v>
      </c>
      <c r="H526" s="9" t="s">
        <v>451</v>
      </c>
      <c r="I526" s="9" t="s">
        <v>269</v>
      </c>
      <c r="J526" s="9" t="s">
        <v>36</v>
      </c>
      <c r="K526" s="9">
        <v>590</v>
      </c>
      <c r="L526" s="9"/>
      <c r="M526" s="9"/>
      <c r="N526" s="9"/>
      <c r="O526" s="9" t="s">
        <v>37</v>
      </c>
      <c r="P526" s="9" t="s">
        <v>42</v>
      </c>
      <c r="Q526" s="11"/>
      <c r="R526" s="10"/>
      <c r="S526" s="10"/>
      <c r="T526" s="10"/>
      <c r="U526" s="9" t="s">
        <v>148</v>
      </c>
      <c r="V526" t="s">
        <v>184</v>
      </c>
      <c r="W526" t="s">
        <v>138</v>
      </c>
      <c r="X526" t="s">
        <v>191</v>
      </c>
      <c r="Y526" t="s">
        <v>179</v>
      </c>
      <c r="Z526" t="s">
        <v>104</v>
      </c>
      <c r="AB526" t="str">
        <f t="shared" si="24"/>
        <v>24365</v>
      </c>
    </row>
    <row r="527" ht="14.25" spans="1:28">
      <c r="A527" s="5" t="s">
        <v>28</v>
      </c>
      <c r="B527" s="5" t="s">
        <v>264</v>
      </c>
      <c r="C527" s="5">
        <v>2027</v>
      </c>
      <c r="D527" s="5" t="s">
        <v>30</v>
      </c>
      <c r="E527" s="9" t="s">
        <v>450</v>
      </c>
      <c r="F527" s="9" t="s">
        <v>447</v>
      </c>
      <c r="G527" s="9" t="s">
        <v>189</v>
      </c>
      <c r="H527" s="9" t="s">
        <v>451</v>
      </c>
      <c r="I527" s="9" t="s">
        <v>269</v>
      </c>
      <c r="J527" s="9" t="s">
        <v>36</v>
      </c>
      <c r="K527" s="9">
        <v>590</v>
      </c>
      <c r="L527" s="9"/>
      <c r="M527" s="9"/>
      <c r="N527" s="9"/>
      <c r="O527" s="9" t="s">
        <v>37</v>
      </c>
      <c r="P527" s="9" t="s">
        <v>43</v>
      </c>
      <c r="Q527" s="11"/>
      <c r="R527" s="10"/>
      <c r="S527" s="10"/>
      <c r="T527" s="10"/>
      <c r="U527" s="9" t="s">
        <v>148</v>
      </c>
      <c r="V527" t="s">
        <v>184</v>
      </c>
      <c r="W527" t="s">
        <v>138</v>
      </c>
      <c r="X527" t="s">
        <v>191</v>
      </c>
      <c r="Y527" t="s">
        <v>179</v>
      </c>
      <c r="Z527" t="s">
        <v>104</v>
      </c>
      <c r="AB527" t="str">
        <f t="shared" si="24"/>
        <v>24365</v>
      </c>
    </row>
    <row r="528" ht="14.25" spans="1:28">
      <c r="A528" s="5" t="s">
        <v>28</v>
      </c>
      <c r="B528" s="5" t="s">
        <v>264</v>
      </c>
      <c r="C528" s="5">
        <v>2027</v>
      </c>
      <c r="D528" s="5" t="s">
        <v>30</v>
      </c>
      <c r="E528" s="9" t="s">
        <v>450</v>
      </c>
      <c r="F528" s="9" t="s">
        <v>447</v>
      </c>
      <c r="G528" s="9" t="s">
        <v>189</v>
      </c>
      <c r="H528" s="9" t="s">
        <v>451</v>
      </c>
      <c r="I528" s="9" t="s">
        <v>269</v>
      </c>
      <c r="J528" s="9" t="s">
        <v>36</v>
      </c>
      <c r="K528" s="9">
        <v>590</v>
      </c>
      <c r="L528" s="9"/>
      <c r="M528" s="9"/>
      <c r="N528" s="9"/>
      <c r="O528" s="9" t="s">
        <v>37</v>
      </c>
      <c r="P528" s="9" t="s">
        <v>44</v>
      </c>
      <c r="Q528" s="11"/>
      <c r="R528" s="10"/>
      <c r="S528" s="10"/>
      <c r="T528" s="10"/>
      <c r="U528" s="9" t="s">
        <v>148</v>
      </c>
      <c r="V528" t="s">
        <v>184</v>
      </c>
      <c r="W528" t="s">
        <v>138</v>
      </c>
      <c r="X528" t="s">
        <v>191</v>
      </c>
      <c r="Y528" t="s">
        <v>179</v>
      </c>
      <c r="Z528" t="s">
        <v>104</v>
      </c>
      <c r="AB528" t="str">
        <f t="shared" si="24"/>
        <v>24365</v>
      </c>
    </row>
    <row r="529" ht="14.25" spans="1:28">
      <c r="A529" s="5" t="s">
        <v>28</v>
      </c>
      <c r="B529" s="5" t="s">
        <v>264</v>
      </c>
      <c r="C529" s="5">
        <v>2027</v>
      </c>
      <c r="D529" s="5" t="s">
        <v>30</v>
      </c>
      <c r="E529" s="9" t="s">
        <v>450</v>
      </c>
      <c r="F529" s="9" t="s">
        <v>447</v>
      </c>
      <c r="G529" s="9" t="s">
        <v>189</v>
      </c>
      <c r="H529" s="9" t="s">
        <v>451</v>
      </c>
      <c r="I529" s="9" t="s">
        <v>269</v>
      </c>
      <c r="J529" s="9" t="s">
        <v>36</v>
      </c>
      <c r="K529" s="9">
        <v>590</v>
      </c>
      <c r="L529" s="9"/>
      <c r="M529" s="9"/>
      <c r="N529" s="9"/>
      <c r="O529" s="9" t="s">
        <v>37</v>
      </c>
      <c r="P529" s="9" t="s">
        <v>45</v>
      </c>
      <c r="Q529" s="11"/>
      <c r="R529" s="10"/>
      <c r="S529" s="10"/>
      <c r="T529" s="10"/>
      <c r="U529" s="9" t="s">
        <v>148</v>
      </c>
      <c r="V529" t="s">
        <v>184</v>
      </c>
      <c r="W529" t="s">
        <v>138</v>
      </c>
      <c r="X529" t="s">
        <v>191</v>
      </c>
      <c r="Y529" t="s">
        <v>179</v>
      </c>
      <c r="Z529" t="s">
        <v>104</v>
      </c>
      <c r="AB529" t="str">
        <f t="shared" si="24"/>
        <v>24365</v>
      </c>
    </row>
    <row r="530" ht="14.25" spans="1:28">
      <c r="A530" s="5" t="s">
        <v>28</v>
      </c>
      <c r="B530" s="5" t="s">
        <v>264</v>
      </c>
      <c r="C530" s="5">
        <v>2027</v>
      </c>
      <c r="D530" s="5" t="s">
        <v>30</v>
      </c>
      <c r="E530" s="9" t="s">
        <v>452</v>
      </c>
      <c r="F530" s="9" t="s">
        <v>447</v>
      </c>
      <c r="G530" s="9" t="s">
        <v>453</v>
      </c>
      <c r="H530" s="9" t="s">
        <v>454</v>
      </c>
      <c r="I530" s="9" t="s">
        <v>269</v>
      </c>
      <c r="J530" s="9" t="s">
        <v>36</v>
      </c>
      <c r="K530" s="9">
        <v>590</v>
      </c>
      <c r="L530" s="9"/>
      <c r="M530" s="9"/>
      <c r="N530" s="9"/>
      <c r="O530" s="9" t="s">
        <v>37</v>
      </c>
      <c r="P530" s="9" t="s">
        <v>38</v>
      </c>
      <c r="Q530" s="11"/>
      <c r="R530" s="10">
        <f t="shared" si="25"/>
        <v>0</v>
      </c>
      <c r="S530" s="10">
        <f>SUMIFS([1]Sheet1!$T:$T,[1]Sheet1!$I:$I,E530,[1]Sheet1!$C:$C,A530)</f>
        <v>0</v>
      </c>
      <c r="T530" s="10">
        <f t="shared" si="26"/>
        <v>0</v>
      </c>
      <c r="U530" s="9"/>
      <c r="Y530" t="s">
        <v>179</v>
      </c>
      <c r="Z530" t="s">
        <v>104</v>
      </c>
      <c r="AB530" t="str">
        <f t="shared" si="24"/>
        <v>24365</v>
      </c>
    </row>
    <row r="531" ht="14.25" spans="1:28">
      <c r="A531" s="5" t="s">
        <v>28</v>
      </c>
      <c r="B531" s="5" t="s">
        <v>264</v>
      </c>
      <c r="C531" s="5">
        <v>2027</v>
      </c>
      <c r="D531" s="5" t="s">
        <v>30</v>
      </c>
      <c r="E531" s="9" t="s">
        <v>452</v>
      </c>
      <c r="F531" s="9" t="s">
        <v>447</v>
      </c>
      <c r="G531" s="9" t="s">
        <v>453</v>
      </c>
      <c r="H531" s="9" t="s">
        <v>454</v>
      </c>
      <c r="I531" s="9" t="s">
        <v>269</v>
      </c>
      <c r="J531" s="9" t="s">
        <v>36</v>
      </c>
      <c r="K531" s="9">
        <v>590</v>
      </c>
      <c r="L531" s="9"/>
      <c r="M531" s="9"/>
      <c r="N531" s="9"/>
      <c r="O531" s="9" t="s">
        <v>37</v>
      </c>
      <c r="P531" s="9" t="s">
        <v>42</v>
      </c>
      <c r="Q531" s="11"/>
      <c r="R531" s="10"/>
      <c r="S531" s="10"/>
      <c r="T531" s="10"/>
      <c r="U531" s="9"/>
      <c r="Y531" t="s">
        <v>179</v>
      </c>
      <c r="Z531" t="s">
        <v>104</v>
      </c>
      <c r="AB531" t="str">
        <f t="shared" si="24"/>
        <v>24365</v>
      </c>
    </row>
    <row r="532" ht="14.25" spans="1:28">
      <c r="A532" s="5" t="s">
        <v>28</v>
      </c>
      <c r="B532" s="5" t="s">
        <v>264</v>
      </c>
      <c r="C532" s="5">
        <v>2027</v>
      </c>
      <c r="D532" s="5" t="s">
        <v>30</v>
      </c>
      <c r="E532" s="9" t="s">
        <v>452</v>
      </c>
      <c r="F532" s="9" t="s">
        <v>447</v>
      </c>
      <c r="G532" s="9" t="s">
        <v>453</v>
      </c>
      <c r="H532" s="9" t="s">
        <v>454</v>
      </c>
      <c r="I532" s="9" t="s">
        <v>269</v>
      </c>
      <c r="J532" s="9" t="s">
        <v>36</v>
      </c>
      <c r="K532" s="9">
        <v>590</v>
      </c>
      <c r="L532" s="9"/>
      <c r="M532" s="9"/>
      <c r="N532" s="9"/>
      <c r="O532" s="9" t="s">
        <v>37</v>
      </c>
      <c r="P532" s="9" t="s">
        <v>43</v>
      </c>
      <c r="Q532" s="9"/>
      <c r="R532" s="10"/>
      <c r="S532" s="10"/>
      <c r="T532" s="10"/>
      <c r="U532" s="9"/>
      <c r="Y532" t="s">
        <v>179</v>
      </c>
      <c r="Z532" t="s">
        <v>104</v>
      </c>
      <c r="AB532" t="str">
        <f t="shared" si="24"/>
        <v>24365</v>
      </c>
    </row>
    <row r="533" ht="14.25" spans="1:28">
      <c r="A533" s="5" t="s">
        <v>28</v>
      </c>
      <c r="B533" s="5" t="s">
        <v>264</v>
      </c>
      <c r="C533" s="5">
        <v>2027</v>
      </c>
      <c r="D533" s="5" t="s">
        <v>30</v>
      </c>
      <c r="E533" s="9" t="s">
        <v>452</v>
      </c>
      <c r="F533" s="9" t="s">
        <v>447</v>
      </c>
      <c r="G533" s="9" t="s">
        <v>453</v>
      </c>
      <c r="H533" s="9" t="s">
        <v>454</v>
      </c>
      <c r="I533" s="9" t="s">
        <v>269</v>
      </c>
      <c r="J533" s="9" t="s">
        <v>36</v>
      </c>
      <c r="K533" s="9">
        <v>590</v>
      </c>
      <c r="L533" s="9"/>
      <c r="M533" s="9"/>
      <c r="N533" s="9"/>
      <c r="O533" s="9" t="s">
        <v>37</v>
      </c>
      <c r="P533" s="9" t="s">
        <v>44</v>
      </c>
      <c r="Q533" s="9"/>
      <c r="R533" s="10"/>
      <c r="S533" s="10"/>
      <c r="T533" s="10"/>
      <c r="U533" s="9"/>
      <c r="Y533" t="s">
        <v>179</v>
      </c>
      <c r="Z533" t="s">
        <v>104</v>
      </c>
      <c r="AB533" t="str">
        <f t="shared" si="24"/>
        <v>24365</v>
      </c>
    </row>
    <row r="534" ht="14.25" spans="1:28">
      <c r="A534" s="5" t="s">
        <v>28</v>
      </c>
      <c r="B534" s="5" t="s">
        <v>264</v>
      </c>
      <c r="C534" s="5">
        <v>2027</v>
      </c>
      <c r="D534" s="5" t="s">
        <v>30</v>
      </c>
      <c r="E534" s="9" t="s">
        <v>452</v>
      </c>
      <c r="F534" s="9" t="s">
        <v>447</v>
      </c>
      <c r="G534" s="9" t="s">
        <v>453</v>
      </c>
      <c r="H534" s="9" t="s">
        <v>454</v>
      </c>
      <c r="I534" s="9" t="s">
        <v>269</v>
      </c>
      <c r="J534" s="9" t="s">
        <v>36</v>
      </c>
      <c r="K534" s="9">
        <v>590</v>
      </c>
      <c r="L534" s="9"/>
      <c r="M534" s="9"/>
      <c r="N534" s="9"/>
      <c r="O534" s="9" t="s">
        <v>37</v>
      </c>
      <c r="P534" s="9" t="s">
        <v>45</v>
      </c>
      <c r="Q534" s="9"/>
      <c r="R534" s="10"/>
      <c r="S534" s="10"/>
      <c r="T534" s="10"/>
      <c r="U534" s="9"/>
      <c r="Y534" t="s">
        <v>179</v>
      </c>
      <c r="Z534" t="s">
        <v>104</v>
      </c>
      <c r="AB534" t="str">
        <f t="shared" si="24"/>
        <v>24365</v>
      </c>
    </row>
    <row r="535" ht="14.25" spans="1:28">
      <c r="A535" s="5" t="s">
        <v>28</v>
      </c>
      <c r="B535" s="5" t="s">
        <v>264</v>
      </c>
      <c r="C535" s="5">
        <v>2027</v>
      </c>
      <c r="D535" s="5" t="s">
        <v>30</v>
      </c>
      <c r="E535" s="9" t="s">
        <v>455</v>
      </c>
      <c r="F535" s="9" t="s">
        <v>447</v>
      </c>
      <c r="G535" s="9" t="s">
        <v>189</v>
      </c>
      <c r="H535" s="9" t="s">
        <v>456</v>
      </c>
      <c r="I535" s="9" t="s">
        <v>269</v>
      </c>
      <c r="J535" s="9" t="s">
        <v>36</v>
      </c>
      <c r="K535" s="9">
        <v>690</v>
      </c>
      <c r="L535" s="9"/>
      <c r="M535" s="9"/>
      <c r="N535" s="9"/>
      <c r="O535" s="9" t="s">
        <v>37</v>
      </c>
      <c r="P535" s="9" t="s">
        <v>38</v>
      </c>
      <c r="Q535" s="9"/>
      <c r="R535" s="10">
        <f t="shared" si="25"/>
        <v>0</v>
      </c>
      <c r="S535" s="10">
        <f>SUMIFS([1]Sheet1!$T:$T,[1]Sheet1!$I:$I,E535,[1]Sheet1!$C:$C,A535)</f>
        <v>0</v>
      </c>
      <c r="T535" s="10">
        <f t="shared" si="26"/>
        <v>0</v>
      </c>
      <c r="U535" s="9"/>
      <c r="X535" t="s">
        <v>191</v>
      </c>
      <c r="Y535" t="s">
        <v>179</v>
      </c>
      <c r="Z535" t="s">
        <v>104</v>
      </c>
      <c r="AB535" t="str">
        <f t="shared" si="24"/>
        <v>24367</v>
      </c>
    </row>
    <row r="536" ht="14.25" spans="1:28">
      <c r="A536" s="5" t="s">
        <v>28</v>
      </c>
      <c r="B536" s="5" t="s">
        <v>264</v>
      </c>
      <c r="C536" s="5">
        <v>2027</v>
      </c>
      <c r="D536" s="5" t="s">
        <v>30</v>
      </c>
      <c r="E536" s="9" t="s">
        <v>455</v>
      </c>
      <c r="F536" s="9" t="s">
        <v>447</v>
      </c>
      <c r="G536" s="9" t="s">
        <v>189</v>
      </c>
      <c r="H536" s="9" t="s">
        <v>456</v>
      </c>
      <c r="I536" s="9" t="s">
        <v>269</v>
      </c>
      <c r="J536" s="9" t="s">
        <v>36</v>
      </c>
      <c r="K536" s="9">
        <v>690</v>
      </c>
      <c r="L536" s="9"/>
      <c r="M536" s="9"/>
      <c r="N536" s="9"/>
      <c r="O536" s="9" t="s">
        <v>37</v>
      </c>
      <c r="P536" s="9" t="s">
        <v>42</v>
      </c>
      <c r="Q536" s="9"/>
      <c r="R536" s="10"/>
      <c r="S536" s="10"/>
      <c r="T536" s="10"/>
      <c r="U536" s="9"/>
      <c r="X536" t="s">
        <v>191</v>
      </c>
      <c r="Y536" t="s">
        <v>179</v>
      </c>
      <c r="Z536" t="s">
        <v>104</v>
      </c>
      <c r="AB536" t="str">
        <f t="shared" si="24"/>
        <v>24367</v>
      </c>
    </row>
    <row r="537" ht="14.25" spans="1:28">
      <c r="A537" s="5" t="s">
        <v>28</v>
      </c>
      <c r="B537" s="5" t="s">
        <v>264</v>
      </c>
      <c r="C537" s="5">
        <v>2027</v>
      </c>
      <c r="D537" s="5" t="s">
        <v>30</v>
      </c>
      <c r="E537" s="9" t="s">
        <v>455</v>
      </c>
      <c r="F537" s="9" t="s">
        <v>447</v>
      </c>
      <c r="G537" s="9" t="s">
        <v>189</v>
      </c>
      <c r="H537" s="9" t="s">
        <v>456</v>
      </c>
      <c r="I537" s="9" t="s">
        <v>269</v>
      </c>
      <c r="J537" s="9" t="s">
        <v>36</v>
      </c>
      <c r="K537" s="9">
        <v>690</v>
      </c>
      <c r="L537" s="9"/>
      <c r="M537" s="9"/>
      <c r="N537" s="9"/>
      <c r="O537" s="9" t="s">
        <v>37</v>
      </c>
      <c r="P537" s="9" t="s">
        <v>43</v>
      </c>
      <c r="Q537" s="9"/>
      <c r="R537" s="10"/>
      <c r="S537" s="10"/>
      <c r="T537" s="10"/>
      <c r="U537" s="9"/>
      <c r="X537" t="s">
        <v>191</v>
      </c>
      <c r="Y537" t="s">
        <v>179</v>
      </c>
      <c r="Z537" t="s">
        <v>104</v>
      </c>
      <c r="AB537" t="str">
        <f t="shared" si="24"/>
        <v>24367</v>
      </c>
    </row>
    <row r="538" ht="14.25" spans="1:28">
      <c r="A538" s="5" t="s">
        <v>28</v>
      </c>
      <c r="B538" s="5" t="s">
        <v>264</v>
      </c>
      <c r="C538" s="5">
        <v>2027</v>
      </c>
      <c r="D538" s="5" t="s">
        <v>30</v>
      </c>
      <c r="E538" s="9" t="s">
        <v>455</v>
      </c>
      <c r="F538" s="9" t="s">
        <v>447</v>
      </c>
      <c r="G538" s="9" t="s">
        <v>189</v>
      </c>
      <c r="H538" s="9" t="s">
        <v>456</v>
      </c>
      <c r="I538" s="9" t="s">
        <v>269</v>
      </c>
      <c r="J538" s="9" t="s">
        <v>36</v>
      </c>
      <c r="K538" s="9">
        <v>690</v>
      </c>
      <c r="L538" s="9"/>
      <c r="M538" s="9"/>
      <c r="N538" s="9"/>
      <c r="O538" s="9" t="s">
        <v>37</v>
      </c>
      <c r="P538" s="9" t="s">
        <v>44</v>
      </c>
      <c r="Q538" s="9"/>
      <c r="R538" s="10"/>
      <c r="S538" s="10"/>
      <c r="T538" s="10"/>
      <c r="U538" s="9"/>
      <c r="X538" t="s">
        <v>191</v>
      </c>
      <c r="Y538" t="s">
        <v>179</v>
      </c>
      <c r="Z538" t="s">
        <v>104</v>
      </c>
      <c r="AB538" t="str">
        <f t="shared" si="24"/>
        <v>24367</v>
      </c>
    </row>
    <row r="539" ht="14.25" spans="1:28">
      <c r="A539" s="5" t="s">
        <v>28</v>
      </c>
      <c r="B539" s="5" t="s">
        <v>264</v>
      </c>
      <c r="C539" s="5">
        <v>2027</v>
      </c>
      <c r="D539" s="5" t="s">
        <v>30</v>
      </c>
      <c r="E539" s="9" t="s">
        <v>455</v>
      </c>
      <c r="F539" s="9" t="s">
        <v>447</v>
      </c>
      <c r="G539" s="9" t="s">
        <v>189</v>
      </c>
      <c r="H539" s="9" t="s">
        <v>456</v>
      </c>
      <c r="I539" s="9" t="s">
        <v>269</v>
      </c>
      <c r="J539" s="9" t="s">
        <v>36</v>
      </c>
      <c r="K539" s="9">
        <v>690</v>
      </c>
      <c r="L539" s="9"/>
      <c r="M539" s="9"/>
      <c r="N539" s="9"/>
      <c r="O539" s="9" t="s">
        <v>37</v>
      </c>
      <c r="P539" s="9" t="s">
        <v>45</v>
      </c>
      <c r="Q539" s="9"/>
      <c r="R539" s="10"/>
      <c r="S539" s="10"/>
      <c r="T539" s="10"/>
      <c r="U539" s="9"/>
      <c r="X539" t="s">
        <v>191</v>
      </c>
      <c r="Y539" t="s">
        <v>179</v>
      </c>
      <c r="Z539" t="s">
        <v>104</v>
      </c>
      <c r="AB539" t="str">
        <f t="shared" si="24"/>
        <v>24367</v>
      </c>
    </row>
    <row r="540" ht="14.25" spans="1:28">
      <c r="A540" s="5" t="s">
        <v>28</v>
      </c>
      <c r="B540" s="5" t="s">
        <v>264</v>
      </c>
      <c r="C540" s="5">
        <v>2027</v>
      </c>
      <c r="D540" s="5" t="s">
        <v>30</v>
      </c>
      <c r="E540" s="9" t="s">
        <v>457</v>
      </c>
      <c r="F540" s="9" t="s">
        <v>458</v>
      </c>
      <c r="G540" s="9" t="s">
        <v>369</v>
      </c>
      <c r="H540" s="9" t="s">
        <v>459</v>
      </c>
      <c r="I540" s="9" t="s">
        <v>269</v>
      </c>
      <c r="J540" s="9" t="s">
        <v>36</v>
      </c>
      <c r="K540" s="9">
        <v>890</v>
      </c>
      <c r="L540" s="9"/>
      <c r="M540" s="9"/>
      <c r="N540" s="9"/>
      <c r="O540" s="9" t="s">
        <v>37</v>
      </c>
      <c r="P540" s="9" t="s">
        <v>38</v>
      </c>
      <c r="Q540" s="9"/>
      <c r="R540" s="10">
        <f t="shared" si="25"/>
        <v>0</v>
      </c>
      <c r="S540" s="10">
        <f>SUMIFS([1]Sheet1!$T:$T,[1]Sheet1!$I:$I,E540,[1]Sheet1!$C:$C,A540)</f>
        <v>0</v>
      </c>
      <c r="T540" s="10">
        <f t="shared" si="26"/>
        <v>0</v>
      </c>
      <c r="U540" s="9" t="s">
        <v>148</v>
      </c>
      <c r="V540" t="s">
        <v>460</v>
      </c>
      <c r="W540" t="s">
        <v>138</v>
      </c>
      <c r="Y540" t="s">
        <v>179</v>
      </c>
      <c r="Z540" t="s">
        <v>104</v>
      </c>
      <c r="AB540" t="str">
        <f t="shared" si="24"/>
        <v>24368</v>
      </c>
    </row>
    <row r="541" ht="14.25" spans="1:28">
      <c r="A541" s="5" t="s">
        <v>28</v>
      </c>
      <c r="B541" s="5" t="s">
        <v>264</v>
      </c>
      <c r="C541" s="5">
        <v>2027</v>
      </c>
      <c r="D541" s="5" t="s">
        <v>30</v>
      </c>
      <c r="E541" s="9" t="s">
        <v>457</v>
      </c>
      <c r="F541" s="9" t="s">
        <v>458</v>
      </c>
      <c r="G541" s="9" t="s">
        <v>369</v>
      </c>
      <c r="H541" s="9" t="s">
        <v>459</v>
      </c>
      <c r="I541" s="9" t="s">
        <v>269</v>
      </c>
      <c r="J541" s="9" t="s">
        <v>36</v>
      </c>
      <c r="K541" s="9">
        <v>890</v>
      </c>
      <c r="L541" s="9"/>
      <c r="M541" s="9"/>
      <c r="N541" s="9"/>
      <c r="O541" s="9" t="s">
        <v>37</v>
      </c>
      <c r="P541" s="9" t="s">
        <v>42</v>
      </c>
      <c r="Q541" s="9"/>
      <c r="R541" s="10"/>
      <c r="S541" s="10"/>
      <c r="T541" s="10"/>
      <c r="U541" s="9" t="s">
        <v>148</v>
      </c>
      <c r="V541" t="s">
        <v>460</v>
      </c>
      <c r="W541" t="s">
        <v>138</v>
      </c>
      <c r="Y541" t="s">
        <v>179</v>
      </c>
      <c r="Z541" t="s">
        <v>104</v>
      </c>
      <c r="AB541" t="str">
        <f t="shared" si="24"/>
        <v>24368</v>
      </c>
    </row>
    <row r="542" ht="14.25" spans="1:28">
      <c r="A542" s="5" t="s">
        <v>28</v>
      </c>
      <c r="B542" s="5" t="s">
        <v>264</v>
      </c>
      <c r="C542" s="5">
        <v>2027</v>
      </c>
      <c r="D542" s="5" t="s">
        <v>30</v>
      </c>
      <c r="E542" s="9" t="s">
        <v>457</v>
      </c>
      <c r="F542" s="9" t="s">
        <v>458</v>
      </c>
      <c r="G542" s="9" t="s">
        <v>369</v>
      </c>
      <c r="H542" s="9" t="s">
        <v>459</v>
      </c>
      <c r="I542" s="9" t="s">
        <v>269</v>
      </c>
      <c r="J542" s="9" t="s">
        <v>36</v>
      </c>
      <c r="K542" s="9">
        <v>890</v>
      </c>
      <c r="L542" s="9"/>
      <c r="M542" s="9"/>
      <c r="N542" s="9"/>
      <c r="O542" s="9" t="s">
        <v>37</v>
      </c>
      <c r="P542" s="9" t="s">
        <v>43</v>
      </c>
      <c r="Q542" s="9"/>
      <c r="R542" s="10"/>
      <c r="S542" s="10"/>
      <c r="T542" s="10"/>
      <c r="U542" s="9" t="s">
        <v>148</v>
      </c>
      <c r="V542" t="s">
        <v>460</v>
      </c>
      <c r="W542" t="s">
        <v>138</v>
      </c>
      <c r="Y542" t="s">
        <v>179</v>
      </c>
      <c r="Z542" t="s">
        <v>104</v>
      </c>
      <c r="AB542" t="str">
        <f t="shared" si="24"/>
        <v>24368</v>
      </c>
    </row>
    <row r="543" ht="14.25" spans="1:28">
      <c r="A543" s="5" t="s">
        <v>28</v>
      </c>
      <c r="B543" s="5" t="s">
        <v>264</v>
      </c>
      <c r="C543" s="5">
        <v>2027</v>
      </c>
      <c r="D543" s="5" t="s">
        <v>30</v>
      </c>
      <c r="E543" s="9" t="s">
        <v>457</v>
      </c>
      <c r="F543" s="9" t="s">
        <v>458</v>
      </c>
      <c r="G543" s="9" t="s">
        <v>369</v>
      </c>
      <c r="H543" s="9" t="s">
        <v>459</v>
      </c>
      <c r="I543" s="9" t="s">
        <v>269</v>
      </c>
      <c r="J543" s="9" t="s">
        <v>36</v>
      </c>
      <c r="K543" s="9">
        <v>890</v>
      </c>
      <c r="L543" s="9"/>
      <c r="M543" s="9"/>
      <c r="N543" s="9"/>
      <c r="O543" s="9" t="s">
        <v>37</v>
      </c>
      <c r="P543" s="9" t="s">
        <v>44</v>
      </c>
      <c r="Q543" s="9"/>
      <c r="R543" s="10"/>
      <c r="S543" s="10"/>
      <c r="T543" s="10"/>
      <c r="U543" s="9" t="s">
        <v>148</v>
      </c>
      <c r="V543" t="s">
        <v>460</v>
      </c>
      <c r="W543" t="s">
        <v>138</v>
      </c>
      <c r="Y543" t="s">
        <v>179</v>
      </c>
      <c r="Z543" t="s">
        <v>104</v>
      </c>
      <c r="AB543" t="str">
        <f t="shared" si="24"/>
        <v>24368</v>
      </c>
    </row>
    <row r="544" ht="14.25" spans="1:28">
      <c r="A544" s="5" t="s">
        <v>28</v>
      </c>
      <c r="B544" s="5" t="s">
        <v>264</v>
      </c>
      <c r="C544" s="5">
        <v>2027</v>
      </c>
      <c r="D544" s="5" t="s">
        <v>30</v>
      </c>
      <c r="E544" s="9" t="s">
        <v>457</v>
      </c>
      <c r="F544" s="9" t="s">
        <v>458</v>
      </c>
      <c r="G544" s="9" t="s">
        <v>369</v>
      </c>
      <c r="H544" s="9" t="s">
        <v>459</v>
      </c>
      <c r="I544" s="9" t="s">
        <v>269</v>
      </c>
      <c r="J544" s="9" t="s">
        <v>36</v>
      </c>
      <c r="K544" s="9">
        <v>890</v>
      </c>
      <c r="L544" s="9"/>
      <c r="M544" s="9"/>
      <c r="N544" s="9"/>
      <c r="O544" s="9" t="s">
        <v>37</v>
      </c>
      <c r="P544" s="9" t="s">
        <v>45</v>
      </c>
      <c r="Q544" s="9"/>
      <c r="R544" s="10"/>
      <c r="S544" s="10"/>
      <c r="T544" s="10"/>
      <c r="U544" s="9" t="s">
        <v>148</v>
      </c>
      <c r="V544" t="s">
        <v>460</v>
      </c>
      <c r="W544" t="s">
        <v>138</v>
      </c>
      <c r="Y544" t="s">
        <v>179</v>
      </c>
      <c r="Z544" t="s">
        <v>104</v>
      </c>
      <c r="AB544" t="str">
        <f t="shared" si="24"/>
        <v>24368</v>
      </c>
    </row>
    <row r="545" ht="14.25" spans="1:28">
      <c r="A545" s="5" t="s">
        <v>28</v>
      </c>
      <c r="B545" s="5" t="s">
        <v>264</v>
      </c>
      <c r="C545" s="5">
        <v>2027</v>
      </c>
      <c r="D545" s="5" t="s">
        <v>30</v>
      </c>
      <c r="E545" s="9" t="s">
        <v>461</v>
      </c>
      <c r="F545" s="9" t="s">
        <v>462</v>
      </c>
      <c r="G545" s="9" t="s">
        <v>369</v>
      </c>
      <c r="H545" s="9" t="s">
        <v>463</v>
      </c>
      <c r="I545" s="9" t="s">
        <v>269</v>
      </c>
      <c r="J545" s="9" t="s">
        <v>36</v>
      </c>
      <c r="K545" s="9">
        <v>890</v>
      </c>
      <c r="L545" s="9"/>
      <c r="M545" s="9"/>
      <c r="N545" s="9"/>
      <c r="O545" s="9" t="s">
        <v>37</v>
      </c>
      <c r="P545" s="9" t="s">
        <v>38</v>
      </c>
      <c r="Q545" s="9"/>
      <c r="R545" s="10">
        <f t="shared" si="25"/>
        <v>0</v>
      </c>
      <c r="S545" s="10">
        <f>SUMIFS([1]Sheet1!$T:$T,[1]Sheet1!$I:$I,E545,[1]Sheet1!$C:$C,A545)</f>
        <v>0</v>
      </c>
      <c r="T545" s="10">
        <f t="shared" si="26"/>
        <v>0</v>
      </c>
      <c r="U545" s="9"/>
      <c r="Y545" t="s">
        <v>179</v>
      </c>
      <c r="Z545" t="s">
        <v>104</v>
      </c>
      <c r="AB545" t="str">
        <f t="shared" si="24"/>
        <v>24370</v>
      </c>
    </row>
    <row r="546" ht="14.25" spans="1:28">
      <c r="A546" s="5" t="s">
        <v>28</v>
      </c>
      <c r="B546" s="5" t="s">
        <v>264</v>
      </c>
      <c r="C546" s="5">
        <v>2027</v>
      </c>
      <c r="D546" s="5" t="s">
        <v>30</v>
      </c>
      <c r="E546" s="9" t="s">
        <v>461</v>
      </c>
      <c r="F546" s="9" t="s">
        <v>462</v>
      </c>
      <c r="G546" s="9" t="s">
        <v>369</v>
      </c>
      <c r="H546" s="9" t="s">
        <v>463</v>
      </c>
      <c r="I546" s="9" t="s">
        <v>269</v>
      </c>
      <c r="J546" s="9" t="s">
        <v>36</v>
      </c>
      <c r="K546" s="9">
        <v>890</v>
      </c>
      <c r="L546" s="9"/>
      <c r="M546" s="9"/>
      <c r="N546" s="9"/>
      <c r="O546" s="9" t="s">
        <v>37</v>
      </c>
      <c r="P546" s="9" t="s">
        <v>42</v>
      </c>
      <c r="Q546" s="9"/>
      <c r="R546" s="10"/>
      <c r="S546" s="10"/>
      <c r="T546" s="10"/>
      <c r="U546" s="9"/>
      <c r="Y546" t="s">
        <v>179</v>
      </c>
      <c r="Z546" t="s">
        <v>104</v>
      </c>
      <c r="AB546" t="str">
        <f t="shared" si="24"/>
        <v>24370</v>
      </c>
    </row>
    <row r="547" ht="14.25" spans="1:28">
      <c r="A547" s="5" t="s">
        <v>28</v>
      </c>
      <c r="B547" s="5" t="s">
        <v>264</v>
      </c>
      <c r="C547" s="5">
        <v>2027</v>
      </c>
      <c r="D547" s="5" t="s">
        <v>30</v>
      </c>
      <c r="E547" s="9" t="s">
        <v>461</v>
      </c>
      <c r="F547" s="9" t="s">
        <v>462</v>
      </c>
      <c r="G547" s="9" t="s">
        <v>369</v>
      </c>
      <c r="H547" s="9" t="s">
        <v>463</v>
      </c>
      <c r="I547" s="9" t="s">
        <v>269</v>
      </c>
      <c r="J547" s="9" t="s">
        <v>36</v>
      </c>
      <c r="K547" s="9">
        <v>890</v>
      </c>
      <c r="L547" s="9"/>
      <c r="M547" s="9"/>
      <c r="N547" s="9"/>
      <c r="O547" s="9" t="s">
        <v>37</v>
      </c>
      <c r="P547" s="9" t="s">
        <v>43</v>
      </c>
      <c r="Q547" s="9"/>
      <c r="R547" s="10"/>
      <c r="S547" s="10"/>
      <c r="T547" s="10"/>
      <c r="U547" s="9"/>
      <c r="Y547" t="s">
        <v>179</v>
      </c>
      <c r="Z547" t="s">
        <v>104</v>
      </c>
      <c r="AB547" t="str">
        <f t="shared" si="24"/>
        <v>24370</v>
      </c>
    </row>
    <row r="548" ht="14.25" spans="1:28">
      <c r="A548" s="5" t="s">
        <v>28</v>
      </c>
      <c r="B548" s="5" t="s">
        <v>264</v>
      </c>
      <c r="C548" s="5">
        <v>2027</v>
      </c>
      <c r="D548" s="5" t="s">
        <v>30</v>
      </c>
      <c r="E548" s="9" t="s">
        <v>461</v>
      </c>
      <c r="F548" s="9" t="s">
        <v>462</v>
      </c>
      <c r="G548" s="9" t="s">
        <v>369</v>
      </c>
      <c r="H548" s="9" t="s">
        <v>463</v>
      </c>
      <c r="I548" s="9" t="s">
        <v>269</v>
      </c>
      <c r="J548" s="9" t="s">
        <v>36</v>
      </c>
      <c r="K548" s="9">
        <v>890</v>
      </c>
      <c r="L548" s="9"/>
      <c r="M548" s="9"/>
      <c r="N548" s="9"/>
      <c r="O548" s="9" t="s">
        <v>37</v>
      </c>
      <c r="P548" s="9" t="s">
        <v>44</v>
      </c>
      <c r="Q548" s="9"/>
      <c r="R548" s="10"/>
      <c r="S548" s="10"/>
      <c r="T548" s="10"/>
      <c r="U548" s="9"/>
      <c r="Y548" t="s">
        <v>179</v>
      </c>
      <c r="Z548" t="s">
        <v>104</v>
      </c>
      <c r="AB548" t="str">
        <f t="shared" si="24"/>
        <v>24370</v>
      </c>
    </row>
    <row r="549" ht="14.25" spans="1:28">
      <c r="A549" s="5" t="s">
        <v>28</v>
      </c>
      <c r="B549" s="5" t="s">
        <v>264</v>
      </c>
      <c r="C549" s="5">
        <v>2027</v>
      </c>
      <c r="D549" s="5" t="s">
        <v>30</v>
      </c>
      <c r="E549" s="9" t="s">
        <v>461</v>
      </c>
      <c r="F549" s="9" t="s">
        <v>462</v>
      </c>
      <c r="G549" s="9" t="s">
        <v>369</v>
      </c>
      <c r="H549" s="9" t="s">
        <v>463</v>
      </c>
      <c r="I549" s="9" t="s">
        <v>269</v>
      </c>
      <c r="J549" s="9" t="s">
        <v>36</v>
      </c>
      <c r="K549" s="9">
        <v>890</v>
      </c>
      <c r="L549" s="9"/>
      <c r="M549" s="9"/>
      <c r="N549" s="9"/>
      <c r="O549" s="9" t="s">
        <v>37</v>
      </c>
      <c r="P549" s="9" t="s">
        <v>45</v>
      </c>
      <c r="Q549" s="9"/>
      <c r="R549" s="10"/>
      <c r="S549" s="10"/>
      <c r="T549" s="10"/>
      <c r="U549" s="9"/>
      <c r="Y549" t="s">
        <v>179</v>
      </c>
      <c r="Z549" t="s">
        <v>104</v>
      </c>
      <c r="AB549" t="str">
        <f t="shared" si="24"/>
        <v>24370</v>
      </c>
    </row>
    <row r="550" ht="14.25" spans="1:28">
      <c r="A550" s="5" t="s">
        <v>28</v>
      </c>
      <c r="B550" s="5" t="s">
        <v>264</v>
      </c>
      <c r="C550" s="5">
        <v>2027</v>
      </c>
      <c r="D550" s="5" t="s">
        <v>30</v>
      </c>
      <c r="E550" s="9" t="s">
        <v>464</v>
      </c>
      <c r="F550" s="9" t="s">
        <v>465</v>
      </c>
      <c r="G550" s="9" t="s">
        <v>387</v>
      </c>
      <c r="H550" s="9" t="s">
        <v>466</v>
      </c>
      <c r="I550" s="9" t="s">
        <v>269</v>
      </c>
      <c r="J550" s="9" t="s">
        <v>36</v>
      </c>
      <c r="K550" s="9">
        <v>1190</v>
      </c>
      <c r="L550" s="9"/>
      <c r="M550" s="9"/>
      <c r="N550" s="9"/>
      <c r="O550" s="9" t="s">
        <v>37</v>
      </c>
      <c r="P550" s="9" t="s">
        <v>38</v>
      </c>
      <c r="Q550" s="9"/>
      <c r="R550" s="10">
        <f t="shared" si="25"/>
        <v>0</v>
      </c>
      <c r="S550" s="10">
        <f>SUMIFS([1]Sheet1!$T:$T,[1]Sheet1!$I:$I,E550,[1]Sheet1!$C:$C,A550)</f>
        <v>0</v>
      </c>
      <c r="T550" s="10">
        <f t="shared" si="26"/>
        <v>0</v>
      </c>
      <c r="U550" s="9"/>
      <c r="Y550" t="s">
        <v>179</v>
      </c>
      <c r="Z550" t="s">
        <v>467</v>
      </c>
      <c r="AB550" t="str">
        <f t="shared" si="24"/>
        <v>24371</v>
      </c>
    </row>
    <row r="551" ht="14.25" spans="1:28">
      <c r="A551" s="5" t="s">
        <v>28</v>
      </c>
      <c r="B551" s="5" t="s">
        <v>264</v>
      </c>
      <c r="C551" s="5">
        <v>2027</v>
      </c>
      <c r="D551" s="5" t="s">
        <v>30</v>
      </c>
      <c r="E551" s="9" t="s">
        <v>464</v>
      </c>
      <c r="F551" s="9" t="s">
        <v>465</v>
      </c>
      <c r="G551" s="9" t="s">
        <v>387</v>
      </c>
      <c r="H551" s="9" t="s">
        <v>466</v>
      </c>
      <c r="I551" s="9" t="s">
        <v>269</v>
      </c>
      <c r="J551" s="9" t="s">
        <v>36</v>
      </c>
      <c r="K551" s="9">
        <v>1190</v>
      </c>
      <c r="L551" s="9"/>
      <c r="M551" s="9"/>
      <c r="N551" s="9"/>
      <c r="O551" s="9" t="s">
        <v>37</v>
      </c>
      <c r="P551" s="9" t="s">
        <v>42</v>
      </c>
      <c r="Q551" s="9"/>
      <c r="R551" s="10"/>
      <c r="S551" s="10"/>
      <c r="T551" s="10"/>
      <c r="U551" s="9"/>
      <c r="Y551" t="s">
        <v>179</v>
      </c>
      <c r="Z551" t="s">
        <v>467</v>
      </c>
      <c r="AB551" t="str">
        <f t="shared" si="24"/>
        <v>24371</v>
      </c>
    </row>
    <row r="552" ht="14.25" spans="1:28">
      <c r="A552" s="5" t="s">
        <v>28</v>
      </c>
      <c r="B552" s="5" t="s">
        <v>264</v>
      </c>
      <c r="C552" s="5">
        <v>2027</v>
      </c>
      <c r="D552" s="5" t="s">
        <v>30</v>
      </c>
      <c r="E552" s="9" t="s">
        <v>464</v>
      </c>
      <c r="F552" s="9" t="s">
        <v>465</v>
      </c>
      <c r="G552" s="9" t="s">
        <v>387</v>
      </c>
      <c r="H552" s="9" t="s">
        <v>466</v>
      </c>
      <c r="I552" s="9" t="s">
        <v>269</v>
      </c>
      <c r="J552" s="9" t="s">
        <v>36</v>
      </c>
      <c r="K552" s="9">
        <v>1190</v>
      </c>
      <c r="L552" s="9"/>
      <c r="M552" s="9"/>
      <c r="N552" s="9"/>
      <c r="O552" s="9" t="s">
        <v>37</v>
      </c>
      <c r="P552" s="9" t="s">
        <v>43</v>
      </c>
      <c r="Q552" s="9"/>
      <c r="R552" s="10"/>
      <c r="S552" s="10"/>
      <c r="T552" s="10"/>
      <c r="U552" s="9"/>
      <c r="Y552" t="s">
        <v>179</v>
      </c>
      <c r="Z552" t="s">
        <v>467</v>
      </c>
      <c r="AB552" t="str">
        <f t="shared" si="24"/>
        <v>24371</v>
      </c>
    </row>
    <row r="553" ht="14.25" spans="1:28">
      <c r="A553" s="5" t="s">
        <v>28</v>
      </c>
      <c r="B553" s="5" t="s">
        <v>264</v>
      </c>
      <c r="C553" s="5">
        <v>2027</v>
      </c>
      <c r="D553" s="5" t="s">
        <v>30</v>
      </c>
      <c r="E553" s="9" t="s">
        <v>464</v>
      </c>
      <c r="F553" s="9" t="s">
        <v>465</v>
      </c>
      <c r="G553" s="9" t="s">
        <v>387</v>
      </c>
      <c r="H553" s="9" t="s">
        <v>466</v>
      </c>
      <c r="I553" s="9" t="s">
        <v>269</v>
      </c>
      <c r="J553" s="9" t="s">
        <v>36</v>
      </c>
      <c r="K553" s="9">
        <v>1190</v>
      </c>
      <c r="L553" s="9"/>
      <c r="M553" s="9"/>
      <c r="N553" s="9"/>
      <c r="O553" s="9" t="s">
        <v>37</v>
      </c>
      <c r="P553" s="9" t="s">
        <v>44</v>
      </c>
      <c r="Q553" s="9"/>
      <c r="R553" s="10"/>
      <c r="S553" s="10"/>
      <c r="T553" s="10"/>
      <c r="U553" s="9"/>
      <c r="Y553" t="s">
        <v>179</v>
      </c>
      <c r="Z553" t="s">
        <v>467</v>
      </c>
      <c r="AB553" t="str">
        <f t="shared" si="24"/>
        <v>24371</v>
      </c>
    </row>
    <row r="554" ht="14.25" spans="1:28">
      <c r="A554" s="5" t="s">
        <v>28</v>
      </c>
      <c r="B554" s="5" t="s">
        <v>264</v>
      </c>
      <c r="C554" s="5">
        <v>2027</v>
      </c>
      <c r="D554" s="5" t="s">
        <v>30</v>
      </c>
      <c r="E554" s="9" t="s">
        <v>464</v>
      </c>
      <c r="F554" s="9" t="s">
        <v>465</v>
      </c>
      <c r="G554" s="9" t="s">
        <v>387</v>
      </c>
      <c r="H554" s="9" t="s">
        <v>466</v>
      </c>
      <c r="I554" s="9" t="s">
        <v>269</v>
      </c>
      <c r="J554" s="9" t="s">
        <v>36</v>
      </c>
      <c r="K554" s="9">
        <v>1190</v>
      </c>
      <c r="L554" s="9"/>
      <c r="M554" s="9"/>
      <c r="N554" s="9"/>
      <c r="O554" s="9" t="s">
        <v>37</v>
      </c>
      <c r="P554" s="9" t="s">
        <v>45</v>
      </c>
      <c r="Q554" s="9"/>
      <c r="R554" s="10"/>
      <c r="S554" s="10"/>
      <c r="T554" s="10"/>
      <c r="U554" s="9"/>
      <c r="Y554" t="s">
        <v>179</v>
      </c>
      <c r="Z554" t="s">
        <v>467</v>
      </c>
      <c r="AB554" t="str">
        <f t="shared" si="24"/>
        <v>24371</v>
      </c>
    </row>
    <row r="555" ht="14.25" spans="1:28">
      <c r="A555" s="5" t="s">
        <v>28</v>
      </c>
      <c r="B555" s="5" t="s">
        <v>264</v>
      </c>
      <c r="C555" s="5">
        <v>2027</v>
      </c>
      <c r="D555" s="5" t="s">
        <v>30</v>
      </c>
      <c r="E555" s="9" t="s">
        <v>468</v>
      </c>
      <c r="F555" s="9" t="s">
        <v>469</v>
      </c>
      <c r="G555" s="9" t="s">
        <v>182</v>
      </c>
      <c r="H555" s="9" t="s">
        <v>470</v>
      </c>
      <c r="I555" s="9" t="s">
        <v>269</v>
      </c>
      <c r="J555" s="9" t="s">
        <v>36</v>
      </c>
      <c r="K555" s="9">
        <v>890</v>
      </c>
      <c r="L555" s="9"/>
      <c r="M555" s="9"/>
      <c r="N555" s="9"/>
      <c r="O555" s="9" t="s">
        <v>37</v>
      </c>
      <c r="P555" s="9" t="s">
        <v>38</v>
      </c>
      <c r="Q555" s="9"/>
      <c r="R555" s="10">
        <f t="shared" si="25"/>
        <v>0</v>
      </c>
      <c r="S555" s="10">
        <f>SUMIFS([1]Sheet1!$T:$T,[1]Sheet1!$I:$I,E555,[1]Sheet1!$C:$C,A555)</f>
        <v>0</v>
      </c>
      <c r="T555" s="10">
        <f t="shared" si="26"/>
        <v>0</v>
      </c>
      <c r="U555" s="9"/>
      <c r="X555" t="s">
        <v>102</v>
      </c>
      <c r="Y555" t="s">
        <v>179</v>
      </c>
      <c r="Z555" t="s">
        <v>104</v>
      </c>
      <c r="AB555" t="str">
        <f t="shared" si="24"/>
        <v>24389</v>
      </c>
    </row>
    <row r="556" ht="14.25" spans="1:28">
      <c r="A556" s="5" t="s">
        <v>28</v>
      </c>
      <c r="B556" s="5" t="s">
        <v>264</v>
      </c>
      <c r="C556" s="5">
        <v>2027</v>
      </c>
      <c r="D556" s="5" t="s">
        <v>30</v>
      </c>
      <c r="E556" s="9" t="s">
        <v>468</v>
      </c>
      <c r="F556" s="9" t="s">
        <v>469</v>
      </c>
      <c r="G556" s="9" t="s">
        <v>182</v>
      </c>
      <c r="H556" s="9" t="s">
        <v>470</v>
      </c>
      <c r="I556" s="9" t="s">
        <v>269</v>
      </c>
      <c r="J556" s="9" t="s">
        <v>36</v>
      </c>
      <c r="K556" s="9">
        <v>890</v>
      </c>
      <c r="L556" s="9"/>
      <c r="M556" s="9"/>
      <c r="N556" s="9"/>
      <c r="O556" s="9" t="s">
        <v>37</v>
      </c>
      <c r="P556" s="9" t="s">
        <v>42</v>
      </c>
      <c r="Q556" s="9"/>
      <c r="R556" s="10"/>
      <c r="S556" s="10"/>
      <c r="T556" s="10"/>
      <c r="U556" s="9"/>
      <c r="X556" t="s">
        <v>102</v>
      </c>
      <c r="Y556" t="s">
        <v>179</v>
      </c>
      <c r="Z556" t="s">
        <v>104</v>
      </c>
      <c r="AB556" t="str">
        <f t="shared" si="24"/>
        <v>24389</v>
      </c>
    </row>
    <row r="557" ht="14.25" spans="1:28">
      <c r="A557" s="5" t="s">
        <v>28</v>
      </c>
      <c r="B557" s="5" t="s">
        <v>264</v>
      </c>
      <c r="C557" s="5">
        <v>2027</v>
      </c>
      <c r="D557" s="5" t="s">
        <v>30</v>
      </c>
      <c r="E557" s="9" t="s">
        <v>468</v>
      </c>
      <c r="F557" s="9" t="s">
        <v>469</v>
      </c>
      <c r="G557" s="9" t="s">
        <v>182</v>
      </c>
      <c r="H557" s="9" t="s">
        <v>470</v>
      </c>
      <c r="I557" s="9" t="s">
        <v>269</v>
      </c>
      <c r="J557" s="9" t="s">
        <v>36</v>
      </c>
      <c r="K557" s="9">
        <v>890</v>
      </c>
      <c r="L557" s="9"/>
      <c r="M557" s="9"/>
      <c r="N557" s="9"/>
      <c r="O557" s="9" t="s">
        <v>37</v>
      </c>
      <c r="P557" s="9" t="s">
        <v>43</v>
      </c>
      <c r="Q557" s="9"/>
      <c r="R557" s="10"/>
      <c r="S557" s="10"/>
      <c r="T557" s="10"/>
      <c r="U557" s="9"/>
      <c r="X557" t="s">
        <v>102</v>
      </c>
      <c r="Y557" t="s">
        <v>179</v>
      </c>
      <c r="Z557" t="s">
        <v>104</v>
      </c>
      <c r="AB557" t="str">
        <f t="shared" si="24"/>
        <v>24389</v>
      </c>
    </row>
    <row r="558" ht="14.25" spans="1:28">
      <c r="A558" s="5" t="s">
        <v>28</v>
      </c>
      <c r="B558" s="5" t="s">
        <v>264</v>
      </c>
      <c r="C558" s="5">
        <v>2027</v>
      </c>
      <c r="D558" s="5" t="s">
        <v>30</v>
      </c>
      <c r="E558" s="9" t="s">
        <v>468</v>
      </c>
      <c r="F558" s="9" t="s">
        <v>469</v>
      </c>
      <c r="G558" s="9" t="s">
        <v>182</v>
      </c>
      <c r="H558" s="9" t="s">
        <v>470</v>
      </c>
      <c r="I558" s="9" t="s">
        <v>269</v>
      </c>
      <c r="J558" s="9" t="s">
        <v>36</v>
      </c>
      <c r="K558" s="9">
        <v>890</v>
      </c>
      <c r="L558" s="9"/>
      <c r="M558" s="9"/>
      <c r="N558" s="9"/>
      <c r="O558" s="9" t="s">
        <v>37</v>
      </c>
      <c r="P558" s="9" t="s">
        <v>44</v>
      </c>
      <c r="Q558" s="9"/>
      <c r="R558" s="10"/>
      <c r="S558" s="10"/>
      <c r="T558" s="10"/>
      <c r="U558" s="9"/>
      <c r="X558" t="s">
        <v>102</v>
      </c>
      <c r="Y558" t="s">
        <v>179</v>
      </c>
      <c r="Z558" t="s">
        <v>104</v>
      </c>
      <c r="AB558" t="str">
        <f t="shared" si="24"/>
        <v>24389</v>
      </c>
    </row>
    <row r="559" ht="14.25" spans="1:28">
      <c r="A559" s="5" t="s">
        <v>28</v>
      </c>
      <c r="B559" s="5" t="s">
        <v>264</v>
      </c>
      <c r="C559" s="5">
        <v>2027</v>
      </c>
      <c r="D559" s="5" t="s">
        <v>30</v>
      </c>
      <c r="E559" s="9" t="s">
        <v>468</v>
      </c>
      <c r="F559" s="9" t="s">
        <v>469</v>
      </c>
      <c r="G559" s="9" t="s">
        <v>182</v>
      </c>
      <c r="H559" s="9" t="s">
        <v>470</v>
      </c>
      <c r="I559" s="9" t="s">
        <v>269</v>
      </c>
      <c r="J559" s="9" t="s">
        <v>36</v>
      </c>
      <c r="K559" s="9">
        <v>890</v>
      </c>
      <c r="L559" s="9"/>
      <c r="M559" s="9"/>
      <c r="N559" s="9"/>
      <c r="O559" s="9" t="s">
        <v>37</v>
      </c>
      <c r="P559" s="9" t="s">
        <v>45</v>
      </c>
      <c r="Q559" s="9"/>
      <c r="R559" s="10"/>
      <c r="S559" s="10"/>
      <c r="T559" s="10"/>
      <c r="U559" s="9"/>
      <c r="X559" t="s">
        <v>102</v>
      </c>
      <c r="Y559" t="s">
        <v>179</v>
      </c>
      <c r="Z559" t="s">
        <v>104</v>
      </c>
      <c r="AB559" t="str">
        <f t="shared" si="24"/>
        <v>24389</v>
      </c>
    </row>
    <row r="560" ht="14.25" spans="1:28">
      <c r="A560" s="5" t="s">
        <v>28</v>
      </c>
      <c r="B560" s="5" t="s">
        <v>264</v>
      </c>
      <c r="C560" s="5">
        <v>2027</v>
      </c>
      <c r="D560" s="5" t="s">
        <v>30</v>
      </c>
      <c r="E560" s="9" t="s">
        <v>471</v>
      </c>
      <c r="F560" s="9" t="s">
        <v>469</v>
      </c>
      <c r="G560" s="9" t="s">
        <v>346</v>
      </c>
      <c r="H560" s="9" t="s">
        <v>472</v>
      </c>
      <c r="I560" s="9" t="s">
        <v>269</v>
      </c>
      <c r="J560" s="9" t="s">
        <v>36</v>
      </c>
      <c r="K560" s="9">
        <v>890</v>
      </c>
      <c r="L560" s="9"/>
      <c r="M560" s="9"/>
      <c r="N560" s="9"/>
      <c r="O560" s="9" t="s">
        <v>37</v>
      </c>
      <c r="P560" s="9" t="s">
        <v>38</v>
      </c>
      <c r="Q560" s="9"/>
      <c r="R560" s="10">
        <f t="shared" si="25"/>
        <v>0</v>
      </c>
      <c r="S560" s="10">
        <f>SUMIFS([1]Sheet1!$T:$T,[1]Sheet1!$I:$I,E560,[1]Sheet1!$C:$C,A560)</f>
        <v>0</v>
      </c>
      <c r="T560" s="10">
        <f t="shared" si="26"/>
        <v>0</v>
      </c>
      <c r="U560" s="9"/>
      <c r="X560" t="s">
        <v>191</v>
      </c>
      <c r="Y560" t="s">
        <v>179</v>
      </c>
      <c r="Z560" t="s">
        <v>179</v>
      </c>
      <c r="AB560" t="str">
        <f t="shared" si="24"/>
        <v>24389</v>
      </c>
    </row>
    <row r="561" ht="14.25" spans="1:28">
      <c r="A561" s="5" t="s">
        <v>28</v>
      </c>
      <c r="B561" s="5" t="s">
        <v>264</v>
      </c>
      <c r="C561" s="5">
        <v>2027</v>
      </c>
      <c r="D561" s="5" t="s">
        <v>30</v>
      </c>
      <c r="E561" s="9" t="s">
        <v>471</v>
      </c>
      <c r="F561" s="9" t="s">
        <v>469</v>
      </c>
      <c r="G561" s="9" t="s">
        <v>346</v>
      </c>
      <c r="H561" s="9" t="s">
        <v>472</v>
      </c>
      <c r="I561" s="9" t="s">
        <v>269</v>
      </c>
      <c r="J561" s="9" t="s">
        <v>36</v>
      </c>
      <c r="K561" s="9">
        <v>890</v>
      </c>
      <c r="L561" s="9"/>
      <c r="M561" s="9"/>
      <c r="N561" s="9"/>
      <c r="O561" s="9" t="s">
        <v>37</v>
      </c>
      <c r="P561" s="9" t="s">
        <v>42</v>
      </c>
      <c r="Q561" s="9"/>
      <c r="R561" s="10"/>
      <c r="S561" s="10"/>
      <c r="T561" s="10"/>
      <c r="U561" s="9"/>
      <c r="X561" t="s">
        <v>191</v>
      </c>
      <c r="Y561" t="s">
        <v>179</v>
      </c>
      <c r="Z561" t="s">
        <v>179</v>
      </c>
      <c r="AB561" t="str">
        <f t="shared" si="24"/>
        <v>24389</v>
      </c>
    </row>
    <row r="562" ht="14.25" spans="1:28">
      <c r="A562" s="5" t="s">
        <v>28</v>
      </c>
      <c r="B562" s="5" t="s">
        <v>264</v>
      </c>
      <c r="C562" s="5">
        <v>2027</v>
      </c>
      <c r="D562" s="5" t="s">
        <v>30</v>
      </c>
      <c r="E562" s="9" t="s">
        <v>471</v>
      </c>
      <c r="F562" s="9" t="s">
        <v>469</v>
      </c>
      <c r="G562" s="9" t="s">
        <v>346</v>
      </c>
      <c r="H562" s="9" t="s">
        <v>472</v>
      </c>
      <c r="I562" s="9" t="s">
        <v>269</v>
      </c>
      <c r="J562" s="9" t="s">
        <v>36</v>
      </c>
      <c r="K562" s="9">
        <v>890</v>
      </c>
      <c r="L562" s="9"/>
      <c r="M562" s="9"/>
      <c r="N562" s="9"/>
      <c r="O562" s="9" t="s">
        <v>37</v>
      </c>
      <c r="P562" s="9" t="s">
        <v>43</v>
      </c>
      <c r="Q562" s="9"/>
      <c r="R562" s="10"/>
      <c r="S562" s="10"/>
      <c r="T562" s="10"/>
      <c r="U562" s="9"/>
      <c r="X562" t="s">
        <v>191</v>
      </c>
      <c r="Y562" t="s">
        <v>179</v>
      </c>
      <c r="Z562" t="s">
        <v>179</v>
      </c>
      <c r="AB562" t="str">
        <f t="shared" si="24"/>
        <v>24389</v>
      </c>
    </row>
    <row r="563" ht="14.25" spans="1:28">
      <c r="A563" s="5" t="s">
        <v>28</v>
      </c>
      <c r="B563" s="5" t="s">
        <v>264</v>
      </c>
      <c r="C563" s="5">
        <v>2027</v>
      </c>
      <c r="D563" s="5" t="s">
        <v>30</v>
      </c>
      <c r="E563" s="9" t="s">
        <v>471</v>
      </c>
      <c r="F563" s="9" t="s">
        <v>469</v>
      </c>
      <c r="G563" s="9" t="s">
        <v>346</v>
      </c>
      <c r="H563" s="9" t="s">
        <v>472</v>
      </c>
      <c r="I563" s="9" t="s">
        <v>269</v>
      </c>
      <c r="J563" s="9" t="s">
        <v>36</v>
      </c>
      <c r="K563" s="9">
        <v>890</v>
      </c>
      <c r="L563" s="9"/>
      <c r="M563" s="9"/>
      <c r="N563" s="9"/>
      <c r="O563" s="9" t="s">
        <v>37</v>
      </c>
      <c r="P563" s="9" t="s">
        <v>44</v>
      </c>
      <c r="Q563" s="9"/>
      <c r="R563" s="10"/>
      <c r="S563" s="10"/>
      <c r="T563" s="10"/>
      <c r="U563" s="9"/>
      <c r="X563" t="s">
        <v>191</v>
      </c>
      <c r="Y563" t="s">
        <v>179</v>
      </c>
      <c r="Z563" t="s">
        <v>179</v>
      </c>
      <c r="AB563" t="str">
        <f t="shared" si="24"/>
        <v>24389</v>
      </c>
    </row>
    <row r="564" ht="14.25" spans="1:28">
      <c r="A564" s="5" t="s">
        <v>28</v>
      </c>
      <c r="B564" s="5" t="s">
        <v>264</v>
      </c>
      <c r="C564" s="5">
        <v>2027</v>
      </c>
      <c r="D564" s="5" t="s">
        <v>30</v>
      </c>
      <c r="E564" s="9" t="s">
        <v>471</v>
      </c>
      <c r="F564" s="9" t="s">
        <v>469</v>
      </c>
      <c r="G564" s="9" t="s">
        <v>346</v>
      </c>
      <c r="H564" s="9" t="s">
        <v>472</v>
      </c>
      <c r="I564" s="9" t="s">
        <v>269</v>
      </c>
      <c r="J564" s="9" t="s">
        <v>36</v>
      </c>
      <c r="K564" s="9">
        <v>890</v>
      </c>
      <c r="L564" s="9"/>
      <c r="M564" s="9"/>
      <c r="N564" s="9"/>
      <c r="O564" s="9" t="s">
        <v>37</v>
      </c>
      <c r="P564" s="9" t="s">
        <v>45</v>
      </c>
      <c r="Q564" s="9"/>
      <c r="R564" s="10"/>
      <c r="S564" s="10"/>
      <c r="T564" s="10"/>
      <c r="U564" s="9"/>
      <c r="X564" t="s">
        <v>191</v>
      </c>
      <c r="Y564" t="s">
        <v>179</v>
      </c>
      <c r="Z564" t="s">
        <v>179</v>
      </c>
      <c r="AB564" t="str">
        <f t="shared" si="24"/>
        <v>24389</v>
      </c>
    </row>
    <row r="565" ht="14.25" spans="1:28">
      <c r="A565" s="5" t="s">
        <v>28</v>
      </c>
      <c r="B565" s="5" t="s">
        <v>264</v>
      </c>
      <c r="C565" s="5">
        <v>2027</v>
      </c>
      <c r="D565" s="5" t="s">
        <v>30</v>
      </c>
      <c r="E565" s="9" t="s">
        <v>473</v>
      </c>
      <c r="F565" s="9" t="s">
        <v>474</v>
      </c>
      <c r="G565" s="9" t="s">
        <v>311</v>
      </c>
      <c r="H565" s="9" t="s">
        <v>475</v>
      </c>
      <c r="I565" s="9" t="s">
        <v>269</v>
      </c>
      <c r="J565" s="9" t="s">
        <v>36</v>
      </c>
      <c r="K565" s="9">
        <v>1190</v>
      </c>
      <c r="L565" s="9"/>
      <c r="M565" s="9"/>
      <c r="N565" s="9"/>
      <c r="O565" s="9" t="s">
        <v>37</v>
      </c>
      <c r="P565" s="9" t="s">
        <v>38</v>
      </c>
      <c r="Q565" s="9"/>
      <c r="R565" s="10">
        <f t="shared" si="25"/>
        <v>0</v>
      </c>
      <c r="S565" s="10">
        <f>SUMIFS([1]Sheet1!$T:$T,[1]Sheet1!$I:$I,E565,[1]Sheet1!$C:$C,A565)</f>
        <v>0</v>
      </c>
      <c r="T565" s="10">
        <f t="shared" si="26"/>
        <v>0</v>
      </c>
      <c r="U565" s="9"/>
      <c r="X565" t="s">
        <v>313</v>
      </c>
      <c r="Y565" t="s">
        <v>179</v>
      </c>
      <c r="Z565" t="s">
        <v>104</v>
      </c>
      <c r="AB565" t="str">
        <f t="shared" si="24"/>
        <v>24565</v>
      </c>
    </row>
    <row r="566" ht="14.25" spans="1:28">
      <c r="A566" s="5" t="s">
        <v>28</v>
      </c>
      <c r="B566" s="5" t="s">
        <v>264</v>
      </c>
      <c r="C566" s="5">
        <v>2027</v>
      </c>
      <c r="D566" s="5" t="s">
        <v>30</v>
      </c>
      <c r="E566" s="9" t="s">
        <v>473</v>
      </c>
      <c r="F566" s="9" t="s">
        <v>474</v>
      </c>
      <c r="G566" s="9" t="s">
        <v>311</v>
      </c>
      <c r="H566" s="9" t="s">
        <v>475</v>
      </c>
      <c r="I566" s="9" t="s">
        <v>269</v>
      </c>
      <c r="J566" s="9" t="s">
        <v>36</v>
      </c>
      <c r="K566" s="9">
        <v>1190</v>
      </c>
      <c r="L566" s="9"/>
      <c r="M566" s="9"/>
      <c r="N566" s="9"/>
      <c r="O566" s="9" t="s">
        <v>37</v>
      </c>
      <c r="P566" s="9" t="s">
        <v>42</v>
      </c>
      <c r="Q566" s="9"/>
      <c r="R566" s="10"/>
      <c r="S566" s="10"/>
      <c r="T566" s="10"/>
      <c r="U566" s="9"/>
      <c r="X566" t="s">
        <v>313</v>
      </c>
      <c r="Y566" t="s">
        <v>179</v>
      </c>
      <c r="Z566" t="s">
        <v>104</v>
      </c>
      <c r="AB566" t="str">
        <f t="shared" si="24"/>
        <v>24565</v>
      </c>
    </row>
    <row r="567" ht="14.25" spans="1:28">
      <c r="A567" s="5" t="s">
        <v>28</v>
      </c>
      <c r="B567" s="5" t="s">
        <v>264</v>
      </c>
      <c r="C567" s="5">
        <v>2027</v>
      </c>
      <c r="D567" s="5" t="s">
        <v>30</v>
      </c>
      <c r="E567" s="9" t="s">
        <v>473</v>
      </c>
      <c r="F567" s="9" t="s">
        <v>474</v>
      </c>
      <c r="G567" s="9" t="s">
        <v>311</v>
      </c>
      <c r="H567" s="9" t="s">
        <v>475</v>
      </c>
      <c r="I567" s="9" t="s">
        <v>269</v>
      </c>
      <c r="J567" s="9" t="s">
        <v>36</v>
      </c>
      <c r="K567" s="9">
        <v>1190</v>
      </c>
      <c r="L567" s="9"/>
      <c r="M567" s="9"/>
      <c r="N567" s="9"/>
      <c r="O567" s="9" t="s">
        <v>37</v>
      </c>
      <c r="P567" s="9" t="s">
        <v>43</v>
      </c>
      <c r="Q567" s="9"/>
      <c r="R567" s="10"/>
      <c r="S567" s="10"/>
      <c r="T567" s="10"/>
      <c r="U567" s="9"/>
      <c r="X567" t="s">
        <v>313</v>
      </c>
      <c r="Y567" t="s">
        <v>179</v>
      </c>
      <c r="Z567" t="s">
        <v>104</v>
      </c>
      <c r="AB567" t="str">
        <f t="shared" si="24"/>
        <v>24565</v>
      </c>
    </row>
    <row r="568" ht="14.25" spans="1:28">
      <c r="A568" s="5" t="s">
        <v>28</v>
      </c>
      <c r="B568" s="5" t="s">
        <v>264</v>
      </c>
      <c r="C568" s="5">
        <v>2027</v>
      </c>
      <c r="D568" s="5" t="s">
        <v>30</v>
      </c>
      <c r="E568" s="9" t="s">
        <v>473</v>
      </c>
      <c r="F568" s="9" t="s">
        <v>474</v>
      </c>
      <c r="G568" s="9" t="s">
        <v>311</v>
      </c>
      <c r="H568" s="9" t="s">
        <v>475</v>
      </c>
      <c r="I568" s="9" t="s">
        <v>269</v>
      </c>
      <c r="J568" s="9" t="s">
        <v>36</v>
      </c>
      <c r="K568" s="9">
        <v>1190</v>
      </c>
      <c r="L568" s="9"/>
      <c r="M568" s="9"/>
      <c r="N568" s="9"/>
      <c r="O568" s="9" t="s">
        <v>37</v>
      </c>
      <c r="P568" s="9" t="s">
        <v>44</v>
      </c>
      <c r="Q568" s="9"/>
      <c r="R568" s="10"/>
      <c r="S568" s="10"/>
      <c r="T568" s="10"/>
      <c r="U568" s="9"/>
      <c r="X568" t="s">
        <v>313</v>
      </c>
      <c r="Y568" t="s">
        <v>179</v>
      </c>
      <c r="Z568" t="s">
        <v>104</v>
      </c>
      <c r="AB568" t="str">
        <f t="shared" si="24"/>
        <v>24565</v>
      </c>
    </row>
    <row r="569" ht="14.25" spans="1:28">
      <c r="A569" s="5" t="s">
        <v>28</v>
      </c>
      <c r="B569" s="5" t="s">
        <v>264</v>
      </c>
      <c r="C569" s="5">
        <v>2027</v>
      </c>
      <c r="D569" s="5" t="s">
        <v>30</v>
      </c>
      <c r="E569" s="9" t="s">
        <v>473</v>
      </c>
      <c r="F569" s="9" t="s">
        <v>474</v>
      </c>
      <c r="G569" s="9" t="s">
        <v>311</v>
      </c>
      <c r="H569" s="9" t="s">
        <v>475</v>
      </c>
      <c r="I569" s="9" t="s">
        <v>269</v>
      </c>
      <c r="J569" s="9" t="s">
        <v>36</v>
      </c>
      <c r="K569" s="9">
        <v>1190</v>
      </c>
      <c r="L569" s="9"/>
      <c r="M569" s="9"/>
      <c r="N569" s="9"/>
      <c r="O569" s="9" t="s">
        <v>37</v>
      </c>
      <c r="P569" s="9" t="s">
        <v>45</v>
      </c>
      <c r="Q569" s="9"/>
      <c r="R569" s="10"/>
      <c r="S569" s="10"/>
      <c r="T569" s="10"/>
      <c r="U569" s="9"/>
      <c r="X569" t="s">
        <v>313</v>
      </c>
      <c r="Y569" t="s">
        <v>179</v>
      </c>
      <c r="Z569" t="s">
        <v>104</v>
      </c>
      <c r="AB569" t="str">
        <f t="shared" si="24"/>
        <v>24565</v>
      </c>
    </row>
    <row r="570" ht="14.25" spans="1:28">
      <c r="A570" s="5" t="s">
        <v>28</v>
      </c>
      <c r="B570" s="5" t="s">
        <v>264</v>
      </c>
      <c r="C570" s="5">
        <v>2027</v>
      </c>
      <c r="D570" s="5" t="s">
        <v>30</v>
      </c>
      <c r="E570" s="9" t="s">
        <v>476</v>
      </c>
      <c r="F570" s="9" t="s">
        <v>477</v>
      </c>
      <c r="G570" s="9" t="s">
        <v>380</v>
      </c>
      <c r="H570" s="9" t="s">
        <v>478</v>
      </c>
      <c r="I570" s="9" t="s">
        <v>276</v>
      </c>
      <c r="J570" s="9" t="s">
        <v>74</v>
      </c>
      <c r="K570" s="9">
        <v>990</v>
      </c>
      <c r="L570" s="9"/>
      <c r="M570" s="9"/>
      <c r="N570" s="9"/>
      <c r="O570" s="9" t="s">
        <v>68</v>
      </c>
      <c r="P570" s="9" t="s">
        <v>318</v>
      </c>
      <c r="Q570" s="9"/>
      <c r="R570" s="10">
        <f t="shared" si="25"/>
        <v>0</v>
      </c>
      <c r="S570" s="10">
        <f>SUMIFS([1]Sheet1!$T:$T,[1]Sheet1!$I:$I,E570,[1]Sheet1!$C:$C,A570)</f>
        <v>0</v>
      </c>
      <c r="T570" s="10">
        <f t="shared" si="26"/>
        <v>0</v>
      </c>
      <c r="U570" s="9"/>
      <c r="Y570" t="s">
        <v>179</v>
      </c>
      <c r="Z570" t="s">
        <v>196</v>
      </c>
      <c r="AB570" t="str">
        <f t="shared" si="24"/>
        <v>24638</v>
      </c>
    </row>
    <row r="571" ht="14.25" spans="1:28">
      <c r="A571" s="5" t="s">
        <v>28</v>
      </c>
      <c r="B571" s="5" t="s">
        <v>264</v>
      </c>
      <c r="C571" s="5">
        <v>2027</v>
      </c>
      <c r="D571" s="5" t="s">
        <v>30</v>
      </c>
      <c r="E571" s="9" t="s">
        <v>476</v>
      </c>
      <c r="F571" s="9" t="s">
        <v>477</v>
      </c>
      <c r="G571" s="9" t="s">
        <v>380</v>
      </c>
      <c r="H571" s="9" t="s">
        <v>478</v>
      </c>
      <c r="I571" s="9" t="s">
        <v>276</v>
      </c>
      <c r="J571" s="9" t="s">
        <v>74</v>
      </c>
      <c r="K571" s="9">
        <v>990</v>
      </c>
      <c r="L571" s="9"/>
      <c r="M571" s="9"/>
      <c r="N571" s="9"/>
      <c r="O571" s="9" t="s">
        <v>68</v>
      </c>
      <c r="P571" s="9" t="s">
        <v>69</v>
      </c>
      <c r="Q571" s="9"/>
      <c r="R571" s="10"/>
      <c r="S571" s="10"/>
      <c r="T571" s="10"/>
      <c r="U571" s="9"/>
      <c r="Y571" t="s">
        <v>179</v>
      </c>
      <c r="Z571" t="s">
        <v>196</v>
      </c>
      <c r="AB571" t="str">
        <f t="shared" si="24"/>
        <v>24638</v>
      </c>
    </row>
    <row r="572" ht="14.25" spans="1:28">
      <c r="A572" s="5" t="s">
        <v>28</v>
      </c>
      <c r="B572" s="5" t="s">
        <v>264</v>
      </c>
      <c r="C572" s="5">
        <v>2027</v>
      </c>
      <c r="D572" s="5" t="s">
        <v>30</v>
      </c>
      <c r="E572" s="9" t="s">
        <v>476</v>
      </c>
      <c r="F572" s="9" t="s">
        <v>477</v>
      </c>
      <c r="G572" s="9" t="s">
        <v>380</v>
      </c>
      <c r="H572" s="9" t="s">
        <v>478</v>
      </c>
      <c r="I572" s="9" t="s">
        <v>276</v>
      </c>
      <c r="J572" s="9" t="s">
        <v>74</v>
      </c>
      <c r="K572" s="9">
        <v>990</v>
      </c>
      <c r="L572" s="9"/>
      <c r="M572" s="9"/>
      <c r="N572" s="9"/>
      <c r="O572" s="9" t="s">
        <v>68</v>
      </c>
      <c r="P572" s="9" t="s">
        <v>72</v>
      </c>
      <c r="Q572" s="9"/>
      <c r="R572" s="10"/>
      <c r="S572" s="10"/>
      <c r="T572" s="10"/>
      <c r="U572" s="9"/>
      <c r="Y572" t="s">
        <v>179</v>
      </c>
      <c r="Z572" t="s">
        <v>196</v>
      </c>
      <c r="AB572" t="str">
        <f t="shared" si="24"/>
        <v>24638</v>
      </c>
    </row>
    <row r="573" ht="14.25" spans="1:28">
      <c r="A573" s="5" t="s">
        <v>28</v>
      </c>
      <c r="B573" s="5" t="s">
        <v>264</v>
      </c>
      <c r="C573" s="5">
        <v>2027</v>
      </c>
      <c r="D573" s="5" t="s">
        <v>30</v>
      </c>
      <c r="E573" s="9" t="s">
        <v>476</v>
      </c>
      <c r="F573" s="9" t="s">
        <v>477</v>
      </c>
      <c r="G573" s="9" t="s">
        <v>380</v>
      </c>
      <c r="H573" s="9" t="s">
        <v>478</v>
      </c>
      <c r="I573" s="9" t="s">
        <v>276</v>
      </c>
      <c r="J573" s="9" t="s">
        <v>74</v>
      </c>
      <c r="K573" s="9">
        <v>990</v>
      </c>
      <c r="L573" s="9"/>
      <c r="M573" s="9"/>
      <c r="N573" s="9"/>
      <c r="O573" s="9" t="s">
        <v>68</v>
      </c>
      <c r="P573" s="9" t="s">
        <v>73</v>
      </c>
      <c r="Q573" s="9"/>
      <c r="R573" s="10"/>
      <c r="S573" s="10"/>
      <c r="T573" s="10"/>
      <c r="U573" s="9"/>
      <c r="Y573" t="s">
        <v>179</v>
      </c>
      <c r="Z573" t="s">
        <v>196</v>
      </c>
      <c r="AB573" t="str">
        <f t="shared" si="24"/>
        <v>24638</v>
      </c>
    </row>
    <row r="574" ht="14.25" spans="1:28">
      <c r="A574" s="5" t="s">
        <v>28</v>
      </c>
      <c r="B574" s="5" t="s">
        <v>264</v>
      </c>
      <c r="C574" s="5">
        <v>2027</v>
      </c>
      <c r="D574" s="5" t="s">
        <v>30</v>
      </c>
      <c r="E574" s="9" t="s">
        <v>476</v>
      </c>
      <c r="F574" s="9" t="s">
        <v>477</v>
      </c>
      <c r="G574" s="9" t="s">
        <v>380</v>
      </c>
      <c r="H574" s="9" t="s">
        <v>478</v>
      </c>
      <c r="I574" s="9" t="s">
        <v>276</v>
      </c>
      <c r="J574" s="9" t="s">
        <v>74</v>
      </c>
      <c r="K574" s="9">
        <v>990</v>
      </c>
      <c r="L574" s="9"/>
      <c r="M574" s="9"/>
      <c r="N574" s="9"/>
      <c r="O574" s="9" t="s">
        <v>68</v>
      </c>
      <c r="P574" s="9" t="s">
        <v>74</v>
      </c>
      <c r="Q574" s="9"/>
      <c r="R574" s="10"/>
      <c r="S574" s="10"/>
      <c r="T574" s="10"/>
      <c r="U574" s="9"/>
      <c r="Y574" t="s">
        <v>179</v>
      </c>
      <c r="Z574" t="s">
        <v>196</v>
      </c>
      <c r="AB574" t="str">
        <f t="shared" si="24"/>
        <v>24638</v>
      </c>
    </row>
    <row r="575" ht="14.25" spans="1:28">
      <c r="A575" s="5" t="s">
        <v>28</v>
      </c>
      <c r="B575" s="5" t="s">
        <v>264</v>
      </c>
      <c r="C575" s="5">
        <v>2027</v>
      </c>
      <c r="D575" s="5" t="s">
        <v>30</v>
      </c>
      <c r="E575" s="9" t="s">
        <v>476</v>
      </c>
      <c r="F575" s="9" t="s">
        <v>477</v>
      </c>
      <c r="G575" s="9" t="s">
        <v>380</v>
      </c>
      <c r="H575" s="9" t="s">
        <v>478</v>
      </c>
      <c r="I575" s="9" t="s">
        <v>276</v>
      </c>
      <c r="J575" s="9" t="s">
        <v>74</v>
      </c>
      <c r="K575" s="9">
        <v>990</v>
      </c>
      <c r="L575" s="9"/>
      <c r="M575" s="9"/>
      <c r="N575" s="9"/>
      <c r="O575" s="9" t="s">
        <v>68</v>
      </c>
      <c r="P575" s="9" t="s">
        <v>75</v>
      </c>
      <c r="Q575" s="9"/>
      <c r="R575" s="10"/>
      <c r="S575" s="10"/>
      <c r="T575" s="10"/>
      <c r="U575" s="9"/>
      <c r="Y575" t="s">
        <v>179</v>
      </c>
      <c r="Z575" t="s">
        <v>196</v>
      </c>
      <c r="AB575" t="str">
        <f t="shared" si="24"/>
        <v>24638</v>
      </c>
    </row>
    <row r="576" ht="14.25" spans="1:28">
      <c r="A576" s="5" t="s">
        <v>28</v>
      </c>
      <c r="B576" s="5" t="s">
        <v>264</v>
      </c>
      <c r="C576" s="5">
        <v>2027</v>
      </c>
      <c r="D576" s="5" t="s">
        <v>30</v>
      </c>
      <c r="E576" s="9" t="s">
        <v>476</v>
      </c>
      <c r="F576" s="9" t="s">
        <v>477</v>
      </c>
      <c r="G576" s="9" t="s">
        <v>380</v>
      </c>
      <c r="H576" s="9" t="s">
        <v>478</v>
      </c>
      <c r="I576" s="9" t="s">
        <v>276</v>
      </c>
      <c r="J576" s="9" t="s">
        <v>74</v>
      </c>
      <c r="K576" s="9">
        <v>990</v>
      </c>
      <c r="L576" s="9"/>
      <c r="M576" s="9"/>
      <c r="N576" s="9"/>
      <c r="O576" s="9" t="s">
        <v>68</v>
      </c>
      <c r="P576" s="9" t="s">
        <v>76</v>
      </c>
      <c r="Q576" s="9"/>
      <c r="R576" s="10"/>
      <c r="S576" s="10"/>
      <c r="T576" s="10"/>
      <c r="U576" s="9"/>
      <c r="Y576" t="s">
        <v>179</v>
      </c>
      <c r="Z576" t="s">
        <v>196</v>
      </c>
      <c r="AB576" t="str">
        <f t="shared" si="24"/>
        <v>24638</v>
      </c>
    </row>
    <row r="577" ht="14.25" spans="1:28">
      <c r="A577" s="5" t="s">
        <v>28</v>
      </c>
      <c r="B577" s="5" t="s">
        <v>264</v>
      </c>
      <c r="C577" s="5">
        <v>2027</v>
      </c>
      <c r="D577" s="5" t="s">
        <v>30</v>
      </c>
      <c r="E577" s="9" t="s">
        <v>479</v>
      </c>
      <c r="F577" s="9" t="s">
        <v>477</v>
      </c>
      <c r="G577" s="9" t="s">
        <v>117</v>
      </c>
      <c r="H577" s="9" t="s">
        <v>480</v>
      </c>
      <c r="I577" s="9" t="s">
        <v>276</v>
      </c>
      <c r="J577" s="9" t="s">
        <v>74</v>
      </c>
      <c r="K577" s="9">
        <v>990</v>
      </c>
      <c r="L577" s="9"/>
      <c r="M577" s="9"/>
      <c r="N577" s="9"/>
      <c r="O577" s="9" t="s">
        <v>68</v>
      </c>
      <c r="P577" s="9" t="s">
        <v>318</v>
      </c>
      <c r="Q577" s="9"/>
      <c r="R577" s="10">
        <f t="shared" si="25"/>
        <v>0</v>
      </c>
      <c r="S577" s="10">
        <f>SUMIFS([1]Sheet1!$T:$T,[1]Sheet1!$I:$I,E577,[1]Sheet1!$C:$C,A577)</f>
        <v>0</v>
      </c>
      <c r="T577" s="10">
        <f t="shared" si="26"/>
        <v>0</v>
      </c>
      <c r="U577" s="9"/>
      <c r="X577" t="s">
        <v>122</v>
      </c>
      <c r="Y577" t="s">
        <v>179</v>
      </c>
      <c r="Z577" t="s">
        <v>196</v>
      </c>
      <c r="AB577" t="str">
        <f t="shared" si="24"/>
        <v>24638</v>
      </c>
    </row>
    <row r="578" ht="14.25" spans="1:28">
      <c r="A578" s="5" t="s">
        <v>28</v>
      </c>
      <c r="B578" s="5" t="s">
        <v>264</v>
      </c>
      <c r="C578" s="5">
        <v>2027</v>
      </c>
      <c r="D578" s="5" t="s">
        <v>30</v>
      </c>
      <c r="E578" s="9" t="s">
        <v>479</v>
      </c>
      <c r="F578" s="9" t="s">
        <v>477</v>
      </c>
      <c r="G578" s="9" t="s">
        <v>117</v>
      </c>
      <c r="H578" s="9" t="s">
        <v>480</v>
      </c>
      <c r="I578" s="9" t="s">
        <v>276</v>
      </c>
      <c r="J578" s="9" t="s">
        <v>74</v>
      </c>
      <c r="K578" s="9">
        <v>990</v>
      </c>
      <c r="L578" s="9"/>
      <c r="M578" s="9"/>
      <c r="N578" s="9"/>
      <c r="O578" s="9" t="s">
        <v>68</v>
      </c>
      <c r="P578" s="9" t="s">
        <v>69</v>
      </c>
      <c r="Q578" s="9"/>
      <c r="R578" s="10"/>
      <c r="S578" s="10"/>
      <c r="T578" s="10"/>
      <c r="U578" s="9"/>
      <c r="X578" t="s">
        <v>122</v>
      </c>
      <c r="Y578" t="s">
        <v>179</v>
      </c>
      <c r="Z578" t="s">
        <v>196</v>
      </c>
      <c r="AB578" t="str">
        <f t="shared" si="24"/>
        <v>24638</v>
      </c>
    </row>
    <row r="579" ht="14.25" spans="1:28">
      <c r="A579" s="5" t="s">
        <v>28</v>
      </c>
      <c r="B579" s="5" t="s">
        <v>264</v>
      </c>
      <c r="C579" s="5">
        <v>2027</v>
      </c>
      <c r="D579" s="5" t="s">
        <v>30</v>
      </c>
      <c r="E579" s="9" t="s">
        <v>479</v>
      </c>
      <c r="F579" s="9" t="s">
        <v>477</v>
      </c>
      <c r="G579" s="9" t="s">
        <v>117</v>
      </c>
      <c r="H579" s="9" t="s">
        <v>480</v>
      </c>
      <c r="I579" s="9" t="s">
        <v>276</v>
      </c>
      <c r="J579" s="9" t="s">
        <v>74</v>
      </c>
      <c r="K579" s="9">
        <v>990</v>
      </c>
      <c r="L579" s="9"/>
      <c r="M579" s="9"/>
      <c r="N579" s="9"/>
      <c r="O579" s="9" t="s">
        <v>68</v>
      </c>
      <c r="P579" s="9" t="s">
        <v>72</v>
      </c>
      <c r="Q579" s="9"/>
      <c r="R579" s="10"/>
      <c r="S579" s="10"/>
      <c r="T579" s="10"/>
      <c r="U579" s="9"/>
      <c r="X579" t="s">
        <v>122</v>
      </c>
      <c r="Y579" t="s">
        <v>179</v>
      </c>
      <c r="Z579" t="s">
        <v>196</v>
      </c>
      <c r="AB579" t="str">
        <f t="shared" ref="AB579:AB642" si="27">MID(E579,6,5)</f>
        <v>24638</v>
      </c>
    </row>
    <row r="580" ht="14.25" spans="1:28">
      <c r="A580" s="5" t="s">
        <v>28</v>
      </c>
      <c r="B580" s="5" t="s">
        <v>264</v>
      </c>
      <c r="C580" s="5">
        <v>2027</v>
      </c>
      <c r="D580" s="5" t="s">
        <v>30</v>
      </c>
      <c r="E580" s="9" t="s">
        <v>479</v>
      </c>
      <c r="F580" s="9" t="s">
        <v>477</v>
      </c>
      <c r="G580" s="9" t="s">
        <v>117</v>
      </c>
      <c r="H580" s="9" t="s">
        <v>480</v>
      </c>
      <c r="I580" s="9" t="s">
        <v>276</v>
      </c>
      <c r="J580" s="9" t="s">
        <v>74</v>
      </c>
      <c r="K580" s="9">
        <v>990</v>
      </c>
      <c r="L580" s="9"/>
      <c r="M580" s="9"/>
      <c r="N580" s="9"/>
      <c r="O580" s="9" t="s">
        <v>68</v>
      </c>
      <c r="P580" s="9" t="s">
        <v>73</v>
      </c>
      <c r="Q580" s="9"/>
      <c r="R580" s="10"/>
      <c r="S580" s="10"/>
      <c r="T580" s="10"/>
      <c r="U580" s="9"/>
      <c r="X580" t="s">
        <v>122</v>
      </c>
      <c r="Y580" t="s">
        <v>179</v>
      </c>
      <c r="Z580" t="s">
        <v>196</v>
      </c>
      <c r="AB580" t="str">
        <f t="shared" si="27"/>
        <v>24638</v>
      </c>
    </row>
    <row r="581" ht="14.25" spans="1:28">
      <c r="A581" s="5" t="s">
        <v>28</v>
      </c>
      <c r="B581" s="5" t="s">
        <v>264</v>
      </c>
      <c r="C581" s="5">
        <v>2027</v>
      </c>
      <c r="D581" s="5" t="s">
        <v>30</v>
      </c>
      <c r="E581" s="9" t="s">
        <v>479</v>
      </c>
      <c r="F581" s="9" t="s">
        <v>477</v>
      </c>
      <c r="G581" s="9" t="s">
        <v>117</v>
      </c>
      <c r="H581" s="9" t="s">
        <v>480</v>
      </c>
      <c r="I581" s="9" t="s">
        <v>276</v>
      </c>
      <c r="J581" s="9" t="s">
        <v>74</v>
      </c>
      <c r="K581" s="9">
        <v>990</v>
      </c>
      <c r="L581" s="9"/>
      <c r="M581" s="9"/>
      <c r="N581" s="9"/>
      <c r="O581" s="9" t="s">
        <v>68</v>
      </c>
      <c r="P581" s="9" t="s">
        <v>74</v>
      </c>
      <c r="Q581" s="9"/>
      <c r="R581" s="10"/>
      <c r="S581" s="10"/>
      <c r="T581" s="10"/>
      <c r="U581" s="9"/>
      <c r="X581" t="s">
        <v>122</v>
      </c>
      <c r="Y581" t="s">
        <v>179</v>
      </c>
      <c r="Z581" t="s">
        <v>196</v>
      </c>
      <c r="AB581" t="str">
        <f t="shared" si="27"/>
        <v>24638</v>
      </c>
    </row>
    <row r="582" ht="14.25" spans="1:28">
      <c r="A582" s="5" t="s">
        <v>28</v>
      </c>
      <c r="B582" s="5" t="s">
        <v>264</v>
      </c>
      <c r="C582" s="5">
        <v>2027</v>
      </c>
      <c r="D582" s="5" t="s">
        <v>30</v>
      </c>
      <c r="E582" s="9" t="s">
        <v>479</v>
      </c>
      <c r="F582" s="9" t="s">
        <v>477</v>
      </c>
      <c r="G582" s="9" t="s">
        <v>117</v>
      </c>
      <c r="H582" s="9" t="s">
        <v>480</v>
      </c>
      <c r="I582" s="9" t="s">
        <v>276</v>
      </c>
      <c r="J582" s="9" t="s">
        <v>74</v>
      </c>
      <c r="K582" s="9">
        <v>990</v>
      </c>
      <c r="L582" s="9"/>
      <c r="M582" s="9"/>
      <c r="N582" s="9"/>
      <c r="O582" s="9" t="s">
        <v>68</v>
      </c>
      <c r="P582" s="9" t="s">
        <v>75</v>
      </c>
      <c r="Q582" s="9"/>
      <c r="R582" s="10"/>
      <c r="S582" s="10"/>
      <c r="T582" s="10"/>
      <c r="U582" s="9"/>
      <c r="X582" t="s">
        <v>122</v>
      </c>
      <c r="Y582" t="s">
        <v>179</v>
      </c>
      <c r="Z582" t="s">
        <v>196</v>
      </c>
      <c r="AB582" t="str">
        <f t="shared" si="27"/>
        <v>24638</v>
      </c>
    </row>
    <row r="583" ht="14.25" spans="1:28">
      <c r="A583" s="5" t="s">
        <v>28</v>
      </c>
      <c r="B583" s="5" t="s">
        <v>264</v>
      </c>
      <c r="C583" s="5">
        <v>2027</v>
      </c>
      <c r="D583" s="5" t="s">
        <v>30</v>
      </c>
      <c r="E583" s="9" t="s">
        <v>479</v>
      </c>
      <c r="F583" s="9" t="s">
        <v>477</v>
      </c>
      <c r="G583" s="9" t="s">
        <v>117</v>
      </c>
      <c r="H583" s="9" t="s">
        <v>480</v>
      </c>
      <c r="I583" s="9" t="s">
        <v>276</v>
      </c>
      <c r="J583" s="9" t="s">
        <v>74</v>
      </c>
      <c r="K583" s="9">
        <v>990</v>
      </c>
      <c r="L583" s="9"/>
      <c r="M583" s="9"/>
      <c r="N583" s="9"/>
      <c r="O583" s="9" t="s">
        <v>68</v>
      </c>
      <c r="P583" s="9" t="s">
        <v>76</v>
      </c>
      <c r="Q583" s="9"/>
      <c r="R583" s="10"/>
      <c r="S583" s="10"/>
      <c r="T583" s="10"/>
      <c r="U583" s="9"/>
      <c r="X583" t="s">
        <v>122</v>
      </c>
      <c r="Y583" t="s">
        <v>179</v>
      </c>
      <c r="Z583" t="s">
        <v>196</v>
      </c>
      <c r="AB583" t="str">
        <f t="shared" si="27"/>
        <v>24638</v>
      </c>
    </row>
    <row r="584" ht="14.25" spans="1:28">
      <c r="A584" s="5" t="s">
        <v>28</v>
      </c>
      <c r="B584" s="5" t="s">
        <v>264</v>
      </c>
      <c r="C584" s="5">
        <v>2027</v>
      </c>
      <c r="D584" s="5" t="s">
        <v>30</v>
      </c>
      <c r="E584" s="9" t="s">
        <v>481</v>
      </c>
      <c r="F584" s="9" t="s">
        <v>482</v>
      </c>
      <c r="G584" s="9" t="s">
        <v>189</v>
      </c>
      <c r="H584" s="9" t="s">
        <v>483</v>
      </c>
      <c r="I584" s="9" t="s">
        <v>269</v>
      </c>
      <c r="J584" s="9" t="s">
        <v>36</v>
      </c>
      <c r="K584" s="9">
        <v>490</v>
      </c>
      <c r="L584" s="9"/>
      <c r="M584" s="9"/>
      <c r="N584" s="9"/>
      <c r="O584" s="9" t="s">
        <v>37</v>
      </c>
      <c r="P584" s="9" t="s">
        <v>177</v>
      </c>
      <c r="Q584" s="9"/>
      <c r="R584" s="10">
        <f t="shared" ref="R578:R641" si="28">SUMIFS(Q:Q,E:E,E584)</f>
        <v>0</v>
      </c>
      <c r="S584" s="10">
        <f>SUMIFS([1]Sheet1!$T:$T,[1]Sheet1!$I:$I,E584,[1]Sheet1!$C:$C,A584)</f>
        <v>0</v>
      </c>
      <c r="T584" s="10">
        <f t="shared" ref="T578:T641" si="29">R584-S584</f>
        <v>0</v>
      </c>
      <c r="U584" s="9"/>
      <c r="X584" t="s">
        <v>191</v>
      </c>
      <c r="Y584" t="s">
        <v>179</v>
      </c>
      <c r="Z584" t="s">
        <v>104</v>
      </c>
      <c r="AB584" t="str">
        <f t="shared" si="27"/>
        <v>00106</v>
      </c>
    </row>
    <row r="585" ht="14.25" spans="1:28">
      <c r="A585" s="5" t="s">
        <v>28</v>
      </c>
      <c r="B585" s="5" t="s">
        <v>264</v>
      </c>
      <c r="C585" s="5">
        <v>2027</v>
      </c>
      <c r="D585" s="5" t="s">
        <v>30</v>
      </c>
      <c r="E585" s="9" t="s">
        <v>481</v>
      </c>
      <c r="F585" s="9" t="s">
        <v>482</v>
      </c>
      <c r="G585" s="9" t="s">
        <v>189</v>
      </c>
      <c r="H585" s="9" t="s">
        <v>483</v>
      </c>
      <c r="I585" s="9" t="s">
        <v>269</v>
      </c>
      <c r="J585" s="9" t="s">
        <v>36</v>
      </c>
      <c r="K585" s="9">
        <v>490</v>
      </c>
      <c r="L585" s="9"/>
      <c r="M585" s="9"/>
      <c r="N585" s="9"/>
      <c r="O585" s="9" t="s">
        <v>37</v>
      </c>
      <c r="P585" s="9" t="s">
        <v>38</v>
      </c>
      <c r="Q585" s="9"/>
      <c r="R585" s="10"/>
      <c r="S585" s="10"/>
      <c r="T585" s="10"/>
      <c r="U585" s="9"/>
      <c r="X585" t="s">
        <v>191</v>
      </c>
      <c r="Y585" t="s">
        <v>179</v>
      </c>
      <c r="Z585" t="s">
        <v>104</v>
      </c>
      <c r="AB585" t="str">
        <f t="shared" si="27"/>
        <v>00106</v>
      </c>
    </row>
    <row r="586" ht="14.25" spans="1:28">
      <c r="A586" s="5" t="s">
        <v>28</v>
      </c>
      <c r="B586" s="5" t="s">
        <v>264</v>
      </c>
      <c r="C586" s="5">
        <v>2027</v>
      </c>
      <c r="D586" s="5" t="s">
        <v>30</v>
      </c>
      <c r="E586" s="9" t="s">
        <v>481</v>
      </c>
      <c r="F586" s="9" t="s">
        <v>482</v>
      </c>
      <c r="G586" s="9" t="s">
        <v>189</v>
      </c>
      <c r="H586" s="9" t="s">
        <v>483</v>
      </c>
      <c r="I586" s="9" t="s">
        <v>269</v>
      </c>
      <c r="J586" s="9" t="s">
        <v>36</v>
      </c>
      <c r="K586" s="9">
        <v>490</v>
      </c>
      <c r="L586" s="9"/>
      <c r="M586" s="9"/>
      <c r="N586" s="9"/>
      <c r="O586" s="9" t="s">
        <v>37</v>
      </c>
      <c r="P586" s="9" t="s">
        <v>42</v>
      </c>
      <c r="Q586" s="9"/>
      <c r="R586" s="10"/>
      <c r="S586" s="10"/>
      <c r="T586" s="10"/>
      <c r="U586" s="9"/>
      <c r="X586" t="s">
        <v>191</v>
      </c>
      <c r="Y586" t="s">
        <v>179</v>
      </c>
      <c r="Z586" t="s">
        <v>104</v>
      </c>
      <c r="AB586" t="str">
        <f t="shared" si="27"/>
        <v>00106</v>
      </c>
    </row>
    <row r="587" ht="14.25" spans="1:28">
      <c r="A587" s="5" t="s">
        <v>28</v>
      </c>
      <c r="B587" s="5" t="s">
        <v>264</v>
      </c>
      <c r="C587" s="5">
        <v>2027</v>
      </c>
      <c r="D587" s="5" t="s">
        <v>30</v>
      </c>
      <c r="E587" s="9" t="s">
        <v>481</v>
      </c>
      <c r="F587" s="9" t="s">
        <v>482</v>
      </c>
      <c r="G587" s="9" t="s">
        <v>189</v>
      </c>
      <c r="H587" s="9" t="s">
        <v>483</v>
      </c>
      <c r="I587" s="9" t="s">
        <v>269</v>
      </c>
      <c r="J587" s="9" t="s">
        <v>36</v>
      </c>
      <c r="K587" s="9">
        <v>490</v>
      </c>
      <c r="L587" s="9"/>
      <c r="M587" s="9"/>
      <c r="N587" s="9"/>
      <c r="O587" s="9" t="s">
        <v>37</v>
      </c>
      <c r="P587" s="9" t="s">
        <v>43</v>
      </c>
      <c r="Q587" s="9"/>
      <c r="R587" s="10"/>
      <c r="S587" s="10"/>
      <c r="T587" s="10"/>
      <c r="U587" s="9"/>
      <c r="X587" t="s">
        <v>191</v>
      </c>
      <c r="Y587" t="s">
        <v>179</v>
      </c>
      <c r="Z587" t="s">
        <v>104</v>
      </c>
      <c r="AB587" t="str">
        <f t="shared" si="27"/>
        <v>00106</v>
      </c>
    </row>
    <row r="588" ht="14.25" spans="1:28">
      <c r="A588" s="5" t="s">
        <v>28</v>
      </c>
      <c r="B588" s="5" t="s">
        <v>264</v>
      </c>
      <c r="C588" s="5">
        <v>2027</v>
      </c>
      <c r="D588" s="5" t="s">
        <v>30</v>
      </c>
      <c r="E588" s="9" t="s">
        <v>481</v>
      </c>
      <c r="F588" s="9" t="s">
        <v>482</v>
      </c>
      <c r="G588" s="9" t="s">
        <v>189</v>
      </c>
      <c r="H588" s="9" t="s">
        <v>483</v>
      </c>
      <c r="I588" s="9" t="s">
        <v>269</v>
      </c>
      <c r="J588" s="9" t="s">
        <v>36</v>
      </c>
      <c r="K588" s="9">
        <v>490</v>
      </c>
      <c r="L588" s="9"/>
      <c r="M588" s="9"/>
      <c r="N588" s="9"/>
      <c r="O588" s="9" t="s">
        <v>37</v>
      </c>
      <c r="P588" s="9" t="s">
        <v>44</v>
      </c>
      <c r="Q588" s="9"/>
      <c r="R588" s="10"/>
      <c r="S588" s="10"/>
      <c r="T588" s="10"/>
      <c r="U588" s="9"/>
      <c r="X588" t="s">
        <v>191</v>
      </c>
      <c r="Y588" t="s">
        <v>179</v>
      </c>
      <c r="Z588" t="s">
        <v>104</v>
      </c>
      <c r="AB588" t="str">
        <f t="shared" si="27"/>
        <v>00106</v>
      </c>
    </row>
    <row r="589" ht="14.25" spans="1:28">
      <c r="A589" s="5" t="s">
        <v>28</v>
      </c>
      <c r="B589" s="5" t="s">
        <v>264</v>
      </c>
      <c r="C589" s="5">
        <v>2027</v>
      </c>
      <c r="D589" s="5" t="s">
        <v>30</v>
      </c>
      <c r="E589" s="9" t="s">
        <v>481</v>
      </c>
      <c r="F589" s="9" t="s">
        <v>482</v>
      </c>
      <c r="G589" s="9" t="s">
        <v>189</v>
      </c>
      <c r="H589" s="9" t="s">
        <v>483</v>
      </c>
      <c r="I589" s="9" t="s">
        <v>269</v>
      </c>
      <c r="J589" s="9" t="s">
        <v>36</v>
      </c>
      <c r="K589" s="9">
        <v>490</v>
      </c>
      <c r="L589" s="9"/>
      <c r="M589" s="9"/>
      <c r="N589" s="9"/>
      <c r="O589" s="9" t="s">
        <v>37</v>
      </c>
      <c r="P589" s="9" t="s">
        <v>45</v>
      </c>
      <c r="Q589" s="9"/>
      <c r="R589" s="10"/>
      <c r="S589" s="10"/>
      <c r="T589" s="10"/>
      <c r="U589" s="9"/>
      <c r="X589" t="s">
        <v>191</v>
      </c>
      <c r="Y589" t="s">
        <v>179</v>
      </c>
      <c r="Z589" t="s">
        <v>104</v>
      </c>
      <c r="AB589" t="str">
        <f t="shared" si="27"/>
        <v>00106</v>
      </c>
    </row>
    <row r="590" ht="14.25" spans="1:28">
      <c r="A590" s="5" t="s">
        <v>28</v>
      </c>
      <c r="B590" s="5" t="s">
        <v>264</v>
      </c>
      <c r="C590" s="5">
        <v>2027</v>
      </c>
      <c r="D590" s="5" t="s">
        <v>30</v>
      </c>
      <c r="E590" s="9" t="s">
        <v>484</v>
      </c>
      <c r="F590" s="9" t="s">
        <v>485</v>
      </c>
      <c r="G590" s="9" t="s">
        <v>486</v>
      </c>
      <c r="H590" s="9" t="s">
        <v>487</v>
      </c>
      <c r="I590" s="9" t="s">
        <v>276</v>
      </c>
      <c r="J590" s="9" t="s">
        <v>36</v>
      </c>
      <c r="K590" s="9">
        <v>1190</v>
      </c>
      <c r="L590" s="9"/>
      <c r="M590" s="9"/>
      <c r="N590" s="9"/>
      <c r="O590" s="9" t="s">
        <v>37</v>
      </c>
      <c r="P590" s="9" t="s">
        <v>38</v>
      </c>
      <c r="Q590" s="9"/>
      <c r="R590" s="10">
        <f t="shared" si="28"/>
        <v>0</v>
      </c>
      <c r="S590" s="10">
        <f>SUMIFS([1]Sheet1!$T:$T,[1]Sheet1!$I:$I,E590,[1]Sheet1!$C:$C,A590)</f>
        <v>0</v>
      </c>
      <c r="T590" s="10">
        <f t="shared" si="29"/>
        <v>0</v>
      </c>
      <c r="U590" s="9"/>
      <c r="Y590" t="s">
        <v>179</v>
      </c>
      <c r="Z590" t="s">
        <v>104</v>
      </c>
      <c r="AB590" t="str">
        <f t="shared" si="27"/>
        <v>20617</v>
      </c>
    </row>
    <row r="591" ht="14.25" spans="1:28">
      <c r="A591" s="5" t="s">
        <v>28</v>
      </c>
      <c r="B591" s="5" t="s">
        <v>264</v>
      </c>
      <c r="C591" s="5">
        <v>2027</v>
      </c>
      <c r="D591" s="5" t="s">
        <v>30</v>
      </c>
      <c r="E591" s="9" t="s">
        <v>484</v>
      </c>
      <c r="F591" s="9" t="s">
        <v>485</v>
      </c>
      <c r="G591" s="9" t="s">
        <v>486</v>
      </c>
      <c r="H591" s="9" t="s">
        <v>487</v>
      </c>
      <c r="I591" s="9" t="s">
        <v>276</v>
      </c>
      <c r="J591" s="9" t="s">
        <v>36</v>
      </c>
      <c r="K591" s="9">
        <v>1190</v>
      </c>
      <c r="L591" s="9"/>
      <c r="M591" s="9"/>
      <c r="N591" s="9"/>
      <c r="O591" s="9" t="s">
        <v>37</v>
      </c>
      <c r="P591" s="9" t="s">
        <v>42</v>
      </c>
      <c r="Q591" s="9"/>
      <c r="R591" s="10"/>
      <c r="S591" s="10"/>
      <c r="T591" s="10"/>
      <c r="U591" s="9"/>
      <c r="Y591" t="s">
        <v>179</v>
      </c>
      <c r="Z591" t="s">
        <v>104</v>
      </c>
      <c r="AB591" t="str">
        <f t="shared" si="27"/>
        <v>20617</v>
      </c>
    </row>
    <row r="592" ht="14.25" spans="1:28">
      <c r="A592" s="5" t="s">
        <v>28</v>
      </c>
      <c r="B592" s="5" t="s">
        <v>264</v>
      </c>
      <c r="C592" s="5">
        <v>2027</v>
      </c>
      <c r="D592" s="5" t="s">
        <v>30</v>
      </c>
      <c r="E592" s="9" t="s">
        <v>484</v>
      </c>
      <c r="F592" s="9" t="s">
        <v>485</v>
      </c>
      <c r="G592" s="9" t="s">
        <v>486</v>
      </c>
      <c r="H592" s="9" t="s">
        <v>487</v>
      </c>
      <c r="I592" s="9" t="s">
        <v>276</v>
      </c>
      <c r="J592" s="9" t="s">
        <v>36</v>
      </c>
      <c r="K592" s="9">
        <v>1190</v>
      </c>
      <c r="L592" s="9"/>
      <c r="M592" s="9"/>
      <c r="N592" s="9"/>
      <c r="O592" s="9" t="s">
        <v>37</v>
      </c>
      <c r="P592" s="9" t="s">
        <v>43</v>
      </c>
      <c r="Q592" s="9"/>
      <c r="R592" s="10"/>
      <c r="S592" s="10"/>
      <c r="T592" s="10"/>
      <c r="U592" s="9"/>
      <c r="Y592" t="s">
        <v>179</v>
      </c>
      <c r="Z592" t="s">
        <v>104</v>
      </c>
      <c r="AB592" t="str">
        <f t="shared" si="27"/>
        <v>20617</v>
      </c>
    </row>
    <row r="593" ht="14.25" spans="1:28">
      <c r="A593" s="5" t="s">
        <v>28</v>
      </c>
      <c r="B593" s="5" t="s">
        <v>264</v>
      </c>
      <c r="C593" s="5">
        <v>2027</v>
      </c>
      <c r="D593" s="5" t="s">
        <v>30</v>
      </c>
      <c r="E593" s="9" t="s">
        <v>484</v>
      </c>
      <c r="F593" s="9" t="s">
        <v>485</v>
      </c>
      <c r="G593" s="9" t="s">
        <v>486</v>
      </c>
      <c r="H593" s="9" t="s">
        <v>487</v>
      </c>
      <c r="I593" s="9" t="s">
        <v>276</v>
      </c>
      <c r="J593" s="9" t="s">
        <v>36</v>
      </c>
      <c r="K593" s="9">
        <v>1190</v>
      </c>
      <c r="L593" s="9"/>
      <c r="M593" s="9"/>
      <c r="N593" s="9"/>
      <c r="O593" s="9" t="s">
        <v>37</v>
      </c>
      <c r="P593" s="9" t="s">
        <v>44</v>
      </c>
      <c r="Q593" s="9"/>
      <c r="R593" s="10"/>
      <c r="S593" s="10"/>
      <c r="T593" s="10"/>
      <c r="U593" s="9"/>
      <c r="Y593" t="s">
        <v>179</v>
      </c>
      <c r="Z593" t="s">
        <v>104</v>
      </c>
      <c r="AB593" t="str">
        <f t="shared" si="27"/>
        <v>20617</v>
      </c>
    </row>
    <row r="594" ht="14.25" spans="1:28">
      <c r="A594" s="5" t="s">
        <v>28</v>
      </c>
      <c r="B594" s="5" t="s">
        <v>264</v>
      </c>
      <c r="C594" s="5">
        <v>2027</v>
      </c>
      <c r="D594" s="5" t="s">
        <v>30</v>
      </c>
      <c r="E594" s="9" t="s">
        <v>484</v>
      </c>
      <c r="F594" s="9" t="s">
        <v>485</v>
      </c>
      <c r="G594" s="9" t="s">
        <v>486</v>
      </c>
      <c r="H594" s="9" t="s">
        <v>487</v>
      </c>
      <c r="I594" s="9" t="s">
        <v>276</v>
      </c>
      <c r="J594" s="9" t="s">
        <v>36</v>
      </c>
      <c r="K594" s="9">
        <v>1190</v>
      </c>
      <c r="L594" s="9"/>
      <c r="M594" s="9"/>
      <c r="N594" s="9"/>
      <c r="O594" s="9" t="s">
        <v>37</v>
      </c>
      <c r="P594" s="9" t="s">
        <v>45</v>
      </c>
      <c r="Q594" s="9"/>
      <c r="R594" s="10"/>
      <c r="S594" s="10"/>
      <c r="T594" s="10"/>
      <c r="U594" s="9"/>
      <c r="Y594" t="s">
        <v>179</v>
      </c>
      <c r="Z594" t="s">
        <v>104</v>
      </c>
      <c r="AB594" t="str">
        <f t="shared" si="27"/>
        <v>20617</v>
      </c>
    </row>
    <row r="595" ht="14.25" spans="1:28">
      <c r="A595" s="5" t="s">
        <v>28</v>
      </c>
      <c r="B595" s="5" t="s">
        <v>264</v>
      </c>
      <c r="C595" s="5">
        <v>2027</v>
      </c>
      <c r="D595" s="5" t="s">
        <v>30</v>
      </c>
      <c r="E595" s="9" t="s">
        <v>488</v>
      </c>
      <c r="F595" s="9" t="s">
        <v>485</v>
      </c>
      <c r="G595" s="9" t="s">
        <v>489</v>
      </c>
      <c r="H595" s="9" t="s">
        <v>490</v>
      </c>
      <c r="I595" s="9" t="s">
        <v>276</v>
      </c>
      <c r="J595" s="9" t="s">
        <v>36</v>
      </c>
      <c r="K595" s="9">
        <v>1190</v>
      </c>
      <c r="L595" s="9"/>
      <c r="M595" s="9"/>
      <c r="N595" s="9"/>
      <c r="O595" s="9" t="s">
        <v>37</v>
      </c>
      <c r="P595" s="9" t="s">
        <v>38</v>
      </c>
      <c r="Q595" s="9"/>
      <c r="R595" s="10">
        <f t="shared" si="28"/>
        <v>0</v>
      </c>
      <c r="S595" s="10">
        <f>SUMIFS([1]Sheet1!$T:$T,[1]Sheet1!$I:$I,E595,[1]Sheet1!$C:$C,A595)</f>
        <v>0</v>
      </c>
      <c r="T595" s="10">
        <f t="shared" si="29"/>
        <v>0</v>
      </c>
      <c r="U595" s="9"/>
      <c r="Y595" t="s">
        <v>179</v>
      </c>
      <c r="Z595" t="s">
        <v>104</v>
      </c>
      <c r="AB595" t="str">
        <f t="shared" si="27"/>
        <v>20617</v>
      </c>
    </row>
    <row r="596" ht="14.25" spans="1:28">
      <c r="A596" s="5" t="s">
        <v>28</v>
      </c>
      <c r="B596" s="5" t="s">
        <v>264</v>
      </c>
      <c r="C596" s="5">
        <v>2027</v>
      </c>
      <c r="D596" s="5" t="s">
        <v>30</v>
      </c>
      <c r="E596" s="9" t="s">
        <v>488</v>
      </c>
      <c r="F596" s="9" t="s">
        <v>485</v>
      </c>
      <c r="G596" s="9" t="s">
        <v>489</v>
      </c>
      <c r="H596" s="9" t="s">
        <v>490</v>
      </c>
      <c r="I596" s="9" t="s">
        <v>276</v>
      </c>
      <c r="J596" s="9" t="s">
        <v>36</v>
      </c>
      <c r="K596" s="9">
        <v>1190</v>
      </c>
      <c r="L596" s="9"/>
      <c r="M596" s="9"/>
      <c r="N596" s="9"/>
      <c r="O596" s="9" t="s">
        <v>37</v>
      </c>
      <c r="P596" s="9" t="s">
        <v>42</v>
      </c>
      <c r="Q596" s="9"/>
      <c r="R596" s="10"/>
      <c r="S596" s="10"/>
      <c r="T596" s="10"/>
      <c r="U596" s="9"/>
      <c r="Y596" t="s">
        <v>179</v>
      </c>
      <c r="Z596" t="s">
        <v>104</v>
      </c>
      <c r="AB596" t="str">
        <f t="shared" si="27"/>
        <v>20617</v>
      </c>
    </row>
    <row r="597" ht="14.25" spans="1:28">
      <c r="A597" s="5" t="s">
        <v>28</v>
      </c>
      <c r="B597" s="5" t="s">
        <v>264</v>
      </c>
      <c r="C597" s="5">
        <v>2027</v>
      </c>
      <c r="D597" s="5" t="s">
        <v>30</v>
      </c>
      <c r="E597" s="9" t="s">
        <v>488</v>
      </c>
      <c r="F597" s="9" t="s">
        <v>485</v>
      </c>
      <c r="G597" s="9" t="s">
        <v>489</v>
      </c>
      <c r="H597" s="9" t="s">
        <v>490</v>
      </c>
      <c r="I597" s="9" t="s">
        <v>276</v>
      </c>
      <c r="J597" s="9" t="s">
        <v>36</v>
      </c>
      <c r="K597" s="9">
        <v>1190</v>
      </c>
      <c r="L597" s="9"/>
      <c r="M597" s="9"/>
      <c r="N597" s="9"/>
      <c r="O597" s="9" t="s">
        <v>37</v>
      </c>
      <c r="P597" s="9" t="s">
        <v>43</v>
      </c>
      <c r="Q597" s="9"/>
      <c r="R597" s="10"/>
      <c r="S597" s="10"/>
      <c r="T597" s="10"/>
      <c r="U597" s="9"/>
      <c r="Y597" t="s">
        <v>179</v>
      </c>
      <c r="Z597" t="s">
        <v>104</v>
      </c>
      <c r="AB597" t="str">
        <f t="shared" si="27"/>
        <v>20617</v>
      </c>
    </row>
    <row r="598" ht="14.25" spans="1:28">
      <c r="A598" s="5" t="s">
        <v>28</v>
      </c>
      <c r="B598" s="5" t="s">
        <v>264</v>
      </c>
      <c r="C598" s="5">
        <v>2027</v>
      </c>
      <c r="D598" s="5" t="s">
        <v>30</v>
      </c>
      <c r="E598" s="9" t="s">
        <v>488</v>
      </c>
      <c r="F598" s="9" t="s">
        <v>485</v>
      </c>
      <c r="G598" s="9" t="s">
        <v>489</v>
      </c>
      <c r="H598" s="9" t="s">
        <v>490</v>
      </c>
      <c r="I598" s="9" t="s">
        <v>276</v>
      </c>
      <c r="J598" s="9" t="s">
        <v>36</v>
      </c>
      <c r="K598" s="9">
        <v>1190</v>
      </c>
      <c r="L598" s="9"/>
      <c r="M598" s="9"/>
      <c r="N598" s="9"/>
      <c r="O598" s="9" t="s">
        <v>37</v>
      </c>
      <c r="P598" s="9" t="s">
        <v>44</v>
      </c>
      <c r="Q598" s="9"/>
      <c r="R598" s="10"/>
      <c r="S598" s="10"/>
      <c r="T598" s="10"/>
      <c r="U598" s="9"/>
      <c r="Y598" t="s">
        <v>179</v>
      </c>
      <c r="Z598" t="s">
        <v>104</v>
      </c>
      <c r="AB598" t="str">
        <f t="shared" si="27"/>
        <v>20617</v>
      </c>
    </row>
    <row r="599" ht="14.25" spans="1:28">
      <c r="A599" s="5" t="s">
        <v>28</v>
      </c>
      <c r="B599" s="5" t="s">
        <v>264</v>
      </c>
      <c r="C599" s="5">
        <v>2027</v>
      </c>
      <c r="D599" s="5" t="s">
        <v>30</v>
      </c>
      <c r="E599" s="9" t="s">
        <v>488</v>
      </c>
      <c r="F599" s="9" t="s">
        <v>485</v>
      </c>
      <c r="G599" s="9" t="s">
        <v>489</v>
      </c>
      <c r="H599" s="9" t="s">
        <v>490</v>
      </c>
      <c r="I599" s="9" t="s">
        <v>276</v>
      </c>
      <c r="J599" s="9" t="s">
        <v>36</v>
      </c>
      <c r="K599" s="9">
        <v>1190</v>
      </c>
      <c r="L599" s="9"/>
      <c r="M599" s="9"/>
      <c r="N599" s="9"/>
      <c r="O599" s="9" t="s">
        <v>37</v>
      </c>
      <c r="P599" s="9" t="s">
        <v>45</v>
      </c>
      <c r="Q599" s="9"/>
      <c r="R599" s="10"/>
      <c r="S599" s="10"/>
      <c r="T599" s="10"/>
      <c r="U599" s="9"/>
      <c r="Y599" t="s">
        <v>179</v>
      </c>
      <c r="Z599" t="s">
        <v>104</v>
      </c>
      <c r="AB599" t="str">
        <f t="shared" si="27"/>
        <v>20617</v>
      </c>
    </row>
    <row r="600" ht="14.25" spans="1:28">
      <c r="A600" s="5" t="s">
        <v>28</v>
      </c>
      <c r="B600" s="5" t="s">
        <v>264</v>
      </c>
      <c r="C600" s="5">
        <v>2027</v>
      </c>
      <c r="D600" s="5" t="s">
        <v>30</v>
      </c>
      <c r="E600" s="9" t="s">
        <v>491</v>
      </c>
      <c r="F600" s="9" t="s">
        <v>492</v>
      </c>
      <c r="G600" s="9" t="s">
        <v>117</v>
      </c>
      <c r="H600" s="9" t="s">
        <v>493</v>
      </c>
      <c r="I600" s="9" t="s">
        <v>276</v>
      </c>
      <c r="J600" s="9" t="s">
        <v>36</v>
      </c>
      <c r="K600" s="9">
        <v>1590</v>
      </c>
      <c r="L600" s="9"/>
      <c r="M600" s="9"/>
      <c r="N600" s="9"/>
      <c r="O600" s="9" t="s">
        <v>37</v>
      </c>
      <c r="P600" s="9" t="s">
        <v>38</v>
      </c>
      <c r="Q600" s="9"/>
      <c r="R600" s="10">
        <f t="shared" si="28"/>
        <v>0</v>
      </c>
      <c r="S600" s="10">
        <f>SUMIFS([1]Sheet1!$T:$T,[1]Sheet1!$I:$I,E600,[1]Sheet1!$C:$C,A600)</f>
        <v>0</v>
      </c>
      <c r="T600" s="10">
        <f t="shared" si="29"/>
        <v>0</v>
      </c>
      <c r="U600" s="9"/>
      <c r="X600" t="s">
        <v>122</v>
      </c>
      <c r="Y600" t="s">
        <v>179</v>
      </c>
      <c r="Z600" t="s">
        <v>41</v>
      </c>
      <c r="AB600" t="str">
        <f t="shared" si="27"/>
        <v>22325</v>
      </c>
    </row>
    <row r="601" ht="14.25" spans="1:28">
      <c r="A601" s="5" t="s">
        <v>28</v>
      </c>
      <c r="B601" s="5" t="s">
        <v>264</v>
      </c>
      <c r="C601" s="5">
        <v>2027</v>
      </c>
      <c r="D601" s="5" t="s">
        <v>30</v>
      </c>
      <c r="E601" s="9" t="s">
        <v>491</v>
      </c>
      <c r="F601" s="9" t="s">
        <v>492</v>
      </c>
      <c r="G601" s="9" t="s">
        <v>117</v>
      </c>
      <c r="H601" s="9" t="s">
        <v>493</v>
      </c>
      <c r="I601" s="9" t="s">
        <v>276</v>
      </c>
      <c r="J601" s="9" t="s">
        <v>36</v>
      </c>
      <c r="K601" s="9">
        <v>1590</v>
      </c>
      <c r="L601" s="9"/>
      <c r="M601" s="9"/>
      <c r="N601" s="9"/>
      <c r="O601" s="9" t="s">
        <v>37</v>
      </c>
      <c r="P601" s="9" t="s">
        <v>42</v>
      </c>
      <c r="Q601" s="9"/>
      <c r="R601" s="10"/>
      <c r="S601" s="10"/>
      <c r="T601" s="10"/>
      <c r="U601" s="9"/>
      <c r="X601" t="s">
        <v>122</v>
      </c>
      <c r="Y601" t="s">
        <v>179</v>
      </c>
      <c r="Z601" t="s">
        <v>41</v>
      </c>
      <c r="AB601" t="str">
        <f t="shared" si="27"/>
        <v>22325</v>
      </c>
    </row>
    <row r="602" ht="14.25" spans="1:28">
      <c r="A602" s="5" t="s">
        <v>28</v>
      </c>
      <c r="B602" s="5" t="s">
        <v>264</v>
      </c>
      <c r="C602" s="5">
        <v>2027</v>
      </c>
      <c r="D602" s="5" t="s">
        <v>30</v>
      </c>
      <c r="E602" s="9" t="s">
        <v>491</v>
      </c>
      <c r="F602" s="9" t="s">
        <v>492</v>
      </c>
      <c r="G602" s="9" t="s">
        <v>117</v>
      </c>
      <c r="H602" s="9" t="s">
        <v>493</v>
      </c>
      <c r="I602" s="9" t="s">
        <v>276</v>
      </c>
      <c r="J602" s="9" t="s">
        <v>36</v>
      </c>
      <c r="K602" s="9">
        <v>1590</v>
      </c>
      <c r="L602" s="9"/>
      <c r="M602" s="9"/>
      <c r="N602" s="9"/>
      <c r="O602" s="9" t="s">
        <v>37</v>
      </c>
      <c r="P602" s="9" t="s">
        <v>43</v>
      </c>
      <c r="Q602" s="9"/>
      <c r="R602" s="10"/>
      <c r="S602" s="10"/>
      <c r="T602" s="10"/>
      <c r="U602" s="9"/>
      <c r="X602" t="s">
        <v>122</v>
      </c>
      <c r="Y602" t="s">
        <v>179</v>
      </c>
      <c r="Z602" t="s">
        <v>41</v>
      </c>
      <c r="AB602" t="str">
        <f t="shared" si="27"/>
        <v>22325</v>
      </c>
    </row>
    <row r="603" ht="14.25" spans="1:28">
      <c r="A603" s="5" t="s">
        <v>28</v>
      </c>
      <c r="B603" s="5" t="s">
        <v>264</v>
      </c>
      <c r="C603" s="5">
        <v>2027</v>
      </c>
      <c r="D603" s="5" t="s">
        <v>30</v>
      </c>
      <c r="E603" s="9" t="s">
        <v>491</v>
      </c>
      <c r="F603" s="9" t="s">
        <v>492</v>
      </c>
      <c r="G603" s="9" t="s">
        <v>117</v>
      </c>
      <c r="H603" s="9" t="s">
        <v>493</v>
      </c>
      <c r="I603" s="9" t="s">
        <v>276</v>
      </c>
      <c r="J603" s="9" t="s">
        <v>36</v>
      </c>
      <c r="K603" s="9">
        <v>1590</v>
      </c>
      <c r="L603" s="9"/>
      <c r="M603" s="9"/>
      <c r="N603" s="9"/>
      <c r="O603" s="9" t="s">
        <v>37</v>
      </c>
      <c r="P603" s="9" t="s">
        <v>44</v>
      </c>
      <c r="Q603" s="9"/>
      <c r="R603" s="10"/>
      <c r="S603" s="10"/>
      <c r="T603" s="10"/>
      <c r="U603" s="9"/>
      <c r="X603" t="s">
        <v>122</v>
      </c>
      <c r="Y603" t="s">
        <v>179</v>
      </c>
      <c r="Z603" t="s">
        <v>41</v>
      </c>
      <c r="AB603" t="str">
        <f t="shared" si="27"/>
        <v>22325</v>
      </c>
    </row>
    <row r="604" ht="14.25" spans="1:28">
      <c r="A604" s="5" t="s">
        <v>28</v>
      </c>
      <c r="B604" s="5" t="s">
        <v>264</v>
      </c>
      <c r="C604" s="5">
        <v>2027</v>
      </c>
      <c r="D604" s="5" t="s">
        <v>30</v>
      </c>
      <c r="E604" s="9" t="s">
        <v>491</v>
      </c>
      <c r="F604" s="9" t="s">
        <v>492</v>
      </c>
      <c r="G604" s="9" t="s">
        <v>117</v>
      </c>
      <c r="H604" s="9" t="s">
        <v>493</v>
      </c>
      <c r="I604" s="9" t="s">
        <v>276</v>
      </c>
      <c r="J604" s="9" t="s">
        <v>36</v>
      </c>
      <c r="K604" s="9">
        <v>1590</v>
      </c>
      <c r="L604" s="9"/>
      <c r="M604" s="9"/>
      <c r="N604" s="9"/>
      <c r="O604" s="9" t="s">
        <v>37</v>
      </c>
      <c r="P604" s="9" t="s">
        <v>45</v>
      </c>
      <c r="Q604" s="9"/>
      <c r="R604" s="10"/>
      <c r="S604" s="10"/>
      <c r="T604" s="10"/>
      <c r="U604" s="9"/>
      <c r="X604" t="s">
        <v>122</v>
      </c>
      <c r="Y604" t="s">
        <v>179</v>
      </c>
      <c r="Z604" t="s">
        <v>41</v>
      </c>
      <c r="AB604" t="str">
        <f t="shared" si="27"/>
        <v>22325</v>
      </c>
    </row>
    <row r="605" ht="14.25" spans="1:28">
      <c r="A605" s="5" t="s">
        <v>28</v>
      </c>
      <c r="B605" s="5" t="s">
        <v>264</v>
      </c>
      <c r="C605" s="5">
        <v>2027</v>
      </c>
      <c r="D605" s="5" t="s">
        <v>30</v>
      </c>
      <c r="E605" s="9" t="s">
        <v>494</v>
      </c>
      <c r="F605" s="9" t="s">
        <v>492</v>
      </c>
      <c r="G605" s="9" t="s">
        <v>189</v>
      </c>
      <c r="H605" s="9" t="s">
        <v>495</v>
      </c>
      <c r="I605" s="9" t="s">
        <v>276</v>
      </c>
      <c r="J605" s="9" t="s">
        <v>36</v>
      </c>
      <c r="K605" s="9">
        <v>1590</v>
      </c>
      <c r="L605" s="9"/>
      <c r="M605" s="9"/>
      <c r="N605" s="9"/>
      <c r="O605" s="9" t="s">
        <v>37</v>
      </c>
      <c r="P605" s="9" t="s">
        <v>38</v>
      </c>
      <c r="Q605" s="9"/>
      <c r="R605" s="10">
        <f t="shared" si="28"/>
        <v>0</v>
      </c>
      <c r="S605" s="10">
        <f>SUMIFS([1]Sheet1!$T:$T,[1]Sheet1!$I:$I,E605,[1]Sheet1!$C:$C,A605)</f>
        <v>0</v>
      </c>
      <c r="T605" s="10">
        <f t="shared" si="29"/>
        <v>0</v>
      </c>
      <c r="U605" s="9"/>
      <c r="X605" t="s">
        <v>191</v>
      </c>
      <c r="Y605" t="s">
        <v>179</v>
      </c>
      <c r="Z605" t="s">
        <v>41</v>
      </c>
      <c r="AB605" t="str">
        <f t="shared" si="27"/>
        <v>22325</v>
      </c>
    </row>
    <row r="606" ht="14.25" spans="1:28">
      <c r="A606" s="5" t="s">
        <v>28</v>
      </c>
      <c r="B606" s="5" t="s">
        <v>264</v>
      </c>
      <c r="C606" s="5">
        <v>2027</v>
      </c>
      <c r="D606" s="5" t="s">
        <v>30</v>
      </c>
      <c r="E606" s="9" t="s">
        <v>494</v>
      </c>
      <c r="F606" s="9" t="s">
        <v>492</v>
      </c>
      <c r="G606" s="9" t="s">
        <v>189</v>
      </c>
      <c r="H606" s="9" t="s">
        <v>495</v>
      </c>
      <c r="I606" s="9" t="s">
        <v>276</v>
      </c>
      <c r="J606" s="9" t="s">
        <v>36</v>
      </c>
      <c r="K606" s="9">
        <v>1590</v>
      </c>
      <c r="L606" s="9"/>
      <c r="M606" s="9"/>
      <c r="N606" s="9"/>
      <c r="O606" s="9" t="s">
        <v>37</v>
      </c>
      <c r="P606" s="9" t="s">
        <v>42</v>
      </c>
      <c r="Q606" s="9"/>
      <c r="R606" s="10"/>
      <c r="S606" s="10"/>
      <c r="T606" s="10"/>
      <c r="U606" s="9"/>
      <c r="X606" t="s">
        <v>191</v>
      </c>
      <c r="Y606" t="s">
        <v>179</v>
      </c>
      <c r="Z606" t="s">
        <v>41</v>
      </c>
      <c r="AB606" t="str">
        <f t="shared" si="27"/>
        <v>22325</v>
      </c>
    </row>
    <row r="607" ht="14.25" spans="1:28">
      <c r="A607" s="5" t="s">
        <v>28</v>
      </c>
      <c r="B607" s="5" t="s">
        <v>264</v>
      </c>
      <c r="C607" s="5">
        <v>2027</v>
      </c>
      <c r="D607" s="5" t="s">
        <v>30</v>
      </c>
      <c r="E607" s="9" t="s">
        <v>494</v>
      </c>
      <c r="F607" s="9" t="s">
        <v>492</v>
      </c>
      <c r="G607" s="9" t="s">
        <v>189</v>
      </c>
      <c r="H607" s="9" t="s">
        <v>495</v>
      </c>
      <c r="I607" s="9" t="s">
        <v>276</v>
      </c>
      <c r="J607" s="9" t="s">
        <v>36</v>
      </c>
      <c r="K607" s="9">
        <v>1590</v>
      </c>
      <c r="L607" s="9"/>
      <c r="M607" s="9"/>
      <c r="N607" s="9"/>
      <c r="O607" s="9" t="s">
        <v>37</v>
      </c>
      <c r="P607" s="9" t="s">
        <v>43</v>
      </c>
      <c r="Q607" s="9"/>
      <c r="R607" s="10"/>
      <c r="S607" s="10"/>
      <c r="T607" s="10"/>
      <c r="U607" s="9"/>
      <c r="X607" t="s">
        <v>191</v>
      </c>
      <c r="Y607" t="s">
        <v>179</v>
      </c>
      <c r="Z607" t="s">
        <v>41</v>
      </c>
      <c r="AB607" t="str">
        <f t="shared" si="27"/>
        <v>22325</v>
      </c>
    </row>
    <row r="608" ht="14.25" spans="1:28">
      <c r="A608" s="5" t="s">
        <v>28</v>
      </c>
      <c r="B608" s="5" t="s">
        <v>264</v>
      </c>
      <c r="C608" s="5">
        <v>2027</v>
      </c>
      <c r="D608" s="5" t="s">
        <v>30</v>
      </c>
      <c r="E608" s="9" t="s">
        <v>494</v>
      </c>
      <c r="F608" s="9" t="s">
        <v>492</v>
      </c>
      <c r="G608" s="9" t="s">
        <v>189</v>
      </c>
      <c r="H608" s="9" t="s">
        <v>495</v>
      </c>
      <c r="I608" s="9" t="s">
        <v>276</v>
      </c>
      <c r="J608" s="9" t="s">
        <v>36</v>
      </c>
      <c r="K608" s="9">
        <v>1590</v>
      </c>
      <c r="L608" s="9"/>
      <c r="M608" s="9"/>
      <c r="N608" s="9"/>
      <c r="O608" s="9" t="s">
        <v>37</v>
      </c>
      <c r="P608" s="9" t="s">
        <v>44</v>
      </c>
      <c r="Q608" s="9"/>
      <c r="R608" s="10"/>
      <c r="S608" s="10"/>
      <c r="T608" s="10"/>
      <c r="U608" s="9"/>
      <c r="X608" t="s">
        <v>191</v>
      </c>
      <c r="Y608" t="s">
        <v>179</v>
      </c>
      <c r="Z608" t="s">
        <v>41</v>
      </c>
      <c r="AB608" t="str">
        <f t="shared" si="27"/>
        <v>22325</v>
      </c>
    </row>
    <row r="609" ht="14.25" spans="1:28">
      <c r="A609" s="5" t="s">
        <v>28</v>
      </c>
      <c r="B609" s="5" t="s">
        <v>264</v>
      </c>
      <c r="C609" s="5">
        <v>2027</v>
      </c>
      <c r="D609" s="5" t="s">
        <v>30</v>
      </c>
      <c r="E609" s="9" t="s">
        <v>494</v>
      </c>
      <c r="F609" s="9" t="s">
        <v>492</v>
      </c>
      <c r="G609" s="9" t="s">
        <v>189</v>
      </c>
      <c r="H609" s="9" t="s">
        <v>495</v>
      </c>
      <c r="I609" s="9" t="s">
        <v>276</v>
      </c>
      <c r="J609" s="9" t="s">
        <v>36</v>
      </c>
      <c r="K609" s="9">
        <v>1590</v>
      </c>
      <c r="L609" s="9"/>
      <c r="M609" s="9"/>
      <c r="N609" s="9"/>
      <c r="O609" s="9" t="s">
        <v>37</v>
      </c>
      <c r="P609" s="9" t="s">
        <v>45</v>
      </c>
      <c r="Q609" s="9"/>
      <c r="R609" s="10"/>
      <c r="S609" s="10"/>
      <c r="T609" s="10"/>
      <c r="U609" s="9"/>
      <c r="X609" t="s">
        <v>191</v>
      </c>
      <c r="Y609" t="s">
        <v>179</v>
      </c>
      <c r="Z609" t="s">
        <v>41</v>
      </c>
      <c r="AB609" t="str">
        <f t="shared" si="27"/>
        <v>22325</v>
      </c>
    </row>
    <row r="610" ht="14.25" spans="1:28">
      <c r="A610" s="5" t="s">
        <v>28</v>
      </c>
      <c r="B610" s="5" t="s">
        <v>264</v>
      </c>
      <c r="C610" s="5">
        <v>2027</v>
      </c>
      <c r="D610" s="5" t="s">
        <v>30</v>
      </c>
      <c r="E610" s="9" t="s">
        <v>496</v>
      </c>
      <c r="F610" s="9" t="s">
        <v>497</v>
      </c>
      <c r="G610" s="9" t="s">
        <v>498</v>
      </c>
      <c r="H610" s="9" t="s">
        <v>499</v>
      </c>
      <c r="I610" s="9" t="s">
        <v>276</v>
      </c>
      <c r="J610" s="9" t="s">
        <v>36</v>
      </c>
      <c r="K610" s="9">
        <v>390</v>
      </c>
      <c r="L610" s="9"/>
      <c r="M610" s="9"/>
      <c r="N610" s="9"/>
      <c r="O610" s="9" t="s">
        <v>37</v>
      </c>
      <c r="P610" s="9" t="s">
        <v>38</v>
      </c>
      <c r="Q610" s="9"/>
      <c r="R610" s="10">
        <f t="shared" si="28"/>
        <v>0</v>
      </c>
      <c r="S610" s="10">
        <f>SUMIFS([1]Sheet1!$T:$T,[1]Sheet1!$I:$I,E610,[1]Sheet1!$C:$C,A610)</f>
        <v>40</v>
      </c>
      <c r="T610" s="10">
        <f t="shared" si="29"/>
        <v>-40</v>
      </c>
      <c r="U610" s="9" t="s">
        <v>148</v>
      </c>
      <c r="V610" t="s">
        <v>184</v>
      </c>
      <c r="W610" t="s">
        <v>178</v>
      </c>
      <c r="X610" t="s">
        <v>122</v>
      </c>
      <c r="Y610" t="s">
        <v>179</v>
      </c>
      <c r="Z610" t="s">
        <v>247</v>
      </c>
      <c r="AB610" t="str">
        <f t="shared" si="27"/>
        <v>23795</v>
      </c>
    </row>
    <row r="611" ht="14.25" spans="1:28">
      <c r="A611" s="5" t="s">
        <v>28</v>
      </c>
      <c r="B611" s="5" t="s">
        <v>264</v>
      </c>
      <c r="C611" s="5">
        <v>2027</v>
      </c>
      <c r="D611" s="5" t="s">
        <v>30</v>
      </c>
      <c r="E611" s="9" t="s">
        <v>496</v>
      </c>
      <c r="F611" s="9" t="s">
        <v>497</v>
      </c>
      <c r="G611" s="9" t="s">
        <v>498</v>
      </c>
      <c r="H611" s="9" t="s">
        <v>499</v>
      </c>
      <c r="I611" s="9" t="s">
        <v>276</v>
      </c>
      <c r="J611" s="9" t="s">
        <v>36</v>
      </c>
      <c r="K611" s="9">
        <v>390</v>
      </c>
      <c r="L611" s="9"/>
      <c r="M611" s="9"/>
      <c r="N611" s="9"/>
      <c r="O611" s="9" t="s">
        <v>37</v>
      </c>
      <c r="P611" s="9" t="s">
        <v>42</v>
      </c>
      <c r="Q611" s="9"/>
      <c r="R611" s="10"/>
      <c r="S611" s="10"/>
      <c r="T611" s="10"/>
      <c r="U611" s="9" t="s">
        <v>148</v>
      </c>
      <c r="V611" t="s">
        <v>184</v>
      </c>
      <c r="W611" t="s">
        <v>178</v>
      </c>
      <c r="X611" t="s">
        <v>122</v>
      </c>
      <c r="Y611" t="s">
        <v>179</v>
      </c>
      <c r="Z611" t="s">
        <v>247</v>
      </c>
      <c r="AB611" t="str">
        <f t="shared" si="27"/>
        <v>23795</v>
      </c>
    </row>
    <row r="612" ht="14.25" spans="1:28">
      <c r="A612" s="5" t="s">
        <v>28</v>
      </c>
      <c r="B612" s="5" t="s">
        <v>264</v>
      </c>
      <c r="C612" s="5">
        <v>2027</v>
      </c>
      <c r="D612" s="5" t="s">
        <v>30</v>
      </c>
      <c r="E612" s="9" t="s">
        <v>496</v>
      </c>
      <c r="F612" s="9" t="s">
        <v>497</v>
      </c>
      <c r="G612" s="9" t="s">
        <v>498</v>
      </c>
      <c r="H612" s="9" t="s">
        <v>499</v>
      </c>
      <c r="I612" s="9" t="s">
        <v>276</v>
      </c>
      <c r="J612" s="9" t="s">
        <v>36</v>
      </c>
      <c r="K612" s="9">
        <v>390</v>
      </c>
      <c r="L612" s="9"/>
      <c r="M612" s="9"/>
      <c r="N612" s="9"/>
      <c r="O612" s="9" t="s">
        <v>37</v>
      </c>
      <c r="P612" s="9" t="s">
        <v>43</v>
      </c>
      <c r="Q612" s="9"/>
      <c r="R612" s="10"/>
      <c r="S612" s="10"/>
      <c r="T612" s="10"/>
      <c r="U612" s="9" t="s">
        <v>148</v>
      </c>
      <c r="V612" t="s">
        <v>184</v>
      </c>
      <c r="W612" t="s">
        <v>178</v>
      </c>
      <c r="X612" t="s">
        <v>122</v>
      </c>
      <c r="Y612" t="s">
        <v>179</v>
      </c>
      <c r="Z612" t="s">
        <v>247</v>
      </c>
      <c r="AB612" t="str">
        <f t="shared" si="27"/>
        <v>23795</v>
      </c>
    </row>
    <row r="613" ht="14.25" spans="1:28">
      <c r="A613" s="5" t="s">
        <v>28</v>
      </c>
      <c r="B613" s="5" t="s">
        <v>264</v>
      </c>
      <c r="C613" s="5">
        <v>2027</v>
      </c>
      <c r="D613" s="5" t="s">
        <v>30</v>
      </c>
      <c r="E613" s="9" t="s">
        <v>496</v>
      </c>
      <c r="F613" s="9" t="s">
        <v>497</v>
      </c>
      <c r="G613" s="9" t="s">
        <v>498</v>
      </c>
      <c r="H613" s="9" t="s">
        <v>499</v>
      </c>
      <c r="I613" s="9" t="s">
        <v>276</v>
      </c>
      <c r="J613" s="9" t="s">
        <v>36</v>
      </c>
      <c r="K613" s="9">
        <v>390</v>
      </c>
      <c r="L613" s="9"/>
      <c r="M613" s="9"/>
      <c r="N613" s="9"/>
      <c r="O613" s="9" t="s">
        <v>37</v>
      </c>
      <c r="P613" s="9" t="s">
        <v>44</v>
      </c>
      <c r="Q613" s="9"/>
      <c r="R613" s="10"/>
      <c r="S613" s="10"/>
      <c r="T613" s="10"/>
      <c r="U613" s="9" t="s">
        <v>148</v>
      </c>
      <c r="V613" t="s">
        <v>184</v>
      </c>
      <c r="W613" t="s">
        <v>178</v>
      </c>
      <c r="X613" t="s">
        <v>122</v>
      </c>
      <c r="Y613" t="s">
        <v>179</v>
      </c>
      <c r="Z613" t="s">
        <v>247</v>
      </c>
      <c r="AB613" t="str">
        <f t="shared" si="27"/>
        <v>23795</v>
      </c>
    </row>
    <row r="614" ht="14.25" spans="1:28">
      <c r="A614" s="5" t="s">
        <v>28</v>
      </c>
      <c r="B614" s="5" t="s">
        <v>264</v>
      </c>
      <c r="C614" s="5">
        <v>2027</v>
      </c>
      <c r="D614" s="5" t="s">
        <v>30</v>
      </c>
      <c r="E614" s="9" t="s">
        <v>496</v>
      </c>
      <c r="F614" s="9" t="s">
        <v>497</v>
      </c>
      <c r="G614" s="9" t="s">
        <v>498</v>
      </c>
      <c r="H614" s="9" t="s">
        <v>499</v>
      </c>
      <c r="I614" s="9" t="s">
        <v>276</v>
      </c>
      <c r="J614" s="9" t="s">
        <v>36</v>
      </c>
      <c r="K614" s="9">
        <v>390</v>
      </c>
      <c r="L614" s="9"/>
      <c r="M614" s="9"/>
      <c r="N614" s="9"/>
      <c r="O614" s="9" t="s">
        <v>37</v>
      </c>
      <c r="P614" s="9" t="s">
        <v>45</v>
      </c>
      <c r="Q614" s="9"/>
      <c r="R614" s="10"/>
      <c r="S614" s="10"/>
      <c r="T614" s="10"/>
      <c r="U614" s="9" t="s">
        <v>148</v>
      </c>
      <c r="V614" t="s">
        <v>184</v>
      </c>
      <c r="W614" t="s">
        <v>178</v>
      </c>
      <c r="X614" t="s">
        <v>122</v>
      </c>
      <c r="Y614" t="s">
        <v>179</v>
      </c>
      <c r="Z614" t="s">
        <v>247</v>
      </c>
      <c r="AB614" t="str">
        <f t="shared" si="27"/>
        <v>23795</v>
      </c>
    </row>
    <row r="615" ht="14.25" spans="1:28">
      <c r="A615" s="5" t="s">
        <v>28</v>
      </c>
      <c r="B615" s="5" t="s">
        <v>264</v>
      </c>
      <c r="C615" s="5">
        <v>2027</v>
      </c>
      <c r="D615" s="5" t="s">
        <v>30</v>
      </c>
      <c r="E615" s="9" t="s">
        <v>500</v>
      </c>
      <c r="F615" s="9" t="s">
        <v>497</v>
      </c>
      <c r="G615" s="9" t="s">
        <v>501</v>
      </c>
      <c r="H615" s="9" t="s">
        <v>502</v>
      </c>
      <c r="I615" s="9" t="s">
        <v>276</v>
      </c>
      <c r="J615" s="9" t="s">
        <v>36</v>
      </c>
      <c r="K615" s="9">
        <v>390</v>
      </c>
      <c r="L615" s="9"/>
      <c r="M615" s="9"/>
      <c r="N615" s="9"/>
      <c r="O615" s="9" t="s">
        <v>37</v>
      </c>
      <c r="P615" s="9" t="s">
        <v>38</v>
      </c>
      <c r="Q615" s="9"/>
      <c r="R615" s="10">
        <f t="shared" si="28"/>
        <v>0</v>
      </c>
      <c r="S615" s="10">
        <f>SUMIFS([1]Sheet1!$T:$T,[1]Sheet1!$I:$I,E615,[1]Sheet1!$C:$C,A615)</f>
        <v>50</v>
      </c>
      <c r="T615" s="10">
        <f t="shared" si="29"/>
        <v>-50</v>
      </c>
      <c r="U615" s="9" t="s">
        <v>148</v>
      </c>
      <c r="V615" t="s">
        <v>184</v>
      </c>
      <c r="W615" t="s">
        <v>178</v>
      </c>
      <c r="X615" t="s">
        <v>503</v>
      </c>
      <c r="Y615" t="s">
        <v>179</v>
      </c>
      <c r="Z615" t="s">
        <v>247</v>
      </c>
      <c r="AB615" t="str">
        <f t="shared" si="27"/>
        <v>23795</v>
      </c>
    </row>
    <row r="616" ht="14.25" spans="1:28">
      <c r="A616" s="5" t="s">
        <v>28</v>
      </c>
      <c r="B616" s="5" t="s">
        <v>264</v>
      </c>
      <c r="C616" s="5">
        <v>2027</v>
      </c>
      <c r="D616" s="5" t="s">
        <v>30</v>
      </c>
      <c r="E616" s="9" t="s">
        <v>500</v>
      </c>
      <c r="F616" s="9" t="s">
        <v>497</v>
      </c>
      <c r="G616" s="9" t="s">
        <v>501</v>
      </c>
      <c r="H616" s="9" t="s">
        <v>502</v>
      </c>
      <c r="I616" s="9" t="s">
        <v>276</v>
      </c>
      <c r="J616" s="9" t="s">
        <v>36</v>
      </c>
      <c r="K616" s="9">
        <v>390</v>
      </c>
      <c r="L616" s="9"/>
      <c r="M616" s="9"/>
      <c r="N616" s="9"/>
      <c r="O616" s="9" t="s">
        <v>37</v>
      </c>
      <c r="P616" s="9" t="s">
        <v>42</v>
      </c>
      <c r="Q616" s="11"/>
      <c r="R616" s="10"/>
      <c r="S616" s="10"/>
      <c r="T616" s="10"/>
      <c r="U616" s="9" t="s">
        <v>148</v>
      </c>
      <c r="V616" t="s">
        <v>184</v>
      </c>
      <c r="W616" t="s">
        <v>178</v>
      </c>
      <c r="X616" t="s">
        <v>503</v>
      </c>
      <c r="Y616" t="s">
        <v>179</v>
      </c>
      <c r="Z616" t="s">
        <v>247</v>
      </c>
      <c r="AB616" t="str">
        <f t="shared" si="27"/>
        <v>23795</v>
      </c>
    </row>
    <row r="617" ht="14.25" spans="1:28">
      <c r="A617" s="5" t="s">
        <v>28</v>
      </c>
      <c r="B617" s="5" t="s">
        <v>264</v>
      </c>
      <c r="C617" s="5">
        <v>2027</v>
      </c>
      <c r="D617" s="5" t="s">
        <v>30</v>
      </c>
      <c r="E617" s="9" t="s">
        <v>500</v>
      </c>
      <c r="F617" s="9" t="s">
        <v>497</v>
      </c>
      <c r="G617" s="9" t="s">
        <v>501</v>
      </c>
      <c r="H617" s="9" t="s">
        <v>502</v>
      </c>
      <c r="I617" s="9" t="s">
        <v>276</v>
      </c>
      <c r="J617" s="9" t="s">
        <v>36</v>
      </c>
      <c r="K617" s="9">
        <v>390</v>
      </c>
      <c r="L617" s="9"/>
      <c r="M617" s="9"/>
      <c r="N617" s="9"/>
      <c r="O617" s="9" t="s">
        <v>37</v>
      </c>
      <c r="P617" s="9" t="s">
        <v>43</v>
      </c>
      <c r="Q617" s="11"/>
      <c r="R617" s="10"/>
      <c r="S617" s="10"/>
      <c r="T617" s="10"/>
      <c r="U617" s="9" t="s">
        <v>148</v>
      </c>
      <c r="V617" t="s">
        <v>184</v>
      </c>
      <c r="W617" t="s">
        <v>178</v>
      </c>
      <c r="X617" t="s">
        <v>503</v>
      </c>
      <c r="Y617" t="s">
        <v>179</v>
      </c>
      <c r="Z617" t="s">
        <v>247</v>
      </c>
      <c r="AB617" t="str">
        <f t="shared" si="27"/>
        <v>23795</v>
      </c>
    </row>
    <row r="618" ht="14.25" spans="1:28">
      <c r="A618" s="5" t="s">
        <v>28</v>
      </c>
      <c r="B618" s="5" t="s">
        <v>264</v>
      </c>
      <c r="C618" s="5">
        <v>2027</v>
      </c>
      <c r="D618" s="5" t="s">
        <v>30</v>
      </c>
      <c r="E618" s="9" t="s">
        <v>500</v>
      </c>
      <c r="F618" s="9" t="s">
        <v>497</v>
      </c>
      <c r="G618" s="9" t="s">
        <v>501</v>
      </c>
      <c r="H618" s="9" t="s">
        <v>502</v>
      </c>
      <c r="I618" s="9" t="s">
        <v>276</v>
      </c>
      <c r="J618" s="9" t="s">
        <v>36</v>
      </c>
      <c r="K618" s="9">
        <v>390</v>
      </c>
      <c r="L618" s="9"/>
      <c r="M618" s="9"/>
      <c r="N618" s="9"/>
      <c r="O618" s="9" t="s">
        <v>37</v>
      </c>
      <c r="P618" s="9" t="s">
        <v>44</v>
      </c>
      <c r="Q618" s="11"/>
      <c r="R618" s="10"/>
      <c r="S618" s="10"/>
      <c r="T618" s="10"/>
      <c r="U618" s="9" t="s">
        <v>148</v>
      </c>
      <c r="V618" t="s">
        <v>184</v>
      </c>
      <c r="W618" t="s">
        <v>178</v>
      </c>
      <c r="X618" t="s">
        <v>503</v>
      </c>
      <c r="Y618" t="s">
        <v>179</v>
      </c>
      <c r="Z618" t="s">
        <v>247</v>
      </c>
      <c r="AB618" t="str">
        <f t="shared" si="27"/>
        <v>23795</v>
      </c>
    </row>
    <row r="619" ht="14.25" spans="1:28">
      <c r="A619" s="5" t="s">
        <v>28</v>
      </c>
      <c r="B619" s="5" t="s">
        <v>264</v>
      </c>
      <c r="C619" s="5">
        <v>2027</v>
      </c>
      <c r="D619" s="5" t="s">
        <v>30</v>
      </c>
      <c r="E619" s="9" t="s">
        <v>500</v>
      </c>
      <c r="F619" s="9" t="s">
        <v>497</v>
      </c>
      <c r="G619" s="9" t="s">
        <v>501</v>
      </c>
      <c r="H619" s="9" t="s">
        <v>502</v>
      </c>
      <c r="I619" s="9" t="s">
        <v>276</v>
      </c>
      <c r="J619" s="9" t="s">
        <v>36</v>
      </c>
      <c r="K619" s="9">
        <v>390</v>
      </c>
      <c r="L619" s="9"/>
      <c r="M619" s="9"/>
      <c r="N619" s="9"/>
      <c r="O619" s="9" t="s">
        <v>37</v>
      </c>
      <c r="P619" s="9" t="s">
        <v>45</v>
      </c>
      <c r="Q619" s="11"/>
      <c r="R619" s="10"/>
      <c r="S619" s="10"/>
      <c r="T619" s="10"/>
      <c r="U619" s="9" t="s">
        <v>148</v>
      </c>
      <c r="V619" t="s">
        <v>184</v>
      </c>
      <c r="W619" t="s">
        <v>178</v>
      </c>
      <c r="X619" t="s">
        <v>503</v>
      </c>
      <c r="Y619" t="s">
        <v>179</v>
      </c>
      <c r="Z619" t="s">
        <v>247</v>
      </c>
      <c r="AB619" t="str">
        <f t="shared" si="27"/>
        <v>23795</v>
      </c>
    </row>
    <row r="620" ht="14.25" spans="1:28">
      <c r="A620" s="5" t="s">
        <v>28</v>
      </c>
      <c r="B620" s="5" t="s">
        <v>264</v>
      </c>
      <c r="C620" s="5">
        <v>2027</v>
      </c>
      <c r="D620" s="5" t="s">
        <v>30</v>
      </c>
      <c r="E620" s="9" t="s">
        <v>504</v>
      </c>
      <c r="F620" s="9" t="s">
        <v>505</v>
      </c>
      <c r="G620" s="9" t="s">
        <v>182</v>
      </c>
      <c r="H620" s="9" t="s">
        <v>506</v>
      </c>
      <c r="I620" s="9" t="s">
        <v>403</v>
      </c>
      <c r="J620" s="9" t="s">
        <v>36</v>
      </c>
      <c r="K620" s="9">
        <v>690</v>
      </c>
      <c r="L620" s="9"/>
      <c r="M620" s="9"/>
      <c r="N620" s="9"/>
      <c r="O620" s="9" t="s">
        <v>37</v>
      </c>
      <c r="P620" s="9" t="s">
        <v>38</v>
      </c>
      <c r="Q620" s="11"/>
      <c r="R620" s="10">
        <f t="shared" si="28"/>
        <v>0</v>
      </c>
      <c r="S620" s="10">
        <f>SUMIFS([1]Sheet1!$T:$T,[1]Sheet1!$I:$I,E620,[1]Sheet1!$C:$C,A620)</f>
        <v>0</v>
      </c>
      <c r="T620" s="10">
        <f t="shared" si="29"/>
        <v>0</v>
      </c>
      <c r="U620" s="9"/>
      <c r="X620" t="s">
        <v>102</v>
      </c>
      <c r="Y620" t="s">
        <v>179</v>
      </c>
      <c r="Z620" t="s">
        <v>247</v>
      </c>
      <c r="AB620" t="str">
        <f t="shared" si="27"/>
        <v>23956</v>
      </c>
    </row>
    <row r="621" ht="14.25" spans="1:28">
      <c r="A621" s="5" t="s">
        <v>28</v>
      </c>
      <c r="B621" s="5" t="s">
        <v>264</v>
      </c>
      <c r="C621" s="5">
        <v>2027</v>
      </c>
      <c r="D621" s="5" t="s">
        <v>30</v>
      </c>
      <c r="E621" s="9" t="s">
        <v>504</v>
      </c>
      <c r="F621" s="9" t="s">
        <v>505</v>
      </c>
      <c r="G621" s="9" t="s">
        <v>182</v>
      </c>
      <c r="H621" s="9" t="s">
        <v>506</v>
      </c>
      <c r="I621" s="9" t="s">
        <v>403</v>
      </c>
      <c r="J621" s="9" t="s">
        <v>36</v>
      </c>
      <c r="K621" s="9">
        <v>690</v>
      </c>
      <c r="L621" s="9"/>
      <c r="M621" s="9"/>
      <c r="N621" s="9"/>
      <c r="O621" s="9" t="s">
        <v>37</v>
      </c>
      <c r="P621" s="9" t="s">
        <v>42</v>
      </c>
      <c r="Q621" s="11"/>
      <c r="R621" s="10"/>
      <c r="S621" s="10"/>
      <c r="T621" s="10"/>
      <c r="U621" s="9"/>
      <c r="X621" t="s">
        <v>102</v>
      </c>
      <c r="Y621" t="s">
        <v>179</v>
      </c>
      <c r="Z621" t="s">
        <v>247</v>
      </c>
      <c r="AB621" t="str">
        <f t="shared" si="27"/>
        <v>23956</v>
      </c>
    </row>
    <row r="622" ht="14.25" spans="1:28">
      <c r="A622" s="5" t="s">
        <v>28</v>
      </c>
      <c r="B622" s="5" t="s">
        <v>264</v>
      </c>
      <c r="C622" s="5">
        <v>2027</v>
      </c>
      <c r="D622" s="5" t="s">
        <v>30</v>
      </c>
      <c r="E622" s="9" t="s">
        <v>504</v>
      </c>
      <c r="F622" s="9" t="s">
        <v>505</v>
      </c>
      <c r="G622" s="9" t="s">
        <v>182</v>
      </c>
      <c r="H622" s="9" t="s">
        <v>506</v>
      </c>
      <c r="I622" s="9" t="s">
        <v>403</v>
      </c>
      <c r="J622" s="9" t="s">
        <v>36</v>
      </c>
      <c r="K622" s="9">
        <v>690</v>
      </c>
      <c r="L622" s="9"/>
      <c r="M622" s="9"/>
      <c r="N622" s="9"/>
      <c r="O622" s="9" t="s">
        <v>37</v>
      </c>
      <c r="P622" s="9" t="s">
        <v>43</v>
      </c>
      <c r="Q622" s="11"/>
      <c r="R622" s="10"/>
      <c r="S622" s="10"/>
      <c r="T622" s="10"/>
      <c r="U622" s="9"/>
      <c r="X622" t="s">
        <v>102</v>
      </c>
      <c r="Y622" t="s">
        <v>179</v>
      </c>
      <c r="Z622" t="s">
        <v>247</v>
      </c>
      <c r="AB622" t="str">
        <f t="shared" si="27"/>
        <v>23956</v>
      </c>
    </row>
    <row r="623" ht="14.25" spans="1:28">
      <c r="A623" s="5" t="s">
        <v>28</v>
      </c>
      <c r="B623" s="5" t="s">
        <v>264</v>
      </c>
      <c r="C623" s="5">
        <v>2027</v>
      </c>
      <c r="D623" s="5" t="s">
        <v>30</v>
      </c>
      <c r="E623" s="9" t="s">
        <v>504</v>
      </c>
      <c r="F623" s="9" t="s">
        <v>505</v>
      </c>
      <c r="G623" s="9" t="s">
        <v>182</v>
      </c>
      <c r="H623" s="9" t="s">
        <v>506</v>
      </c>
      <c r="I623" s="9" t="s">
        <v>403</v>
      </c>
      <c r="J623" s="9" t="s">
        <v>36</v>
      </c>
      <c r="K623" s="9">
        <v>690</v>
      </c>
      <c r="L623" s="9"/>
      <c r="M623" s="9"/>
      <c r="N623" s="9"/>
      <c r="O623" s="9" t="s">
        <v>37</v>
      </c>
      <c r="P623" s="9" t="s">
        <v>44</v>
      </c>
      <c r="Q623" s="11"/>
      <c r="R623" s="10"/>
      <c r="S623" s="10"/>
      <c r="T623" s="10"/>
      <c r="U623" s="9"/>
      <c r="X623" t="s">
        <v>102</v>
      </c>
      <c r="Y623" t="s">
        <v>179</v>
      </c>
      <c r="Z623" t="s">
        <v>247</v>
      </c>
      <c r="AB623" t="str">
        <f t="shared" si="27"/>
        <v>23956</v>
      </c>
    </row>
    <row r="624" ht="14.25" spans="1:28">
      <c r="A624" s="5" t="s">
        <v>28</v>
      </c>
      <c r="B624" s="5" t="s">
        <v>264</v>
      </c>
      <c r="C624" s="5">
        <v>2027</v>
      </c>
      <c r="D624" s="5" t="s">
        <v>30</v>
      </c>
      <c r="E624" s="9" t="s">
        <v>504</v>
      </c>
      <c r="F624" s="9" t="s">
        <v>505</v>
      </c>
      <c r="G624" s="9" t="s">
        <v>182</v>
      </c>
      <c r="H624" s="9" t="s">
        <v>506</v>
      </c>
      <c r="I624" s="9" t="s">
        <v>403</v>
      </c>
      <c r="J624" s="9" t="s">
        <v>36</v>
      </c>
      <c r="K624" s="9">
        <v>690</v>
      </c>
      <c r="L624" s="9"/>
      <c r="M624" s="9"/>
      <c r="N624" s="9"/>
      <c r="O624" s="9" t="s">
        <v>37</v>
      </c>
      <c r="P624" s="9" t="s">
        <v>45</v>
      </c>
      <c r="Q624" s="11"/>
      <c r="R624" s="10"/>
      <c r="S624" s="10"/>
      <c r="T624" s="10"/>
      <c r="U624" s="9"/>
      <c r="X624" t="s">
        <v>102</v>
      </c>
      <c r="Y624" t="s">
        <v>179</v>
      </c>
      <c r="Z624" t="s">
        <v>247</v>
      </c>
      <c r="AB624" t="str">
        <f t="shared" si="27"/>
        <v>23956</v>
      </c>
    </row>
    <row r="625" ht="14.25" spans="1:28">
      <c r="A625" s="5" t="s">
        <v>28</v>
      </c>
      <c r="B625" s="5" t="s">
        <v>264</v>
      </c>
      <c r="C625" s="5">
        <v>2027</v>
      </c>
      <c r="D625" s="5" t="s">
        <v>30</v>
      </c>
      <c r="E625" s="9" t="s">
        <v>507</v>
      </c>
      <c r="F625" s="9" t="s">
        <v>505</v>
      </c>
      <c r="G625" s="9" t="s">
        <v>397</v>
      </c>
      <c r="H625" s="9" t="s">
        <v>508</v>
      </c>
      <c r="I625" s="9" t="s">
        <v>403</v>
      </c>
      <c r="J625" s="9" t="s">
        <v>36</v>
      </c>
      <c r="K625" s="9">
        <v>690</v>
      </c>
      <c r="L625" s="9"/>
      <c r="M625" s="9"/>
      <c r="N625" s="9"/>
      <c r="O625" s="9" t="s">
        <v>37</v>
      </c>
      <c r="P625" s="9" t="s">
        <v>38</v>
      </c>
      <c r="Q625" s="11"/>
      <c r="R625" s="10">
        <f t="shared" si="28"/>
        <v>0</v>
      </c>
      <c r="S625" s="10">
        <f>SUMIFS([1]Sheet1!$T:$T,[1]Sheet1!$I:$I,E625,[1]Sheet1!$C:$C,A625)</f>
        <v>0</v>
      </c>
      <c r="T625" s="10">
        <f t="shared" si="29"/>
        <v>0</v>
      </c>
      <c r="U625" s="9"/>
      <c r="Y625" t="s">
        <v>179</v>
      </c>
      <c r="Z625" t="s">
        <v>247</v>
      </c>
      <c r="AB625" t="str">
        <f t="shared" si="27"/>
        <v>23956</v>
      </c>
    </row>
    <row r="626" ht="14.25" spans="1:28">
      <c r="A626" s="5" t="s">
        <v>28</v>
      </c>
      <c r="B626" s="5" t="s">
        <v>264</v>
      </c>
      <c r="C626" s="5">
        <v>2027</v>
      </c>
      <c r="D626" s="5" t="s">
        <v>30</v>
      </c>
      <c r="E626" s="9" t="s">
        <v>507</v>
      </c>
      <c r="F626" s="9" t="s">
        <v>505</v>
      </c>
      <c r="G626" s="9" t="s">
        <v>397</v>
      </c>
      <c r="H626" s="9" t="s">
        <v>508</v>
      </c>
      <c r="I626" s="9" t="s">
        <v>403</v>
      </c>
      <c r="J626" s="9" t="s">
        <v>36</v>
      </c>
      <c r="K626" s="9">
        <v>690</v>
      </c>
      <c r="L626" s="9"/>
      <c r="M626" s="9"/>
      <c r="N626" s="9"/>
      <c r="O626" s="9" t="s">
        <v>37</v>
      </c>
      <c r="P626" s="9" t="s">
        <v>42</v>
      </c>
      <c r="Q626" s="11"/>
      <c r="R626" s="10"/>
      <c r="S626" s="10"/>
      <c r="T626" s="10"/>
      <c r="U626" s="9"/>
      <c r="Y626" t="s">
        <v>179</v>
      </c>
      <c r="Z626" t="s">
        <v>247</v>
      </c>
      <c r="AB626" t="str">
        <f t="shared" si="27"/>
        <v>23956</v>
      </c>
    </row>
    <row r="627" ht="14.25" spans="1:28">
      <c r="A627" s="5" t="s">
        <v>28</v>
      </c>
      <c r="B627" s="5" t="s">
        <v>264</v>
      </c>
      <c r="C627" s="5">
        <v>2027</v>
      </c>
      <c r="D627" s="5" t="s">
        <v>30</v>
      </c>
      <c r="E627" s="9" t="s">
        <v>507</v>
      </c>
      <c r="F627" s="9" t="s">
        <v>505</v>
      </c>
      <c r="G627" s="9" t="s">
        <v>397</v>
      </c>
      <c r="H627" s="9" t="s">
        <v>508</v>
      </c>
      <c r="I627" s="9" t="s">
        <v>403</v>
      </c>
      <c r="J627" s="9" t="s">
        <v>36</v>
      </c>
      <c r="K627" s="9">
        <v>690</v>
      </c>
      <c r="L627" s="9"/>
      <c r="M627" s="9"/>
      <c r="N627" s="9"/>
      <c r="O627" s="9" t="s">
        <v>37</v>
      </c>
      <c r="P627" s="9" t="s">
        <v>43</v>
      </c>
      <c r="Q627" s="11"/>
      <c r="R627" s="10"/>
      <c r="S627" s="10"/>
      <c r="T627" s="10"/>
      <c r="U627" s="9"/>
      <c r="Y627" t="s">
        <v>179</v>
      </c>
      <c r="Z627" t="s">
        <v>247</v>
      </c>
      <c r="AB627" t="str">
        <f t="shared" si="27"/>
        <v>23956</v>
      </c>
    </row>
    <row r="628" ht="14.25" spans="1:28">
      <c r="A628" s="5" t="s">
        <v>28</v>
      </c>
      <c r="B628" s="5" t="s">
        <v>264</v>
      </c>
      <c r="C628" s="5">
        <v>2027</v>
      </c>
      <c r="D628" s="5" t="s">
        <v>30</v>
      </c>
      <c r="E628" s="9" t="s">
        <v>507</v>
      </c>
      <c r="F628" s="9" t="s">
        <v>505</v>
      </c>
      <c r="G628" s="9" t="s">
        <v>397</v>
      </c>
      <c r="H628" s="9" t="s">
        <v>508</v>
      </c>
      <c r="I628" s="9" t="s">
        <v>403</v>
      </c>
      <c r="J628" s="9" t="s">
        <v>36</v>
      </c>
      <c r="K628" s="9">
        <v>690</v>
      </c>
      <c r="L628" s="9"/>
      <c r="M628" s="9"/>
      <c r="N628" s="9"/>
      <c r="O628" s="9" t="s">
        <v>37</v>
      </c>
      <c r="P628" s="9" t="s">
        <v>44</v>
      </c>
      <c r="Q628" s="9"/>
      <c r="R628" s="10"/>
      <c r="S628" s="10"/>
      <c r="T628" s="10"/>
      <c r="U628" s="9"/>
      <c r="Y628" t="s">
        <v>179</v>
      </c>
      <c r="Z628" t="s">
        <v>247</v>
      </c>
      <c r="AB628" t="str">
        <f t="shared" si="27"/>
        <v>23956</v>
      </c>
    </row>
    <row r="629" ht="14.25" spans="1:28">
      <c r="A629" s="5" t="s">
        <v>28</v>
      </c>
      <c r="B629" s="5" t="s">
        <v>264</v>
      </c>
      <c r="C629" s="5">
        <v>2027</v>
      </c>
      <c r="D629" s="5" t="s">
        <v>30</v>
      </c>
      <c r="E629" s="9" t="s">
        <v>507</v>
      </c>
      <c r="F629" s="9" t="s">
        <v>505</v>
      </c>
      <c r="G629" s="9" t="s">
        <v>397</v>
      </c>
      <c r="H629" s="9" t="s">
        <v>508</v>
      </c>
      <c r="I629" s="9" t="s">
        <v>403</v>
      </c>
      <c r="J629" s="9" t="s">
        <v>36</v>
      </c>
      <c r="K629" s="9">
        <v>690</v>
      </c>
      <c r="L629" s="9"/>
      <c r="M629" s="9"/>
      <c r="N629" s="9"/>
      <c r="O629" s="9" t="s">
        <v>37</v>
      </c>
      <c r="P629" s="9" t="s">
        <v>45</v>
      </c>
      <c r="Q629" s="9"/>
      <c r="R629" s="10"/>
      <c r="S629" s="10"/>
      <c r="T629" s="10"/>
      <c r="U629" s="9"/>
      <c r="Y629" t="s">
        <v>179</v>
      </c>
      <c r="Z629" t="s">
        <v>247</v>
      </c>
      <c r="AB629" t="str">
        <f t="shared" si="27"/>
        <v>23956</v>
      </c>
    </row>
    <row r="630" ht="14.25" spans="1:28">
      <c r="A630" s="5" t="s">
        <v>28</v>
      </c>
      <c r="B630" s="5" t="s">
        <v>264</v>
      </c>
      <c r="C630" s="5">
        <v>2027</v>
      </c>
      <c r="D630" s="5" t="s">
        <v>30</v>
      </c>
      <c r="E630" s="9" t="s">
        <v>509</v>
      </c>
      <c r="F630" s="9" t="s">
        <v>510</v>
      </c>
      <c r="G630" s="9" t="s">
        <v>511</v>
      </c>
      <c r="H630" s="9" t="s">
        <v>512</v>
      </c>
      <c r="I630" s="9" t="s">
        <v>276</v>
      </c>
      <c r="J630" s="9" t="s">
        <v>36</v>
      </c>
      <c r="K630" s="9">
        <v>390</v>
      </c>
      <c r="L630" s="9"/>
      <c r="M630" s="9"/>
      <c r="N630" s="9"/>
      <c r="O630" s="9" t="s">
        <v>37</v>
      </c>
      <c r="P630" s="9" t="s">
        <v>38</v>
      </c>
      <c r="Q630" s="9"/>
      <c r="R630" s="10">
        <f t="shared" si="28"/>
        <v>0</v>
      </c>
      <c r="S630" s="10">
        <f>SUMIFS([1]Sheet1!$T:$T,[1]Sheet1!$I:$I,E630,[1]Sheet1!$C:$C,A630)</f>
        <v>0</v>
      </c>
      <c r="T630" s="10">
        <f t="shared" si="29"/>
        <v>0</v>
      </c>
      <c r="U630" s="9"/>
      <c r="X630" t="s">
        <v>58</v>
      </c>
      <c r="Y630" t="s">
        <v>179</v>
      </c>
      <c r="Z630" t="s">
        <v>247</v>
      </c>
      <c r="AB630" t="str">
        <f t="shared" si="27"/>
        <v>23987</v>
      </c>
    </row>
    <row r="631" ht="14.25" spans="1:28">
      <c r="A631" s="5" t="s">
        <v>28</v>
      </c>
      <c r="B631" s="5" t="s">
        <v>264</v>
      </c>
      <c r="C631" s="5">
        <v>2027</v>
      </c>
      <c r="D631" s="5" t="s">
        <v>30</v>
      </c>
      <c r="E631" s="9" t="s">
        <v>509</v>
      </c>
      <c r="F631" s="9" t="s">
        <v>510</v>
      </c>
      <c r="G631" s="9" t="s">
        <v>511</v>
      </c>
      <c r="H631" s="9" t="s">
        <v>512</v>
      </c>
      <c r="I631" s="9" t="s">
        <v>276</v>
      </c>
      <c r="J631" s="9" t="s">
        <v>36</v>
      </c>
      <c r="K631" s="9">
        <v>390</v>
      </c>
      <c r="L631" s="9"/>
      <c r="M631" s="9"/>
      <c r="N631" s="9"/>
      <c r="O631" s="9" t="s">
        <v>37</v>
      </c>
      <c r="P631" s="9" t="s">
        <v>42</v>
      </c>
      <c r="Q631" s="9"/>
      <c r="R631" s="10"/>
      <c r="S631" s="10"/>
      <c r="T631" s="10"/>
      <c r="U631" s="9"/>
      <c r="X631" t="s">
        <v>58</v>
      </c>
      <c r="Y631" t="s">
        <v>179</v>
      </c>
      <c r="Z631" t="s">
        <v>247</v>
      </c>
      <c r="AB631" t="str">
        <f t="shared" si="27"/>
        <v>23987</v>
      </c>
    </row>
    <row r="632" ht="14.25" spans="1:28">
      <c r="A632" s="5" t="s">
        <v>28</v>
      </c>
      <c r="B632" s="5" t="s">
        <v>264</v>
      </c>
      <c r="C632" s="5">
        <v>2027</v>
      </c>
      <c r="D632" s="5" t="s">
        <v>30</v>
      </c>
      <c r="E632" s="9" t="s">
        <v>509</v>
      </c>
      <c r="F632" s="9" t="s">
        <v>510</v>
      </c>
      <c r="G632" s="9" t="s">
        <v>511</v>
      </c>
      <c r="H632" s="9" t="s">
        <v>512</v>
      </c>
      <c r="I632" s="9" t="s">
        <v>276</v>
      </c>
      <c r="J632" s="9" t="s">
        <v>36</v>
      </c>
      <c r="K632" s="9">
        <v>390</v>
      </c>
      <c r="L632" s="9"/>
      <c r="M632" s="9"/>
      <c r="N632" s="9"/>
      <c r="O632" s="9" t="s">
        <v>37</v>
      </c>
      <c r="P632" s="9" t="s">
        <v>43</v>
      </c>
      <c r="Q632" s="9"/>
      <c r="R632" s="10"/>
      <c r="S632" s="10"/>
      <c r="T632" s="10"/>
      <c r="U632" s="9"/>
      <c r="X632" t="s">
        <v>58</v>
      </c>
      <c r="Y632" t="s">
        <v>179</v>
      </c>
      <c r="Z632" t="s">
        <v>247</v>
      </c>
      <c r="AB632" t="str">
        <f t="shared" si="27"/>
        <v>23987</v>
      </c>
    </row>
    <row r="633" ht="14.25" spans="1:28">
      <c r="A633" s="5" t="s">
        <v>28</v>
      </c>
      <c r="B633" s="5" t="s">
        <v>264</v>
      </c>
      <c r="C633" s="5">
        <v>2027</v>
      </c>
      <c r="D633" s="5" t="s">
        <v>30</v>
      </c>
      <c r="E633" s="9" t="s">
        <v>509</v>
      </c>
      <c r="F633" s="9" t="s">
        <v>510</v>
      </c>
      <c r="G633" s="9" t="s">
        <v>511</v>
      </c>
      <c r="H633" s="9" t="s">
        <v>512</v>
      </c>
      <c r="I633" s="9" t="s">
        <v>276</v>
      </c>
      <c r="J633" s="9" t="s">
        <v>36</v>
      </c>
      <c r="K633" s="9">
        <v>390</v>
      </c>
      <c r="L633" s="9"/>
      <c r="M633" s="9"/>
      <c r="N633" s="9"/>
      <c r="O633" s="9" t="s">
        <v>37</v>
      </c>
      <c r="P633" s="9" t="s">
        <v>44</v>
      </c>
      <c r="Q633" s="9"/>
      <c r="R633" s="10"/>
      <c r="S633" s="10"/>
      <c r="T633" s="10"/>
      <c r="U633" s="9"/>
      <c r="X633" t="s">
        <v>58</v>
      </c>
      <c r="Y633" t="s">
        <v>179</v>
      </c>
      <c r="Z633" t="s">
        <v>247</v>
      </c>
      <c r="AB633" t="str">
        <f t="shared" si="27"/>
        <v>23987</v>
      </c>
    </row>
    <row r="634" ht="14.25" spans="1:28">
      <c r="A634" s="5" t="s">
        <v>28</v>
      </c>
      <c r="B634" s="5" t="s">
        <v>264</v>
      </c>
      <c r="C634" s="5">
        <v>2027</v>
      </c>
      <c r="D634" s="5" t="s">
        <v>30</v>
      </c>
      <c r="E634" s="9" t="s">
        <v>509</v>
      </c>
      <c r="F634" s="9" t="s">
        <v>510</v>
      </c>
      <c r="G634" s="9" t="s">
        <v>511</v>
      </c>
      <c r="H634" s="9" t="s">
        <v>512</v>
      </c>
      <c r="I634" s="9" t="s">
        <v>276</v>
      </c>
      <c r="J634" s="9" t="s">
        <v>36</v>
      </c>
      <c r="K634" s="9">
        <v>390</v>
      </c>
      <c r="L634" s="9"/>
      <c r="M634" s="9"/>
      <c r="N634" s="9"/>
      <c r="O634" s="9" t="s">
        <v>37</v>
      </c>
      <c r="P634" s="9" t="s">
        <v>45</v>
      </c>
      <c r="Q634" s="9"/>
      <c r="R634" s="10"/>
      <c r="S634" s="10"/>
      <c r="T634" s="10"/>
      <c r="U634" s="9"/>
      <c r="X634" t="s">
        <v>58</v>
      </c>
      <c r="Y634" t="s">
        <v>179</v>
      </c>
      <c r="Z634" t="s">
        <v>247</v>
      </c>
      <c r="AB634" t="str">
        <f t="shared" si="27"/>
        <v>23987</v>
      </c>
    </row>
    <row r="635" ht="14.25" spans="1:28">
      <c r="A635" s="5" t="s">
        <v>28</v>
      </c>
      <c r="B635" s="5" t="s">
        <v>264</v>
      </c>
      <c r="C635" s="5">
        <v>2027</v>
      </c>
      <c r="D635" s="5" t="s">
        <v>30</v>
      </c>
      <c r="E635" s="9" t="s">
        <v>513</v>
      </c>
      <c r="F635" s="9" t="s">
        <v>510</v>
      </c>
      <c r="G635" s="9" t="s">
        <v>346</v>
      </c>
      <c r="H635" s="9" t="s">
        <v>514</v>
      </c>
      <c r="I635" s="9" t="s">
        <v>276</v>
      </c>
      <c r="J635" s="9" t="s">
        <v>36</v>
      </c>
      <c r="K635" s="9">
        <v>390</v>
      </c>
      <c r="L635" s="9"/>
      <c r="M635" s="9"/>
      <c r="N635" s="9"/>
      <c r="O635" s="9" t="s">
        <v>37</v>
      </c>
      <c r="P635" s="9" t="s">
        <v>38</v>
      </c>
      <c r="Q635" s="9"/>
      <c r="R635" s="10">
        <f t="shared" si="28"/>
        <v>0</v>
      </c>
      <c r="S635" s="10">
        <f>SUMIFS([1]Sheet1!$T:$T,[1]Sheet1!$I:$I,E635,[1]Sheet1!$C:$C,A635)</f>
        <v>0</v>
      </c>
      <c r="T635" s="10">
        <f t="shared" si="29"/>
        <v>0</v>
      </c>
      <c r="U635" s="9"/>
      <c r="X635" t="s">
        <v>191</v>
      </c>
      <c r="Y635" t="s">
        <v>179</v>
      </c>
      <c r="Z635" t="s">
        <v>247</v>
      </c>
      <c r="AB635" t="str">
        <f t="shared" si="27"/>
        <v>23987</v>
      </c>
    </row>
    <row r="636" ht="14.25" spans="1:28">
      <c r="A636" s="5" t="s">
        <v>28</v>
      </c>
      <c r="B636" s="5" t="s">
        <v>264</v>
      </c>
      <c r="C636" s="5">
        <v>2027</v>
      </c>
      <c r="D636" s="5" t="s">
        <v>30</v>
      </c>
      <c r="E636" s="9" t="s">
        <v>513</v>
      </c>
      <c r="F636" s="9" t="s">
        <v>510</v>
      </c>
      <c r="G636" s="9" t="s">
        <v>346</v>
      </c>
      <c r="H636" s="9" t="s">
        <v>514</v>
      </c>
      <c r="I636" s="9" t="s">
        <v>276</v>
      </c>
      <c r="J636" s="9" t="s">
        <v>36</v>
      </c>
      <c r="K636" s="9">
        <v>390</v>
      </c>
      <c r="L636" s="9"/>
      <c r="M636" s="9"/>
      <c r="N636" s="9"/>
      <c r="O636" s="9" t="s">
        <v>37</v>
      </c>
      <c r="P636" s="9" t="s">
        <v>42</v>
      </c>
      <c r="Q636" s="9"/>
      <c r="R636" s="10"/>
      <c r="S636" s="10"/>
      <c r="T636" s="10"/>
      <c r="U636" s="9"/>
      <c r="X636" t="s">
        <v>191</v>
      </c>
      <c r="Y636" t="s">
        <v>179</v>
      </c>
      <c r="Z636" t="s">
        <v>247</v>
      </c>
      <c r="AB636" t="str">
        <f t="shared" si="27"/>
        <v>23987</v>
      </c>
    </row>
    <row r="637" ht="14.25" spans="1:28">
      <c r="A637" s="5" t="s">
        <v>28</v>
      </c>
      <c r="B637" s="5" t="s">
        <v>264</v>
      </c>
      <c r="C637" s="5">
        <v>2027</v>
      </c>
      <c r="D637" s="5" t="s">
        <v>30</v>
      </c>
      <c r="E637" s="9" t="s">
        <v>513</v>
      </c>
      <c r="F637" s="9" t="s">
        <v>510</v>
      </c>
      <c r="G637" s="9" t="s">
        <v>346</v>
      </c>
      <c r="H637" s="9" t="s">
        <v>514</v>
      </c>
      <c r="I637" s="9" t="s">
        <v>276</v>
      </c>
      <c r="J637" s="9" t="s">
        <v>36</v>
      </c>
      <c r="K637" s="9">
        <v>390</v>
      </c>
      <c r="L637" s="9"/>
      <c r="M637" s="9"/>
      <c r="N637" s="9"/>
      <c r="O637" s="9" t="s">
        <v>37</v>
      </c>
      <c r="P637" s="9" t="s">
        <v>43</v>
      </c>
      <c r="Q637" s="9"/>
      <c r="R637" s="10"/>
      <c r="S637" s="10"/>
      <c r="T637" s="10"/>
      <c r="U637" s="9"/>
      <c r="X637" t="s">
        <v>191</v>
      </c>
      <c r="Y637" t="s">
        <v>179</v>
      </c>
      <c r="Z637" t="s">
        <v>247</v>
      </c>
      <c r="AB637" t="str">
        <f t="shared" si="27"/>
        <v>23987</v>
      </c>
    </row>
    <row r="638" ht="14.25" spans="1:28">
      <c r="A638" s="5" t="s">
        <v>28</v>
      </c>
      <c r="B638" s="5" t="s">
        <v>264</v>
      </c>
      <c r="C638" s="5">
        <v>2027</v>
      </c>
      <c r="D638" s="5" t="s">
        <v>30</v>
      </c>
      <c r="E638" s="9" t="s">
        <v>513</v>
      </c>
      <c r="F638" s="9" t="s">
        <v>510</v>
      </c>
      <c r="G638" s="9" t="s">
        <v>346</v>
      </c>
      <c r="H638" s="9" t="s">
        <v>514</v>
      </c>
      <c r="I638" s="9" t="s">
        <v>276</v>
      </c>
      <c r="J638" s="9" t="s">
        <v>36</v>
      </c>
      <c r="K638" s="9">
        <v>390</v>
      </c>
      <c r="L638" s="9"/>
      <c r="M638" s="9"/>
      <c r="N638" s="9"/>
      <c r="O638" s="9" t="s">
        <v>37</v>
      </c>
      <c r="P638" s="9" t="s">
        <v>44</v>
      </c>
      <c r="Q638" s="9"/>
      <c r="R638" s="10"/>
      <c r="S638" s="10"/>
      <c r="T638" s="10"/>
      <c r="U638" s="9"/>
      <c r="X638" t="s">
        <v>191</v>
      </c>
      <c r="Y638" t="s">
        <v>179</v>
      </c>
      <c r="Z638" t="s">
        <v>247</v>
      </c>
      <c r="AB638" t="str">
        <f t="shared" si="27"/>
        <v>23987</v>
      </c>
    </row>
    <row r="639" ht="14.25" spans="1:28">
      <c r="A639" s="5" t="s">
        <v>28</v>
      </c>
      <c r="B639" s="5" t="s">
        <v>264</v>
      </c>
      <c r="C639" s="5">
        <v>2027</v>
      </c>
      <c r="D639" s="5" t="s">
        <v>30</v>
      </c>
      <c r="E639" s="9" t="s">
        <v>513</v>
      </c>
      <c r="F639" s="9" t="s">
        <v>510</v>
      </c>
      <c r="G639" s="9" t="s">
        <v>346</v>
      </c>
      <c r="H639" s="9" t="s">
        <v>514</v>
      </c>
      <c r="I639" s="9" t="s">
        <v>276</v>
      </c>
      <c r="J639" s="9" t="s">
        <v>36</v>
      </c>
      <c r="K639" s="9">
        <v>390</v>
      </c>
      <c r="L639" s="9"/>
      <c r="M639" s="9"/>
      <c r="N639" s="9"/>
      <c r="O639" s="9" t="s">
        <v>37</v>
      </c>
      <c r="P639" s="9" t="s">
        <v>45</v>
      </c>
      <c r="Q639" s="9"/>
      <c r="R639" s="10"/>
      <c r="S639" s="10"/>
      <c r="T639" s="10"/>
      <c r="U639" s="9"/>
      <c r="X639" t="s">
        <v>191</v>
      </c>
      <c r="Y639" t="s">
        <v>179</v>
      </c>
      <c r="Z639" t="s">
        <v>247</v>
      </c>
      <c r="AB639" t="str">
        <f t="shared" si="27"/>
        <v>23987</v>
      </c>
    </row>
    <row r="640" ht="14.25" spans="1:28">
      <c r="A640" s="5" t="s">
        <v>28</v>
      </c>
      <c r="B640" s="5" t="s">
        <v>264</v>
      </c>
      <c r="C640" s="5">
        <v>2027</v>
      </c>
      <c r="D640" s="5" t="s">
        <v>30</v>
      </c>
      <c r="E640" s="9" t="s">
        <v>515</v>
      </c>
      <c r="F640" s="9" t="s">
        <v>516</v>
      </c>
      <c r="G640" s="9" t="s">
        <v>117</v>
      </c>
      <c r="H640" s="9" t="s">
        <v>517</v>
      </c>
      <c r="I640" s="9" t="s">
        <v>276</v>
      </c>
      <c r="J640" s="9" t="s">
        <v>36</v>
      </c>
      <c r="K640" s="9">
        <v>290</v>
      </c>
      <c r="L640" s="9"/>
      <c r="M640" s="9"/>
      <c r="N640" s="9"/>
      <c r="O640" s="9" t="s">
        <v>37</v>
      </c>
      <c r="P640" s="9" t="s">
        <v>38</v>
      </c>
      <c r="Q640" s="9"/>
      <c r="R640" s="10">
        <f t="shared" si="28"/>
        <v>0</v>
      </c>
      <c r="S640" s="10">
        <f>SUMIFS([1]Sheet1!$T:$T,[1]Sheet1!$I:$I,E640,[1]Sheet1!$C:$C,A640)</f>
        <v>0</v>
      </c>
      <c r="T640" s="10">
        <f t="shared" si="29"/>
        <v>0</v>
      </c>
      <c r="U640" s="9"/>
      <c r="X640" t="s">
        <v>122</v>
      </c>
      <c r="Y640" t="s">
        <v>179</v>
      </c>
      <c r="Z640" t="s">
        <v>247</v>
      </c>
      <c r="AB640" t="str">
        <f t="shared" si="27"/>
        <v>23990</v>
      </c>
    </row>
    <row r="641" ht="14.25" spans="1:28">
      <c r="A641" s="5" t="s">
        <v>28</v>
      </c>
      <c r="B641" s="5" t="s">
        <v>264</v>
      </c>
      <c r="C641" s="5">
        <v>2027</v>
      </c>
      <c r="D641" s="5" t="s">
        <v>30</v>
      </c>
      <c r="E641" s="9" t="s">
        <v>515</v>
      </c>
      <c r="F641" s="9" t="s">
        <v>516</v>
      </c>
      <c r="G641" s="9" t="s">
        <v>117</v>
      </c>
      <c r="H641" s="9" t="s">
        <v>517</v>
      </c>
      <c r="I641" s="9" t="s">
        <v>276</v>
      </c>
      <c r="J641" s="9" t="s">
        <v>36</v>
      </c>
      <c r="K641" s="9">
        <v>290</v>
      </c>
      <c r="L641" s="9"/>
      <c r="M641" s="9"/>
      <c r="N641" s="9"/>
      <c r="O641" s="9" t="s">
        <v>37</v>
      </c>
      <c r="P641" s="9" t="s">
        <v>42</v>
      </c>
      <c r="Q641" s="9"/>
      <c r="R641" s="10"/>
      <c r="S641" s="10"/>
      <c r="T641" s="10"/>
      <c r="U641" s="9"/>
      <c r="X641" t="s">
        <v>122</v>
      </c>
      <c r="Y641" t="s">
        <v>179</v>
      </c>
      <c r="Z641" t="s">
        <v>247</v>
      </c>
      <c r="AB641" t="str">
        <f t="shared" si="27"/>
        <v>23990</v>
      </c>
    </row>
    <row r="642" ht="14.25" spans="1:28">
      <c r="A642" s="5" t="s">
        <v>28</v>
      </c>
      <c r="B642" s="5" t="s">
        <v>264</v>
      </c>
      <c r="C642" s="5">
        <v>2027</v>
      </c>
      <c r="D642" s="5" t="s">
        <v>30</v>
      </c>
      <c r="E642" s="9" t="s">
        <v>515</v>
      </c>
      <c r="F642" s="9" t="s">
        <v>516</v>
      </c>
      <c r="G642" s="9" t="s">
        <v>117</v>
      </c>
      <c r="H642" s="9" t="s">
        <v>517</v>
      </c>
      <c r="I642" s="9" t="s">
        <v>276</v>
      </c>
      <c r="J642" s="9" t="s">
        <v>36</v>
      </c>
      <c r="K642" s="9">
        <v>290</v>
      </c>
      <c r="L642" s="9"/>
      <c r="M642" s="9"/>
      <c r="N642" s="9"/>
      <c r="O642" s="9" t="s">
        <v>37</v>
      </c>
      <c r="P642" s="9" t="s">
        <v>43</v>
      </c>
      <c r="Q642" s="9"/>
      <c r="R642" s="10"/>
      <c r="S642" s="10"/>
      <c r="T642" s="10"/>
      <c r="U642" s="9"/>
      <c r="X642" t="s">
        <v>122</v>
      </c>
      <c r="Y642" t="s">
        <v>179</v>
      </c>
      <c r="Z642" t="s">
        <v>247</v>
      </c>
      <c r="AB642" t="str">
        <f t="shared" si="27"/>
        <v>23990</v>
      </c>
    </row>
    <row r="643" ht="14.25" spans="1:28">
      <c r="A643" s="5" t="s">
        <v>28</v>
      </c>
      <c r="B643" s="5" t="s">
        <v>264</v>
      </c>
      <c r="C643" s="5">
        <v>2027</v>
      </c>
      <c r="D643" s="5" t="s">
        <v>30</v>
      </c>
      <c r="E643" s="9" t="s">
        <v>515</v>
      </c>
      <c r="F643" s="9" t="s">
        <v>516</v>
      </c>
      <c r="G643" s="9" t="s">
        <v>117</v>
      </c>
      <c r="H643" s="9" t="s">
        <v>517</v>
      </c>
      <c r="I643" s="9" t="s">
        <v>276</v>
      </c>
      <c r="J643" s="9" t="s">
        <v>36</v>
      </c>
      <c r="K643" s="9">
        <v>290</v>
      </c>
      <c r="L643" s="9"/>
      <c r="M643" s="9"/>
      <c r="N643" s="9"/>
      <c r="O643" s="9" t="s">
        <v>37</v>
      </c>
      <c r="P643" s="9" t="s">
        <v>44</v>
      </c>
      <c r="Q643" s="9"/>
      <c r="R643" s="10"/>
      <c r="S643" s="10"/>
      <c r="T643" s="10"/>
      <c r="U643" s="9"/>
      <c r="X643" t="s">
        <v>122</v>
      </c>
      <c r="Y643" t="s">
        <v>179</v>
      </c>
      <c r="Z643" t="s">
        <v>247</v>
      </c>
      <c r="AB643" t="str">
        <f t="shared" ref="AB643:AB706" si="30">MID(E643,6,5)</f>
        <v>23990</v>
      </c>
    </row>
    <row r="644" ht="14.25" spans="1:28">
      <c r="A644" s="5" t="s">
        <v>28</v>
      </c>
      <c r="B644" s="5" t="s">
        <v>264</v>
      </c>
      <c r="C644" s="5">
        <v>2027</v>
      </c>
      <c r="D644" s="5" t="s">
        <v>30</v>
      </c>
      <c r="E644" s="9" t="s">
        <v>515</v>
      </c>
      <c r="F644" s="9" t="s">
        <v>516</v>
      </c>
      <c r="G644" s="9" t="s">
        <v>117</v>
      </c>
      <c r="H644" s="9" t="s">
        <v>517</v>
      </c>
      <c r="I644" s="9" t="s">
        <v>276</v>
      </c>
      <c r="J644" s="9" t="s">
        <v>36</v>
      </c>
      <c r="K644" s="9">
        <v>290</v>
      </c>
      <c r="L644" s="9"/>
      <c r="M644" s="9"/>
      <c r="N644" s="9"/>
      <c r="O644" s="9" t="s">
        <v>37</v>
      </c>
      <c r="P644" s="9" t="s">
        <v>45</v>
      </c>
      <c r="Q644" s="9"/>
      <c r="R644" s="10"/>
      <c r="S644" s="10"/>
      <c r="T644" s="10"/>
      <c r="U644" s="9"/>
      <c r="X644" t="s">
        <v>122</v>
      </c>
      <c r="Y644" t="s">
        <v>179</v>
      </c>
      <c r="Z644" t="s">
        <v>247</v>
      </c>
      <c r="AB644" t="str">
        <f t="shared" si="30"/>
        <v>23990</v>
      </c>
    </row>
    <row r="645" ht="14.25" spans="1:28">
      <c r="A645" s="5" t="s">
        <v>28</v>
      </c>
      <c r="B645" s="5" t="s">
        <v>264</v>
      </c>
      <c r="C645" s="5">
        <v>2027</v>
      </c>
      <c r="D645" s="5" t="s">
        <v>30</v>
      </c>
      <c r="E645" s="9" t="s">
        <v>518</v>
      </c>
      <c r="F645" s="9" t="s">
        <v>516</v>
      </c>
      <c r="G645" s="9" t="s">
        <v>346</v>
      </c>
      <c r="H645" s="9" t="s">
        <v>519</v>
      </c>
      <c r="I645" s="9" t="s">
        <v>276</v>
      </c>
      <c r="J645" s="9" t="s">
        <v>36</v>
      </c>
      <c r="K645" s="9">
        <v>290</v>
      </c>
      <c r="L645" s="9"/>
      <c r="M645" s="9"/>
      <c r="N645" s="9"/>
      <c r="O645" s="9" t="s">
        <v>37</v>
      </c>
      <c r="P645" s="9" t="s">
        <v>38</v>
      </c>
      <c r="Q645" s="9"/>
      <c r="R645" s="10">
        <f t="shared" ref="R642:R705" si="31">SUMIFS(Q:Q,E:E,E645)</f>
        <v>0</v>
      </c>
      <c r="S645" s="10">
        <f>SUMIFS([1]Sheet1!$T:$T,[1]Sheet1!$I:$I,E645,[1]Sheet1!$C:$C,A645)</f>
        <v>0</v>
      </c>
      <c r="T645" s="10">
        <f t="shared" ref="T642:T705" si="32">R645-S645</f>
        <v>0</v>
      </c>
      <c r="U645" s="9"/>
      <c r="X645" t="s">
        <v>191</v>
      </c>
      <c r="Y645" t="s">
        <v>179</v>
      </c>
      <c r="Z645" t="s">
        <v>247</v>
      </c>
      <c r="AB645" t="str">
        <f t="shared" si="30"/>
        <v>23990</v>
      </c>
    </row>
    <row r="646" ht="14.25" spans="1:28">
      <c r="A646" s="5" t="s">
        <v>28</v>
      </c>
      <c r="B646" s="5" t="s">
        <v>264</v>
      </c>
      <c r="C646" s="5">
        <v>2027</v>
      </c>
      <c r="D646" s="5" t="s">
        <v>30</v>
      </c>
      <c r="E646" s="9" t="s">
        <v>518</v>
      </c>
      <c r="F646" s="9" t="s">
        <v>516</v>
      </c>
      <c r="G646" s="9" t="s">
        <v>346</v>
      </c>
      <c r="H646" s="9" t="s">
        <v>519</v>
      </c>
      <c r="I646" s="9" t="s">
        <v>276</v>
      </c>
      <c r="J646" s="9" t="s">
        <v>36</v>
      </c>
      <c r="K646" s="9">
        <v>290</v>
      </c>
      <c r="L646" s="9"/>
      <c r="M646" s="9"/>
      <c r="N646" s="9"/>
      <c r="O646" s="9" t="s">
        <v>37</v>
      </c>
      <c r="P646" s="9" t="s">
        <v>42</v>
      </c>
      <c r="Q646" s="9"/>
      <c r="R646" s="10"/>
      <c r="S646" s="10"/>
      <c r="T646" s="10"/>
      <c r="U646" s="9"/>
      <c r="X646" t="s">
        <v>191</v>
      </c>
      <c r="Y646" t="s">
        <v>179</v>
      </c>
      <c r="Z646" t="s">
        <v>247</v>
      </c>
      <c r="AB646" t="str">
        <f t="shared" si="30"/>
        <v>23990</v>
      </c>
    </row>
    <row r="647" ht="14.25" spans="1:28">
      <c r="A647" s="5" t="s">
        <v>28</v>
      </c>
      <c r="B647" s="5" t="s">
        <v>264</v>
      </c>
      <c r="C647" s="5">
        <v>2027</v>
      </c>
      <c r="D647" s="5" t="s">
        <v>30</v>
      </c>
      <c r="E647" s="9" t="s">
        <v>518</v>
      </c>
      <c r="F647" s="9" t="s">
        <v>516</v>
      </c>
      <c r="G647" s="9" t="s">
        <v>346</v>
      </c>
      <c r="H647" s="9" t="s">
        <v>519</v>
      </c>
      <c r="I647" s="9" t="s">
        <v>276</v>
      </c>
      <c r="J647" s="9" t="s">
        <v>36</v>
      </c>
      <c r="K647" s="9">
        <v>290</v>
      </c>
      <c r="L647" s="9"/>
      <c r="M647" s="9"/>
      <c r="N647" s="9"/>
      <c r="O647" s="9" t="s">
        <v>37</v>
      </c>
      <c r="P647" s="9" t="s">
        <v>43</v>
      </c>
      <c r="Q647" s="9"/>
      <c r="R647" s="10"/>
      <c r="S647" s="10"/>
      <c r="T647" s="10"/>
      <c r="U647" s="9"/>
      <c r="X647" t="s">
        <v>191</v>
      </c>
      <c r="Y647" t="s">
        <v>179</v>
      </c>
      <c r="Z647" t="s">
        <v>247</v>
      </c>
      <c r="AB647" t="str">
        <f t="shared" si="30"/>
        <v>23990</v>
      </c>
    </row>
    <row r="648" ht="14.25" spans="1:28">
      <c r="A648" s="5" t="s">
        <v>28</v>
      </c>
      <c r="B648" s="5" t="s">
        <v>264</v>
      </c>
      <c r="C648" s="5">
        <v>2027</v>
      </c>
      <c r="D648" s="5" t="s">
        <v>30</v>
      </c>
      <c r="E648" s="9" t="s">
        <v>518</v>
      </c>
      <c r="F648" s="9" t="s">
        <v>516</v>
      </c>
      <c r="G648" s="9" t="s">
        <v>346</v>
      </c>
      <c r="H648" s="9" t="s">
        <v>519</v>
      </c>
      <c r="I648" s="9" t="s">
        <v>276</v>
      </c>
      <c r="J648" s="9" t="s">
        <v>36</v>
      </c>
      <c r="K648" s="9">
        <v>290</v>
      </c>
      <c r="L648" s="9"/>
      <c r="M648" s="9"/>
      <c r="N648" s="9"/>
      <c r="O648" s="9" t="s">
        <v>37</v>
      </c>
      <c r="P648" s="9" t="s">
        <v>44</v>
      </c>
      <c r="Q648" s="9"/>
      <c r="R648" s="10"/>
      <c r="S648" s="10"/>
      <c r="T648" s="10"/>
      <c r="U648" s="9"/>
      <c r="X648" t="s">
        <v>191</v>
      </c>
      <c r="Y648" t="s">
        <v>179</v>
      </c>
      <c r="Z648" t="s">
        <v>247</v>
      </c>
      <c r="AB648" t="str">
        <f t="shared" si="30"/>
        <v>23990</v>
      </c>
    </row>
    <row r="649" ht="14.25" spans="1:28">
      <c r="A649" s="5" t="s">
        <v>28</v>
      </c>
      <c r="B649" s="5" t="s">
        <v>264</v>
      </c>
      <c r="C649" s="5">
        <v>2027</v>
      </c>
      <c r="D649" s="5" t="s">
        <v>30</v>
      </c>
      <c r="E649" s="9" t="s">
        <v>518</v>
      </c>
      <c r="F649" s="9" t="s">
        <v>516</v>
      </c>
      <c r="G649" s="9" t="s">
        <v>346</v>
      </c>
      <c r="H649" s="9" t="s">
        <v>519</v>
      </c>
      <c r="I649" s="9" t="s">
        <v>276</v>
      </c>
      <c r="J649" s="9" t="s">
        <v>36</v>
      </c>
      <c r="K649" s="9">
        <v>290</v>
      </c>
      <c r="L649" s="9"/>
      <c r="M649" s="9"/>
      <c r="N649" s="9"/>
      <c r="O649" s="9" t="s">
        <v>37</v>
      </c>
      <c r="P649" s="9" t="s">
        <v>45</v>
      </c>
      <c r="Q649" s="9"/>
      <c r="R649" s="10"/>
      <c r="S649" s="10"/>
      <c r="T649" s="10"/>
      <c r="U649" s="9"/>
      <c r="X649" t="s">
        <v>191</v>
      </c>
      <c r="Y649" t="s">
        <v>179</v>
      </c>
      <c r="Z649" t="s">
        <v>247</v>
      </c>
      <c r="AB649" t="str">
        <f t="shared" si="30"/>
        <v>23990</v>
      </c>
    </row>
    <row r="650" ht="14.25" spans="1:28">
      <c r="A650" s="5" t="s">
        <v>28</v>
      </c>
      <c r="B650" s="5" t="s">
        <v>264</v>
      </c>
      <c r="C650" s="5">
        <v>2027</v>
      </c>
      <c r="D650" s="5" t="s">
        <v>30</v>
      </c>
      <c r="E650" s="9" t="s">
        <v>520</v>
      </c>
      <c r="F650" s="9" t="s">
        <v>521</v>
      </c>
      <c r="G650" s="9" t="s">
        <v>189</v>
      </c>
      <c r="H650" s="9" t="s">
        <v>522</v>
      </c>
      <c r="I650" s="9" t="s">
        <v>269</v>
      </c>
      <c r="J650" s="9" t="s">
        <v>36</v>
      </c>
      <c r="K650" s="9">
        <v>490</v>
      </c>
      <c r="L650" s="9"/>
      <c r="M650" s="9"/>
      <c r="N650" s="9"/>
      <c r="O650" s="9" t="s">
        <v>37</v>
      </c>
      <c r="P650" s="9" t="s">
        <v>38</v>
      </c>
      <c r="Q650" s="9"/>
      <c r="R650" s="10">
        <f t="shared" si="31"/>
        <v>0</v>
      </c>
      <c r="S650" s="10">
        <f>SUMIFS([1]Sheet1!$T:$T,[1]Sheet1!$I:$I,E650,[1]Sheet1!$C:$C,A650)</f>
        <v>30</v>
      </c>
      <c r="T650" s="10">
        <f t="shared" si="32"/>
        <v>-30</v>
      </c>
      <c r="U650" s="9" t="s">
        <v>148</v>
      </c>
      <c r="V650" t="s">
        <v>184</v>
      </c>
      <c r="W650" t="s">
        <v>178</v>
      </c>
      <c r="X650" t="s">
        <v>191</v>
      </c>
      <c r="Y650" t="s">
        <v>179</v>
      </c>
      <c r="Z650" t="s">
        <v>247</v>
      </c>
      <c r="AB650" t="str">
        <f t="shared" si="30"/>
        <v>24001</v>
      </c>
    </row>
    <row r="651" ht="14.25" spans="1:28">
      <c r="A651" s="5" t="s">
        <v>28</v>
      </c>
      <c r="B651" s="5" t="s">
        <v>264</v>
      </c>
      <c r="C651" s="5">
        <v>2027</v>
      </c>
      <c r="D651" s="5" t="s">
        <v>30</v>
      </c>
      <c r="E651" s="9" t="s">
        <v>520</v>
      </c>
      <c r="F651" s="9" t="s">
        <v>521</v>
      </c>
      <c r="G651" s="9" t="s">
        <v>189</v>
      </c>
      <c r="H651" s="9" t="s">
        <v>522</v>
      </c>
      <c r="I651" s="9" t="s">
        <v>269</v>
      </c>
      <c r="J651" s="9" t="s">
        <v>36</v>
      </c>
      <c r="K651" s="9">
        <v>490</v>
      </c>
      <c r="L651" s="9"/>
      <c r="M651" s="9"/>
      <c r="N651" s="9"/>
      <c r="O651" s="9" t="s">
        <v>37</v>
      </c>
      <c r="P651" s="9" t="s">
        <v>42</v>
      </c>
      <c r="Q651" s="9"/>
      <c r="R651" s="10"/>
      <c r="S651" s="10"/>
      <c r="T651" s="10"/>
      <c r="U651" s="9" t="s">
        <v>148</v>
      </c>
      <c r="V651" t="s">
        <v>184</v>
      </c>
      <c r="W651" t="s">
        <v>178</v>
      </c>
      <c r="X651" t="s">
        <v>191</v>
      </c>
      <c r="Y651" t="s">
        <v>179</v>
      </c>
      <c r="Z651" t="s">
        <v>247</v>
      </c>
      <c r="AB651" t="str">
        <f t="shared" si="30"/>
        <v>24001</v>
      </c>
    </row>
    <row r="652" ht="14.25" spans="1:28">
      <c r="A652" s="5" t="s">
        <v>28</v>
      </c>
      <c r="B652" s="5" t="s">
        <v>264</v>
      </c>
      <c r="C652" s="5">
        <v>2027</v>
      </c>
      <c r="D652" s="5" t="s">
        <v>30</v>
      </c>
      <c r="E652" s="9" t="s">
        <v>520</v>
      </c>
      <c r="F652" s="9" t="s">
        <v>521</v>
      </c>
      <c r="G652" s="9" t="s">
        <v>189</v>
      </c>
      <c r="H652" s="9" t="s">
        <v>522</v>
      </c>
      <c r="I652" s="9" t="s">
        <v>269</v>
      </c>
      <c r="J652" s="9" t="s">
        <v>36</v>
      </c>
      <c r="K652" s="9">
        <v>490</v>
      </c>
      <c r="L652" s="9"/>
      <c r="M652" s="9"/>
      <c r="N652" s="9"/>
      <c r="O652" s="9" t="s">
        <v>37</v>
      </c>
      <c r="P652" s="9" t="s">
        <v>43</v>
      </c>
      <c r="Q652" s="9"/>
      <c r="R652" s="10"/>
      <c r="S652" s="10"/>
      <c r="T652" s="10"/>
      <c r="U652" s="9" t="s">
        <v>148</v>
      </c>
      <c r="V652" t="s">
        <v>184</v>
      </c>
      <c r="W652" t="s">
        <v>178</v>
      </c>
      <c r="X652" t="s">
        <v>191</v>
      </c>
      <c r="Y652" t="s">
        <v>179</v>
      </c>
      <c r="Z652" t="s">
        <v>247</v>
      </c>
      <c r="AB652" t="str">
        <f t="shared" si="30"/>
        <v>24001</v>
      </c>
    </row>
    <row r="653" ht="14.25" spans="1:28">
      <c r="A653" s="5" t="s">
        <v>28</v>
      </c>
      <c r="B653" s="5" t="s">
        <v>264</v>
      </c>
      <c r="C653" s="5">
        <v>2027</v>
      </c>
      <c r="D653" s="5" t="s">
        <v>30</v>
      </c>
      <c r="E653" s="9" t="s">
        <v>520</v>
      </c>
      <c r="F653" s="9" t="s">
        <v>521</v>
      </c>
      <c r="G653" s="9" t="s">
        <v>189</v>
      </c>
      <c r="H653" s="9" t="s">
        <v>522</v>
      </c>
      <c r="I653" s="9" t="s">
        <v>269</v>
      </c>
      <c r="J653" s="9" t="s">
        <v>36</v>
      </c>
      <c r="K653" s="9">
        <v>490</v>
      </c>
      <c r="L653" s="9"/>
      <c r="M653" s="9"/>
      <c r="N653" s="9"/>
      <c r="O653" s="9" t="s">
        <v>37</v>
      </c>
      <c r="P653" s="9" t="s">
        <v>44</v>
      </c>
      <c r="Q653" s="9"/>
      <c r="R653" s="10"/>
      <c r="S653" s="10"/>
      <c r="T653" s="10"/>
      <c r="U653" s="9" t="s">
        <v>148</v>
      </c>
      <c r="V653" t="s">
        <v>184</v>
      </c>
      <c r="W653" t="s">
        <v>178</v>
      </c>
      <c r="X653" t="s">
        <v>191</v>
      </c>
      <c r="Y653" t="s">
        <v>179</v>
      </c>
      <c r="Z653" t="s">
        <v>247</v>
      </c>
      <c r="AB653" t="str">
        <f t="shared" si="30"/>
        <v>24001</v>
      </c>
    </row>
    <row r="654" ht="14.25" spans="1:28">
      <c r="A654" s="5" t="s">
        <v>28</v>
      </c>
      <c r="B654" s="5" t="s">
        <v>264</v>
      </c>
      <c r="C654" s="5">
        <v>2027</v>
      </c>
      <c r="D654" s="5" t="s">
        <v>30</v>
      </c>
      <c r="E654" s="9" t="s">
        <v>520</v>
      </c>
      <c r="F654" s="9" t="s">
        <v>521</v>
      </c>
      <c r="G654" s="9" t="s">
        <v>189</v>
      </c>
      <c r="H654" s="9" t="s">
        <v>522</v>
      </c>
      <c r="I654" s="9" t="s">
        <v>269</v>
      </c>
      <c r="J654" s="9" t="s">
        <v>36</v>
      </c>
      <c r="K654" s="9">
        <v>490</v>
      </c>
      <c r="L654" s="9"/>
      <c r="M654" s="9"/>
      <c r="N654" s="9"/>
      <c r="O654" s="9" t="s">
        <v>37</v>
      </c>
      <c r="P654" s="9" t="s">
        <v>45</v>
      </c>
      <c r="Q654" s="9"/>
      <c r="R654" s="10"/>
      <c r="S654" s="10"/>
      <c r="T654" s="10"/>
      <c r="U654" s="9" t="s">
        <v>148</v>
      </c>
      <c r="V654" t="s">
        <v>184</v>
      </c>
      <c r="W654" t="s">
        <v>178</v>
      </c>
      <c r="X654" t="s">
        <v>191</v>
      </c>
      <c r="Y654" t="s">
        <v>179</v>
      </c>
      <c r="Z654" t="s">
        <v>247</v>
      </c>
      <c r="AB654" t="str">
        <f t="shared" si="30"/>
        <v>24001</v>
      </c>
    </row>
    <row r="655" ht="14.25" spans="1:28">
      <c r="A655" s="5" t="s">
        <v>28</v>
      </c>
      <c r="B655" s="5" t="s">
        <v>264</v>
      </c>
      <c r="C655" s="5">
        <v>2027</v>
      </c>
      <c r="D655" s="5" t="s">
        <v>30</v>
      </c>
      <c r="E655" s="9" t="s">
        <v>523</v>
      </c>
      <c r="F655" s="9" t="s">
        <v>524</v>
      </c>
      <c r="G655" s="9" t="s">
        <v>525</v>
      </c>
      <c r="H655" s="9" t="s">
        <v>526</v>
      </c>
      <c r="I655" s="9" t="s">
        <v>269</v>
      </c>
      <c r="J655" s="9" t="s">
        <v>36</v>
      </c>
      <c r="K655" s="9">
        <v>490</v>
      </c>
      <c r="L655" s="9"/>
      <c r="M655" s="9"/>
      <c r="N655" s="9"/>
      <c r="O655" s="9" t="s">
        <v>37</v>
      </c>
      <c r="P655" s="9" t="s">
        <v>38</v>
      </c>
      <c r="Q655" s="9"/>
      <c r="R655" s="10">
        <f t="shared" si="31"/>
        <v>0</v>
      </c>
      <c r="S655" s="10">
        <f>SUMIFS([1]Sheet1!$T:$T,[1]Sheet1!$I:$I,E655,[1]Sheet1!$C:$C,A655)</f>
        <v>0</v>
      </c>
      <c r="T655" s="10">
        <f t="shared" si="32"/>
        <v>0</v>
      </c>
      <c r="U655" s="9"/>
      <c r="X655" t="s">
        <v>94</v>
      </c>
      <c r="Y655" t="s">
        <v>179</v>
      </c>
      <c r="Z655" t="s">
        <v>104</v>
      </c>
      <c r="AB655" t="str">
        <f t="shared" si="30"/>
        <v>24014</v>
      </c>
    </row>
    <row r="656" ht="14.25" spans="1:28">
      <c r="A656" s="5" t="s">
        <v>28</v>
      </c>
      <c r="B656" s="5" t="s">
        <v>264</v>
      </c>
      <c r="C656" s="5">
        <v>2027</v>
      </c>
      <c r="D656" s="5" t="s">
        <v>30</v>
      </c>
      <c r="E656" s="9" t="s">
        <v>523</v>
      </c>
      <c r="F656" s="9" t="s">
        <v>524</v>
      </c>
      <c r="G656" s="9" t="s">
        <v>525</v>
      </c>
      <c r="H656" s="9" t="s">
        <v>526</v>
      </c>
      <c r="I656" s="9" t="s">
        <v>269</v>
      </c>
      <c r="J656" s="9" t="s">
        <v>36</v>
      </c>
      <c r="K656" s="9">
        <v>490</v>
      </c>
      <c r="L656" s="9"/>
      <c r="M656" s="9"/>
      <c r="N656" s="9"/>
      <c r="O656" s="9" t="s">
        <v>37</v>
      </c>
      <c r="P656" s="9" t="s">
        <v>42</v>
      </c>
      <c r="Q656" s="9"/>
      <c r="R656" s="10"/>
      <c r="S656" s="10"/>
      <c r="T656" s="10"/>
      <c r="U656" s="9"/>
      <c r="X656" t="s">
        <v>94</v>
      </c>
      <c r="Y656" t="s">
        <v>179</v>
      </c>
      <c r="Z656" t="s">
        <v>104</v>
      </c>
      <c r="AB656" t="str">
        <f t="shared" si="30"/>
        <v>24014</v>
      </c>
    </row>
    <row r="657" ht="14.25" spans="1:28">
      <c r="A657" s="5" t="s">
        <v>28</v>
      </c>
      <c r="B657" s="5" t="s">
        <v>264</v>
      </c>
      <c r="C657" s="5">
        <v>2027</v>
      </c>
      <c r="D657" s="5" t="s">
        <v>30</v>
      </c>
      <c r="E657" s="9" t="s">
        <v>523</v>
      </c>
      <c r="F657" s="9" t="s">
        <v>524</v>
      </c>
      <c r="G657" s="9" t="s">
        <v>525</v>
      </c>
      <c r="H657" s="9" t="s">
        <v>526</v>
      </c>
      <c r="I657" s="9" t="s">
        <v>269</v>
      </c>
      <c r="J657" s="9" t="s">
        <v>36</v>
      </c>
      <c r="K657" s="9">
        <v>490</v>
      </c>
      <c r="L657" s="9"/>
      <c r="M657" s="9"/>
      <c r="N657" s="9"/>
      <c r="O657" s="9" t="s">
        <v>37</v>
      </c>
      <c r="P657" s="9" t="s">
        <v>43</v>
      </c>
      <c r="Q657" s="9"/>
      <c r="R657" s="10"/>
      <c r="S657" s="10"/>
      <c r="T657" s="10"/>
      <c r="U657" s="9"/>
      <c r="X657" t="s">
        <v>94</v>
      </c>
      <c r="Y657" t="s">
        <v>179</v>
      </c>
      <c r="Z657" t="s">
        <v>104</v>
      </c>
      <c r="AB657" t="str">
        <f t="shared" si="30"/>
        <v>24014</v>
      </c>
    </row>
    <row r="658" ht="14.25" spans="1:28">
      <c r="A658" s="5" t="s">
        <v>28</v>
      </c>
      <c r="B658" s="5" t="s">
        <v>264</v>
      </c>
      <c r="C658" s="5">
        <v>2027</v>
      </c>
      <c r="D658" s="5" t="s">
        <v>30</v>
      </c>
      <c r="E658" s="9" t="s">
        <v>523</v>
      </c>
      <c r="F658" s="9" t="s">
        <v>524</v>
      </c>
      <c r="G658" s="9" t="s">
        <v>525</v>
      </c>
      <c r="H658" s="9" t="s">
        <v>526</v>
      </c>
      <c r="I658" s="9" t="s">
        <v>269</v>
      </c>
      <c r="J658" s="9" t="s">
        <v>36</v>
      </c>
      <c r="K658" s="9">
        <v>490</v>
      </c>
      <c r="L658" s="9"/>
      <c r="M658" s="9"/>
      <c r="N658" s="9"/>
      <c r="O658" s="9" t="s">
        <v>37</v>
      </c>
      <c r="P658" s="9" t="s">
        <v>44</v>
      </c>
      <c r="Q658" s="9"/>
      <c r="R658" s="10"/>
      <c r="S658" s="10"/>
      <c r="T658" s="10"/>
      <c r="U658" s="9"/>
      <c r="X658" t="s">
        <v>94</v>
      </c>
      <c r="Y658" t="s">
        <v>179</v>
      </c>
      <c r="Z658" t="s">
        <v>104</v>
      </c>
      <c r="AB658" t="str">
        <f t="shared" si="30"/>
        <v>24014</v>
      </c>
    </row>
    <row r="659" ht="14.25" spans="1:28">
      <c r="A659" s="5" t="s">
        <v>28</v>
      </c>
      <c r="B659" s="5" t="s">
        <v>264</v>
      </c>
      <c r="C659" s="5">
        <v>2027</v>
      </c>
      <c r="D659" s="5" t="s">
        <v>30</v>
      </c>
      <c r="E659" s="9" t="s">
        <v>523</v>
      </c>
      <c r="F659" s="9" t="s">
        <v>524</v>
      </c>
      <c r="G659" s="9" t="s">
        <v>525</v>
      </c>
      <c r="H659" s="9" t="s">
        <v>526</v>
      </c>
      <c r="I659" s="9" t="s">
        <v>269</v>
      </c>
      <c r="J659" s="9" t="s">
        <v>36</v>
      </c>
      <c r="K659" s="9">
        <v>490</v>
      </c>
      <c r="L659" s="9"/>
      <c r="M659" s="9"/>
      <c r="N659" s="9"/>
      <c r="O659" s="9" t="s">
        <v>37</v>
      </c>
      <c r="P659" s="9" t="s">
        <v>45</v>
      </c>
      <c r="Q659" s="9"/>
      <c r="R659" s="10"/>
      <c r="S659" s="10"/>
      <c r="T659" s="10"/>
      <c r="U659" s="9"/>
      <c r="X659" t="s">
        <v>94</v>
      </c>
      <c r="Y659" t="s">
        <v>179</v>
      </c>
      <c r="Z659" t="s">
        <v>104</v>
      </c>
      <c r="AB659" t="str">
        <f t="shared" si="30"/>
        <v>24014</v>
      </c>
    </row>
    <row r="660" ht="14.25" spans="1:28">
      <c r="A660" s="5" t="s">
        <v>28</v>
      </c>
      <c r="B660" s="5" t="s">
        <v>264</v>
      </c>
      <c r="C660" s="5">
        <v>2027</v>
      </c>
      <c r="D660" s="5" t="s">
        <v>30</v>
      </c>
      <c r="E660" s="9" t="s">
        <v>527</v>
      </c>
      <c r="F660" s="9" t="s">
        <v>524</v>
      </c>
      <c r="G660" s="9" t="s">
        <v>528</v>
      </c>
      <c r="H660" s="9" t="s">
        <v>529</v>
      </c>
      <c r="I660" s="9" t="s">
        <v>269</v>
      </c>
      <c r="J660" s="9" t="s">
        <v>36</v>
      </c>
      <c r="K660" s="9">
        <v>490</v>
      </c>
      <c r="L660" s="9"/>
      <c r="M660" s="9"/>
      <c r="N660" s="9"/>
      <c r="O660" s="9" t="s">
        <v>37</v>
      </c>
      <c r="P660" s="9" t="s">
        <v>38</v>
      </c>
      <c r="Q660" s="9"/>
      <c r="R660" s="10">
        <f t="shared" si="31"/>
        <v>0</v>
      </c>
      <c r="S660" s="10">
        <f>SUMIFS([1]Sheet1!$T:$T,[1]Sheet1!$I:$I,E660,[1]Sheet1!$C:$C,A660)</f>
        <v>0</v>
      </c>
      <c r="T660" s="10">
        <f t="shared" si="32"/>
        <v>0</v>
      </c>
      <c r="U660" s="9"/>
      <c r="Y660" t="s">
        <v>179</v>
      </c>
      <c r="Z660" t="s">
        <v>104</v>
      </c>
      <c r="AB660" t="str">
        <f t="shared" si="30"/>
        <v>24014</v>
      </c>
    </row>
    <row r="661" ht="14.25" spans="1:28">
      <c r="A661" s="5" t="s">
        <v>28</v>
      </c>
      <c r="B661" s="5" t="s">
        <v>264</v>
      </c>
      <c r="C661" s="5">
        <v>2027</v>
      </c>
      <c r="D661" s="5" t="s">
        <v>30</v>
      </c>
      <c r="E661" s="9" t="s">
        <v>527</v>
      </c>
      <c r="F661" s="9" t="s">
        <v>524</v>
      </c>
      <c r="G661" s="9" t="s">
        <v>528</v>
      </c>
      <c r="H661" s="9" t="s">
        <v>529</v>
      </c>
      <c r="I661" s="9" t="s">
        <v>269</v>
      </c>
      <c r="J661" s="9" t="s">
        <v>36</v>
      </c>
      <c r="K661" s="9">
        <v>490</v>
      </c>
      <c r="L661" s="9"/>
      <c r="M661" s="9"/>
      <c r="N661" s="9"/>
      <c r="O661" s="9" t="s">
        <v>37</v>
      </c>
      <c r="P661" s="9" t="s">
        <v>42</v>
      </c>
      <c r="Q661" s="9"/>
      <c r="R661" s="10"/>
      <c r="S661" s="10"/>
      <c r="T661" s="10"/>
      <c r="U661" s="9"/>
      <c r="Y661" t="s">
        <v>179</v>
      </c>
      <c r="Z661" t="s">
        <v>104</v>
      </c>
      <c r="AB661" t="str">
        <f t="shared" si="30"/>
        <v>24014</v>
      </c>
    </row>
    <row r="662" ht="14.25" spans="1:28">
      <c r="A662" s="5" t="s">
        <v>28</v>
      </c>
      <c r="B662" s="5" t="s">
        <v>264</v>
      </c>
      <c r="C662" s="5">
        <v>2027</v>
      </c>
      <c r="D662" s="5" t="s">
        <v>30</v>
      </c>
      <c r="E662" s="9" t="s">
        <v>527</v>
      </c>
      <c r="F662" s="9" t="s">
        <v>524</v>
      </c>
      <c r="G662" s="9" t="s">
        <v>528</v>
      </c>
      <c r="H662" s="9" t="s">
        <v>529</v>
      </c>
      <c r="I662" s="9" t="s">
        <v>269</v>
      </c>
      <c r="J662" s="9" t="s">
        <v>36</v>
      </c>
      <c r="K662" s="9">
        <v>490</v>
      </c>
      <c r="L662" s="9"/>
      <c r="M662" s="9"/>
      <c r="N662" s="9"/>
      <c r="O662" s="9" t="s">
        <v>37</v>
      </c>
      <c r="P662" s="9" t="s">
        <v>43</v>
      </c>
      <c r="Q662" s="9"/>
      <c r="R662" s="10"/>
      <c r="S662" s="10"/>
      <c r="T662" s="10"/>
      <c r="U662" s="9"/>
      <c r="Y662" t="s">
        <v>179</v>
      </c>
      <c r="Z662" t="s">
        <v>104</v>
      </c>
      <c r="AB662" t="str">
        <f t="shared" si="30"/>
        <v>24014</v>
      </c>
    </row>
    <row r="663" ht="14.25" spans="1:28">
      <c r="A663" s="5" t="s">
        <v>28</v>
      </c>
      <c r="B663" s="5" t="s">
        <v>264</v>
      </c>
      <c r="C663" s="5">
        <v>2027</v>
      </c>
      <c r="D663" s="5" t="s">
        <v>30</v>
      </c>
      <c r="E663" s="9" t="s">
        <v>527</v>
      </c>
      <c r="F663" s="9" t="s">
        <v>524</v>
      </c>
      <c r="G663" s="9" t="s">
        <v>528</v>
      </c>
      <c r="H663" s="9" t="s">
        <v>529</v>
      </c>
      <c r="I663" s="9" t="s">
        <v>269</v>
      </c>
      <c r="J663" s="9" t="s">
        <v>36</v>
      </c>
      <c r="K663" s="9">
        <v>490</v>
      </c>
      <c r="L663" s="9"/>
      <c r="M663" s="9"/>
      <c r="N663" s="9"/>
      <c r="O663" s="9" t="s">
        <v>37</v>
      </c>
      <c r="P663" s="9" t="s">
        <v>44</v>
      </c>
      <c r="Q663" s="9"/>
      <c r="R663" s="10"/>
      <c r="S663" s="10"/>
      <c r="T663" s="10"/>
      <c r="U663" s="9"/>
      <c r="Y663" t="s">
        <v>179</v>
      </c>
      <c r="Z663" t="s">
        <v>104</v>
      </c>
      <c r="AB663" t="str">
        <f t="shared" si="30"/>
        <v>24014</v>
      </c>
    </row>
    <row r="664" ht="14.25" spans="1:28">
      <c r="A664" s="5" t="s">
        <v>28</v>
      </c>
      <c r="B664" s="5" t="s">
        <v>264</v>
      </c>
      <c r="C664" s="5">
        <v>2027</v>
      </c>
      <c r="D664" s="5" t="s">
        <v>30</v>
      </c>
      <c r="E664" s="9" t="s">
        <v>527</v>
      </c>
      <c r="F664" s="9" t="s">
        <v>524</v>
      </c>
      <c r="G664" s="9" t="s">
        <v>528</v>
      </c>
      <c r="H664" s="9" t="s">
        <v>529</v>
      </c>
      <c r="I664" s="9" t="s">
        <v>269</v>
      </c>
      <c r="J664" s="9" t="s">
        <v>36</v>
      </c>
      <c r="K664" s="9">
        <v>490</v>
      </c>
      <c r="L664" s="9"/>
      <c r="M664" s="9"/>
      <c r="N664" s="9"/>
      <c r="O664" s="9" t="s">
        <v>37</v>
      </c>
      <c r="P664" s="9" t="s">
        <v>45</v>
      </c>
      <c r="Q664" s="9"/>
      <c r="R664" s="10"/>
      <c r="S664" s="10"/>
      <c r="T664" s="10"/>
      <c r="U664" s="9"/>
      <c r="Y664" t="s">
        <v>179</v>
      </c>
      <c r="Z664" t="s">
        <v>104</v>
      </c>
      <c r="AB664" t="str">
        <f t="shared" si="30"/>
        <v>24014</v>
      </c>
    </row>
    <row r="665" ht="14.25" spans="1:28">
      <c r="A665" s="5" t="s">
        <v>28</v>
      </c>
      <c r="B665" s="5" t="s">
        <v>264</v>
      </c>
      <c r="C665" s="5">
        <v>2027</v>
      </c>
      <c r="D665" s="5" t="s">
        <v>30</v>
      </c>
      <c r="E665" s="9" t="s">
        <v>530</v>
      </c>
      <c r="F665" s="9" t="s">
        <v>524</v>
      </c>
      <c r="G665" s="9" t="s">
        <v>531</v>
      </c>
      <c r="H665" s="9" t="s">
        <v>532</v>
      </c>
      <c r="I665" s="9" t="s">
        <v>269</v>
      </c>
      <c r="J665" s="9" t="s">
        <v>36</v>
      </c>
      <c r="K665" s="9">
        <v>490</v>
      </c>
      <c r="L665" s="9"/>
      <c r="M665" s="9"/>
      <c r="N665" s="9"/>
      <c r="O665" s="9" t="s">
        <v>37</v>
      </c>
      <c r="P665" s="9" t="s">
        <v>38</v>
      </c>
      <c r="Q665" s="9"/>
      <c r="R665" s="10">
        <f t="shared" si="31"/>
        <v>0</v>
      </c>
      <c r="S665" s="10">
        <f>SUMIFS([1]Sheet1!$T:$T,[1]Sheet1!$I:$I,E665,[1]Sheet1!$C:$C,A665)</f>
        <v>12</v>
      </c>
      <c r="T665" s="10">
        <f t="shared" si="32"/>
        <v>-12</v>
      </c>
      <c r="U665" s="9" t="s">
        <v>148</v>
      </c>
      <c r="V665" t="s">
        <v>184</v>
      </c>
      <c r="W665" t="s">
        <v>178</v>
      </c>
      <c r="X665" t="s">
        <v>533</v>
      </c>
      <c r="Y665" t="s">
        <v>179</v>
      </c>
      <c r="Z665" t="s">
        <v>104</v>
      </c>
      <c r="AB665" t="str">
        <f t="shared" si="30"/>
        <v>24014</v>
      </c>
    </row>
    <row r="666" ht="14.25" spans="1:28">
      <c r="A666" s="5" t="s">
        <v>28</v>
      </c>
      <c r="B666" s="5" t="s">
        <v>264</v>
      </c>
      <c r="C666" s="5">
        <v>2027</v>
      </c>
      <c r="D666" s="5" t="s">
        <v>30</v>
      </c>
      <c r="E666" s="9" t="s">
        <v>530</v>
      </c>
      <c r="F666" s="9" t="s">
        <v>524</v>
      </c>
      <c r="G666" s="9" t="s">
        <v>531</v>
      </c>
      <c r="H666" s="9" t="s">
        <v>532</v>
      </c>
      <c r="I666" s="9" t="s">
        <v>269</v>
      </c>
      <c r="J666" s="9" t="s">
        <v>36</v>
      </c>
      <c r="K666" s="9">
        <v>490</v>
      </c>
      <c r="L666" s="9"/>
      <c r="M666" s="9"/>
      <c r="N666" s="9"/>
      <c r="O666" s="9" t="s">
        <v>37</v>
      </c>
      <c r="P666" s="9" t="s">
        <v>42</v>
      </c>
      <c r="Q666" s="9"/>
      <c r="R666" s="10"/>
      <c r="S666" s="10"/>
      <c r="T666" s="10"/>
      <c r="U666" s="9" t="s">
        <v>148</v>
      </c>
      <c r="V666" t="s">
        <v>184</v>
      </c>
      <c r="W666" t="s">
        <v>178</v>
      </c>
      <c r="X666" t="s">
        <v>533</v>
      </c>
      <c r="Y666" t="s">
        <v>179</v>
      </c>
      <c r="Z666" t="s">
        <v>104</v>
      </c>
      <c r="AB666" t="str">
        <f t="shared" si="30"/>
        <v>24014</v>
      </c>
    </row>
    <row r="667" ht="14.25" spans="1:28">
      <c r="A667" s="5" t="s">
        <v>28</v>
      </c>
      <c r="B667" s="5" t="s">
        <v>264</v>
      </c>
      <c r="C667" s="5">
        <v>2027</v>
      </c>
      <c r="D667" s="5" t="s">
        <v>30</v>
      </c>
      <c r="E667" s="9" t="s">
        <v>530</v>
      </c>
      <c r="F667" s="9" t="s">
        <v>524</v>
      </c>
      <c r="G667" s="9" t="s">
        <v>531</v>
      </c>
      <c r="H667" s="9" t="s">
        <v>532</v>
      </c>
      <c r="I667" s="9" t="s">
        <v>269</v>
      </c>
      <c r="J667" s="9" t="s">
        <v>36</v>
      </c>
      <c r="K667" s="9">
        <v>490</v>
      </c>
      <c r="L667" s="9"/>
      <c r="M667" s="9"/>
      <c r="N667" s="9"/>
      <c r="O667" s="9" t="s">
        <v>37</v>
      </c>
      <c r="P667" s="9" t="s">
        <v>43</v>
      </c>
      <c r="Q667" s="9"/>
      <c r="R667" s="10"/>
      <c r="S667" s="10"/>
      <c r="T667" s="10"/>
      <c r="U667" s="9" t="s">
        <v>148</v>
      </c>
      <c r="V667" t="s">
        <v>184</v>
      </c>
      <c r="W667" t="s">
        <v>178</v>
      </c>
      <c r="X667" t="s">
        <v>533</v>
      </c>
      <c r="Y667" t="s">
        <v>179</v>
      </c>
      <c r="Z667" t="s">
        <v>104</v>
      </c>
      <c r="AB667" t="str">
        <f t="shared" si="30"/>
        <v>24014</v>
      </c>
    </row>
    <row r="668" ht="14.25" spans="1:28">
      <c r="A668" s="5" t="s">
        <v>28</v>
      </c>
      <c r="B668" s="5" t="s">
        <v>264</v>
      </c>
      <c r="C668" s="5">
        <v>2027</v>
      </c>
      <c r="D668" s="5" t="s">
        <v>30</v>
      </c>
      <c r="E668" s="9" t="s">
        <v>530</v>
      </c>
      <c r="F668" s="9" t="s">
        <v>524</v>
      </c>
      <c r="G668" s="9" t="s">
        <v>531</v>
      </c>
      <c r="H668" s="9" t="s">
        <v>532</v>
      </c>
      <c r="I668" s="9" t="s">
        <v>269</v>
      </c>
      <c r="J668" s="9" t="s">
        <v>36</v>
      </c>
      <c r="K668" s="9">
        <v>490</v>
      </c>
      <c r="L668" s="9"/>
      <c r="M668" s="9"/>
      <c r="N668" s="9"/>
      <c r="O668" s="9" t="s">
        <v>37</v>
      </c>
      <c r="P668" s="9" t="s">
        <v>44</v>
      </c>
      <c r="Q668" s="9"/>
      <c r="R668" s="10"/>
      <c r="S668" s="10"/>
      <c r="T668" s="10"/>
      <c r="U668" s="9" t="s">
        <v>148</v>
      </c>
      <c r="V668" t="s">
        <v>184</v>
      </c>
      <c r="W668" t="s">
        <v>178</v>
      </c>
      <c r="X668" t="s">
        <v>533</v>
      </c>
      <c r="Y668" t="s">
        <v>179</v>
      </c>
      <c r="Z668" t="s">
        <v>104</v>
      </c>
      <c r="AB668" t="str">
        <f t="shared" si="30"/>
        <v>24014</v>
      </c>
    </row>
    <row r="669" ht="14.25" spans="1:28">
      <c r="A669" s="5" t="s">
        <v>28</v>
      </c>
      <c r="B669" s="5" t="s">
        <v>264</v>
      </c>
      <c r="C669" s="5">
        <v>2027</v>
      </c>
      <c r="D669" s="5" t="s">
        <v>30</v>
      </c>
      <c r="E669" s="9" t="s">
        <v>530</v>
      </c>
      <c r="F669" s="9" t="s">
        <v>524</v>
      </c>
      <c r="G669" s="9" t="s">
        <v>531</v>
      </c>
      <c r="H669" s="9" t="s">
        <v>532</v>
      </c>
      <c r="I669" s="9" t="s">
        <v>269</v>
      </c>
      <c r="J669" s="9" t="s">
        <v>36</v>
      </c>
      <c r="K669" s="9">
        <v>490</v>
      </c>
      <c r="L669" s="9"/>
      <c r="M669" s="9"/>
      <c r="N669" s="9"/>
      <c r="O669" s="9" t="s">
        <v>37</v>
      </c>
      <c r="P669" s="9" t="s">
        <v>45</v>
      </c>
      <c r="Q669" s="9"/>
      <c r="R669" s="10"/>
      <c r="S669" s="10"/>
      <c r="T669" s="10"/>
      <c r="U669" s="9" t="s">
        <v>148</v>
      </c>
      <c r="V669" t="s">
        <v>184</v>
      </c>
      <c r="W669" t="s">
        <v>178</v>
      </c>
      <c r="X669" t="s">
        <v>533</v>
      </c>
      <c r="Y669" t="s">
        <v>179</v>
      </c>
      <c r="Z669" t="s">
        <v>104</v>
      </c>
      <c r="AB669" t="str">
        <f t="shared" si="30"/>
        <v>24014</v>
      </c>
    </row>
    <row r="670" ht="14.25" spans="1:28">
      <c r="A670" s="5" t="s">
        <v>28</v>
      </c>
      <c r="B670" s="5" t="s">
        <v>264</v>
      </c>
      <c r="C670" s="5">
        <v>2027</v>
      </c>
      <c r="D670" s="5" t="s">
        <v>30</v>
      </c>
      <c r="E670" s="9" t="s">
        <v>534</v>
      </c>
      <c r="F670" s="9" t="s">
        <v>535</v>
      </c>
      <c r="G670" s="9" t="s">
        <v>536</v>
      </c>
      <c r="H670" s="9" t="s">
        <v>537</v>
      </c>
      <c r="I670" s="9" t="s">
        <v>269</v>
      </c>
      <c r="J670" s="9" t="s">
        <v>36</v>
      </c>
      <c r="K670" s="9">
        <v>390</v>
      </c>
      <c r="L670" s="9"/>
      <c r="M670" s="9"/>
      <c r="N670" s="9"/>
      <c r="O670" s="9" t="s">
        <v>37</v>
      </c>
      <c r="P670" s="9" t="s">
        <v>38</v>
      </c>
      <c r="Q670" s="9"/>
      <c r="R670" s="10">
        <f t="shared" si="31"/>
        <v>0</v>
      </c>
      <c r="S670" s="10">
        <f>SUMIFS([1]Sheet1!$T:$T,[1]Sheet1!$I:$I,E670,[1]Sheet1!$C:$C,A670)</f>
        <v>0</v>
      </c>
      <c r="T670" s="10">
        <f t="shared" si="32"/>
        <v>0</v>
      </c>
      <c r="U670" s="9"/>
      <c r="X670" t="s">
        <v>102</v>
      </c>
      <c r="Y670" t="s">
        <v>179</v>
      </c>
      <c r="Z670" t="s">
        <v>538</v>
      </c>
      <c r="AB670" t="str">
        <f t="shared" si="30"/>
        <v>24032</v>
      </c>
    </row>
    <row r="671" ht="14.25" spans="1:28">
      <c r="A671" s="5" t="s">
        <v>28</v>
      </c>
      <c r="B671" s="5" t="s">
        <v>264</v>
      </c>
      <c r="C671" s="5">
        <v>2027</v>
      </c>
      <c r="D671" s="5" t="s">
        <v>30</v>
      </c>
      <c r="E671" s="9" t="s">
        <v>534</v>
      </c>
      <c r="F671" s="9" t="s">
        <v>535</v>
      </c>
      <c r="G671" s="9" t="s">
        <v>536</v>
      </c>
      <c r="H671" s="9" t="s">
        <v>537</v>
      </c>
      <c r="I671" s="9" t="s">
        <v>269</v>
      </c>
      <c r="J671" s="9" t="s">
        <v>36</v>
      </c>
      <c r="K671" s="9">
        <v>390</v>
      </c>
      <c r="L671" s="9"/>
      <c r="M671" s="9"/>
      <c r="N671" s="9"/>
      <c r="O671" s="9" t="s">
        <v>37</v>
      </c>
      <c r="P671" s="9" t="s">
        <v>42</v>
      </c>
      <c r="Q671" s="11"/>
      <c r="R671" s="10"/>
      <c r="S671" s="10"/>
      <c r="T671" s="10"/>
      <c r="U671" s="9"/>
      <c r="X671" t="s">
        <v>102</v>
      </c>
      <c r="Y671" t="s">
        <v>179</v>
      </c>
      <c r="Z671" t="s">
        <v>538</v>
      </c>
      <c r="AB671" t="str">
        <f t="shared" si="30"/>
        <v>24032</v>
      </c>
    </row>
    <row r="672" ht="14.25" spans="1:28">
      <c r="A672" s="5" t="s">
        <v>28</v>
      </c>
      <c r="B672" s="5" t="s">
        <v>264</v>
      </c>
      <c r="C672" s="5">
        <v>2027</v>
      </c>
      <c r="D672" s="5" t="s">
        <v>30</v>
      </c>
      <c r="E672" s="9" t="s">
        <v>534</v>
      </c>
      <c r="F672" s="9" t="s">
        <v>535</v>
      </c>
      <c r="G672" s="9" t="s">
        <v>536</v>
      </c>
      <c r="H672" s="9" t="s">
        <v>537</v>
      </c>
      <c r="I672" s="9" t="s">
        <v>269</v>
      </c>
      <c r="J672" s="9" t="s">
        <v>36</v>
      </c>
      <c r="K672" s="9">
        <v>390</v>
      </c>
      <c r="L672" s="9"/>
      <c r="M672" s="9"/>
      <c r="N672" s="9"/>
      <c r="O672" s="9" t="s">
        <v>37</v>
      </c>
      <c r="P672" s="9" t="s">
        <v>43</v>
      </c>
      <c r="Q672" s="11"/>
      <c r="R672" s="10"/>
      <c r="S672" s="10"/>
      <c r="T672" s="10"/>
      <c r="U672" s="9"/>
      <c r="X672" t="s">
        <v>102</v>
      </c>
      <c r="Y672" t="s">
        <v>179</v>
      </c>
      <c r="Z672" t="s">
        <v>538</v>
      </c>
      <c r="AB672" t="str">
        <f t="shared" si="30"/>
        <v>24032</v>
      </c>
    </row>
    <row r="673" ht="14.25" spans="1:28">
      <c r="A673" s="5" t="s">
        <v>28</v>
      </c>
      <c r="B673" s="5" t="s">
        <v>264</v>
      </c>
      <c r="C673" s="5">
        <v>2027</v>
      </c>
      <c r="D673" s="5" t="s">
        <v>30</v>
      </c>
      <c r="E673" s="9" t="s">
        <v>534</v>
      </c>
      <c r="F673" s="9" t="s">
        <v>535</v>
      </c>
      <c r="G673" s="9" t="s">
        <v>536</v>
      </c>
      <c r="H673" s="9" t="s">
        <v>537</v>
      </c>
      <c r="I673" s="9" t="s">
        <v>269</v>
      </c>
      <c r="J673" s="9" t="s">
        <v>36</v>
      </c>
      <c r="K673" s="9">
        <v>390</v>
      </c>
      <c r="L673" s="9"/>
      <c r="M673" s="9"/>
      <c r="N673" s="9"/>
      <c r="O673" s="9" t="s">
        <v>37</v>
      </c>
      <c r="P673" s="9" t="s">
        <v>44</v>
      </c>
      <c r="Q673" s="11"/>
      <c r="R673" s="10"/>
      <c r="S673" s="10"/>
      <c r="T673" s="10"/>
      <c r="U673" s="9"/>
      <c r="X673" t="s">
        <v>102</v>
      </c>
      <c r="Y673" t="s">
        <v>179</v>
      </c>
      <c r="Z673" t="s">
        <v>538</v>
      </c>
      <c r="AB673" t="str">
        <f t="shared" si="30"/>
        <v>24032</v>
      </c>
    </row>
    <row r="674" ht="14.25" spans="1:28">
      <c r="A674" s="5" t="s">
        <v>28</v>
      </c>
      <c r="B674" s="5" t="s">
        <v>264</v>
      </c>
      <c r="C674" s="5">
        <v>2027</v>
      </c>
      <c r="D674" s="5" t="s">
        <v>30</v>
      </c>
      <c r="E674" s="9" t="s">
        <v>534</v>
      </c>
      <c r="F674" s="9" t="s">
        <v>535</v>
      </c>
      <c r="G674" s="9" t="s">
        <v>536</v>
      </c>
      <c r="H674" s="9" t="s">
        <v>537</v>
      </c>
      <c r="I674" s="9" t="s">
        <v>269</v>
      </c>
      <c r="J674" s="9" t="s">
        <v>36</v>
      </c>
      <c r="K674" s="9">
        <v>390</v>
      </c>
      <c r="L674" s="9"/>
      <c r="M674" s="9"/>
      <c r="N674" s="9"/>
      <c r="O674" s="9" t="s">
        <v>37</v>
      </c>
      <c r="P674" s="9" t="s">
        <v>45</v>
      </c>
      <c r="Q674" s="11"/>
      <c r="R674" s="10"/>
      <c r="S674" s="10"/>
      <c r="T674" s="10"/>
      <c r="U674" s="9"/>
      <c r="X674" t="s">
        <v>102</v>
      </c>
      <c r="Y674" t="s">
        <v>179</v>
      </c>
      <c r="Z674" t="s">
        <v>538</v>
      </c>
      <c r="AB674" t="str">
        <f t="shared" si="30"/>
        <v>24032</v>
      </c>
    </row>
    <row r="675" ht="14.25" spans="1:28">
      <c r="A675" s="5" t="s">
        <v>28</v>
      </c>
      <c r="B675" s="5" t="s">
        <v>264</v>
      </c>
      <c r="C675" s="5">
        <v>2027</v>
      </c>
      <c r="D675" s="5" t="s">
        <v>30</v>
      </c>
      <c r="E675" s="9" t="s">
        <v>539</v>
      </c>
      <c r="F675" s="9" t="s">
        <v>535</v>
      </c>
      <c r="G675" s="9" t="s">
        <v>346</v>
      </c>
      <c r="H675" s="9" t="s">
        <v>540</v>
      </c>
      <c r="I675" s="9" t="s">
        <v>269</v>
      </c>
      <c r="J675" s="9" t="s">
        <v>36</v>
      </c>
      <c r="K675" s="9">
        <v>390</v>
      </c>
      <c r="L675" s="9"/>
      <c r="M675" s="9"/>
      <c r="N675" s="9"/>
      <c r="O675" s="9" t="s">
        <v>37</v>
      </c>
      <c r="P675" s="9" t="s">
        <v>38</v>
      </c>
      <c r="Q675" s="11"/>
      <c r="R675" s="10">
        <f t="shared" si="31"/>
        <v>0</v>
      </c>
      <c r="S675" s="10">
        <f>SUMIFS([1]Sheet1!$T:$T,[1]Sheet1!$I:$I,E675,[1]Sheet1!$C:$C,A675)</f>
        <v>0</v>
      </c>
      <c r="T675" s="10">
        <f t="shared" si="32"/>
        <v>0</v>
      </c>
      <c r="U675" s="9"/>
      <c r="X675" t="s">
        <v>191</v>
      </c>
      <c r="Y675" t="s">
        <v>179</v>
      </c>
      <c r="Z675" t="s">
        <v>538</v>
      </c>
      <c r="AB675" t="str">
        <f t="shared" si="30"/>
        <v>24032</v>
      </c>
    </row>
    <row r="676" ht="14.25" spans="1:28">
      <c r="A676" s="5" t="s">
        <v>28</v>
      </c>
      <c r="B676" s="5" t="s">
        <v>264</v>
      </c>
      <c r="C676" s="5">
        <v>2027</v>
      </c>
      <c r="D676" s="5" t="s">
        <v>30</v>
      </c>
      <c r="E676" s="9" t="s">
        <v>539</v>
      </c>
      <c r="F676" s="9" t="s">
        <v>535</v>
      </c>
      <c r="G676" s="9" t="s">
        <v>346</v>
      </c>
      <c r="H676" s="9" t="s">
        <v>540</v>
      </c>
      <c r="I676" s="9" t="s">
        <v>269</v>
      </c>
      <c r="J676" s="9" t="s">
        <v>36</v>
      </c>
      <c r="K676" s="9">
        <v>390</v>
      </c>
      <c r="L676" s="9"/>
      <c r="M676" s="9"/>
      <c r="N676" s="9"/>
      <c r="O676" s="9" t="s">
        <v>37</v>
      </c>
      <c r="P676" s="9" t="s">
        <v>42</v>
      </c>
      <c r="Q676" s="11"/>
      <c r="R676" s="10"/>
      <c r="S676" s="10"/>
      <c r="T676" s="10"/>
      <c r="U676" s="9"/>
      <c r="X676" t="s">
        <v>191</v>
      </c>
      <c r="Y676" t="s">
        <v>179</v>
      </c>
      <c r="Z676" t="s">
        <v>538</v>
      </c>
      <c r="AB676" t="str">
        <f t="shared" si="30"/>
        <v>24032</v>
      </c>
    </row>
    <row r="677" ht="14.25" spans="1:28">
      <c r="A677" s="5" t="s">
        <v>28</v>
      </c>
      <c r="B677" s="5" t="s">
        <v>264</v>
      </c>
      <c r="C677" s="5">
        <v>2027</v>
      </c>
      <c r="D677" s="5" t="s">
        <v>30</v>
      </c>
      <c r="E677" s="9" t="s">
        <v>539</v>
      </c>
      <c r="F677" s="9" t="s">
        <v>535</v>
      </c>
      <c r="G677" s="9" t="s">
        <v>346</v>
      </c>
      <c r="H677" s="9" t="s">
        <v>540</v>
      </c>
      <c r="I677" s="9" t="s">
        <v>269</v>
      </c>
      <c r="J677" s="9" t="s">
        <v>36</v>
      </c>
      <c r="K677" s="9">
        <v>390</v>
      </c>
      <c r="L677" s="9"/>
      <c r="M677" s="9"/>
      <c r="N677" s="9"/>
      <c r="O677" s="9" t="s">
        <v>37</v>
      </c>
      <c r="P677" s="9" t="s">
        <v>43</v>
      </c>
      <c r="Q677" s="11"/>
      <c r="R677" s="10"/>
      <c r="S677" s="10"/>
      <c r="T677" s="10"/>
      <c r="U677" s="9"/>
      <c r="X677" t="s">
        <v>191</v>
      </c>
      <c r="Y677" t="s">
        <v>179</v>
      </c>
      <c r="Z677" t="s">
        <v>538</v>
      </c>
      <c r="AB677" t="str">
        <f t="shared" si="30"/>
        <v>24032</v>
      </c>
    </row>
    <row r="678" ht="14.25" spans="1:28">
      <c r="A678" s="5" t="s">
        <v>28</v>
      </c>
      <c r="B678" s="5" t="s">
        <v>264</v>
      </c>
      <c r="C678" s="5">
        <v>2027</v>
      </c>
      <c r="D678" s="5" t="s">
        <v>30</v>
      </c>
      <c r="E678" s="9" t="s">
        <v>539</v>
      </c>
      <c r="F678" s="9" t="s">
        <v>535</v>
      </c>
      <c r="G678" s="9" t="s">
        <v>346</v>
      </c>
      <c r="H678" s="9" t="s">
        <v>540</v>
      </c>
      <c r="I678" s="9" t="s">
        <v>269</v>
      </c>
      <c r="J678" s="9" t="s">
        <v>36</v>
      </c>
      <c r="K678" s="9">
        <v>390</v>
      </c>
      <c r="L678" s="9"/>
      <c r="M678" s="9"/>
      <c r="N678" s="9"/>
      <c r="O678" s="9" t="s">
        <v>37</v>
      </c>
      <c r="P678" s="9" t="s">
        <v>44</v>
      </c>
      <c r="Q678" s="11"/>
      <c r="R678" s="10"/>
      <c r="S678" s="10"/>
      <c r="T678" s="10"/>
      <c r="U678" s="9"/>
      <c r="X678" t="s">
        <v>191</v>
      </c>
      <c r="Y678" t="s">
        <v>179</v>
      </c>
      <c r="Z678" t="s">
        <v>538</v>
      </c>
      <c r="AB678" t="str">
        <f t="shared" si="30"/>
        <v>24032</v>
      </c>
    </row>
    <row r="679" ht="14.25" spans="1:28">
      <c r="A679" s="5" t="s">
        <v>28</v>
      </c>
      <c r="B679" s="5" t="s">
        <v>264</v>
      </c>
      <c r="C679" s="5">
        <v>2027</v>
      </c>
      <c r="D679" s="5" t="s">
        <v>30</v>
      </c>
      <c r="E679" s="9" t="s">
        <v>539</v>
      </c>
      <c r="F679" s="9" t="s">
        <v>535</v>
      </c>
      <c r="G679" s="9" t="s">
        <v>346</v>
      </c>
      <c r="H679" s="9" t="s">
        <v>540</v>
      </c>
      <c r="I679" s="9" t="s">
        <v>269</v>
      </c>
      <c r="J679" s="9" t="s">
        <v>36</v>
      </c>
      <c r="K679" s="9">
        <v>390</v>
      </c>
      <c r="L679" s="9"/>
      <c r="M679" s="9"/>
      <c r="N679" s="9"/>
      <c r="O679" s="9" t="s">
        <v>37</v>
      </c>
      <c r="P679" s="9" t="s">
        <v>45</v>
      </c>
      <c r="Q679" s="11"/>
      <c r="R679" s="10"/>
      <c r="S679" s="10"/>
      <c r="T679" s="10"/>
      <c r="U679" s="9"/>
      <c r="X679" t="s">
        <v>191</v>
      </c>
      <c r="Y679" t="s">
        <v>179</v>
      </c>
      <c r="Z679" t="s">
        <v>538</v>
      </c>
      <c r="AB679" t="str">
        <f t="shared" si="30"/>
        <v>24032</v>
      </c>
    </row>
    <row r="680" ht="14.25" spans="1:28">
      <c r="A680" s="5" t="s">
        <v>28</v>
      </c>
      <c r="B680" s="5" t="s">
        <v>264</v>
      </c>
      <c r="C680" s="5">
        <v>2027</v>
      </c>
      <c r="D680" s="5" t="s">
        <v>30</v>
      </c>
      <c r="E680" s="9" t="s">
        <v>541</v>
      </c>
      <c r="F680" s="9" t="s">
        <v>542</v>
      </c>
      <c r="G680" s="9" t="s">
        <v>182</v>
      </c>
      <c r="H680" s="9" t="s">
        <v>543</v>
      </c>
      <c r="I680" s="9" t="s">
        <v>276</v>
      </c>
      <c r="J680" s="9" t="s">
        <v>36</v>
      </c>
      <c r="K680" s="9">
        <v>690</v>
      </c>
      <c r="L680" s="9"/>
      <c r="M680" s="9"/>
      <c r="N680" s="9"/>
      <c r="O680" s="9" t="s">
        <v>37</v>
      </c>
      <c r="P680" s="9" t="s">
        <v>38</v>
      </c>
      <c r="Q680" s="11"/>
      <c r="R680" s="10">
        <f t="shared" si="31"/>
        <v>0</v>
      </c>
      <c r="S680" s="10">
        <f>SUMIFS([1]Sheet1!$T:$T,[1]Sheet1!$I:$I,E680,[1]Sheet1!$C:$C,A680)</f>
        <v>0</v>
      </c>
      <c r="T680" s="10">
        <f t="shared" si="32"/>
        <v>0</v>
      </c>
      <c r="U680" s="9"/>
      <c r="X680" t="s">
        <v>102</v>
      </c>
      <c r="Y680" t="s">
        <v>179</v>
      </c>
      <c r="Z680" t="s">
        <v>538</v>
      </c>
      <c r="AB680" t="str">
        <f t="shared" si="30"/>
        <v>24156</v>
      </c>
    </row>
    <row r="681" ht="14.25" spans="1:28">
      <c r="A681" s="5" t="s">
        <v>28</v>
      </c>
      <c r="B681" s="5" t="s">
        <v>264</v>
      </c>
      <c r="C681" s="5">
        <v>2027</v>
      </c>
      <c r="D681" s="5" t="s">
        <v>30</v>
      </c>
      <c r="E681" s="9" t="s">
        <v>541</v>
      </c>
      <c r="F681" s="9" t="s">
        <v>542</v>
      </c>
      <c r="G681" s="9" t="s">
        <v>182</v>
      </c>
      <c r="H681" s="9" t="s">
        <v>543</v>
      </c>
      <c r="I681" s="9" t="s">
        <v>276</v>
      </c>
      <c r="J681" s="9" t="s">
        <v>36</v>
      </c>
      <c r="K681" s="9">
        <v>690</v>
      </c>
      <c r="L681" s="9"/>
      <c r="M681" s="9"/>
      <c r="N681" s="9"/>
      <c r="O681" s="9" t="s">
        <v>37</v>
      </c>
      <c r="P681" s="9" t="s">
        <v>42</v>
      </c>
      <c r="Q681" s="11"/>
      <c r="R681" s="10"/>
      <c r="S681" s="10"/>
      <c r="T681" s="10"/>
      <c r="U681" s="9"/>
      <c r="X681" t="s">
        <v>102</v>
      </c>
      <c r="Y681" t="s">
        <v>179</v>
      </c>
      <c r="Z681" t="s">
        <v>538</v>
      </c>
      <c r="AB681" t="str">
        <f t="shared" si="30"/>
        <v>24156</v>
      </c>
    </row>
    <row r="682" ht="14.25" spans="1:28">
      <c r="A682" s="5" t="s">
        <v>28</v>
      </c>
      <c r="B682" s="5" t="s">
        <v>264</v>
      </c>
      <c r="C682" s="5">
        <v>2027</v>
      </c>
      <c r="D682" s="5" t="s">
        <v>30</v>
      </c>
      <c r="E682" s="9" t="s">
        <v>541</v>
      </c>
      <c r="F682" s="9" t="s">
        <v>542</v>
      </c>
      <c r="G682" s="9" t="s">
        <v>182</v>
      </c>
      <c r="H682" s="9" t="s">
        <v>543</v>
      </c>
      <c r="I682" s="9" t="s">
        <v>276</v>
      </c>
      <c r="J682" s="9" t="s">
        <v>36</v>
      </c>
      <c r="K682" s="9">
        <v>690</v>
      </c>
      <c r="L682" s="9"/>
      <c r="M682" s="9"/>
      <c r="N682" s="9"/>
      <c r="O682" s="9" t="s">
        <v>37</v>
      </c>
      <c r="P682" s="9" t="s">
        <v>43</v>
      </c>
      <c r="Q682" s="11"/>
      <c r="R682" s="10"/>
      <c r="S682" s="10"/>
      <c r="T682" s="10"/>
      <c r="U682" s="9"/>
      <c r="X682" t="s">
        <v>102</v>
      </c>
      <c r="Y682" t="s">
        <v>179</v>
      </c>
      <c r="Z682" t="s">
        <v>538</v>
      </c>
      <c r="AB682" t="str">
        <f t="shared" si="30"/>
        <v>24156</v>
      </c>
    </row>
    <row r="683" ht="14.25" spans="1:28">
      <c r="A683" s="5" t="s">
        <v>28</v>
      </c>
      <c r="B683" s="5" t="s">
        <v>264</v>
      </c>
      <c r="C683" s="5">
        <v>2027</v>
      </c>
      <c r="D683" s="5" t="s">
        <v>30</v>
      </c>
      <c r="E683" s="9" t="s">
        <v>541</v>
      </c>
      <c r="F683" s="9" t="s">
        <v>542</v>
      </c>
      <c r="G683" s="9" t="s">
        <v>182</v>
      </c>
      <c r="H683" s="9" t="s">
        <v>543</v>
      </c>
      <c r="I683" s="9" t="s">
        <v>276</v>
      </c>
      <c r="J683" s="9" t="s">
        <v>36</v>
      </c>
      <c r="K683" s="9">
        <v>690</v>
      </c>
      <c r="L683" s="9"/>
      <c r="M683" s="9"/>
      <c r="N683" s="9"/>
      <c r="O683" s="9" t="s">
        <v>37</v>
      </c>
      <c r="P683" s="9" t="s">
        <v>44</v>
      </c>
      <c r="Q683" s="11"/>
      <c r="R683" s="10"/>
      <c r="S683" s="10"/>
      <c r="T683" s="10"/>
      <c r="U683" s="9"/>
      <c r="X683" t="s">
        <v>102</v>
      </c>
      <c r="Y683" t="s">
        <v>179</v>
      </c>
      <c r="Z683" t="s">
        <v>538</v>
      </c>
      <c r="AB683" t="str">
        <f t="shared" si="30"/>
        <v>24156</v>
      </c>
    </row>
    <row r="684" ht="14.25" spans="1:28">
      <c r="A684" s="5" t="s">
        <v>28</v>
      </c>
      <c r="B684" s="5" t="s">
        <v>264</v>
      </c>
      <c r="C684" s="5">
        <v>2027</v>
      </c>
      <c r="D684" s="5" t="s">
        <v>30</v>
      </c>
      <c r="E684" s="9" t="s">
        <v>541</v>
      </c>
      <c r="F684" s="9" t="s">
        <v>542</v>
      </c>
      <c r="G684" s="9" t="s">
        <v>182</v>
      </c>
      <c r="H684" s="9" t="s">
        <v>543</v>
      </c>
      <c r="I684" s="9" t="s">
        <v>276</v>
      </c>
      <c r="J684" s="9" t="s">
        <v>36</v>
      </c>
      <c r="K684" s="9">
        <v>690</v>
      </c>
      <c r="L684" s="9"/>
      <c r="M684" s="9"/>
      <c r="N684" s="9"/>
      <c r="O684" s="9" t="s">
        <v>37</v>
      </c>
      <c r="P684" s="9" t="s">
        <v>45</v>
      </c>
      <c r="Q684" s="11"/>
      <c r="R684" s="10"/>
      <c r="S684" s="10"/>
      <c r="T684" s="10"/>
      <c r="U684" s="9"/>
      <c r="X684" t="s">
        <v>102</v>
      </c>
      <c r="Y684" t="s">
        <v>179</v>
      </c>
      <c r="Z684" t="s">
        <v>538</v>
      </c>
      <c r="AB684" t="str">
        <f t="shared" si="30"/>
        <v>24156</v>
      </c>
    </row>
    <row r="685" ht="14.25" spans="1:28">
      <c r="A685" s="5" t="s">
        <v>28</v>
      </c>
      <c r="B685" s="5" t="s">
        <v>264</v>
      </c>
      <c r="C685" s="5">
        <v>2027</v>
      </c>
      <c r="D685" s="5" t="s">
        <v>30</v>
      </c>
      <c r="E685" s="9" t="s">
        <v>544</v>
      </c>
      <c r="F685" s="9" t="s">
        <v>542</v>
      </c>
      <c r="G685" s="9" t="s">
        <v>189</v>
      </c>
      <c r="H685" s="9" t="s">
        <v>545</v>
      </c>
      <c r="I685" s="9" t="s">
        <v>276</v>
      </c>
      <c r="J685" s="9" t="s">
        <v>36</v>
      </c>
      <c r="K685" s="9">
        <v>690</v>
      </c>
      <c r="L685" s="9"/>
      <c r="M685" s="9"/>
      <c r="N685" s="9"/>
      <c r="O685" s="9" t="s">
        <v>37</v>
      </c>
      <c r="P685" s="9" t="s">
        <v>38</v>
      </c>
      <c r="Q685" s="11"/>
      <c r="R685" s="10">
        <f t="shared" si="31"/>
        <v>0</v>
      </c>
      <c r="S685" s="10">
        <f>SUMIFS([1]Sheet1!$T:$T,[1]Sheet1!$I:$I,E685,[1]Sheet1!$C:$C,A685)</f>
        <v>0</v>
      </c>
      <c r="T685" s="10">
        <f t="shared" si="32"/>
        <v>0</v>
      </c>
      <c r="U685" s="9"/>
      <c r="X685" t="s">
        <v>191</v>
      </c>
      <c r="Y685" t="s">
        <v>179</v>
      </c>
      <c r="Z685" t="s">
        <v>538</v>
      </c>
      <c r="AB685" t="str">
        <f t="shared" si="30"/>
        <v>24156</v>
      </c>
    </row>
    <row r="686" ht="14.25" spans="1:28">
      <c r="A686" s="5" t="s">
        <v>28</v>
      </c>
      <c r="B686" s="5" t="s">
        <v>264</v>
      </c>
      <c r="C686" s="5">
        <v>2027</v>
      </c>
      <c r="D686" s="5" t="s">
        <v>30</v>
      </c>
      <c r="E686" s="9" t="s">
        <v>544</v>
      </c>
      <c r="F686" s="9" t="s">
        <v>542</v>
      </c>
      <c r="G686" s="9" t="s">
        <v>189</v>
      </c>
      <c r="H686" s="9" t="s">
        <v>545</v>
      </c>
      <c r="I686" s="9" t="s">
        <v>276</v>
      </c>
      <c r="J686" s="9" t="s">
        <v>36</v>
      </c>
      <c r="K686" s="9">
        <v>690</v>
      </c>
      <c r="L686" s="9"/>
      <c r="M686" s="9"/>
      <c r="N686" s="9"/>
      <c r="O686" s="9" t="s">
        <v>37</v>
      </c>
      <c r="P686" s="9" t="s">
        <v>42</v>
      </c>
      <c r="Q686" s="11"/>
      <c r="R686" s="10"/>
      <c r="S686" s="10"/>
      <c r="T686" s="10"/>
      <c r="U686" s="9"/>
      <c r="X686" t="s">
        <v>191</v>
      </c>
      <c r="Y686" t="s">
        <v>179</v>
      </c>
      <c r="Z686" t="s">
        <v>538</v>
      </c>
      <c r="AB686" t="str">
        <f t="shared" si="30"/>
        <v>24156</v>
      </c>
    </row>
    <row r="687" ht="14.25" spans="1:28">
      <c r="A687" s="5" t="s">
        <v>28</v>
      </c>
      <c r="B687" s="5" t="s">
        <v>264</v>
      </c>
      <c r="C687" s="5">
        <v>2027</v>
      </c>
      <c r="D687" s="5" t="s">
        <v>30</v>
      </c>
      <c r="E687" s="9" t="s">
        <v>544</v>
      </c>
      <c r="F687" s="9" t="s">
        <v>542</v>
      </c>
      <c r="G687" s="9" t="s">
        <v>189</v>
      </c>
      <c r="H687" s="9" t="s">
        <v>545</v>
      </c>
      <c r="I687" s="9" t="s">
        <v>276</v>
      </c>
      <c r="J687" s="9" t="s">
        <v>36</v>
      </c>
      <c r="K687" s="9">
        <v>690</v>
      </c>
      <c r="L687" s="9"/>
      <c r="M687" s="9"/>
      <c r="N687" s="9"/>
      <c r="O687" s="9" t="s">
        <v>37</v>
      </c>
      <c r="P687" s="9" t="s">
        <v>43</v>
      </c>
      <c r="Q687" s="11"/>
      <c r="R687" s="10"/>
      <c r="S687" s="10"/>
      <c r="T687" s="10"/>
      <c r="U687" s="9"/>
      <c r="X687" t="s">
        <v>191</v>
      </c>
      <c r="Y687" t="s">
        <v>179</v>
      </c>
      <c r="Z687" t="s">
        <v>538</v>
      </c>
      <c r="AB687" t="str">
        <f t="shared" si="30"/>
        <v>24156</v>
      </c>
    </row>
    <row r="688" ht="14.25" spans="1:28">
      <c r="A688" s="5" t="s">
        <v>28</v>
      </c>
      <c r="B688" s="5" t="s">
        <v>264</v>
      </c>
      <c r="C688" s="5">
        <v>2027</v>
      </c>
      <c r="D688" s="5" t="s">
        <v>30</v>
      </c>
      <c r="E688" s="9" t="s">
        <v>544</v>
      </c>
      <c r="F688" s="9" t="s">
        <v>542</v>
      </c>
      <c r="G688" s="9" t="s">
        <v>189</v>
      </c>
      <c r="H688" s="9" t="s">
        <v>545</v>
      </c>
      <c r="I688" s="9" t="s">
        <v>276</v>
      </c>
      <c r="J688" s="9" t="s">
        <v>36</v>
      </c>
      <c r="K688" s="9">
        <v>690</v>
      </c>
      <c r="L688" s="9"/>
      <c r="M688" s="9"/>
      <c r="N688" s="9"/>
      <c r="O688" s="9" t="s">
        <v>37</v>
      </c>
      <c r="P688" s="9" t="s">
        <v>44</v>
      </c>
      <c r="Q688" s="11"/>
      <c r="R688" s="10"/>
      <c r="S688" s="10"/>
      <c r="T688" s="10"/>
      <c r="U688" s="9"/>
      <c r="X688" t="s">
        <v>191</v>
      </c>
      <c r="Y688" t="s">
        <v>179</v>
      </c>
      <c r="Z688" t="s">
        <v>538</v>
      </c>
      <c r="AB688" t="str">
        <f t="shared" si="30"/>
        <v>24156</v>
      </c>
    </row>
    <row r="689" ht="14.25" spans="1:28">
      <c r="A689" s="5" t="s">
        <v>28</v>
      </c>
      <c r="B689" s="5" t="s">
        <v>264</v>
      </c>
      <c r="C689" s="5">
        <v>2027</v>
      </c>
      <c r="D689" s="5" t="s">
        <v>30</v>
      </c>
      <c r="E689" s="9" t="s">
        <v>544</v>
      </c>
      <c r="F689" s="9" t="s">
        <v>542</v>
      </c>
      <c r="G689" s="9" t="s">
        <v>189</v>
      </c>
      <c r="H689" s="9" t="s">
        <v>545</v>
      </c>
      <c r="I689" s="9" t="s">
        <v>276</v>
      </c>
      <c r="J689" s="9" t="s">
        <v>36</v>
      </c>
      <c r="K689" s="9">
        <v>690</v>
      </c>
      <c r="L689" s="9"/>
      <c r="M689" s="9"/>
      <c r="N689" s="9"/>
      <c r="O689" s="9" t="s">
        <v>37</v>
      </c>
      <c r="P689" s="9" t="s">
        <v>45</v>
      </c>
      <c r="Q689" s="11"/>
      <c r="R689" s="10"/>
      <c r="S689" s="10"/>
      <c r="T689" s="10"/>
      <c r="U689" s="9"/>
      <c r="X689" t="s">
        <v>191</v>
      </c>
      <c r="Y689" t="s">
        <v>179</v>
      </c>
      <c r="Z689" t="s">
        <v>538</v>
      </c>
      <c r="AB689" t="str">
        <f t="shared" si="30"/>
        <v>24156</v>
      </c>
    </row>
    <row r="690" ht="14.25" spans="1:28">
      <c r="A690" s="5" t="s">
        <v>28</v>
      </c>
      <c r="B690" s="5" t="s">
        <v>264</v>
      </c>
      <c r="C690" s="5">
        <v>2027</v>
      </c>
      <c r="D690" s="5" t="s">
        <v>30</v>
      </c>
      <c r="E690" s="9" t="s">
        <v>546</v>
      </c>
      <c r="F690" s="9" t="s">
        <v>547</v>
      </c>
      <c r="G690" s="9" t="s">
        <v>511</v>
      </c>
      <c r="H690" s="9" t="s">
        <v>548</v>
      </c>
      <c r="I690" s="9" t="s">
        <v>276</v>
      </c>
      <c r="J690" s="9" t="s">
        <v>36</v>
      </c>
      <c r="K690" s="9">
        <v>1390</v>
      </c>
      <c r="L690" s="9"/>
      <c r="M690" s="9"/>
      <c r="N690" s="9"/>
      <c r="O690" s="9" t="s">
        <v>37</v>
      </c>
      <c r="P690" s="9" t="s">
        <v>38</v>
      </c>
      <c r="Q690" s="11"/>
      <c r="R690" s="10">
        <f t="shared" si="31"/>
        <v>0</v>
      </c>
      <c r="S690" s="10">
        <f>SUMIFS([1]Sheet1!$T:$T,[1]Sheet1!$I:$I,E690,[1]Sheet1!$C:$C,A690)</f>
        <v>0</v>
      </c>
      <c r="T690" s="10">
        <f t="shared" si="32"/>
        <v>0</v>
      </c>
      <c r="U690" s="9"/>
      <c r="X690" t="s">
        <v>58</v>
      </c>
      <c r="Y690" t="s">
        <v>179</v>
      </c>
      <c r="Z690" t="s">
        <v>41</v>
      </c>
      <c r="AB690" t="str">
        <f t="shared" si="30"/>
        <v>24165</v>
      </c>
    </row>
    <row r="691" ht="14.25" spans="1:28">
      <c r="A691" s="5" t="s">
        <v>28</v>
      </c>
      <c r="B691" s="5" t="s">
        <v>264</v>
      </c>
      <c r="C691" s="5">
        <v>2027</v>
      </c>
      <c r="D691" s="5" t="s">
        <v>30</v>
      </c>
      <c r="E691" s="9" t="s">
        <v>546</v>
      </c>
      <c r="F691" s="9" t="s">
        <v>547</v>
      </c>
      <c r="G691" s="9" t="s">
        <v>511</v>
      </c>
      <c r="H691" s="9" t="s">
        <v>548</v>
      </c>
      <c r="I691" s="9" t="s">
        <v>276</v>
      </c>
      <c r="J691" s="9" t="s">
        <v>36</v>
      </c>
      <c r="K691" s="9">
        <v>1390</v>
      </c>
      <c r="L691" s="9"/>
      <c r="M691" s="9"/>
      <c r="N691" s="9"/>
      <c r="O691" s="9" t="s">
        <v>37</v>
      </c>
      <c r="P691" s="9" t="s">
        <v>42</v>
      </c>
      <c r="Q691" s="11"/>
      <c r="R691" s="10"/>
      <c r="S691" s="10"/>
      <c r="T691" s="10"/>
      <c r="U691" s="9"/>
      <c r="X691" t="s">
        <v>58</v>
      </c>
      <c r="Y691" t="s">
        <v>179</v>
      </c>
      <c r="Z691" t="s">
        <v>41</v>
      </c>
      <c r="AB691" t="str">
        <f t="shared" si="30"/>
        <v>24165</v>
      </c>
    </row>
    <row r="692" ht="14.25" spans="1:28">
      <c r="A692" s="5" t="s">
        <v>28</v>
      </c>
      <c r="B692" s="5" t="s">
        <v>264</v>
      </c>
      <c r="C692" s="5">
        <v>2027</v>
      </c>
      <c r="D692" s="5" t="s">
        <v>30</v>
      </c>
      <c r="E692" s="9" t="s">
        <v>546</v>
      </c>
      <c r="F692" s="9" t="s">
        <v>547</v>
      </c>
      <c r="G692" s="9" t="s">
        <v>511</v>
      </c>
      <c r="H692" s="9" t="s">
        <v>548</v>
      </c>
      <c r="I692" s="9" t="s">
        <v>276</v>
      </c>
      <c r="J692" s="9" t="s">
        <v>36</v>
      </c>
      <c r="K692" s="9">
        <v>1390</v>
      </c>
      <c r="L692" s="9"/>
      <c r="M692" s="9"/>
      <c r="N692" s="9"/>
      <c r="O692" s="9" t="s">
        <v>37</v>
      </c>
      <c r="P692" s="9" t="s">
        <v>43</v>
      </c>
      <c r="Q692" s="11"/>
      <c r="R692" s="10"/>
      <c r="S692" s="10"/>
      <c r="T692" s="10"/>
      <c r="U692" s="9"/>
      <c r="X692" t="s">
        <v>58</v>
      </c>
      <c r="Y692" t="s">
        <v>179</v>
      </c>
      <c r="Z692" t="s">
        <v>41</v>
      </c>
      <c r="AB692" t="str">
        <f t="shared" si="30"/>
        <v>24165</v>
      </c>
    </row>
    <row r="693" ht="14.25" spans="1:28">
      <c r="A693" s="5" t="s">
        <v>28</v>
      </c>
      <c r="B693" s="5" t="s">
        <v>264</v>
      </c>
      <c r="C693" s="5">
        <v>2027</v>
      </c>
      <c r="D693" s="5" t="s">
        <v>30</v>
      </c>
      <c r="E693" s="9" t="s">
        <v>546</v>
      </c>
      <c r="F693" s="9" t="s">
        <v>547</v>
      </c>
      <c r="G693" s="9" t="s">
        <v>511</v>
      </c>
      <c r="H693" s="9" t="s">
        <v>548</v>
      </c>
      <c r="I693" s="9" t="s">
        <v>276</v>
      </c>
      <c r="J693" s="9" t="s">
        <v>36</v>
      </c>
      <c r="K693" s="9">
        <v>1390</v>
      </c>
      <c r="L693" s="9"/>
      <c r="M693" s="9"/>
      <c r="N693" s="9"/>
      <c r="O693" s="9" t="s">
        <v>37</v>
      </c>
      <c r="P693" s="9" t="s">
        <v>44</v>
      </c>
      <c r="Q693" s="11"/>
      <c r="R693" s="10"/>
      <c r="S693" s="10"/>
      <c r="T693" s="10"/>
      <c r="U693" s="9"/>
      <c r="X693" t="s">
        <v>58</v>
      </c>
      <c r="Y693" t="s">
        <v>179</v>
      </c>
      <c r="Z693" t="s">
        <v>41</v>
      </c>
      <c r="AB693" t="str">
        <f t="shared" si="30"/>
        <v>24165</v>
      </c>
    </row>
    <row r="694" ht="14.25" spans="1:28">
      <c r="A694" s="5" t="s">
        <v>28</v>
      </c>
      <c r="B694" s="5" t="s">
        <v>264</v>
      </c>
      <c r="C694" s="5">
        <v>2027</v>
      </c>
      <c r="D694" s="5" t="s">
        <v>30</v>
      </c>
      <c r="E694" s="9" t="s">
        <v>546</v>
      </c>
      <c r="F694" s="9" t="s">
        <v>547</v>
      </c>
      <c r="G694" s="9" t="s">
        <v>511</v>
      </c>
      <c r="H694" s="9" t="s">
        <v>548</v>
      </c>
      <c r="I694" s="9" t="s">
        <v>276</v>
      </c>
      <c r="J694" s="9" t="s">
        <v>36</v>
      </c>
      <c r="K694" s="9">
        <v>1390</v>
      </c>
      <c r="L694" s="9"/>
      <c r="M694" s="9"/>
      <c r="N694" s="9"/>
      <c r="O694" s="9" t="s">
        <v>37</v>
      </c>
      <c r="P694" s="9" t="s">
        <v>45</v>
      </c>
      <c r="Q694" s="11"/>
      <c r="R694" s="10"/>
      <c r="S694" s="10"/>
      <c r="T694" s="10"/>
      <c r="U694" s="9"/>
      <c r="X694" t="s">
        <v>58</v>
      </c>
      <c r="Y694" t="s">
        <v>179</v>
      </c>
      <c r="Z694" t="s">
        <v>41</v>
      </c>
      <c r="AB694" t="str">
        <f t="shared" si="30"/>
        <v>24165</v>
      </c>
    </row>
    <row r="695" ht="14.25" spans="1:28">
      <c r="A695" s="5" t="s">
        <v>28</v>
      </c>
      <c r="B695" s="5" t="s">
        <v>264</v>
      </c>
      <c r="C695" s="5">
        <v>2027</v>
      </c>
      <c r="D695" s="5" t="s">
        <v>30</v>
      </c>
      <c r="E695" s="9" t="s">
        <v>549</v>
      </c>
      <c r="F695" s="9" t="s">
        <v>550</v>
      </c>
      <c r="G695" s="9" t="s">
        <v>330</v>
      </c>
      <c r="H695" s="9" t="s">
        <v>551</v>
      </c>
      <c r="I695" s="9" t="s">
        <v>276</v>
      </c>
      <c r="J695" s="9" t="s">
        <v>36</v>
      </c>
      <c r="K695" s="9">
        <v>1590</v>
      </c>
      <c r="L695" s="9"/>
      <c r="M695" s="9"/>
      <c r="N695" s="9"/>
      <c r="O695" s="9" t="s">
        <v>37</v>
      </c>
      <c r="P695" s="9" t="s">
        <v>38</v>
      </c>
      <c r="Q695" s="11"/>
      <c r="R695" s="10">
        <f t="shared" si="31"/>
        <v>0</v>
      </c>
      <c r="S695" s="10">
        <f>SUMIFS([1]Sheet1!$T:$T,[1]Sheet1!$I:$I,E695,[1]Sheet1!$C:$C,A695)</f>
        <v>0</v>
      </c>
      <c r="T695" s="10">
        <f t="shared" si="32"/>
        <v>0</v>
      </c>
      <c r="U695" s="9"/>
      <c r="X695" t="s">
        <v>332</v>
      </c>
      <c r="Y695" t="s">
        <v>179</v>
      </c>
      <c r="Z695" t="s">
        <v>179</v>
      </c>
      <c r="AB695" t="str">
        <f t="shared" si="30"/>
        <v>24166</v>
      </c>
    </row>
    <row r="696" ht="14.25" spans="1:28">
      <c r="A696" s="5" t="s">
        <v>28</v>
      </c>
      <c r="B696" s="5" t="s">
        <v>264</v>
      </c>
      <c r="C696" s="5">
        <v>2027</v>
      </c>
      <c r="D696" s="5" t="s">
        <v>30</v>
      </c>
      <c r="E696" s="9" t="s">
        <v>549</v>
      </c>
      <c r="F696" s="9" t="s">
        <v>550</v>
      </c>
      <c r="G696" s="9" t="s">
        <v>330</v>
      </c>
      <c r="H696" s="9" t="s">
        <v>551</v>
      </c>
      <c r="I696" s="9" t="s">
        <v>276</v>
      </c>
      <c r="J696" s="9" t="s">
        <v>36</v>
      </c>
      <c r="K696" s="9">
        <v>1590</v>
      </c>
      <c r="L696" s="9"/>
      <c r="M696" s="9"/>
      <c r="N696" s="9"/>
      <c r="O696" s="9" t="s">
        <v>37</v>
      </c>
      <c r="P696" s="9" t="s">
        <v>42</v>
      </c>
      <c r="Q696" s="11"/>
      <c r="R696" s="10"/>
      <c r="S696" s="10"/>
      <c r="T696" s="10"/>
      <c r="U696" s="9"/>
      <c r="X696" t="s">
        <v>332</v>
      </c>
      <c r="Y696" t="s">
        <v>179</v>
      </c>
      <c r="Z696" t="s">
        <v>179</v>
      </c>
      <c r="AB696" t="str">
        <f t="shared" si="30"/>
        <v>24166</v>
      </c>
    </row>
    <row r="697" ht="14.25" spans="1:28">
      <c r="A697" s="5" t="s">
        <v>28</v>
      </c>
      <c r="B697" s="5" t="s">
        <v>264</v>
      </c>
      <c r="C697" s="5">
        <v>2027</v>
      </c>
      <c r="D697" s="5" t="s">
        <v>30</v>
      </c>
      <c r="E697" s="9" t="s">
        <v>549</v>
      </c>
      <c r="F697" s="9" t="s">
        <v>550</v>
      </c>
      <c r="G697" s="9" t="s">
        <v>330</v>
      </c>
      <c r="H697" s="9" t="s">
        <v>551</v>
      </c>
      <c r="I697" s="9" t="s">
        <v>276</v>
      </c>
      <c r="J697" s="9" t="s">
        <v>36</v>
      </c>
      <c r="K697" s="9">
        <v>1590</v>
      </c>
      <c r="L697" s="9"/>
      <c r="M697" s="9"/>
      <c r="N697" s="9"/>
      <c r="O697" s="9" t="s">
        <v>37</v>
      </c>
      <c r="P697" s="9" t="s">
        <v>43</v>
      </c>
      <c r="Q697" s="11"/>
      <c r="R697" s="10"/>
      <c r="S697" s="10"/>
      <c r="T697" s="10"/>
      <c r="U697" s="9"/>
      <c r="X697" t="s">
        <v>332</v>
      </c>
      <c r="Y697" t="s">
        <v>179</v>
      </c>
      <c r="Z697" t="s">
        <v>179</v>
      </c>
      <c r="AB697" t="str">
        <f t="shared" si="30"/>
        <v>24166</v>
      </c>
    </row>
    <row r="698" ht="14.25" spans="1:28">
      <c r="A698" s="5" t="s">
        <v>28</v>
      </c>
      <c r="B698" s="5" t="s">
        <v>264</v>
      </c>
      <c r="C698" s="5">
        <v>2027</v>
      </c>
      <c r="D698" s="5" t="s">
        <v>30</v>
      </c>
      <c r="E698" s="9" t="s">
        <v>549</v>
      </c>
      <c r="F698" s="9" t="s">
        <v>550</v>
      </c>
      <c r="G698" s="9" t="s">
        <v>330</v>
      </c>
      <c r="H698" s="9" t="s">
        <v>551</v>
      </c>
      <c r="I698" s="9" t="s">
        <v>276</v>
      </c>
      <c r="J698" s="9" t="s">
        <v>36</v>
      </c>
      <c r="K698" s="9">
        <v>1590</v>
      </c>
      <c r="L698" s="9"/>
      <c r="M698" s="9"/>
      <c r="N698" s="9"/>
      <c r="O698" s="9" t="s">
        <v>37</v>
      </c>
      <c r="P698" s="9" t="s">
        <v>44</v>
      </c>
      <c r="Q698" s="11"/>
      <c r="R698" s="10"/>
      <c r="S698" s="10"/>
      <c r="T698" s="10"/>
      <c r="U698" s="9"/>
      <c r="X698" t="s">
        <v>332</v>
      </c>
      <c r="Y698" t="s">
        <v>179</v>
      </c>
      <c r="Z698" t="s">
        <v>179</v>
      </c>
      <c r="AB698" t="str">
        <f t="shared" si="30"/>
        <v>24166</v>
      </c>
    </row>
    <row r="699" ht="14.25" spans="1:28">
      <c r="A699" s="5" t="s">
        <v>28</v>
      </c>
      <c r="B699" s="5" t="s">
        <v>264</v>
      </c>
      <c r="C699" s="5">
        <v>2027</v>
      </c>
      <c r="D699" s="5" t="s">
        <v>30</v>
      </c>
      <c r="E699" s="9" t="s">
        <v>549</v>
      </c>
      <c r="F699" s="9" t="s">
        <v>550</v>
      </c>
      <c r="G699" s="9" t="s">
        <v>330</v>
      </c>
      <c r="H699" s="9" t="s">
        <v>551</v>
      </c>
      <c r="I699" s="9" t="s">
        <v>276</v>
      </c>
      <c r="J699" s="9" t="s">
        <v>36</v>
      </c>
      <c r="K699" s="9">
        <v>1590</v>
      </c>
      <c r="L699" s="9"/>
      <c r="M699" s="9"/>
      <c r="N699" s="9"/>
      <c r="O699" s="9" t="s">
        <v>37</v>
      </c>
      <c r="P699" s="9" t="s">
        <v>45</v>
      </c>
      <c r="Q699" s="11"/>
      <c r="R699" s="10"/>
      <c r="S699" s="10"/>
      <c r="T699" s="10"/>
      <c r="U699" s="9"/>
      <c r="X699" t="s">
        <v>332</v>
      </c>
      <c r="Y699" t="s">
        <v>179</v>
      </c>
      <c r="Z699" t="s">
        <v>179</v>
      </c>
      <c r="AB699" t="str">
        <f t="shared" si="30"/>
        <v>24166</v>
      </c>
    </row>
    <row r="700" ht="14.25" spans="1:28">
      <c r="A700" s="5" t="s">
        <v>28</v>
      </c>
      <c r="B700" s="5" t="s">
        <v>264</v>
      </c>
      <c r="C700" s="5">
        <v>2027</v>
      </c>
      <c r="D700" s="5" t="s">
        <v>30</v>
      </c>
      <c r="E700" s="9" t="s">
        <v>552</v>
      </c>
      <c r="F700" s="9" t="s">
        <v>553</v>
      </c>
      <c r="G700" s="9" t="s">
        <v>182</v>
      </c>
      <c r="H700" s="9" t="s">
        <v>554</v>
      </c>
      <c r="I700" s="9" t="s">
        <v>276</v>
      </c>
      <c r="J700" s="9" t="s">
        <v>36</v>
      </c>
      <c r="K700" s="9">
        <v>1590</v>
      </c>
      <c r="L700" s="9"/>
      <c r="M700" s="9"/>
      <c r="N700" s="9"/>
      <c r="O700" s="9" t="s">
        <v>37</v>
      </c>
      <c r="P700" s="9" t="s">
        <v>38</v>
      </c>
      <c r="Q700" s="11"/>
      <c r="R700" s="10">
        <f t="shared" si="31"/>
        <v>0</v>
      </c>
      <c r="S700" s="10">
        <f>SUMIFS([1]Sheet1!$T:$T,[1]Sheet1!$I:$I,E700,[1]Sheet1!$C:$C,A700)</f>
        <v>0</v>
      </c>
      <c r="T700" s="10">
        <f t="shared" si="32"/>
        <v>0</v>
      </c>
      <c r="U700" s="9"/>
      <c r="X700" t="s">
        <v>102</v>
      </c>
      <c r="Y700" t="s">
        <v>179</v>
      </c>
      <c r="Z700" t="s">
        <v>104</v>
      </c>
      <c r="AB700" t="str">
        <f t="shared" si="30"/>
        <v>24167</v>
      </c>
    </row>
    <row r="701" ht="14.25" spans="1:28">
      <c r="A701" s="5" t="s">
        <v>28</v>
      </c>
      <c r="B701" s="5" t="s">
        <v>264</v>
      </c>
      <c r="C701" s="5">
        <v>2027</v>
      </c>
      <c r="D701" s="5" t="s">
        <v>30</v>
      </c>
      <c r="E701" s="9" t="s">
        <v>552</v>
      </c>
      <c r="F701" s="9" t="s">
        <v>553</v>
      </c>
      <c r="G701" s="9" t="s">
        <v>182</v>
      </c>
      <c r="H701" s="9" t="s">
        <v>554</v>
      </c>
      <c r="I701" s="9" t="s">
        <v>276</v>
      </c>
      <c r="J701" s="9" t="s">
        <v>36</v>
      </c>
      <c r="K701" s="9">
        <v>1590</v>
      </c>
      <c r="L701" s="9"/>
      <c r="M701" s="9"/>
      <c r="N701" s="9"/>
      <c r="O701" s="9" t="s">
        <v>37</v>
      </c>
      <c r="P701" s="9" t="s">
        <v>42</v>
      </c>
      <c r="Q701" s="11"/>
      <c r="R701" s="10"/>
      <c r="S701" s="10"/>
      <c r="T701" s="10"/>
      <c r="U701" s="9"/>
      <c r="X701" t="s">
        <v>102</v>
      </c>
      <c r="Y701" t="s">
        <v>179</v>
      </c>
      <c r="Z701" t="s">
        <v>104</v>
      </c>
      <c r="AB701" t="str">
        <f t="shared" si="30"/>
        <v>24167</v>
      </c>
    </row>
    <row r="702" ht="14.25" spans="1:28">
      <c r="A702" s="5" t="s">
        <v>28</v>
      </c>
      <c r="B702" s="5" t="s">
        <v>264</v>
      </c>
      <c r="C702" s="5">
        <v>2027</v>
      </c>
      <c r="D702" s="5" t="s">
        <v>30</v>
      </c>
      <c r="E702" s="9" t="s">
        <v>552</v>
      </c>
      <c r="F702" s="9" t="s">
        <v>553</v>
      </c>
      <c r="G702" s="9" t="s">
        <v>182</v>
      </c>
      <c r="H702" s="9" t="s">
        <v>554</v>
      </c>
      <c r="I702" s="9" t="s">
        <v>276</v>
      </c>
      <c r="J702" s="9" t="s">
        <v>36</v>
      </c>
      <c r="K702" s="9">
        <v>1590</v>
      </c>
      <c r="L702" s="9"/>
      <c r="M702" s="9"/>
      <c r="N702" s="9"/>
      <c r="O702" s="9" t="s">
        <v>37</v>
      </c>
      <c r="P702" s="9" t="s">
        <v>43</v>
      </c>
      <c r="Q702" s="11"/>
      <c r="R702" s="10"/>
      <c r="S702" s="10"/>
      <c r="T702" s="10"/>
      <c r="U702" s="9"/>
      <c r="X702" t="s">
        <v>102</v>
      </c>
      <c r="Y702" t="s">
        <v>179</v>
      </c>
      <c r="Z702" t="s">
        <v>104</v>
      </c>
      <c r="AB702" t="str">
        <f t="shared" si="30"/>
        <v>24167</v>
      </c>
    </row>
    <row r="703" ht="14.25" spans="1:28">
      <c r="A703" s="5" t="s">
        <v>28</v>
      </c>
      <c r="B703" s="5" t="s">
        <v>264</v>
      </c>
      <c r="C703" s="5">
        <v>2027</v>
      </c>
      <c r="D703" s="5" t="s">
        <v>30</v>
      </c>
      <c r="E703" s="9" t="s">
        <v>552</v>
      </c>
      <c r="F703" s="9" t="s">
        <v>553</v>
      </c>
      <c r="G703" s="9" t="s">
        <v>182</v>
      </c>
      <c r="H703" s="9" t="s">
        <v>554</v>
      </c>
      <c r="I703" s="9" t="s">
        <v>276</v>
      </c>
      <c r="J703" s="9" t="s">
        <v>36</v>
      </c>
      <c r="K703" s="9">
        <v>1590</v>
      </c>
      <c r="L703" s="9"/>
      <c r="M703" s="9"/>
      <c r="N703" s="9"/>
      <c r="O703" s="9" t="s">
        <v>37</v>
      </c>
      <c r="P703" s="9" t="s">
        <v>44</v>
      </c>
      <c r="Q703" s="11"/>
      <c r="R703" s="10"/>
      <c r="S703" s="10"/>
      <c r="T703" s="10"/>
      <c r="U703" s="9"/>
      <c r="X703" t="s">
        <v>102</v>
      </c>
      <c r="Y703" t="s">
        <v>179</v>
      </c>
      <c r="Z703" t="s">
        <v>104</v>
      </c>
      <c r="AB703" t="str">
        <f t="shared" si="30"/>
        <v>24167</v>
      </c>
    </row>
    <row r="704" ht="14.25" spans="1:28">
      <c r="A704" s="5" t="s">
        <v>28</v>
      </c>
      <c r="B704" s="5" t="s">
        <v>264</v>
      </c>
      <c r="C704" s="5">
        <v>2027</v>
      </c>
      <c r="D704" s="5" t="s">
        <v>30</v>
      </c>
      <c r="E704" s="9" t="s">
        <v>552</v>
      </c>
      <c r="F704" s="9" t="s">
        <v>553</v>
      </c>
      <c r="G704" s="9" t="s">
        <v>182</v>
      </c>
      <c r="H704" s="9" t="s">
        <v>554</v>
      </c>
      <c r="I704" s="9" t="s">
        <v>276</v>
      </c>
      <c r="J704" s="9" t="s">
        <v>36</v>
      </c>
      <c r="K704" s="9">
        <v>1590</v>
      </c>
      <c r="L704" s="9"/>
      <c r="M704" s="9"/>
      <c r="N704" s="9"/>
      <c r="O704" s="9" t="s">
        <v>37</v>
      </c>
      <c r="P704" s="9" t="s">
        <v>45</v>
      </c>
      <c r="Q704" s="11"/>
      <c r="R704" s="10"/>
      <c r="S704" s="10"/>
      <c r="T704" s="10"/>
      <c r="U704" s="9"/>
      <c r="X704" t="s">
        <v>102</v>
      </c>
      <c r="Y704" t="s">
        <v>179</v>
      </c>
      <c r="Z704" t="s">
        <v>104</v>
      </c>
      <c r="AB704" t="str">
        <f t="shared" si="30"/>
        <v>24167</v>
      </c>
    </row>
    <row r="705" ht="14.25" spans="1:28">
      <c r="A705" s="5" t="s">
        <v>28</v>
      </c>
      <c r="B705" s="5" t="s">
        <v>264</v>
      </c>
      <c r="C705" s="5">
        <v>2027</v>
      </c>
      <c r="D705" s="5" t="s">
        <v>30</v>
      </c>
      <c r="E705" s="9" t="s">
        <v>555</v>
      </c>
      <c r="F705" s="9" t="s">
        <v>556</v>
      </c>
      <c r="G705" s="9" t="s">
        <v>346</v>
      </c>
      <c r="H705" s="9" t="s">
        <v>557</v>
      </c>
      <c r="I705" s="9" t="s">
        <v>276</v>
      </c>
      <c r="J705" s="9" t="s">
        <v>36</v>
      </c>
      <c r="K705" s="9">
        <v>1190</v>
      </c>
      <c r="L705" s="9"/>
      <c r="M705" s="9"/>
      <c r="N705" s="9"/>
      <c r="O705" s="9" t="s">
        <v>37</v>
      </c>
      <c r="P705" s="9" t="s">
        <v>38</v>
      </c>
      <c r="Q705" s="11"/>
      <c r="R705" s="10">
        <f t="shared" si="31"/>
        <v>0</v>
      </c>
      <c r="S705" s="10">
        <f>SUMIFS([1]Sheet1!$T:$T,[1]Sheet1!$I:$I,E705,[1]Sheet1!$C:$C,A705)</f>
        <v>0</v>
      </c>
      <c r="T705" s="10">
        <f t="shared" si="32"/>
        <v>0</v>
      </c>
      <c r="U705" s="9"/>
      <c r="X705" t="s">
        <v>191</v>
      </c>
      <c r="Y705" t="s">
        <v>179</v>
      </c>
      <c r="Z705" t="s">
        <v>104</v>
      </c>
      <c r="AB705" t="str">
        <f t="shared" si="30"/>
        <v>24180</v>
      </c>
    </row>
    <row r="706" ht="14.25" spans="1:28">
      <c r="A706" s="5" t="s">
        <v>28</v>
      </c>
      <c r="B706" s="5" t="s">
        <v>264</v>
      </c>
      <c r="C706" s="5">
        <v>2027</v>
      </c>
      <c r="D706" s="5" t="s">
        <v>30</v>
      </c>
      <c r="E706" s="9" t="s">
        <v>555</v>
      </c>
      <c r="F706" s="9" t="s">
        <v>556</v>
      </c>
      <c r="G706" s="9" t="s">
        <v>346</v>
      </c>
      <c r="H706" s="9" t="s">
        <v>557</v>
      </c>
      <c r="I706" s="9" t="s">
        <v>276</v>
      </c>
      <c r="J706" s="9" t="s">
        <v>36</v>
      </c>
      <c r="K706" s="9">
        <v>1190</v>
      </c>
      <c r="L706" s="9"/>
      <c r="M706" s="9"/>
      <c r="N706" s="9"/>
      <c r="O706" s="9" t="s">
        <v>37</v>
      </c>
      <c r="P706" s="9" t="s">
        <v>42</v>
      </c>
      <c r="Q706" s="11"/>
      <c r="R706" s="10"/>
      <c r="S706" s="10"/>
      <c r="T706" s="10"/>
      <c r="U706" s="9"/>
      <c r="X706" t="s">
        <v>191</v>
      </c>
      <c r="Y706" t="s">
        <v>179</v>
      </c>
      <c r="Z706" t="s">
        <v>104</v>
      </c>
      <c r="AB706" t="str">
        <f t="shared" si="30"/>
        <v>24180</v>
      </c>
    </row>
    <row r="707" ht="14.25" spans="1:28">
      <c r="A707" s="5" t="s">
        <v>28</v>
      </c>
      <c r="B707" s="5" t="s">
        <v>264</v>
      </c>
      <c r="C707" s="5">
        <v>2027</v>
      </c>
      <c r="D707" s="5" t="s">
        <v>30</v>
      </c>
      <c r="E707" s="9" t="s">
        <v>555</v>
      </c>
      <c r="F707" s="9" t="s">
        <v>556</v>
      </c>
      <c r="G707" s="9" t="s">
        <v>346</v>
      </c>
      <c r="H707" s="9" t="s">
        <v>557</v>
      </c>
      <c r="I707" s="9" t="s">
        <v>276</v>
      </c>
      <c r="J707" s="9" t="s">
        <v>36</v>
      </c>
      <c r="K707" s="9">
        <v>1190</v>
      </c>
      <c r="L707" s="9"/>
      <c r="M707" s="9"/>
      <c r="N707" s="9"/>
      <c r="O707" s="9" t="s">
        <v>37</v>
      </c>
      <c r="P707" s="9" t="s">
        <v>43</v>
      </c>
      <c r="Q707" s="11"/>
      <c r="R707" s="10"/>
      <c r="S707" s="10"/>
      <c r="T707" s="10"/>
      <c r="U707" s="9"/>
      <c r="X707" t="s">
        <v>191</v>
      </c>
      <c r="Y707" t="s">
        <v>179</v>
      </c>
      <c r="Z707" t="s">
        <v>104</v>
      </c>
      <c r="AB707" t="str">
        <f t="shared" ref="AB707:AB770" si="33">MID(E707,6,5)</f>
        <v>24180</v>
      </c>
    </row>
    <row r="708" ht="14.25" spans="1:28">
      <c r="A708" s="5" t="s">
        <v>28</v>
      </c>
      <c r="B708" s="5" t="s">
        <v>264</v>
      </c>
      <c r="C708" s="5">
        <v>2027</v>
      </c>
      <c r="D708" s="5" t="s">
        <v>30</v>
      </c>
      <c r="E708" s="9" t="s">
        <v>555</v>
      </c>
      <c r="F708" s="9" t="s">
        <v>556</v>
      </c>
      <c r="G708" s="9" t="s">
        <v>346</v>
      </c>
      <c r="H708" s="9" t="s">
        <v>557</v>
      </c>
      <c r="I708" s="9" t="s">
        <v>276</v>
      </c>
      <c r="J708" s="9" t="s">
        <v>36</v>
      </c>
      <c r="K708" s="9">
        <v>1190</v>
      </c>
      <c r="L708" s="9"/>
      <c r="M708" s="9"/>
      <c r="N708" s="9"/>
      <c r="O708" s="9" t="s">
        <v>37</v>
      </c>
      <c r="P708" s="9" t="s">
        <v>44</v>
      </c>
      <c r="Q708" s="11"/>
      <c r="R708" s="10"/>
      <c r="S708" s="10"/>
      <c r="T708" s="10"/>
      <c r="U708" s="9"/>
      <c r="X708" t="s">
        <v>191</v>
      </c>
      <c r="Y708" t="s">
        <v>179</v>
      </c>
      <c r="Z708" t="s">
        <v>104</v>
      </c>
      <c r="AB708" t="str">
        <f t="shared" si="33"/>
        <v>24180</v>
      </c>
    </row>
    <row r="709" ht="14.25" spans="1:28">
      <c r="A709" s="5" t="s">
        <v>28</v>
      </c>
      <c r="B709" s="5" t="s">
        <v>264</v>
      </c>
      <c r="C709" s="5">
        <v>2027</v>
      </c>
      <c r="D709" s="5" t="s">
        <v>30</v>
      </c>
      <c r="E709" s="9" t="s">
        <v>555</v>
      </c>
      <c r="F709" s="9" t="s">
        <v>556</v>
      </c>
      <c r="G709" s="9" t="s">
        <v>346</v>
      </c>
      <c r="H709" s="9" t="s">
        <v>557</v>
      </c>
      <c r="I709" s="9" t="s">
        <v>276</v>
      </c>
      <c r="J709" s="9" t="s">
        <v>36</v>
      </c>
      <c r="K709" s="9">
        <v>1190</v>
      </c>
      <c r="L709" s="9"/>
      <c r="M709" s="9"/>
      <c r="N709" s="9"/>
      <c r="O709" s="9" t="s">
        <v>37</v>
      </c>
      <c r="P709" s="9" t="s">
        <v>45</v>
      </c>
      <c r="Q709" s="11"/>
      <c r="R709" s="10"/>
      <c r="S709" s="10"/>
      <c r="T709" s="10"/>
      <c r="U709" s="9"/>
      <c r="X709" t="s">
        <v>191</v>
      </c>
      <c r="Y709" t="s">
        <v>179</v>
      </c>
      <c r="Z709" t="s">
        <v>104</v>
      </c>
      <c r="AB709" t="str">
        <f t="shared" si="33"/>
        <v>24180</v>
      </c>
    </row>
    <row r="710" ht="14.25" spans="1:28">
      <c r="A710" s="5" t="s">
        <v>28</v>
      </c>
      <c r="B710" s="5" t="s">
        <v>264</v>
      </c>
      <c r="C710" s="5">
        <v>2027</v>
      </c>
      <c r="D710" s="5" t="s">
        <v>30</v>
      </c>
      <c r="E710" s="9" t="s">
        <v>558</v>
      </c>
      <c r="F710" s="9" t="s">
        <v>559</v>
      </c>
      <c r="G710" s="9" t="s">
        <v>560</v>
      </c>
      <c r="H710" s="9" t="s">
        <v>561</v>
      </c>
      <c r="I710" s="9" t="s">
        <v>276</v>
      </c>
      <c r="J710" s="9" t="s">
        <v>36</v>
      </c>
      <c r="K710" s="9">
        <v>990</v>
      </c>
      <c r="L710" s="9"/>
      <c r="M710" s="9"/>
      <c r="N710" s="9"/>
      <c r="O710" s="9" t="s">
        <v>37</v>
      </c>
      <c r="P710" s="9" t="s">
        <v>38</v>
      </c>
      <c r="Q710" s="11"/>
      <c r="R710" s="10">
        <f t="shared" ref="R706:R769" si="34">SUMIFS(Q:Q,E:E,E710)</f>
        <v>0</v>
      </c>
      <c r="S710" s="10">
        <f>SUMIFS([1]Sheet1!$T:$T,[1]Sheet1!$I:$I,E710,[1]Sheet1!$C:$C,A710)</f>
        <v>0</v>
      </c>
      <c r="T710" s="10">
        <f t="shared" ref="T706:T769" si="35">R710-S710</f>
        <v>0</v>
      </c>
      <c r="U710" s="9"/>
      <c r="Y710" t="s">
        <v>179</v>
      </c>
      <c r="Z710" t="s">
        <v>247</v>
      </c>
      <c r="AB710" t="str">
        <f t="shared" si="33"/>
        <v>24187</v>
      </c>
    </row>
    <row r="711" ht="14.25" spans="1:28">
      <c r="A711" s="5" t="s">
        <v>28</v>
      </c>
      <c r="B711" s="5" t="s">
        <v>264</v>
      </c>
      <c r="C711" s="5">
        <v>2027</v>
      </c>
      <c r="D711" s="5" t="s">
        <v>30</v>
      </c>
      <c r="E711" s="9" t="s">
        <v>558</v>
      </c>
      <c r="F711" s="9" t="s">
        <v>559</v>
      </c>
      <c r="G711" s="9" t="s">
        <v>560</v>
      </c>
      <c r="H711" s="9" t="s">
        <v>561</v>
      </c>
      <c r="I711" s="9" t="s">
        <v>276</v>
      </c>
      <c r="J711" s="9" t="s">
        <v>36</v>
      </c>
      <c r="K711" s="9">
        <v>990</v>
      </c>
      <c r="L711" s="9"/>
      <c r="M711" s="9"/>
      <c r="N711" s="9"/>
      <c r="O711" s="9" t="s">
        <v>37</v>
      </c>
      <c r="P711" s="9" t="s">
        <v>42</v>
      </c>
      <c r="Q711" s="11"/>
      <c r="R711" s="10"/>
      <c r="S711" s="10"/>
      <c r="T711" s="10"/>
      <c r="U711" s="9"/>
      <c r="Y711" t="s">
        <v>179</v>
      </c>
      <c r="Z711" t="s">
        <v>247</v>
      </c>
      <c r="AB711" t="str">
        <f t="shared" si="33"/>
        <v>24187</v>
      </c>
    </row>
    <row r="712" ht="14.25" spans="1:28">
      <c r="A712" s="5" t="s">
        <v>28</v>
      </c>
      <c r="B712" s="5" t="s">
        <v>264</v>
      </c>
      <c r="C712" s="5">
        <v>2027</v>
      </c>
      <c r="D712" s="5" t="s">
        <v>30</v>
      </c>
      <c r="E712" s="9" t="s">
        <v>558</v>
      </c>
      <c r="F712" s="9" t="s">
        <v>559</v>
      </c>
      <c r="G712" s="9" t="s">
        <v>560</v>
      </c>
      <c r="H712" s="9" t="s">
        <v>561</v>
      </c>
      <c r="I712" s="9" t="s">
        <v>276</v>
      </c>
      <c r="J712" s="9" t="s">
        <v>36</v>
      </c>
      <c r="K712" s="9">
        <v>990</v>
      </c>
      <c r="L712" s="9"/>
      <c r="M712" s="9"/>
      <c r="N712" s="9"/>
      <c r="O712" s="9" t="s">
        <v>37</v>
      </c>
      <c r="P712" s="9" t="s">
        <v>43</v>
      </c>
      <c r="Q712" s="11"/>
      <c r="R712" s="10"/>
      <c r="S712" s="10"/>
      <c r="T712" s="10"/>
      <c r="U712" s="9"/>
      <c r="Y712" t="s">
        <v>179</v>
      </c>
      <c r="Z712" t="s">
        <v>247</v>
      </c>
      <c r="AB712" t="str">
        <f t="shared" si="33"/>
        <v>24187</v>
      </c>
    </row>
    <row r="713" ht="14.25" spans="1:28">
      <c r="A713" s="5" t="s">
        <v>28</v>
      </c>
      <c r="B713" s="5" t="s">
        <v>264</v>
      </c>
      <c r="C713" s="5">
        <v>2027</v>
      </c>
      <c r="D713" s="5" t="s">
        <v>30</v>
      </c>
      <c r="E713" s="9" t="s">
        <v>558</v>
      </c>
      <c r="F713" s="9" t="s">
        <v>559</v>
      </c>
      <c r="G713" s="9" t="s">
        <v>560</v>
      </c>
      <c r="H713" s="9" t="s">
        <v>561</v>
      </c>
      <c r="I713" s="9" t="s">
        <v>276</v>
      </c>
      <c r="J713" s="9" t="s">
        <v>36</v>
      </c>
      <c r="K713" s="9">
        <v>990</v>
      </c>
      <c r="L713" s="9"/>
      <c r="M713" s="9"/>
      <c r="N713" s="9"/>
      <c r="O713" s="9" t="s">
        <v>37</v>
      </c>
      <c r="P713" s="9" t="s">
        <v>44</v>
      </c>
      <c r="Q713" s="11"/>
      <c r="R713" s="10"/>
      <c r="S713" s="10"/>
      <c r="T713" s="10"/>
      <c r="U713" s="9"/>
      <c r="Y713" t="s">
        <v>179</v>
      </c>
      <c r="Z713" t="s">
        <v>247</v>
      </c>
      <c r="AB713" t="str">
        <f t="shared" si="33"/>
        <v>24187</v>
      </c>
    </row>
    <row r="714" ht="14.25" spans="1:28">
      <c r="A714" s="5" t="s">
        <v>28</v>
      </c>
      <c r="B714" s="5" t="s">
        <v>264</v>
      </c>
      <c r="C714" s="5">
        <v>2027</v>
      </c>
      <c r="D714" s="5" t="s">
        <v>30</v>
      </c>
      <c r="E714" s="9" t="s">
        <v>558</v>
      </c>
      <c r="F714" s="9" t="s">
        <v>559</v>
      </c>
      <c r="G714" s="9" t="s">
        <v>560</v>
      </c>
      <c r="H714" s="9" t="s">
        <v>561</v>
      </c>
      <c r="I714" s="9" t="s">
        <v>276</v>
      </c>
      <c r="J714" s="9" t="s">
        <v>36</v>
      </c>
      <c r="K714" s="9">
        <v>990</v>
      </c>
      <c r="L714" s="9"/>
      <c r="M714" s="9"/>
      <c r="N714" s="9"/>
      <c r="O714" s="9" t="s">
        <v>37</v>
      </c>
      <c r="P714" s="9" t="s">
        <v>45</v>
      </c>
      <c r="Q714" s="11"/>
      <c r="R714" s="10"/>
      <c r="S714" s="10"/>
      <c r="T714" s="10"/>
      <c r="U714" s="9"/>
      <c r="Y714" t="s">
        <v>179</v>
      </c>
      <c r="Z714" t="s">
        <v>247</v>
      </c>
      <c r="AB714" t="str">
        <f t="shared" si="33"/>
        <v>24187</v>
      </c>
    </row>
    <row r="715" ht="14.25" spans="1:28">
      <c r="A715" s="5" t="s">
        <v>28</v>
      </c>
      <c r="B715" s="5" t="s">
        <v>264</v>
      </c>
      <c r="C715" s="5">
        <v>2027</v>
      </c>
      <c r="D715" s="5" t="s">
        <v>30</v>
      </c>
      <c r="E715" s="9" t="s">
        <v>562</v>
      </c>
      <c r="F715" s="9" t="s">
        <v>559</v>
      </c>
      <c r="G715" s="9" t="s">
        <v>563</v>
      </c>
      <c r="H715" s="9" t="s">
        <v>564</v>
      </c>
      <c r="I715" s="9" t="s">
        <v>276</v>
      </c>
      <c r="J715" s="9" t="s">
        <v>36</v>
      </c>
      <c r="K715" s="9">
        <v>990</v>
      </c>
      <c r="L715" s="9"/>
      <c r="M715" s="9"/>
      <c r="N715" s="9"/>
      <c r="O715" s="9" t="s">
        <v>37</v>
      </c>
      <c r="P715" s="9" t="s">
        <v>38</v>
      </c>
      <c r="Q715" s="11"/>
      <c r="R715" s="10">
        <f t="shared" si="34"/>
        <v>0</v>
      </c>
      <c r="S715" s="10">
        <f>SUMIFS([1]Sheet1!$T:$T,[1]Sheet1!$I:$I,E715,[1]Sheet1!$C:$C,A715)</f>
        <v>20</v>
      </c>
      <c r="T715" s="10">
        <f t="shared" si="35"/>
        <v>-20</v>
      </c>
      <c r="U715" s="9" t="s">
        <v>148</v>
      </c>
      <c r="V715" t="s">
        <v>565</v>
      </c>
      <c r="W715" t="s">
        <v>178</v>
      </c>
      <c r="X715" t="s">
        <v>50</v>
      </c>
      <c r="Y715" t="s">
        <v>179</v>
      </c>
      <c r="Z715" t="s">
        <v>247</v>
      </c>
      <c r="AB715" t="str">
        <f t="shared" si="33"/>
        <v>24187</v>
      </c>
    </row>
    <row r="716" ht="14.25" spans="1:28">
      <c r="A716" s="5" t="s">
        <v>28</v>
      </c>
      <c r="B716" s="5" t="s">
        <v>264</v>
      </c>
      <c r="C716" s="5">
        <v>2027</v>
      </c>
      <c r="D716" s="5" t="s">
        <v>30</v>
      </c>
      <c r="E716" s="9" t="s">
        <v>562</v>
      </c>
      <c r="F716" s="9" t="s">
        <v>559</v>
      </c>
      <c r="G716" s="9" t="s">
        <v>563</v>
      </c>
      <c r="H716" s="9" t="s">
        <v>564</v>
      </c>
      <c r="I716" s="9" t="s">
        <v>276</v>
      </c>
      <c r="J716" s="9" t="s">
        <v>36</v>
      </c>
      <c r="K716" s="9">
        <v>990</v>
      </c>
      <c r="L716" s="9"/>
      <c r="M716" s="9"/>
      <c r="N716" s="9"/>
      <c r="O716" s="9" t="s">
        <v>37</v>
      </c>
      <c r="P716" s="9" t="s">
        <v>42</v>
      </c>
      <c r="Q716" s="11"/>
      <c r="R716" s="10"/>
      <c r="S716" s="10"/>
      <c r="T716" s="10"/>
      <c r="U716" s="9" t="s">
        <v>148</v>
      </c>
      <c r="V716" t="s">
        <v>565</v>
      </c>
      <c r="W716" t="s">
        <v>178</v>
      </c>
      <c r="X716" t="s">
        <v>50</v>
      </c>
      <c r="Y716" t="s">
        <v>179</v>
      </c>
      <c r="Z716" t="s">
        <v>247</v>
      </c>
      <c r="AB716" t="str">
        <f t="shared" si="33"/>
        <v>24187</v>
      </c>
    </row>
    <row r="717" ht="14.25" spans="1:28">
      <c r="A717" s="5" t="s">
        <v>28</v>
      </c>
      <c r="B717" s="5" t="s">
        <v>264</v>
      </c>
      <c r="C717" s="5">
        <v>2027</v>
      </c>
      <c r="D717" s="5" t="s">
        <v>30</v>
      </c>
      <c r="E717" s="9" t="s">
        <v>562</v>
      </c>
      <c r="F717" s="9" t="s">
        <v>559</v>
      </c>
      <c r="G717" s="9" t="s">
        <v>563</v>
      </c>
      <c r="H717" s="9" t="s">
        <v>564</v>
      </c>
      <c r="I717" s="9" t="s">
        <v>276</v>
      </c>
      <c r="J717" s="9" t="s">
        <v>36</v>
      </c>
      <c r="K717" s="9">
        <v>990</v>
      </c>
      <c r="L717" s="9"/>
      <c r="M717" s="9"/>
      <c r="N717" s="9"/>
      <c r="O717" s="9" t="s">
        <v>37</v>
      </c>
      <c r="P717" s="9" t="s">
        <v>43</v>
      </c>
      <c r="Q717" s="11"/>
      <c r="R717" s="10"/>
      <c r="S717" s="10"/>
      <c r="T717" s="10"/>
      <c r="U717" s="9" t="s">
        <v>148</v>
      </c>
      <c r="V717" t="s">
        <v>565</v>
      </c>
      <c r="W717" t="s">
        <v>178</v>
      </c>
      <c r="X717" t="s">
        <v>50</v>
      </c>
      <c r="Y717" t="s">
        <v>179</v>
      </c>
      <c r="Z717" t="s">
        <v>247</v>
      </c>
      <c r="AB717" t="str">
        <f t="shared" si="33"/>
        <v>24187</v>
      </c>
    </row>
    <row r="718" ht="14.25" spans="1:28">
      <c r="A718" s="5" t="s">
        <v>28</v>
      </c>
      <c r="B718" s="5" t="s">
        <v>264</v>
      </c>
      <c r="C718" s="5">
        <v>2027</v>
      </c>
      <c r="D718" s="5" t="s">
        <v>30</v>
      </c>
      <c r="E718" s="9" t="s">
        <v>562</v>
      </c>
      <c r="F718" s="9" t="s">
        <v>559</v>
      </c>
      <c r="G718" s="9" t="s">
        <v>563</v>
      </c>
      <c r="H718" s="9" t="s">
        <v>564</v>
      </c>
      <c r="I718" s="9" t="s">
        <v>276</v>
      </c>
      <c r="J718" s="9" t="s">
        <v>36</v>
      </c>
      <c r="K718" s="9">
        <v>990</v>
      </c>
      <c r="L718" s="9"/>
      <c r="M718" s="9"/>
      <c r="N718" s="9"/>
      <c r="O718" s="9" t="s">
        <v>37</v>
      </c>
      <c r="P718" s="9" t="s">
        <v>44</v>
      </c>
      <c r="Q718" s="11"/>
      <c r="R718" s="10"/>
      <c r="S718" s="10"/>
      <c r="T718" s="10"/>
      <c r="U718" s="9" t="s">
        <v>148</v>
      </c>
      <c r="V718" t="s">
        <v>565</v>
      </c>
      <c r="W718" t="s">
        <v>178</v>
      </c>
      <c r="X718" t="s">
        <v>50</v>
      </c>
      <c r="Y718" t="s">
        <v>179</v>
      </c>
      <c r="Z718" t="s">
        <v>247</v>
      </c>
      <c r="AB718" t="str">
        <f t="shared" si="33"/>
        <v>24187</v>
      </c>
    </row>
    <row r="719" ht="14.25" spans="1:28">
      <c r="A719" s="5" t="s">
        <v>28</v>
      </c>
      <c r="B719" s="5" t="s">
        <v>264</v>
      </c>
      <c r="C719" s="5">
        <v>2027</v>
      </c>
      <c r="D719" s="5" t="s">
        <v>30</v>
      </c>
      <c r="E719" s="9" t="s">
        <v>562</v>
      </c>
      <c r="F719" s="9" t="s">
        <v>559</v>
      </c>
      <c r="G719" s="9" t="s">
        <v>563</v>
      </c>
      <c r="H719" s="9" t="s">
        <v>564</v>
      </c>
      <c r="I719" s="9" t="s">
        <v>276</v>
      </c>
      <c r="J719" s="9" t="s">
        <v>36</v>
      </c>
      <c r="K719" s="9">
        <v>990</v>
      </c>
      <c r="L719" s="9"/>
      <c r="M719" s="9"/>
      <c r="N719" s="9"/>
      <c r="O719" s="9" t="s">
        <v>37</v>
      </c>
      <c r="P719" s="9" t="s">
        <v>45</v>
      </c>
      <c r="Q719" s="11"/>
      <c r="R719" s="10"/>
      <c r="S719" s="10"/>
      <c r="T719" s="10"/>
      <c r="U719" s="9" t="s">
        <v>148</v>
      </c>
      <c r="V719" t="s">
        <v>565</v>
      </c>
      <c r="W719" t="s">
        <v>178</v>
      </c>
      <c r="X719" t="s">
        <v>50</v>
      </c>
      <c r="Y719" t="s">
        <v>179</v>
      </c>
      <c r="Z719" t="s">
        <v>247</v>
      </c>
      <c r="AB719" t="str">
        <f t="shared" si="33"/>
        <v>24187</v>
      </c>
    </row>
    <row r="720" ht="14.25" spans="1:28">
      <c r="A720" s="5" t="s">
        <v>28</v>
      </c>
      <c r="B720" s="5" t="s">
        <v>264</v>
      </c>
      <c r="C720" s="5">
        <v>2027</v>
      </c>
      <c r="D720" s="5" t="s">
        <v>30</v>
      </c>
      <c r="E720" s="9" t="s">
        <v>566</v>
      </c>
      <c r="F720" s="9" t="s">
        <v>567</v>
      </c>
      <c r="G720" s="9" t="s">
        <v>568</v>
      </c>
      <c r="H720" s="9" t="s">
        <v>569</v>
      </c>
      <c r="I720" s="9" t="s">
        <v>269</v>
      </c>
      <c r="J720" s="9" t="s">
        <v>36</v>
      </c>
      <c r="K720" s="9">
        <v>690</v>
      </c>
      <c r="L720" s="9"/>
      <c r="M720" s="9"/>
      <c r="N720" s="9"/>
      <c r="O720" s="9" t="s">
        <v>37</v>
      </c>
      <c r="P720" s="9" t="s">
        <v>38</v>
      </c>
      <c r="Q720" s="11"/>
      <c r="R720" s="10">
        <f t="shared" si="34"/>
        <v>0</v>
      </c>
      <c r="S720" s="10">
        <f>SUMIFS([1]Sheet1!$T:$T,[1]Sheet1!$I:$I,E720,[1]Sheet1!$C:$C,A720)</f>
        <v>30</v>
      </c>
      <c r="T720" s="10">
        <f t="shared" si="35"/>
        <v>-30</v>
      </c>
      <c r="U720" s="9" t="s">
        <v>148</v>
      </c>
      <c r="V720" t="s">
        <v>460</v>
      </c>
      <c r="W720" t="s">
        <v>178</v>
      </c>
      <c r="X720" t="s">
        <v>503</v>
      </c>
      <c r="Y720" t="s">
        <v>179</v>
      </c>
      <c r="Z720" t="s">
        <v>247</v>
      </c>
      <c r="AB720" t="str">
        <f t="shared" si="33"/>
        <v>24188</v>
      </c>
    </row>
    <row r="721" ht="14.25" spans="1:28">
      <c r="A721" s="5" t="s">
        <v>28</v>
      </c>
      <c r="B721" s="5" t="s">
        <v>264</v>
      </c>
      <c r="C721" s="5">
        <v>2027</v>
      </c>
      <c r="D721" s="5" t="s">
        <v>30</v>
      </c>
      <c r="E721" s="9" t="s">
        <v>566</v>
      </c>
      <c r="F721" s="9" t="s">
        <v>567</v>
      </c>
      <c r="G721" s="9" t="s">
        <v>568</v>
      </c>
      <c r="H721" s="9" t="s">
        <v>569</v>
      </c>
      <c r="I721" s="9" t="s">
        <v>269</v>
      </c>
      <c r="J721" s="9" t="s">
        <v>36</v>
      </c>
      <c r="K721" s="9">
        <v>690</v>
      </c>
      <c r="L721" s="9"/>
      <c r="M721" s="9"/>
      <c r="N721" s="9"/>
      <c r="O721" s="9" t="s">
        <v>37</v>
      </c>
      <c r="P721" s="9" t="s">
        <v>42</v>
      </c>
      <c r="Q721" s="11"/>
      <c r="R721" s="10"/>
      <c r="S721" s="10"/>
      <c r="T721" s="10"/>
      <c r="U721" s="9" t="s">
        <v>148</v>
      </c>
      <c r="V721" t="s">
        <v>460</v>
      </c>
      <c r="W721" t="s">
        <v>178</v>
      </c>
      <c r="X721" t="s">
        <v>503</v>
      </c>
      <c r="Y721" t="s">
        <v>179</v>
      </c>
      <c r="Z721" t="s">
        <v>247</v>
      </c>
      <c r="AB721" t="str">
        <f t="shared" si="33"/>
        <v>24188</v>
      </c>
    </row>
    <row r="722" ht="14.25" spans="1:28">
      <c r="A722" s="5" t="s">
        <v>28</v>
      </c>
      <c r="B722" s="5" t="s">
        <v>264</v>
      </c>
      <c r="C722" s="5">
        <v>2027</v>
      </c>
      <c r="D722" s="5" t="s">
        <v>30</v>
      </c>
      <c r="E722" s="9" t="s">
        <v>566</v>
      </c>
      <c r="F722" s="9" t="s">
        <v>567</v>
      </c>
      <c r="G722" s="9" t="s">
        <v>568</v>
      </c>
      <c r="H722" s="9" t="s">
        <v>569</v>
      </c>
      <c r="I722" s="9" t="s">
        <v>269</v>
      </c>
      <c r="J722" s="9" t="s">
        <v>36</v>
      </c>
      <c r="K722" s="9">
        <v>690</v>
      </c>
      <c r="L722" s="9"/>
      <c r="M722" s="9"/>
      <c r="N722" s="9"/>
      <c r="O722" s="9" t="s">
        <v>37</v>
      </c>
      <c r="P722" s="9" t="s">
        <v>43</v>
      </c>
      <c r="Q722" s="11"/>
      <c r="R722" s="10"/>
      <c r="S722" s="10"/>
      <c r="T722" s="10"/>
      <c r="U722" s="9" t="s">
        <v>148</v>
      </c>
      <c r="V722" t="s">
        <v>460</v>
      </c>
      <c r="W722" t="s">
        <v>178</v>
      </c>
      <c r="X722" t="s">
        <v>503</v>
      </c>
      <c r="Y722" t="s">
        <v>179</v>
      </c>
      <c r="Z722" t="s">
        <v>247</v>
      </c>
      <c r="AB722" t="str">
        <f t="shared" si="33"/>
        <v>24188</v>
      </c>
    </row>
    <row r="723" ht="14.25" spans="1:28">
      <c r="A723" s="5" t="s">
        <v>28</v>
      </c>
      <c r="B723" s="5" t="s">
        <v>264</v>
      </c>
      <c r="C723" s="5">
        <v>2027</v>
      </c>
      <c r="D723" s="5" t="s">
        <v>30</v>
      </c>
      <c r="E723" s="9" t="s">
        <v>566</v>
      </c>
      <c r="F723" s="9" t="s">
        <v>567</v>
      </c>
      <c r="G723" s="9" t="s">
        <v>568</v>
      </c>
      <c r="H723" s="9" t="s">
        <v>569</v>
      </c>
      <c r="I723" s="9" t="s">
        <v>269</v>
      </c>
      <c r="J723" s="9" t="s">
        <v>36</v>
      </c>
      <c r="K723" s="9">
        <v>690</v>
      </c>
      <c r="L723" s="9"/>
      <c r="M723" s="9"/>
      <c r="N723" s="9"/>
      <c r="O723" s="9" t="s">
        <v>37</v>
      </c>
      <c r="P723" s="9" t="s">
        <v>44</v>
      </c>
      <c r="Q723" s="11"/>
      <c r="R723" s="10"/>
      <c r="S723" s="10"/>
      <c r="T723" s="10"/>
      <c r="U723" s="9" t="s">
        <v>148</v>
      </c>
      <c r="V723" t="s">
        <v>460</v>
      </c>
      <c r="W723" t="s">
        <v>178</v>
      </c>
      <c r="X723" t="s">
        <v>503</v>
      </c>
      <c r="Y723" t="s">
        <v>179</v>
      </c>
      <c r="Z723" t="s">
        <v>247</v>
      </c>
      <c r="AB723" t="str">
        <f t="shared" si="33"/>
        <v>24188</v>
      </c>
    </row>
    <row r="724" ht="14.25" spans="1:28">
      <c r="A724" s="5" t="s">
        <v>28</v>
      </c>
      <c r="B724" s="5" t="s">
        <v>264</v>
      </c>
      <c r="C724" s="5">
        <v>2027</v>
      </c>
      <c r="D724" s="5" t="s">
        <v>30</v>
      </c>
      <c r="E724" s="9" t="s">
        <v>566</v>
      </c>
      <c r="F724" s="9" t="s">
        <v>567</v>
      </c>
      <c r="G724" s="9" t="s">
        <v>568</v>
      </c>
      <c r="H724" s="9" t="s">
        <v>569</v>
      </c>
      <c r="I724" s="9" t="s">
        <v>269</v>
      </c>
      <c r="J724" s="9" t="s">
        <v>36</v>
      </c>
      <c r="K724" s="9">
        <v>690</v>
      </c>
      <c r="L724" s="9"/>
      <c r="M724" s="9"/>
      <c r="N724" s="9"/>
      <c r="O724" s="9" t="s">
        <v>37</v>
      </c>
      <c r="P724" s="9" t="s">
        <v>45</v>
      </c>
      <c r="Q724" s="11"/>
      <c r="R724" s="10"/>
      <c r="S724" s="10"/>
      <c r="T724" s="10"/>
      <c r="U724" s="9" t="s">
        <v>148</v>
      </c>
      <c r="V724" t="s">
        <v>460</v>
      </c>
      <c r="W724" t="s">
        <v>178</v>
      </c>
      <c r="X724" t="s">
        <v>503</v>
      </c>
      <c r="Y724" t="s">
        <v>179</v>
      </c>
      <c r="Z724" t="s">
        <v>247</v>
      </c>
      <c r="AB724" t="str">
        <f t="shared" si="33"/>
        <v>24188</v>
      </c>
    </row>
    <row r="725" ht="14.25" spans="1:28">
      <c r="A725" s="5" t="s">
        <v>28</v>
      </c>
      <c r="B725" s="5" t="s">
        <v>264</v>
      </c>
      <c r="C725" s="5">
        <v>2027</v>
      </c>
      <c r="D725" s="5" t="s">
        <v>30</v>
      </c>
      <c r="E725" s="9" t="s">
        <v>570</v>
      </c>
      <c r="F725" s="9" t="s">
        <v>567</v>
      </c>
      <c r="G725" s="9" t="s">
        <v>563</v>
      </c>
      <c r="H725" s="9" t="s">
        <v>571</v>
      </c>
      <c r="I725" s="9" t="s">
        <v>269</v>
      </c>
      <c r="J725" s="9" t="s">
        <v>36</v>
      </c>
      <c r="K725" s="9">
        <v>690</v>
      </c>
      <c r="L725" s="9"/>
      <c r="M725" s="9"/>
      <c r="N725" s="9"/>
      <c r="O725" s="9" t="s">
        <v>37</v>
      </c>
      <c r="P725" s="9" t="s">
        <v>38</v>
      </c>
      <c r="Q725" s="11"/>
      <c r="R725" s="10">
        <f t="shared" si="34"/>
        <v>0</v>
      </c>
      <c r="S725" s="10">
        <f>SUMIFS([1]Sheet1!$T:$T,[1]Sheet1!$I:$I,E725,[1]Sheet1!$C:$C,A725)</f>
        <v>30</v>
      </c>
      <c r="T725" s="10">
        <f t="shared" si="35"/>
        <v>-30</v>
      </c>
      <c r="U725" s="9" t="s">
        <v>148</v>
      </c>
      <c r="V725" t="s">
        <v>460</v>
      </c>
      <c r="W725" t="s">
        <v>178</v>
      </c>
      <c r="X725" t="s">
        <v>50</v>
      </c>
      <c r="Y725" t="s">
        <v>179</v>
      </c>
      <c r="Z725" t="s">
        <v>247</v>
      </c>
      <c r="AB725" t="str">
        <f t="shared" si="33"/>
        <v>24188</v>
      </c>
    </row>
    <row r="726" ht="14.25" spans="1:28">
      <c r="A726" s="5" t="s">
        <v>28</v>
      </c>
      <c r="B726" s="5" t="s">
        <v>264</v>
      </c>
      <c r="C726" s="5">
        <v>2027</v>
      </c>
      <c r="D726" s="5" t="s">
        <v>30</v>
      </c>
      <c r="E726" s="9" t="s">
        <v>570</v>
      </c>
      <c r="F726" s="9" t="s">
        <v>567</v>
      </c>
      <c r="G726" s="9" t="s">
        <v>563</v>
      </c>
      <c r="H726" s="9" t="s">
        <v>571</v>
      </c>
      <c r="I726" s="9" t="s">
        <v>269</v>
      </c>
      <c r="J726" s="9" t="s">
        <v>36</v>
      </c>
      <c r="K726" s="9">
        <v>690</v>
      </c>
      <c r="L726" s="9"/>
      <c r="M726" s="9"/>
      <c r="N726" s="9"/>
      <c r="O726" s="9" t="s">
        <v>37</v>
      </c>
      <c r="P726" s="9" t="s">
        <v>42</v>
      </c>
      <c r="Q726" s="11"/>
      <c r="R726" s="10"/>
      <c r="S726" s="10"/>
      <c r="T726" s="10"/>
      <c r="U726" s="9" t="s">
        <v>148</v>
      </c>
      <c r="V726" t="s">
        <v>460</v>
      </c>
      <c r="W726" t="s">
        <v>178</v>
      </c>
      <c r="X726" t="s">
        <v>50</v>
      </c>
      <c r="Y726" t="s">
        <v>179</v>
      </c>
      <c r="Z726" t="s">
        <v>247</v>
      </c>
      <c r="AB726" t="str">
        <f t="shared" si="33"/>
        <v>24188</v>
      </c>
    </row>
    <row r="727" ht="14.25" spans="1:28">
      <c r="A727" s="5" t="s">
        <v>28</v>
      </c>
      <c r="B727" s="5" t="s">
        <v>264</v>
      </c>
      <c r="C727" s="5">
        <v>2027</v>
      </c>
      <c r="D727" s="5" t="s">
        <v>30</v>
      </c>
      <c r="E727" s="9" t="s">
        <v>570</v>
      </c>
      <c r="F727" s="9" t="s">
        <v>567</v>
      </c>
      <c r="G727" s="9" t="s">
        <v>563</v>
      </c>
      <c r="H727" s="9" t="s">
        <v>571</v>
      </c>
      <c r="I727" s="9" t="s">
        <v>269</v>
      </c>
      <c r="J727" s="9" t="s">
        <v>36</v>
      </c>
      <c r="K727" s="9">
        <v>690</v>
      </c>
      <c r="L727" s="9"/>
      <c r="M727" s="9"/>
      <c r="N727" s="9"/>
      <c r="O727" s="9" t="s">
        <v>37</v>
      </c>
      <c r="P727" s="9" t="s">
        <v>43</v>
      </c>
      <c r="Q727" s="11"/>
      <c r="R727" s="10"/>
      <c r="S727" s="10"/>
      <c r="T727" s="10"/>
      <c r="U727" s="9" t="s">
        <v>148</v>
      </c>
      <c r="V727" t="s">
        <v>460</v>
      </c>
      <c r="W727" t="s">
        <v>178</v>
      </c>
      <c r="X727" t="s">
        <v>50</v>
      </c>
      <c r="Y727" t="s">
        <v>179</v>
      </c>
      <c r="Z727" t="s">
        <v>247</v>
      </c>
      <c r="AB727" t="str">
        <f t="shared" si="33"/>
        <v>24188</v>
      </c>
    </row>
    <row r="728" ht="14.25" spans="1:28">
      <c r="A728" s="5" t="s">
        <v>28</v>
      </c>
      <c r="B728" s="5" t="s">
        <v>264</v>
      </c>
      <c r="C728" s="5">
        <v>2027</v>
      </c>
      <c r="D728" s="5" t="s">
        <v>30</v>
      </c>
      <c r="E728" s="9" t="s">
        <v>570</v>
      </c>
      <c r="F728" s="9" t="s">
        <v>567</v>
      </c>
      <c r="G728" s="9" t="s">
        <v>563</v>
      </c>
      <c r="H728" s="9" t="s">
        <v>571</v>
      </c>
      <c r="I728" s="9" t="s">
        <v>269</v>
      </c>
      <c r="J728" s="9" t="s">
        <v>36</v>
      </c>
      <c r="K728" s="9">
        <v>690</v>
      </c>
      <c r="L728" s="9"/>
      <c r="M728" s="9"/>
      <c r="N728" s="9"/>
      <c r="O728" s="9" t="s">
        <v>37</v>
      </c>
      <c r="P728" s="9" t="s">
        <v>44</v>
      </c>
      <c r="Q728" s="11"/>
      <c r="R728" s="10"/>
      <c r="S728" s="10"/>
      <c r="T728" s="10"/>
      <c r="U728" s="9" t="s">
        <v>148</v>
      </c>
      <c r="V728" t="s">
        <v>460</v>
      </c>
      <c r="W728" t="s">
        <v>178</v>
      </c>
      <c r="X728" t="s">
        <v>50</v>
      </c>
      <c r="Y728" t="s">
        <v>179</v>
      </c>
      <c r="Z728" t="s">
        <v>247</v>
      </c>
      <c r="AB728" t="str">
        <f t="shared" si="33"/>
        <v>24188</v>
      </c>
    </row>
    <row r="729" ht="14.25" spans="1:28">
      <c r="A729" s="5" t="s">
        <v>28</v>
      </c>
      <c r="B729" s="5" t="s">
        <v>264</v>
      </c>
      <c r="C729" s="5">
        <v>2027</v>
      </c>
      <c r="D729" s="5" t="s">
        <v>30</v>
      </c>
      <c r="E729" s="9" t="s">
        <v>570</v>
      </c>
      <c r="F729" s="9" t="s">
        <v>567</v>
      </c>
      <c r="G729" s="9" t="s">
        <v>563</v>
      </c>
      <c r="H729" s="9" t="s">
        <v>571</v>
      </c>
      <c r="I729" s="9" t="s">
        <v>269</v>
      </c>
      <c r="J729" s="9" t="s">
        <v>36</v>
      </c>
      <c r="K729" s="9">
        <v>690</v>
      </c>
      <c r="L729" s="9"/>
      <c r="M729" s="9"/>
      <c r="N729" s="9"/>
      <c r="O729" s="9" t="s">
        <v>37</v>
      </c>
      <c r="P729" s="9" t="s">
        <v>45</v>
      </c>
      <c r="Q729" s="11"/>
      <c r="R729" s="10"/>
      <c r="S729" s="10"/>
      <c r="T729" s="10"/>
      <c r="U729" s="9" t="s">
        <v>148</v>
      </c>
      <c r="V729" t="s">
        <v>460</v>
      </c>
      <c r="W729" t="s">
        <v>178</v>
      </c>
      <c r="X729" t="s">
        <v>50</v>
      </c>
      <c r="Y729" t="s">
        <v>179</v>
      </c>
      <c r="Z729" t="s">
        <v>247</v>
      </c>
      <c r="AB729" t="str">
        <f t="shared" si="33"/>
        <v>24188</v>
      </c>
    </row>
    <row r="730" ht="14.25" spans="1:28">
      <c r="A730" s="5" t="s">
        <v>28</v>
      </c>
      <c r="B730" s="5" t="s">
        <v>264</v>
      </c>
      <c r="C730" s="5">
        <v>2027</v>
      </c>
      <c r="D730" s="5" t="s">
        <v>30</v>
      </c>
      <c r="E730" s="9" t="s">
        <v>572</v>
      </c>
      <c r="F730" s="9" t="s">
        <v>573</v>
      </c>
      <c r="G730" s="9" t="s">
        <v>346</v>
      </c>
      <c r="H730" s="9" t="s">
        <v>574</v>
      </c>
      <c r="I730" s="9" t="s">
        <v>403</v>
      </c>
      <c r="J730" s="9" t="s">
        <v>36</v>
      </c>
      <c r="K730" s="9">
        <v>990</v>
      </c>
      <c r="L730" s="9"/>
      <c r="M730" s="9"/>
      <c r="N730" s="9"/>
      <c r="O730" s="9" t="s">
        <v>37</v>
      </c>
      <c r="P730" s="9" t="s">
        <v>38</v>
      </c>
      <c r="Q730" s="11"/>
      <c r="R730" s="10">
        <f t="shared" si="34"/>
        <v>0</v>
      </c>
      <c r="S730" s="10">
        <f>SUMIFS([1]Sheet1!$T:$T,[1]Sheet1!$I:$I,E730,[1]Sheet1!$C:$C,A730)</f>
        <v>0</v>
      </c>
      <c r="T730" s="10">
        <f t="shared" si="35"/>
        <v>0</v>
      </c>
      <c r="U730" s="9"/>
      <c r="X730" t="s">
        <v>191</v>
      </c>
      <c r="Y730" t="s">
        <v>179</v>
      </c>
      <c r="Z730" t="s">
        <v>41</v>
      </c>
      <c r="AB730" t="str">
        <f t="shared" si="33"/>
        <v>24189</v>
      </c>
    </row>
    <row r="731" ht="14.25" spans="1:28">
      <c r="A731" s="5" t="s">
        <v>28</v>
      </c>
      <c r="B731" s="5" t="s">
        <v>264</v>
      </c>
      <c r="C731" s="5">
        <v>2027</v>
      </c>
      <c r="D731" s="5" t="s">
        <v>30</v>
      </c>
      <c r="E731" s="9" t="s">
        <v>572</v>
      </c>
      <c r="F731" s="9" t="s">
        <v>573</v>
      </c>
      <c r="G731" s="9" t="s">
        <v>346</v>
      </c>
      <c r="H731" s="9" t="s">
        <v>574</v>
      </c>
      <c r="I731" s="9" t="s">
        <v>403</v>
      </c>
      <c r="J731" s="9" t="s">
        <v>36</v>
      </c>
      <c r="K731" s="9">
        <v>990</v>
      </c>
      <c r="L731" s="9"/>
      <c r="M731" s="9"/>
      <c r="N731" s="9"/>
      <c r="O731" s="9" t="s">
        <v>37</v>
      </c>
      <c r="P731" s="9" t="s">
        <v>42</v>
      </c>
      <c r="Q731" s="11"/>
      <c r="R731" s="10"/>
      <c r="S731" s="10"/>
      <c r="T731" s="10"/>
      <c r="U731" s="9"/>
      <c r="X731" t="s">
        <v>191</v>
      </c>
      <c r="Y731" t="s">
        <v>179</v>
      </c>
      <c r="Z731" t="s">
        <v>41</v>
      </c>
      <c r="AB731" t="str">
        <f t="shared" si="33"/>
        <v>24189</v>
      </c>
    </row>
    <row r="732" ht="14.25" spans="1:28">
      <c r="A732" s="5" t="s">
        <v>28</v>
      </c>
      <c r="B732" s="5" t="s">
        <v>264</v>
      </c>
      <c r="C732" s="5">
        <v>2027</v>
      </c>
      <c r="D732" s="5" t="s">
        <v>30</v>
      </c>
      <c r="E732" s="9" t="s">
        <v>572</v>
      </c>
      <c r="F732" s="9" t="s">
        <v>573</v>
      </c>
      <c r="G732" s="9" t="s">
        <v>346</v>
      </c>
      <c r="H732" s="9" t="s">
        <v>574</v>
      </c>
      <c r="I732" s="9" t="s">
        <v>403</v>
      </c>
      <c r="J732" s="9" t="s">
        <v>36</v>
      </c>
      <c r="K732" s="9">
        <v>990</v>
      </c>
      <c r="L732" s="9"/>
      <c r="M732" s="9"/>
      <c r="N732" s="9"/>
      <c r="O732" s="9" t="s">
        <v>37</v>
      </c>
      <c r="P732" s="9" t="s">
        <v>43</v>
      </c>
      <c r="Q732" s="11"/>
      <c r="R732" s="10"/>
      <c r="S732" s="10"/>
      <c r="T732" s="10"/>
      <c r="U732" s="9"/>
      <c r="X732" t="s">
        <v>191</v>
      </c>
      <c r="Y732" t="s">
        <v>179</v>
      </c>
      <c r="Z732" t="s">
        <v>41</v>
      </c>
      <c r="AB732" t="str">
        <f t="shared" si="33"/>
        <v>24189</v>
      </c>
    </row>
    <row r="733" ht="14.25" spans="1:28">
      <c r="A733" s="5" t="s">
        <v>28</v>
      </c>
      <c r="B733" s="5" t="s">
        <v>264</v>
      </c>
      <c r="C733" s="5">
        <v>2027</v>
      </c>
      <c r="D733" s="5" t="s">
        <v>30</v>
      </c>
      <c r="E733" s="9" t="s">
        <v>572</v>
      </c>
      <c r="F733" s="9" t="s">
        <v>573</v>
      </c>
      <c r="G733" s="9" t="s">
        <v>346</v>
      </c>
      <c r="H733" s="9" t="s">
        <v>574</v>
      </c>
      <c r="I733" s="9" t="s">
        <v>403</v>
      </c>
      <c r="J733" s="9" t="s">
        <v>36</v>
      </c>
      <c r="K733" s="9">
        <v>990</v>
      </c>
      <c r="L733" s="9"/>
      <c r="M733" s="9"/>
      <c r="N733" s="9"/>
      <c r="O733" s="9" t="s">
        <v>37</v>
      </c>
      <c r="P733" s="9" t="s">
        <v>44</v>
      </c>
      <c r="Q733" s="11"/>
      <c r="R733" s="10"/>
      <c r="S733" s="10"/>
      <c r="T733" s="10"/>
      <c r="U733" s="9"/>
      <c r="X733" t="s">
        <v>191</v>
      </c>
      <c r="Y733" t="s">
        <v>179</v>
      </c>
      <c r="Z733" t="s">
        <v>41</v>
      </c>
      <c r="AB733" t="str">
        <f t="shared" si="33"/>
        <v>24189</v>
      </c>
    </row>
    <row r="734" ht="14.25" spans="1:28">
      <c r="A734" s="5" t="s">
        <v>28</v>
      </c>
      <c r="B734" s="5" t="s">
        <v>264</v>
      </c>
      <c r="C734" s="5">
        <v>2027</v>
      </c>
      <c r="D734" s="5" t="s">
        <v>30</v>
      </c>
      <c r="E734" s="9" t="s">
        <v>572</v>
      </c>
      <c r="F734" s="9" t="s">
        <v>573</v>
      </c>
      <c r="G734" s="9" t="s">
        <v>346</v>
      </c>
      <c r="H734" s="9" t="s">
        <v>574</v>
      </c>
      <c r="I734" s="9" t="s">
        <v>403</v>
      </c>
      <c r="J734" s="9" t="s">
        <v>36</v>
      </c>
      <c r="K734" s="9">
        <v>990</v>
      </c>
      <c r="L734" s="9"/>
      <c r="M734" s="9"/>
      <c r="N734" s="9"/>
      <c r="O734" s="9" t="s">
        <v>37</v>
      </c>
      <c r="P734" s="9" t="s">
        <v>45</v>
      </c>
      <c r="Q734" s="11"/>
      <c r="R734" s="10"/>
      <c r="S734" s="10"/>
      <c r="T734" s="10"/>
      <c r="U734" s="9"/>
      <c r="X734" t="s">
        <v>191</v>
      </c>
      <c r="Y734" t="s">
        <v>179</v>
      </c>
      <c r="Z734" t="s">
        <v>41</v>
      </c>
      <c r="AB734" t="str">
        <f t="shared" si="33"/>
        <v>24189</v>
      </c>
    </row>
    <row r="735" ht="14.25" spans="1:28">
      <c r="A735" s="5" t="s">
        <v>28</v>
      </c>
      <c r="B735" s="5" t="s">
        <v>264</v>
      </c>
      <c r="C735" s="5">
        <v>2027</v>
      </c>
      <c r="D735" s="5" t="s">
        <v>30</v>
      </c>
      <c r="E735" s="9" t="s">
        <v>575</v>
      </c>
      <c r="F735" s="9" t="s">
        <v>576</v>
      </c>
      <c r="G735" s="9" t="s">
        <v>577</v>
      </c>
      <c r="H735" s="9" t="s">
        <v>578</v>
      </c>
      <c r="I735" s="9" t="s">
        <v>269</v>
      </c>
      <c r="J735" s="9" t="s">
        <v>36</v>
      </c>
      <c r="K735" s="9">
        <v>790</v>
      </c>
      <c r="L735" s="9"/>
      <c r="M735" s="9"/>
      <c r="N735" s="9"/>
      <c r="O735" s="9" t="s">
        <v>37</v>
      </c>
      <c r="P735" s="9" t="s">
        <v>38</v>
      </c>
      <c r="Q735" s="11"/>
      <c r="R735" s="10">
        <f t="shared" si="34"/>
        <v>0</v>
      </c>
      <c r="S735" s="10">
        <f>SUMIFS([1]Sheet1!$T:$T,[1]Sheet1!$I:$I,E735,[1]Sheet1!$C:$C,A735)</f>
        <v>0</v>
      </c>
      <c r="T735" s="10">
        <f t="shared" si="35"/>
        <v>0</v>
      </c>
      <c r="U735" s="9" t="s">
        <v>148</v>
      </c>
      <c r="V735" t="s">
        <v>460</v>
      </c>
      <c r="W735" t="s">
        <v>178</v>
      </c>
      <c r="Y735" t="s">
        <v>179</v>
      </c>
      <c r="Z735" t="s">
        <v>104</v>
      </c>
      <c r="AB735" t="str">
        <f t="shared" si="33"/>
        <v>24191</v>
      </c>
    </row>
    <row r="736" ht="14.25" spans="1:28">
      <c r="A736" s="5" t="s">
        <v>28</v>
      </c>
      <c r="B736" s="5" t="s">
        <v>264</v>
      </c>
      <c r="C736" s="5">
        <v>2027</v>
      </c>
      <c r="D736" s="5" t="s">
        <v>30</v>
      </c>
      <c r="E736" s="9" t="s">
        <v>575</v>
      </c>
      <c r="F736" s="9" t="s">
        <v>576</v>
      </c>
      <c r="G736" s="9" t="s">
        <v>577</v>
      </c>
      <c r="H736" s="9" t="s">
        <v>578</v>
      </c>
      <c r="I736" s="9" t="s">
        <v>269</v>
      </c>
      <c r="J736" s="9" t="s">
        <v>36</v>
      </c>
      <c r="K736" s="9">
        <v>790</v>
      </c>
      <c r="L736" s="9"/>
      <c r="M736" s="9"/>
      <c r="N736" s="9"/>
      <c r="O736" s="9" t="s">
        <v>37</v>
      </c>
      <c r="P736" s="9" t="s">
        <v>42</v>
      </c>
      <c r="Q736" s="11"/>
      <c r="R736" s="10"/>
      <c r="S736" s="10"/>
      <c r="T736" s="10"/>
      <c r="U736" s="9" t="s">
        <v>148</v>
      </c>
      <c r="V736" t="s">
        <v>460</v>
      </c>
      <c r="W736" t="s">
        <v>178</v>
      </c>
      <c r="Y736" t="s">
        <v>179</v>
      </c>
      <c r="Z736" t="s">
        <v>104</v>
      </c>
      <c r="AB736" t="str">
        <f t="shared" si="33"/>
        <v>24191</v>
      </c>
    </row>
    <row r="737" ht="14.25" spans="1:28">
      <c r="A737" s="5" t="s">
        <v>28</v>
      </c>
      <c r="B737" s="5" t="s">
        <v>264</v>
      </c>
      <c r="C737" s="5">
        <v>2027</v>
      </c>
      <c r="D737" s="5" t="s">
        <v>30</v>
      </c>
      <c r="E737" s="9" t="s">
        <v>575</v>
      </c>
      <c r="F737" s="9" t="s">
        <v>576</v>
      </c>
      <c r="G737" s="9" t="s">
        <v>577</v>
      </c>
      <c r="H737" s="9" t="s">
        <v>578</v>
      </c>
      <c r="I737" s="9" t="s">
        <v>269</v>
      </c>
      <c r="J737" s="9" t="s">
        <v>36</v>
      </c>
      <c r="K737" s="9">
        <v>790</v>
      </c>
      <c r="L737" s="9"/>
      <c r="M737" s="9"/>
      <c r="N737" s="9"/>
      <c r="O737" s="9" t="s">
        <v>37</v>
      </c>
      <c r="P737" s="9" t="s">
        <v>43</v>
      </c>
      <c r="Q737" s="11"/>
      <c r="R737" s="10"/>
      <c r="S737" s="10"/>
      <c r="T737" s="10"/>
      <c r="U737" s="9" t="s">
        <v>148</v>
      </c>
      <c r="V737" t="s">
        <v>460</v>
      </c>
      <c r="W737" t="s">
        <v>178</v>
      </c>
      <c r="Y737" t="s">
        <v>179</v>
      </c>
      <c r="Z737" t="s">
        <v>104</v>
      </c>
      <c r="AB737" t="str">
        <f t="shared" si="33"/>
        <v>24191</v>
      </c>
    </row>
    <row r="738" ht="14.25" spans="1:28">
      <c r="A738" s="5" t="s">
        <v>28</v>
      </c>
      <c r="B738" s="5" t="s">
        <v>264</v>
      </c>
      <c r="C738" s="5">
        <v>2027</v>
      </c>
      <c r="D738" s="5" t="s">
        <v>30</v>
      </c>
      <c r="E738" s="9" t="s">
        <v>575</v>
      </c>
      <c r="F738" s="9" t="s">
        <v>576</v>
      </c>
      <c r="G738" s="9" t="s">
        <v>577</v>
      </c>
      <c r="H738" s="9" t="s">
        <v>578</v>
      </c>
      <c r="I738" s="9" t="s">
        <v>269</v>
      </c>
      <c r="J738" s="9" t="s">
        <v>36</v>
      </c>
      <c r="K738" s="9">
        <v>790</v>
      </c>
      <c r="L738" s="9"/>
      <c r="M738" s="9"/>
      <c r="N738" s="9"/>
      <c r="O738" s="9" t="s">
        <v>37</v>
      </c>
      <c r="P738" s="9" t="s">
        <v>44</v>
      </c>
      <c r="Q738" s="11"/>
      <c r="R738" s="10"/>
      <c r="S738" s="10"/>
      <c r="T738" s="10"/>
      <c r="U738" s="9" t="s">
        <v>148</v>
      </c>
      <c r="V738" t="s">
        <v>460</v>
      </c>
      <c r="W738" t="s">
        <v>178</v>
      </c>
      <c r="Y738" t="s">
        <v>179</v>
      </c>
      <c r="Z738" t="s">
        <v>104</v>
      </c>
      <c r="AB738" t="str">
        <f t="shared" si="33"/>
        <v>24191</v>
      </c>
    </row>
    <row r="739" ht="14.25" spans="1:28">
      <c r="A739" s="5" t="s">
        <v>28</v>
      </c>
      <c r="B739" s="5" t="s">
        <v>264</v>
      </c>
      <c r="C739" s="5">
        <v>2027</v>
      </c>
      <c r="D739" s="5" t="s">
        <v>30</v>
      </c>
      <c r="E739" s="9" t="s">
        <v>575</v>
      </c>
      <c r="F739" s="9" t="s">
        <v>576</v>
      </c>
      <c r="G739" s="9" t="s">
        <v>577</v>
      </c>
      <c r="H739" s="9" t="s">
        <v>578</v>
      </c>
      <c r="I739" s="9" t="s">
        <v>269</v>
      </c>
      <c r="J739" s="9" t="s">
        <v>36</v>
      </c>
      <c r="K739" s="9">
        <v>790</v>
      </c>
      <c r="L739" s="9"/>
      <c r="M739" s="9"/>
      <c r="N739" s="9"/>
      <c r="O739" s="9" t="s">
        <v>37</v>
      </c>
      <c r="P739" s="9" t="s">
        <v>45</v>
      </c>
      <c r="Q739" s="11"/>
      <c r="R739" s="10"/>
      <c r="S739" s="10"/>
      <c r="T739" s="10"/>
      <c r="U739" s="9" t="s">
        <v>148</v>
      </c>
      <c r="V739" t="s">
        <v>460</v>
      </c>
      <c r="W739" t="s">
        <v>178</v>
      </c>
      <c r="Y739" t="s">
        <v>179</v>
      </c>
      <c r="Z739" t="s">
        <v>104</v>
      </c>
      <c r="AB739" t="str">
        <f t="shared" si="33"/>
        <v>24191</v>
      </c>
    </row>
    <row r="740" ht="14.25" spans="1:28">
      <c r="A740" s="5" t="s">
        <v>28</v>
      </c>
      <c r="B740" s="5" t="s">
        <v>264</v>
      </c>
      <c r="C740" s="5">
        <v>2027</v>
      </c>
      <c r="D740" s="5" t="s">
        <v>30</v>
      </c>
      <c r="E740" s="9" t="s">
        <v>579</v>
      </c>
      <c r="F740" s="9" t="s">
        <v>576</v>
      </c>
      <c r="G740" s="9" t="s">
        <v>525</v>
      </c>
      <c r="H740" s="9" t="s">
        <v>580</v>
      </c>
      <c r="I740" s="9" t="s">
        <v>269</v>
      </c>
      <c r="J740" s="9" t="s">
        <v>36</v>
      </c>
      <c r="K740" s="9">
        <v>790</v>
      </c>
      <c r="L740" s="9"/>
      <c r="M740" s="9"/>
      <c r="N740" s="9"/>
      <c r="O740" s="9" t="s">
        <v>37</v>
      </c>
      <c r="P740" s="9" t="s">
        <v>38</v>
      </c>
      <c r="Q740" s="11"/>
      <c r="R740" s="10">
        <f t="shared" si="34"/>
        <v>0</v>
      </c>
      <c r="S740" s="10">
        <f>SUMIFS([1]Sheet1!$T:$T,[1]Sheet1!$I:$I,E740,[1]Sheet1!$C:$C,A740)</f>
        <v>0</v>
      </c>
      <c r="T740" s="10">
        <f t="shared" si="35"/>
        <v>0</v>
      </c>
      <c r="U740" s="9"/>
      <c r="X740" t="s">
        <v>94</v>
      </c>
      <c r="Y740" t="s">
        <v>179</v>
      </c>
      <c r="Z740" t="s">
        <v>104</v>
      </c>
      <c r="AB740" t="str">
        <f t="shared" si="33"/>
        <v>24191</v>
      </c>
    </row>
    <row r="741" ht="14.25" spans="1:28">
      <c r="A741" s="5" t="s">
        <v>28</v>
      </c>
      <c r="B741" s="5" t="s">
        <v>264</v>
      </c>
      <c r="C741" s="5">
        <v>2027</v>
      </c>
      <c r="D741" s="5" t="s">
        <v>30</v>
      </c>
      <c r="E741" s="9" t="s">
        <v>579</v>
      </c>
      <c r="F741" s="9" t="s">
        <v>576</v>
      </c>
      <c r="G741" s="9" t="s">
        <v>525</v>
      </c>
      <c r="H741" s="9" t="s">
        <v>580</v>
      </c>
      <c r="I741" s="9" t="s">
        <v>269</v>
      </c>
      <c r="J741" s="9" t="s">
        <v>36</v>
      </c>
      <c r="K741" s="9">
        <v>790</v>
      </c>
      <c r="L741" s="9"/>
      <c r="M741" s="9"/>
      <c r="N741" s="9"/>
      <c r="O741" s="9" t="s">
        <v>37</v>
      </c>
      <c r="P741" s="9" t="s">
        <v>42</v>
      </c>
      <c r="Q741" s="11"/>
      <c r="R741" s="10"/>
      <c r="S741" s="10"/>
      <c r="T741" s="10"/>
      <c r="U741" s="9"/>
      <c r="X741" t="s">
        <v>94</v>
      </c>
      <c r="Y741" t="s">
        <v>179</v>
      </c>
      <c r="Z741" t="s">
        <v>104</v>
      </c>
      <c r="AB741" t="str">
        <f t="shared" si="33"/>
        <v>24191</v>
      </c>
    </row>
    <row r="742" ht="14.25" spans="1:28">
      <c r="A742" s="5" t="s">
        <v>28</v>
      </c>
      <c r="B742" s="5" t="s">
        <v>264</v>
      </c>
      <c r="C742" s="5">
        <v>2027</v>
      </c>
      <c r="D742" s="5" t="s">
        <v>30</v>
      </c>
      <c r="E742" s="9" t="s">
        <v>579</v>
      </c>
      <c r="F742" s="9" t="s">
        <v>576</v>
      </c>
      <c r="G742" s="9" t="s">
        <v>525</v>
      </c>
      <c r="H742" s="9" t="s">
        <v>580</v>
      </c>
      <c r="I742" s="9" t="s">
        <v>269</v>
      </c>
      <c r="J742" s="9" t="s">
        <v>36</v>
      </c>
      <c r="K742" s="9">
        <v>790</v>
      </c>
      <c r="L742" s="9"/>
      <c r="M742" s="9"/>
      <c r="N742" s="9"/>
      <c r="O742" s="9" t="s">
        <v>37</v>
      </c>
      <c r="P742" s="9" t="s">
        <v>43</v>
      </c>
      <c r="Q742" s="11"/>
      <c r="R742" s="10"/>
      <c r="S742" s="10"/>
      <c r="T742" s="10"/>
      <c r="U742" s="9"/>
      <c r="X742" t="s">
        <v>94</v>
      </c>
      <c r="Y742" t="s">
        <v>179</v>
      </c>
      <c r="Z742" t="s">
        <v>104</v>
      </c>
      <c r="AB742" t="str">
        <f t="shared" si="33"/>
        <v>24191</v>
      </c>
    </row>
    <row r="743" ht="14.25" spans="1:28">
      <c r="A743" s="5" t="s">
        <v>28</v>
      </c>
      <c r="B743" s="5" t="s">
        <v>264</v>
      </c>
      <c r="C743" s="5">
        <v>2027</v>
      </c>
      <c r="D743" s="5" t="s">
        <v>30</v>
      </c>
      <c r="E743" s="9" t="s">
        <v>579</v>
      </c>
      <c r="F743" s="9" t="s">
        <v>576</v>
      </c>
      <c r="G743" s="9" t="s">
        <v>525</v>
      </c>
      <c r="H743" s="9" t="s">
        <v>580</v>
      </c>
      <c r="I743" s="9" t="s">
        <v>269</v>
      </c>
      <c r="J743" s="9" t="s">
        <v>36</v>
      </c>
      <c r="K743" s="9">
        <v>790</v>
      </c>
      <c r="L743" s="9"/>
      <c r="M743" s="9"/>
      <c r="N743" s="9"/>
      <c r="O743" s="9" t="s">
        <v>37</v>
      </c>
      <c r="P743" s="9" t="s">
        <v>44</v>
      </c>
      <c r="Q743" s="11"/>
      <c r="R743" s="10"/>
      <c r="S743" s="10"/>
      <c r="T743" s="10"/>
      <c r="U743" s="9"/>
      <c r="X743" t="s">
        <v>94</v>
      </c>
      <c r="Y743" t="s">
        <v>179</v>
      </c>
      <c r="Z743" t="s">
        <v>104</v>
      </c>
      <c r="AB743" t="str">
        <f t="shared" si="33"/>
        <v>24191</v>
      </c>
    </row>
    <row r="744" ht="14.25" spans="1:28">
      <c r="A744" s="5" t="s">
        <v>28</v>
      </c>
      <c r="B744" s="5" t="s">
        <v>264</v>
      </c>
      <c r="C744" s="5">
        <v>2027</v>
      </c>
      <c r="D744" s="5" t="s">
        <v>30</v>
      </c>
      <c r="E744" s="9" t="s">
        <v>579</v>
      </c>
      <c r="F744" s="9" t="s">
        <v>576</v>
      </c>
      <c r="G744" s="9" t="s">
        <v>525</v>
      </c>
      <c r="H744" s="9" t="s">
        <v>580</v>
      </c>
      <c r="I744" s="9" t="s">
        <v>269</v>
      </c>
      <c r="J744" s="9" t="s">
        <v>36</v>
      </c>
      <c r="K744" s="9">
        <v>790</v>
      </c>
      <c r="L744" s="9"/>
      <c r="M744" s="9"/>
      <c r="N744" s="9"/>
      <c r="O744" s="9" t="s">
        <v>37</v>
      </c>
      <c r="P744" s="9" t="s">
        <v>45</v>
      </c>
      <c r="Q744" s="11"/>
      <c r="R744" s="10"/>
      <c r="S744" s="10"/>
      <c r="T744" s="10"/>
      <c r="U744" s="9"/>
      <c r="X744" t="s">
        <v>94</v>
      </c>
      <c r="Y744" t="s">
        <v>179</v>
      </c>
      <c r="Z744" t="s">
        <v>104</v>
      </c>
      <c r="AB744" t="str">
        <f t="shared" si="33"/>
        <v>24191</v>
      </c>
    </row>
    <row r="745" ht="14.25" spans="1:28">
      <c r="A745" s="5" t="s">
        <v>28</v>
      </c>
      <c r="B745" s="5" t="s">
        <v>264</v>
      </c>
      <c r="C745" s="5">
        <v>2027</v>
      </c>
      <c r="D745" s="5" t="s">
        <v>30</v>
      </c>
      <c r="E745" s="9" t="s">
        <v>581</v>
      </c>
      <c r="F745" s="9" t="s">
        <v>582</v>
      </c>
      <c r="G745" s="9" t="s">
        <v>583</v>
      </c>
      <c r="H745" s="9" t="s">
        <v>584</v>
      </c>
      <c r="I745" s="9" t="s">
        <v>276</v>
      </c>
      <c r="J745" s="9" t="s">
        <v>36</v>
      </c>
      <c r="K745" s="9">
        <v>1190</v>
      </c>
      <c r="L745" s="9"/>
      <c r="M745" s="9"/>
      <c r="N745" s="9"/>
      <c r="O745" s="9" t="s">
        <v>37</v>
      </c>
      <c r="P745" s="9" t="s">
        <v>38</v>
      </c>
      <c r="Q745" s="11"/>
      <c r="R745" s="10">
        <f t="shared" si="34"/>
        <v>0</v>
      </c>
      <c r="S745" s="10">
        <f>SUMIFS([1]Sheet1!$T:$T,[1]Sheet1!$I:$I,E745,[1]Sheet1!$C:$C,A745)</f>
        <v>0</v>
      </c>
      <c r="T745" s="10">
        <f t="shared" si="35"/>
        <v>0</v>
      </c>
      <c r="U745" s="9"/>
      <c r="X745" t="s">
        <v>58</v>
      </c>
      <c r="Y745" t="s">
        <v>179</v>
      </c>
      <c r="Z745" t="s">
        <v>104</v>
      </c>
      <c r="AB745" t="str">
        <f t="shared" si="33"/>
        <v>24193</v>
      </c>
    </row>
    <row r="746" ht="14.25" spans="1:28">
      <c r="A746" s="5" t="s">
        <v>28</v>
      </c>
      <c r="B746" s="5" t="s">
        <v>264</v>
      </c>
      <c r="C746" s="5">
        <v>2027</v>
      </c>
      <c r="D746" s="5" t="s">
        <v>30</v>
      </c>
      <c r="E746" s="9" t="s">
        <v>581</v>
      </c>
      <c r="F746" s="9" t="s">
        <v>582</v>
      </c>
      <c r="G746" s="9" t="s">
        <v>583</v>
      </c>
      <c r="H746" s="9" t="s">
        <v>584</v>
      </c>
      <c r="I746" s="9" t="s">
        <v>276</v>
      </c>
      <c r="J746" s="9" t="s">
        <v>36</v>
      </c>
      <c r="K746" s="9">
        <v>1190</v>
      </c>
      <c r="L746" s="9"/>
      <c r="M746" s="9"/>
      <c r="N746" s="9"/>
      <c r="O746" s="9" t="s">
        <v>37</v>
      </c>
      <c r="P746" s="9" t="s">
        <v>42</v>
      </c>
      <c r="Q746" s="11"/>
      <c r="R746" s="10"/>
      <c r="S746" s="10"/>
      <c r="T746" s="10"/>
      <c r="U746" s="9"/>
      <c r="X746" t="s">
        <v>58</v>
      </c>
      <c r="Y746" t="s">
        <v>179</v>
      </c>
      <c r="Z746" t="s">
        <v>104</v>
      </c>
      <c r="AB746" t="str">
        <f t="shared" si="33"/>
        <v>24193</v>
      </c>
    </row>
    <row r="747" ht="14.25" spans="1:28">
      <c r="A747" s="5" t="s">
        <v>28</v>
      </c>
      <c r="B747" s="5" t="s">
        <v>264</v>
      </c>
      <c r="C747" s="5">
        <v>2027</v>
      </c>
      <c r="D747" s="5" t="s">
        <v>30</v>
      </c>
      <c r="E747" s="9" t="s">
        <v>581</v>
      </c>
      <c r="F747" s="9" t="s">
        <v>582</v>
      </c>
      <c r="G747" s="9" t="s">
        <v>583</v>
      </c>
      <c r="H747" s="9" t="s">
        <v>584</v>
      </c>
      <c r="I747" s="9" t="s">
        <v>276</v>
      </c>
      <c r="J747" s="9" t="s">
        <v>36</v>
      </c>
      <c r="K747" s="9">
        <v>1190</v>
      </c>
      <c r="L747" s="9"/>
      <c r="M747" s="9"/>
      <c r="N747" s="9"/>
      <c r="O747" s="9" t="s">
        <v>37</v>
      </c>
      <c r="P747" s="9" t="s">
        <v>43</v>
      </c>
      <c r="Q747" s="11"/>
      <c r="R747" s="10"/>
      <c r="S747" s="10"/>
      <c r="T747" s="10"/>
      <c r="U747" s="9"/>
      <c r="X747" t="s">
        <v>58</v>
      </c>
      <c r="Y747" t="s">
        <v>179</v>
      </c>
      <c r="Z747" t="s">
        <v>104</v>
      </c>
      <c r="AB747" t="str">
        <f t="shared" si="33"/>
        <v>24193</v>
      </c>
    </row>
    <row r="748" ht="14.25" spans="1:28">
      <c r="A748" s="5" t="s">
        <v>28</v>
      </c>
      <c r="B748" s="5" t="s">
        <v>264</v>
      </c>
      <c r="C748" s="5">
        <v>2027</v>
      </c>
      <c r="D748" s="5" t="s">
        <v>30</v>
      </c>
      <c r="E748" s="9" t="s">
        <v>581</v>
      </c>
      <c r="F748" s="9" t="s">
        <v>582</v>
      </c>
      <c r="G748" s="9" t="s">
        <v>583</v>
      </c>
      <c r="H748" s="9" t="s">
        <v>584</v>
      </c>
      <c r="I748" s="9" t="s">
        <v>276</v>
      </c>
      <c r="J748" s="9" t="s">
        <v>36</v>
      </c>
      <c r="K748" s="9">
        <v>1190</v>
      </c>
      <c r="L748" s="9"/>
      <c r="M748" s="9"/>
      <c r="N748" s="9"/>
      <c r="O748" s="9" t="s">
        <v>37</v>
      </c>
      <c r="P748" s="9" t="s">
        <v>44</v>
      </c>
      <c r="Q748" s="11"/>
      <c r="R748" s="10"/>
      <c r="S748" s="10"/>
      <c r="T748" s="10"/>
      <c r="U748" s="9"/>
      <c r="X748" t="s">
        <v>58</v>
      </c>
      <c r="Y748" t="s">
        <v>179</v>
      </c>
      <c r="Z748" t="s">
        <v>104</v>
      </c>
      <c r="AB748" t="str">
        <f t="shared" si="33"/>
        <v>24193</v>
      </c>
    </row>
    <row r="749" ht="14.25" spans="1:28">
      <c r="A749" s="5" t="s">
        <v>28</v>
      </c>
      <c r="B749" s="5" t="s">
        <v>264</v>
      </c>
      <c r="C749" s="5">
        <v>2027</v>
      </c>
      <c r="D749" s="5" t="s">
        <v>30</v>
      </c>
      <c r="E749" s="9" t="s">
        <v>581</v>
      </c>
      <c r="F749" s="9" t="s">
        <v>582</v>
      </c>
      <c r="G749" s="9" t="s">
        <v>583</v>
      </c>
      <c r="H749" s="9" t="s">
        <v>584</v>
      </c>
      <c r="I749" s="9" t="s">
        <v>276</v>
      </c>
      <c r="J749" s="9" t="s">
        <v>36</v>
      </c>
      <c r="K749" s="9">
        <v>1190</v>
      </c>
      <c r="L749" s="9"/>
      <c r="M749" s="9"/>
      <c r="N749" s="9"/>
      <c r="O749" s="9" t="s">
        <v>37</v>
      </c>
      <c r="P749" s="9" t="s">
        <v>45</v>
      </c>
      <c r="Q749" s="11"/>
      <c r="R749" s="10"/>
      <c r="S749" s="10"/>
      <c r="T749" s="10"/>
      <c r="U749" s="9"/>
      <c r="X749" t="s">
        <v>58</v>
      </c>
      <c r="Y749" t="s">
        <v>179</v>
      </c>
      <c r="Z749" t="s">
        <v>104</v>
      </c>
      <c r="AB749" t="str">
        <f t="shared" si="33"/>
        <v>24193</v>
      </c>
    </row>
    <row r="750" ht="14.25" spans="1:28">
      <c r="A750" s="5" t="s">
        <v>28</v>
      </c>
      <c r="B750" s="5" t="s">
        <v>264</v>
      </c>
      <c r="C750" s="5">
        <v>2027</v>
      </c>
      <c r="D750" s="5" t="s">
        <v>30</v>
      </c>
      <c r="E750" s="9" t="s">
        <v>585</v>
      </c>
      <c r="F750" s="9" t="s">
        <v>586</v>
      </c>
      <c r="G750" s="9" t="s">
        <v>182</v>
      </c>
      <c r="H750" s="9" t="s">
        <v>587</v>
      </c>
      <c r="I750" s="9" t="s">
        <v>276</v>
      </c>
      <c r="J750" s="9" t="s">
        <v>36</v>
      </c>
      <c r="K750" s="9">
        <v>1190</v>
      </c>
      <c r="L750" s="9"/>
      <c r="M750" s="9"/>
      <c r="N750" s="9"/>
      <c r="O750" s="9" t="s">
        <v>37</v>
      </c>
      <c r="P750" s="9" t="s">
        <v>38</v>
      </c>
      <c r="Q750" s="11"/>
      <c r="R750" s="10">
        <f t="shared" si="34"/>
        <v>0</v>
      </c>
      <c r="S750" s="10">
        <f>SUMIFS([1]Sheet1!$T:$T,[1]Sheet1!$I:$I,E750,[1]Sheet1!$C:$C,A750)</f>
        <v>0</v>
      </c>
      <c r="T750" s="10">
        <f t="shared" si="35"/>
        <v>0</v>
      </c>
      <c r="U750" s="9"/>
      <c r="X750" t="s">
        <v>102</v>
      </c>
      <c r="Y750" t="s">
        <v>179</v>
      </c>
      <c r="Z750" t="s">
        <v>104</v>
      </c>
      <c r="AB750" t="str">
        <f t="shared" si="33"/>
        <v>24194</v>
      </c>
    </row>
    <row r="751" ht="14.25" spans="1:28">
      <c r="A751" s="5" t="s">
        <v>28</v>
      </c>
      <c r="B751" s="5" t="s">
        <v>264</v>
      </c>
      <c r="C751" s="5">
        <v>2027</v>
      </c>
      <c r="D751" s="5" t="s">
        <v>30</v>
      </c>
      <c r="E751" s="9" t="s">
        <v>585</v>
      </c>
      <c r="F751" s="9" t="s">
        <v>586</v>
      </c>
      <c r="G751" s="9" t="s">
        <v>182</v>
      </c>
      <c r="H751" s="9" t="s">
        <v>587</v>
      </c>
      <c r="I751" s="9" t="s">
        <v>276</v>
      </c>
      <c r="J751" s="9" t="s">
        <v>36</v>
      </c>
      <c r="K751" s="9">
        <v>1190</v>
      </c>
      <c r="L751" s="9"/>
      <c r="M751" s="9"/>
      <c r="N751" s="9"/>
      <c r="O751" s="9" t="s">
        <v>37</v>
      </c>
      <c r="P751" s="9" t="s">
        <v>42</v>
      </c>
      <c r="Q751" s="11"/>
      <c r="R751" s="10"/>
      <c r="S751" s="10"/>
      <c r="T751" s="10"/>
      <c r="U751" s="9"/>
      <c r="X751" t="s">
        <v>102</v>
      </c>
      <c r="Y751" t="s">
        <v>179</v>
      </c>
      <c r="Z751" t="s">
        <v>104</v>
      </c>
      <c r="AB751" t="str">
        <f t="shared" si="33"/>
        <v>24194</v>
      </c>
    </row>
    <row r="752" ht="14.25" spans="1:28">
      <c r="A752" s="5" t="s">
        <v>28</v>
      </c>
      <c r="B752" s="5" t="s">
        <v>264</v>
      </c>
      <c r="C752" s="5">
        <v>2027</v>
      </c>
      <c r="D752" s="5" t="s">
        <v>30</v>
      </c>
      <c r="E752" s="9" t="s">
        <v>585</v>
      </c>
      <c r="F752" s="9" t="s">
        <v>586</v>
      </c>
      <c r="G752" s="9" t="s">
        <v>182</v>
      </c>
      <c r="H752" s="9" t="s">
        <v>587</v>
      </c>
      <c r="I752" s="9" t="s">
        <v>276</v>
      </c>
      <c r="J752" s="9" t="s">
        <v>36</v>
      </c>
      <c r="K752" s="9">
        <v>1190</v>
      </c>
      <c r="L752" s="9"/>
      <c r="M752" s="9"/>
      <c r="N752" s="9"/>
      <c r="O752" s="9" t="s">
        <v>37</v>
      </c>
      <c r="P752" s="9" t="s">
        <v>43</v>
      </c>
      <c r="Q752" s="9"/>
      <c r="R752" s="10"/>
      <c r="S752" s="10"/>
      <c r="T752" s="10"/>
      <c r="U752" s="9"/>
      <c r="X752" t="s">
        <v>102</v>
      </c>
      <c r="Y752" t="s">
        <v>179</v>
      </c>
      <c r="Z752" t="s">
        <v>104</v>
      </c>
      <c r="AB752" t="str">
        <f t="shared" si="33"/>
        <v>24194</v>
      </c>
    </row>
    <row r="753" ht="14.25" spans="1:28">
      <c r="A753" s="5" t="s">
        <v>28</v>
      </c>
      <c r="B753" s="5" t="s">
        <v>264</v>
      </c>
      <c r="C753" s="5">
        <v>2027</v>
      </c>
      <c r="D753" s="5" t="s">
        <v>30</v>
      </c>
      <c r="E753" s="9" t="s">
        <v>585</v>
      </c>
      <c r="F753" s="9" t="s">
        <v>586</v>
      </c>
      <c r="G753" s="9" t="s">
        <v>182</v>
      </c>
      <c r="H753" s="9" t="s">
        <v>587</v>
      </c>
      <c r="I753" s="9" t="s">
        <v>276</v>
      </c>
      <c r="J753" s="9" t="s">
        <v>36</v>
      </c>
      <c r="K753" s="9">
        <v>1190</v>
      </c>
      <c r="L753" s="9"/>
      <c r="M753" s="9"/>
      <c r="N753" s="9"/>
      <c r="O753" s="9" t="s">
        <v>37</v>
      </c>
      <c r="P753" s="9" t="s">
        <v>44</v>
      </c>
      <c r="Q753" s="9"/>
      <c r="R753" s="10"/>
      <c r="S753" s="10"/>
      <c r="T753" s="10"/>
      <c r="U753" s="9"/>
      <c r="X753" t="s">
        <v>102</v>
      </c>
      <c r="Y753" t="s">
        <v>179</v>
      </c>
      <c r="Z753" t="s">
        <v>104</v>
      </c>
      <c r="AB753" t="str">
        <f t="shared" si="33"/>
        <v>24194</v>
      </c>
    </row>
    <row r="754" ht="14.25" spans="1:28">
      <c r="A754" s="5" t="s">
        <v>28</v>
      </c>
      <c r="B754" s="5" t="s">
        <v>264</v>
      </c>
      <c r="C754" s="5">
        <v>2027</v>
      </c>
      <c r="D754" s="5" t="s">
        <v>30</v>
      </c>
      <c r="E754" s="9" t="s">
        <v>585</v>
      </c>
      <c r="F754" s="9" t="s">
        <v>586</v>
      </c>
      <c r="G754" s="9" t="s">
        <v>182</v>
      </c>
      <c r="H754" s="9" t="s">
        <v>587</v>
      </c>
      <c r="I754" s="9" t="s">
        <v>276</v>
      </c>
      <c r="J754" s="9" t="s">
        <v>36</v>
      </c>
      <c r="K754" s="9">
        <v>1190</v>
      </c>
      <c r="L754" s="9"/>
      <c r="M754" s="9"/>
      <c r="N754" s="9"/>
      <c r="O754" s="9" t="s">
        <v>37</v>
      </c>
      <c r="P754" s="9" t="s">
        <v>45</v>
      </c>
      <c r="Q754" s="9"/>
      <c r="R754" s="10"/>
      <c r="S754" s="10"/>
      <c r="T754" s="10"/>
      <c r="U754" s="9"/>
      <c r="X754" t="s">
        <v>102</v>
      </c>
      <c r="Y754" t="s">
        <v>179</v>
      </c>
      <c r="Z754" t="s">
        <v>104</v>
      </c>
      <c r="AB754" t="str">
        <f t="shared" si="33"/>
        <v>24194</v>
      </c>
    </row>
    <row r="755" ht="14.25" spans="1:28">
      <c r="A755" s="5" t="s">
        <v>28</v>
      </c>
      <c r="B755" s="5" t="s">
        <v>264</v>
      </c>
      <c r="C755" s="5">
        <v>2027</v>
      </c>
      <c r="D755" s="5" t="s">
        <v>30</v>
      </c>
      <c r="E755" s="9" t="s">
        <v>588</v>
      </c>
      <c r="F755" s="9" t="s">
        <v>589</v>
      </c>
      <c r="G755" s="9" t="s">
        <v>590</v>
      </c>
      <c r="H755" s="9" t="s">
        <v>591</v>
      </c>
      <c r="I755" s="9" t="s">
        <v>403</v>
      </c>
      <c r="J755" s="9" t="s">
        <v>36</v>
      </c>
      <c r="K755" s="9">
        <v>890</v>
      </c>
      <c r="L755" s="9"/>
      <c r="M755" s="9"/>
      <c r="N755" s="9"/>
      <c r="O755" s="9" t="s">
        <v>37</v>
      </c>
      <c r="P755" s="9" t="s">
        <v>38</v>
      </c>
      <c r="Q755" s="9"/>
      <c r="R755" s="10">
        <f t="shared" si="34"/>
        <v>0</v>
      </c>
      <c r="S755" s="10">
        <f>SUMIFS([1]Sheet1!$T:$T,[1]Sheet1!$I:$I,E755,[1]Sheet1!$C:$C,A755)</f>
        <v>0</v>
      </c>
      <c r="T755" s="10">
        <f t="shared" si="35"/>
        <v>0</v>
      </c>
      <c r="U755" s="9"/>
      <c r="X755" t="s">
        <v>592</v>
      </c>
      <c r="Y755" t="s">
        <v>179</v>
      </c>
      <c r="Z755" t="s">
        <v>179</v>
      </c>
      <c r="AB755" t="str">
        <f t="shared" si="33"/>
        <v>24200</v>
      </c>
    </row>
    <row r="756" ht="14.25" spans="1:28">
      <c r="A756" s="5" t="s">
        <v>28</v>
      </c>
      <c r="B756" s="5" t="s">
        <v>264</v>
      </c>
      <c r="C756" s="5">
        <v>2027</v>
      </c>
      <c r="D756" s="5" t="s">
        <v>30</v>
      </c>
      <c r="E756" s="9" t="s">
        <v>588</v>
      </c>
      <c r="F756" s="9" t="s">
        <v>589</v>
      </c>
      <c r="G756" s="9" t="s">
        <v>590</v>
      </c>
      <c r="H756" s="9" t="s">
        <v>591</v>
      </c>
      <c r="I756" s="9" t="s">
        <v>403</v>
      </c>
      <c r="J756" s="9" t="s">
        <v>36</v>
      </c>
      <c r="K756" s="9">
        <v>890</v>
      </c>
      <c r="L756" s="9"/>
      <c r="M756" s="9"/>
      <c r="N756" s="9"/>
      <c r="O756" s="9" t="s">
        <v>37</v>
      </c>
      <c r="P756" s="9" t="s">
        <v>42</v>
      </c>
      <c r="Q756" s="9"/>
      <c r="R756" s="10"/>
      <c r="S756" s="10"/>
      <c r="T756" s="10"/>
      <c r="U756" s="9"/>
      <c r="X756" t="s">
        <v>592</v>
      </c>
      <c r="Y756" t="s">
        <v>179</v>
      </c>
      <c r="Z756" t="s">
        <v>179</v>
      </c>
      <c r="AB756" t="str">
        <f t="shared" si="33"/>
        <v>24200</v>
      </c>
    </row>
    <row r="757" ht="14.25" spans="1:28">
      <c r="A757" s="5" t="s">
        <v>28</v>
      </c>
      <c r="B757" s="5" t="s">
        <v>264</v>
      </c>
      <c r="C757" s="5">
        <v>2027</v>
      </c>
      <c r="D757" s="5" t="s">
        <v>30</v>
      </c>
      <c r="E757" s="9" t="s">
        <v>588</v>
      </c>
      <c r="F757" s="9" t="s">
        <v>589</v>
      </c>
      <c r="G757" s="9" t="s">
        <v>590</v>
      </c>
      <c r="H757" s="9" t="s">
        <v>591</v>
      </c>
      <c r="I757" s="9" t="s">
        <v>403</v>
      </c>
      <c r="J757" s="9" t="s">
        <v>36</v>
      </c>
      <c r="K757" s="9">
        <v>890</v>
      </c>
      <c r="L757" s="9"/>
      <c r="M757" s="9"/>
      <c r="N757" s="9"/>
      <c r="O757" s="9" t="s">
        <v>37</v>
      </c>
      <c r="P757" s="9" t="s">
        <v>43</v>
      </c>
      <c r="Q757" s="9"/>
      <c r="R757" s="10"/>
      <c r="S757" s="10"/>
      <c r="T757" s="10"/>
      <c r="U757" s="9"/>
      <c r="X757" t="s">
        <v>592</v>
      </c>
      <c r="Y757" t="s">
        <v>179</v>
      </c>
      <c r="Z757" t="s">
        <v>179</v>
      </c>
      <c r="AB757" t="str">
        <f t="shared" si="33"/>
        <v>24200</v>
      </c>
    </row>
    <row r="758" ht="14.25" spans="1:28">
      <c r="A758" s="5" t="s">
        <v>28</v>
      </c>
      <c r="B758" s="5" t="s">
        <v>264</v>
      </c>
      <c r="C758" s="5">
        <v>2027</v>
      </c>
      <c r="D758" s="5" t="s">
        <v>30</v>
      </c>
      <c r="E758" s="9" t="s">
        <v>588</v>
      </c>
      <c r="F758" s="9" t="s">
        <v>589</v>
      </c>
      <c r="G758" s="9" t="s">
        <v>590</v>
      </c>
      <c r="H758" s="9" t="s">
        <v>591</v>
      </c>
      <c r="I758" s="9" t="s">
        <v>403</v>
      </c>
      <c r="J758" s="9" t="s">
        <v>36</v>
      </c>
      <c r="K758" s="9">
        <v>890</v>
      </c>
      <c r="L758" s="9"/>
      <c r="M758" s="9"/>
      <c r="N758" s="9"/>
      <c r="O758" s="9" t="s">
        <v>37</v>
      </c>
      <c r="P758" s="9" t="s">
        <v>44</v>
      </c>
      <c r="Q758" s="9"/>
      <c r="R758" s="10"/>
      <c r="S758" s="10"/>
      <c r="T758" s="10"/>
      <c r="U758" s="9"/>
      <c r="X758" t="s">
        <v>592</v>
      </c>
      <c r="Y758" t="s">
        <v>179</v>
      </c>
      <c r="Z758" t="s">
        <v>179</v>
      </c>
      <c r="AB758" t="str">
        <f t="shared" si="33"/>
        <v>24200</v>
      </c>
    </row>
    <row r="759" ht="14.25" spans="1:28">
      <c r="A759" s="5" t="s">
        <v>28</v>
      </c>
      <c r="B759" s="5" t="s">
        <v>264</v>
      </c>
      <c r="C759" s="5">
        <v>2027</v>
      </c>
      <c r="D759" s="5" t="s">
        <v>30</v>
      </c>
      <c r="E759" s="9" t="s">
        <v>588</v>
      </c>
      <c r="F759" s="9" t="s">
        <v>589</v>
      </c>
      <c r="G759" s="9" t="s">
        <v>590</v>
      </c>
      <c r="H759" s="9" t="s">
        <v>591</v>
      </c>
      <c r="I759" s="9" t="s">
        <v>403</v>
      </c>
      <c r="J759" s="9" t="s">
        <v>36</v>
      </c>
      <c r="K759" s="9">
        <v>890</v>
      </c>
      <c r="L759" s="9"/>
      <c r="M759" s="9"/>
      <c r="N759" s="9"/>
      <c r="O759" s="9" t="s">
        <v>37</v>
      </c>
      <c r="P759" s="9" t="s">
        <v>45</v>
      </c>
      <c r="Q759" s="9"/>
      <c r="R759" s="10"/>
      <c r="S759" s="10"/>
      <c r="T759" s="10"/>
      <c r="U759" s="9"/>
      <c r="X759" t="s">
        <v>592</v>
      </c>
      <c r="Y759" t="s">
        <v>179</v>
      </c>
      <c r="Z759" t="s">
        <v>179</v>
      </c>
      <c r="AB759" t="str">
        <f t="shared" si="33"/>
        <v>24200</v>
      </c>
    </row>
    <row r="760" ht="14.25" spans="1:28">
      <c r="A760" s="5" t="s">
        <v>28</v>
      </c>
      <c r="B760" s="5" t="s">
        <v>264</v>
      </c>
      <c r="C760" s="5">
        <v>2027</v>
      </c>
      <c r="D760" s="5" t="s">
        <v>30</v>
      </c>
      <c r="E760" s="9" t="s">
        <v>593</v>
      </c>
      <c r="F760" s="9" t="s">
        <v>589</v>
      </c>
      <c r="G760" s="9" t="s">
        <v>346</v>
      </c>
      <c r="H760" s="9" t="s">
        <v>594</v>
      </c>
      <c r="I760" s="9" t="s">
        <v>403</v>
      </c>
      <c r="J760" s="9" t="s">
        <v>36</v>
      </c>
      <c r="K760" s="9">
        <v>890</v>
      </c>
      <c r="L760" s="9"/>
      <c r="M760" s="9"/>
      <c r="N760" s="9"/>
      <c r="O760" s="9" t="s">
        <v>37</v>
      </c>
      <c r="P760" s="9" t="s">
        <v>38</v>
      </c>
      <c r="Q760" s="9"/>
      <c r="R760" s="10">
        <f t="shared" si="34"/>
        <v>0</v>
      </c>
      <c r="S760" s="10">
        <f>SUMIFS([1]Sheet1!$T:$T,[1]Sheet1!$I:$I,E760,[1]Sheet1!$C:$C,A760)</f>
        <v>0</v>
      </c>
      <c r="T760" s="10">
        <f t="shared" si="35"/>
        <v>0</v>
      </c>
      <c r="U760" s="9"/>
      <c r="X760" t="s">
        <v>191</v>
      </c>
      <c r="Y760" t="s">
        <v>179</v>
      </c>
      <c r="Z760" t="s">
        <v>179</v>
      </c>
      <c r="AB760" t="str">
        <f t="shared" si="33"/>
        <v>24200</v>
      </c>
    </row>
    <row r="761" ht="14.25" spans="1:28">
      <c r="A761" s="5" t="s">
        <v>28</v>
      </c>
      <c r="B761" s="5" t="s">
        <v>264</v>
      </c>
      <c r="C761" s="5">
        <v>2027</v>
      </c>
      <c r="D761" s="5" t="s">
        <v>30</v>
      </c>
      <c r="E761" s="9" t="s">
        <v>593</v>
      </c>
      <c r="F761" s="9" t="s">
        <v>589</v>
      </c>
      <c r="G761" s="9" t="s">
        <v>346</v>
      </c>
      <c r="H761" s="9" t="s">
        <v>594</v>
      </c>
      <c r="I761" s="9" t="s">
        <v>403</v>
      </c>
      <c r="J761" s="9" t="s">
        <v>36</v>
      </c>
      <c r="K761" s="9">
        <v>890</v>
      </c>
      <c r="L761" s="9"/>
      <c r="M761" s="9"/>
      <c r="N761" s="9"/>
      <c r="O761" s="9" t="s">
        <v>37</v>
      </c>
      <c r="P761" s="9" t="s">
        <v>42</v>
      </c>
      <c r="Q761" s="9"/>
      <c r="R761" s="10"/>
      <c r="S761" s="10"/>
      <c r="T761" s="10"/>
      <c r="U761" s="9"/>
      <c r="X761" t="s">
        <v>191</v>
      </c>
      <c r="Y761" t="s">
        <v>179</v>
      </c>
      <c r="Z761" t="s">
        <v>179</v>
      </c>
      <c r="AB761" t="str">
        <f t="shared" si="33"/>
        <v>24200</v>
      </c>
    </row>
    <row r="762" ht="14.25" spans="1:28">
      <c r="A762" s="5" t="s">
        <v>28</v>
      </c>
      <c r="B762" s="5" t="s">
        <v>264</v>
      </c>
      <c r="C762" s="5">
        <v>2027</v>
      </c>
      <c r="D762" s="5" t="s">
        <v>30</v>
      </c>
      <c r="E762" s="9" t="s">
        <v>593</v>
      </c>
      <c r="F762" s="9" t="s">
        <v>589</v>
      </c>
      <c r="G762" s="9" t="s">
        <v>346</v>
      </c>
      <c r="H762" s="9" t="s">
        <v>594</v>
      </c>
      <c r="I762" s="9" t="s">
        <v>403</v>
      </c>
      <c r="J762" s="9" t="s">
        <v>36</v>
      </c>
      <c r="K762" s="9">
        <v>890</v>
      </c>
      <c r="L762" s="9"/>
      <c r="M762" s="9"/>
      <c r="N762" s="9"/>
      <c r="O762" s="9" t="s">
        <v>37</v>
      </c>
      <c r="P762" s="9" t="s">
        <v>43</v>
      </c>
      <c r="Q762" s="9"/>
      <c r="R762" s="10"/>
      <c r="S762" s="10"/>
      <c r="T762" s="10"/>
      <c r="U762" s="9"/>
      <c r="X762" t="s">
        <v>191</v>
      </c>
      <c r="Y762" t="s">
        <v>179</v>
      </c>
      <c r="Z762" t="s">
        <v>179</v>
      </c>
      <c r="AB762" t="str">
        <f t="shared" si="33"/>
        <v>24200</v>
      </c>
    </row>
    <row r="763" ht="14.25" spans="1:28">
      <c r="A763" s="5" t="s">
        <v>28</v>
      </c>
      <c r="B763" s="5" t="s">
        <v>264</v>
      </c>
      <c r="C763" s="5">
        <v>2027</v>
      </c>
      <c r="D763" s="5" t="s">
        <v>30</v>
      </c>
      <c r="E763" s="9" t="s">
        <v>593</v>
      </c>
      <c r="F763" s="9" t="s">
        <v>589</v>
      </c>
      <c r="G763" s="9" t="s">
        <v>346</v>
      </c>
      <c r="H763" s="9" t="s">
        <v>594</v>
      </c>
      <c r="I763" s="9" t="s">
        <v>403</v>
      </c>
      <c r="J763" s="9" t="s">
        <v>36</v>
      </c>
      <c r="K763" s="9">
        <v>890</v>
      </c>
      <c r="L763" s="9"/>
      <c r="M763" s="9"/>
      <c r="N763" s="9"/>
      <c r="O763" s="9" t="s">
        <v>37</v>
      </c>
      <c r="P763" s="9" t="s">
        <v>44</v>
      </c>
      <c r="Q763" s="9"/>
      <c r="R763" s="10"/>
      <c r="S763" s="10"/>
      <c r="T763" s="10"/>
      <c r="U763" s="9"/>
      <c r="X763" t="s">
        <v>191</v>
      </c>
      <c r="Y763" t="s">
        <v>179</v>
      </c>
      <c r="Z763" t="s">
        <v>179</v>
      </c>
      <c r="AB763" t="str">
        <f t="shared" si="33"/>
        <v>24200</v>
      </c>
    </row>
    <row r="764" ht="14.25" spans="1:28">
      <c r="A764" s="5" t="s">
        <v>28</v>
      </c>
      <c r="B764" s="5" t="s">
        <v>264</v>
      </c>
      <c r="C764" s="5">
        <v>2027</v>
      </c>
      <c r="D764" s="5" t="s">
        <v>30</v>
      </c>
      <c r="E764" s="9" t="s">
        <v>593</v>
      </c>
      <c r="F764" s="9" t="s">
        <v>589</v>
      </c>
      <c r="G764" s="9" t="s">
        <v>346</v>
      </c>
      <c r="H764" s="9" t="s">
        <v>594</v>
      </c>
      <c r="I764" s="9" t="s">
        <v>403</v>
      </c>
      <c r="J764" s="9" t="s">
        <v>36</v>
      </c>
      <c r="K764" s="9">
        <v>890</v>
      </c>
      <c r="L764" s="9"/>
      <c r="M764" s="9"/>
      <c r="N764" s="9"/>
      <c r="O764" s="9" t="s">
        <v>37</v>
      </c>
      <c r="P764" s="9" t="s">
        <v>45</v>
      </c>
      <c r="Q764" s="9"/>
      <c r="R764" s="10"/>
      <c r="S764" s="10"/>
      <c r="T764" s="10"/>
      <c r="U764" s="9"/>
      <c r="X764" t="s">
        <v>191</v>
      </c>
      <c r="Y764" t="s">
        <v>179</v>
      </c>
      <c r="Z764" t="s">
        <v>179</v>
      </c>
      <c r="AB764" t="str">
        <f t="shared" si="33"/>
        <v>24200</v>
      </c>
    </row>
    <row r="765" ht="14.25" spans="1:28">
      <c r="A765" s="5" t="s">
        <v>28</v>
      </c>
      <c r="B765" s="5" t="s">
        <v>264</v>
      </c>
      <c r="C765" s="5">
        <v>2027</v>
      </c>
      <c r="D765" s="5" t="s">
        <v>30</v>
      </c>
      <c r="E765" s="9" t="s">
        <v>595</v>
      </c>
      <c r="F765" s="9" t="s">
        <v>596</v>
      </c>
      <c r="G765" s="9" t="s">
        <v>117</v>
      </c>
      <c r="H765" s="9" t="s">
        <v>597</v>
      </c>
      <c r="I765" s="9" t="s">
        <v>276</v>
      </c>
      <c r="J765" s="9" t="s">
        <v>36</v>
      </c>
      <c r="K765" s="9">
        <v>990</v>
      </c>
      <c r="L765" s="9"/>
      <c r="M765" s="9"/>
      <c r="N765" s="9"/>
      <c r="O765" s="9" t="s">
        <v>37</v>
      </c>
      <c r="P765" s="9" t="s">
        <v>38</v>
      </c>
      <c r="Q765" s="9"/>
      <c r="R765" s="10">
        <f t="shared" si="34"/>
        <v>0</v>
      </c>
      <c r="S765" s="10">
        <f>SUMIFS([1]Sheet1!$T:$T,[1]Sheet1!$I:$I,E765,[1]Sheet1!$C:$C,A765)</f>
        <v>0</v>
      </c>
      <c r="T765" s="10">
        <f t="shared" si="35"/>
        <v>0</v>
      </c>
      <c r="U765" s="9"/>
      <c r="X765" t="s">
        <v>122</v>
      </c>
      <c r="Y765" t="s">
        <v>179</v>
      </c>
      <c r="Z765" t="s">
        <v>179</v>
      </c>
      <c r="AB765" t="str">
        <f t="shared" si="33"/>
        <v>24208</v>
      </c>
    </row>
    <row r="766" ht="14.25" spans="1:28">
      <c r="A766" s="5" t="s">
        <v>28</v>
      </c>
      <c r="B766" s="5" t="s">
        <v>264</v>
      </c>
      <c r="C766" s="5">
        <v>2027</v>
      </c>
      <c r="D766" s="5" t="s">
        <v>30</v>
      </c>
      <c r="E766" s="9" t="s">
        <v>595</v>
      </c>
      <c r="F766" s="9" t="s">
        <v>596</v>
      </c>
      <c r="G766" s="9" t="s">
        <v>117</v>
      </c>
      <c r="H766" s="9" t="s">
        <v>597</v>
      </c>
      <c r="I766" s="9" t="s">
        <v>276</v>
      </c>
      <c r="J766" s="9" t="s">
        <v>36</v>
      </c>
      <c r="K766" s="9">
        <v>990</v>
      </c>
      <c r="L766" s="9"/>
      <c r="M766" s="9"/>
      <c r="N766" s="9"/>
      <c r="O766" s="9" t="s">
        <v>37</v>
      </c>
      <c r="P766" s="9" t="s">
        <v>42</v>
      </c>
      <c r="Q766" s="9"/>
      <c r="R766" s="10"/>
      <c r="S766" s="10"/>
      <c r="T766" s="10"/>
      <c r="U766" s="9"/>
      <c r="X766" t="s">
        <v>122</v>
      </c>
      <c r="Y766" t="s">
        <v>179</v>
      </c>
      <c r="Z766" t="s">
        <v>179</v>
      </c>
      <c r="AB766" t="str">
        <f t="shared" si="33"/>
        <v>24208</v>
      </c>
    </row>
    <row r="767" ht="14.25" spans="1:28">
      <c r="A767" s="5" t="s">
        <v>28</v>
      </c>
      <c r="B767" s="5" t="s">
        <v>264</v>
      </c>
      <c r="C767" s="5">
        <v>2027</v>
      </c>
      <c r="D767" s="5" t="s">
        <v>30</v>
      </c>
      <c r="E767" s="9" t="s">
        <v>595</v>
      </c>
      <c r="F767" s="9" t="s">
        <v>596</v>
      </c>
      <c r="G767" s="9" t="s">
        <v>117</v>
      </c>
      <c r="H767" s="9" t="s">
        <v>597</v>
      </c>
      <c r="I767" s="9" t="s">
        <v>276</v>
      </c>
      <c r="J767" s="9" t="s">
        <v>36</v>
      </c>
      <c r="K767" s="9">
        <v>990</v>
      </c>
      <c r="L767" s="9"/>
      <c r="M767" s="9"/>
      <c r="N767" s="9"/>
      <c r="O767" s="9" t="s">
        <v>37</v>
      </c>
      <c r="P767" s="9" t="s">
        <v>43</v>
      </c>
      <c r="Q767" s="9"/>
      <c r="R767" s="10"/>
      <c r="S767" s="10"/>
      <c r="T767" s="10"/>
      <c r="U767" s="9"/>
      <c r="X767" t="s">
        <v>122</v>
      </c>
      <c r="Y767" t="s">
        <v>179</v>
      </c>
      <c r="Z767" t="s">
        <v>179</v>
      </c>
      <c r="AB767" t="str">
        <f t="shared" si="33"/>
        <v>24208</v>
      </c>
    </row>
    <row r="768" ht="14.25" spans="1:28">
      <c r="A768" s="5" t="s">
        <v>28</v>
      </c>
      <c r="B768" s="5" t="s">
        <v>264</v>
      </c>
      <c r="C768" s="5">
        <v>2027</v>
      </c>
      <c r="D768" s="5" t="s">
        <v>30</v>
      </c>
      <c r="E768" s="9" t="s">
        <v>595</v>
      </c>
      <c r="F768" s="9" t="s">
        <v>596</v>
      </c>
      <c r="G768" s="9" t="s">
        <v>117</v>
      </c>
      <c r="H768" s="9" t="s">
        <v>597</v>
      </c>
      <c r="I768" s="9" t="s">
        <v>276</v>
      </c>
      <c r="J768" s="9" t="s">
        <v>36</v>
      </c>
      <c r="K768" s="9">
        <v>990</v>
      </c>
      <c r="L768" s="9"/>
      <c r="M768" s="9"/>
      <c r="N768" s="9"/>
      <c r="O768" s="9" t="s">
        <v>37</v>
      </c>
      <c r="P768" s="9" t="s">
        <v>44</v>
      </c>
      <c r="Q768" s="9"/>
      <c r="R768" s="10"/>
      <c r="S768" s="10"/>
      <c r="T768" s="10"/>
      <c r="U768" s="9"/>
      <c r="X768" t="s">
        <v>122</v>
      </c>
      <c r="Y768" t="s">
        <v>179</v>
      </c>
      <c r="Z768" t="s">
        <v>179</v>
      </c>
      <c r="AB768" t="str">
        <f t="shared" si="33"/>
        <v>24208</v>
      </c>
    </row>
    <row r="769" ht="14.25" spans="1:28">
      <c r="A769" s="5" t="s">
        <v>28</v>
      </c>
      <c r="B769" s="5" t="s">
        <v>264</v>
      </c>
      <c r="C769" s="5">
        <v>2027</v>
      </c>
      <c r="D769" s="5" t="s">
        <v>30</v>
      </c>
      <c r="E769" s="9" t="s">
        <v>595</v>
      </c>
      <c r="F769" s="9" t="s">
        <v>596</v>
      </c>
      <c r="G769" s="9" t="s">
        <v>117</v>
      </c>
      <c r="H769" s="9" t="s">
        <v>597</v>
      </c>
      <c r="I769" s="9" t="s">
        <v>276</v>
      </c>
      <c r="J769" s="9" t="s">
        <v>36</v>
      </c>
      <c r="K769" s="9">
        <v>990</v>
      </c>
      <c r="L769" s="9"/>
      <c r="M769" s="9"/>
      <c r="N769" s="9"/>
      <c r="O769" s="9" t="s">
        <v>37</v>
      </c>
      <c r="P769" s="9" t="s">
        <v>45</v>
      </c>
      <c r="Q769" s="9"/>
      <c r="R769" s="10"/>
      <c r="S769" s="10"/>
      <c r="T769" s="10"/>
      <c r="U769" s="9"/>
      <c r="X769" t="s">
        <v>122</v>
      </c>
      <c r="Y769" t="s">
        <v>179</v>
      </c>
      <c r="Z769" t="s">
        <v>179</v>
      </c>
      <c r="AB769" t="str">
        <f t="shared" si="33"/>
        <v>24208</v>
      </c>
    </row>
    <row r="770" ht="14.25" spans="1:28">
      <c r="A770" s="5" t="s">
        <v>28</v>
      </c>
      <c r="B770" s="5" t="s">
        <v>264</v>
      </c>
      <c r="C770" s="5">
        <v>2027</v>
      </c>
      <c r="D770" s="5" t="s">
        <v>30</v>
      </c>
      <c r="E770" s="9" t="s">
        <v>598</v>
      </c>
      <c r="F770" s="9" t="s">
        <v>596</v>
      </c>
      <c r="G770" s="9" t="s">
        <v>408</v>
      </c>
      <c r="H770" s="9" t="s">
        <v>599</v>
      </c>
      <c r="I770" s="9" t="s">
        <v>276</v>
      </c>
      <c r="J770" s="9" t="s">
        <v>36</v>
      </c>
      <c r="K770" s="9">
        <v>990</v>
      </c>
      <c r="L770" s="9"/>
      <c r="M770" s="9"/>
      <c r="N770" s="9"/>
      <c r="O770" s="9" t="s">
        <v>37</v>
      </c>
      <c r="P770" s="9" t="s">
        <v>38</v>
      </c>
      <c r="Q770" s="9"/>
      <c r="R770" s="10">
        <f t="shared" ref="R770:R833" si="36">SUMIFS(Q:Q,E:E,E770)</f>
        <v>0</v>
      </c>
      <c r="S770" s="10">
        <f>SUMIFS([1]Sheet1!$T:$T,[1]Sheet1!$I:$I,E770,[1]Sheet1!$C:$C,A770)</f>
        <v>0</v>
      </c>
      <c r="T770" s="10">
        <f t="shared" ref="T770:T833" si="37">R770-S770</f>
        <v>0</v>
      </c>
      <c r="U770" s="9"/>
      <c r="Y770" t="s">
        <v>179</v>
      </c>
      <c r="Z770" t="s">
        <v>179</v>
      </c>
      <c r="AB770" t="str">
        <f t="shared" si="33"/>
        <v>24208</v>
      </c>
    </row>
    <row r="771" ht="14.25" spans="1:28">
      <c r="A771" s="5" t="s">
        <v>28</v>
      </c>
      <c r="B771" s="5" t="s">
        <v>264</v>
      </c>
      <c r="C771" s="5">
        <v>2027</v>
      </c>
      <c r="D771" s="5" t="s">
        <v>30</v>
      </c>
      <c r="E771" s="9" t="s">
        <v>598</v>
      </c>
      <c r="F771" s="9" t="s">
        <v>596</v>
      </c>
      <c r="G771" s="9" t="s">
        <v>408</v>
      </c>
      <c r="H771" s="9" t="s">
        <v>599</v>
      </c>
      <c r="I771" s="9" t="s">
        <v>276</v>
      </c>
      <c r="J771" s="9" t="s">
        <v>36</v>
      </c>
      <c r="K771" s="9">
        <v>990</v>
      </c>
      <c r="L771" s="9"/>
      <c r="M771" s="9"/>
      <c r="N771" s="9"/>
      <c r="O771" s="9" t="s">
        <v>37</v>
      </c>
      <c r="P771" s="9" t="s">
        <v>42</v>
      </c>
      <c r="Q771" s="9"/>
      <c r="R771" s="10"/>
      <c r="S771" s="10"/>
      <c r="T771" s="10"/>
      <c r="U771" s="9"/>
      <c r="Y771" t="s">
        <v>179</v>
      </c>
      <c r="Z771" t="s">
        <v>179</v>
      </c>
      <c r="AB771" t="str">
        <f t="shared" ref="AB771:AB834" si="38">MID(E771,6,5)</f>
        <v>24208</v>
      </c>
    </row>
    <row r="772" ht="14.25" spans="1:28">
      <c r="A772" s="5" t="s">
        <v>28</v>
      </c>
      <c r="B772" s="5" t="s">
        <v>264</v>
      </c>
      <c r="C772" s="5">
        <v>2027</v>
      </c>
      <c r="D772" s="5" t="s">
        <v>30</v>
      </c>
      <c r="E772" s="9" t="s">
        <v>598</v>
      </c>
      <c r="F772" s="9" t="s">
        <v>596</v>
      </c>
      <c r="G772" s="9" t="s">
        <v>408</v>
      </c>
      <c r="H772" s="9" t="s">
        <v>599</v>
      </c>
      <c r="I772" s="9" t="s">
        <v>276</v>
      </c>
      <c r="J772" s="9" t="s">
        <v>36</v>
      </c>
      <c r="K772" s="9">
        <v>990</v>
      </c>
      <c r="L772" s="9"/>
      <c r="M772" s="9"/>
      <c r="N772" s="9"/>
      <c r="O772" s="9" t="s">
        <v>37</v>
      </c>
      <c r="P772" s="9" t="s">
        <v>43</v>
      </c>
      <c r="Q772" s="9"/>
      <c r="R772" s="10"/>
      <c r="S772" s="10"/>
      <c r="T772" s="10"/>
      <c r="U772" s="9"/>
      <c r="Y772" t="s">
        <v>179</v>
      </c>
      <c r="Z772" t="s">
        <v>179</v>
      </c>
      <c r="AB772" t="str">
        <f t="shared" si="38"/>
        <v>24208</v>
      </c>
    </row>
    <row r="773" ht="14.25" spans="1:28">
      <c r="A773" s="5" t="s">
        <v>28</v>
      </c>
      <c r="B773" s="5" t="s">
        <v>264</v>
      </c>
      <c r="C773" s="5">
        <v>2027</v>
      </c>
      <c r="D773" s="5" t="s">
        <v>30</v>
      </c>
      <c r="E773" s="9" t="s">
        <v>598</v>
      </c>
      <c r="F773" s="9" t="s">
        <v>596</v>
      </c>
      <c r="G773" s="9" t="s">
        <v>408</v>
      </c>
      <c r="H773" s="9" t="s">
        <v>599</v>
      </c>
      <c r="I773" s="9" t="s">
        <v>276</v>
      </c>
      <c r="J773" s="9" t="s">
        <v>36</v>
      </c>
      <c r="K773" s="9">
        <v>990</v>
      </c>
      <c r="L773" s="9"/>
      <c r="M773" s="9"/>
      <c r="N773" s="9"/>
      <c r="O773" s="9" t="s">
        <v>37</v>
      </c>
      <c r="P773" s="9" t="s">
        <v>44</v>
      </c>
      <c r="Q773" s="9"/>
      <c r="R773" s="10"/>
      <c r="S773" s="10"/>
      <c r="T773" s="10"/>
      <c r="U773" s="9"/>
      <c r="Y773" t="s">
        <v>179</v>
      </c>
      <c r="Z773" t="s">
        <v>179</v>
      </c>
      <c r="AB773" t="str">
        <f t="shared" si="38"/>
        <v>24208</v>
      </c>
    </row>
    <row r="774" ht="14.25" spans="1:28">
      <c r="A774" s="5" t="s">
        <v>28</v>
      </c>
      <c r="B774" s="5" t="s">
        <v>264</v>
      </c>
      <c r="C774" s="5">
        <v>2027</v>
      </c>
      <c r="D774" s="5" t="s">
        <v>30</v>
      </c>
      <c r="E774" s="9" t="s">
        <v>598</v>
      </c>
      <c r="F774" s="9" t="s">
        <v>596</v>
      </c>
      <c r="G774" s="9" t="s">
        <v>408</v>
      </c>
      <c r="H774" s="9" t="s">
        <v>599</v>
      </c>
      <c r="I774" s="9" t="s">
        <v>276</v>
      </c>
      <c r="J774" s="9" t="s">
        <v>36</v>
      </c>
      <c r="K774" s="9">
        <v>990</v>
      </c>
      <c r="L774" s="9"/>
      <c r="M774" s="9"/>
      <c r="N774" s="9"/>
      <c r="O774" s="9" t="s">
        <v>37</v>
      </c>
      <c r="P774" s="9" t="s">
        <v>45</v>
      </c>
      <c r="Q774" s="9"/>
      <c r="R774" s="10"/>
      <c r="S774" s="10"/>
      <c r="T774" s="10"/>
      <c r="U774" s="9"/>
      <c r="Y774" t="s">
        <v>179</v>
      </c>
      <c r="Z774" t="s">
        <v>179</v>
      </c>
      <c r="AB774" t="str">
        <f t="shared" si="38"/>
        <v>24208</v>
      </c>
    </row>
    <row r="775" ht="14.25" spans="1:28">
      <c r="A775" s="5" t="s">
        <v>28</v>
      </c>
      <c r="B775" s="5" t="s">
        <v>264</v>
      </c>
      <c r="C775" s="5">
        <v>2027</v>
      </c>
      <c r="D775" s="5" t="s">
        <v>30</v>
      </c>
      <c r="E775" s="9" t="s">
        <v>600</v>
      </c>
      <c r="F775" s="9" t="s">
        <v>601</v>
      </c>
      <c r="G775" s="9" t="s">
        <v>380</v>
      </c>
      <c r="H775" s="9" t="s">
        <v>602</v>
      </c>
      <c r="I775" s="9" t="s">
        <v>269</v>
      </c>
      <c r="J775" s="9" t="s">
        <v>36</v>
      </c>
      <c r="K775" s="9">
        <v>1190</v>
      </c>
      <c r="L775" s="9"/>
      <c r="M775" s="9"/>
      <c r="N775" s="9"/>
      <c r="O775" s="9" t="s">
        <v>37</v>
      </c>
      <c r="P775" s="9" t="s">
        <v>38</v>
      </c>
      <c r="Q775" s="9"/>
      <c r="R775" s="10">
        <f t="shared" si="36"/>
        <v>0</v>
      </c>
      <c r="S775" s="10">
        <f>SUMIFS([1]Sheet1!$T:$T,[1]Sheet1!$I:$I,E775,[1]Sheet1!$C:$C,A775)</f>
        <v>0</v>
      </c>
      <c r="T775" s="10">
        <f t="shared" si="37"/>
        <v>0</v>
      </c>
      <c r="U775" s="9"/>
      <c r="Y775" t="s">
        <v>179</v>
      </c>
      <c r="Z775" t="s">
        <v>179</v>
      </c>
      <c r="AB775" t="str">
        <f t="shared" si="38"/>
        <v>24209</v>
      </c>
    </row>
    <row r="776" ht="14.25" spans="1:28">
      <c r="A776" s="5" t="s">
        <v>28</v>
      </c>
      <c r="B776" s="5" t="s">
        <v>264</v>
      </c>
      <c r="C776" s="5">
        <v>2027</v>
      </c>
      <c r="D776" s="5" t="s">
        <v>30</v>
      </c>
      <c r="E776" s="9" t="s">
        <v>600</v>
      </c>
      <c r="F776" s="9" t="s">
        <v>601</v>
      </c>
      <c r="G776" s="9" t="s">
        <v>380</v>
      </c>
      <c r="H776" s="9" t="s">
        <v>602</v>
      </c>
      <c r="I776" s="9" t="s">
        <v>269</v>
      </c>
      <c r="J776" s="9" t="s">
        <v>36</v>
      </c>
      <c r="K776" s="9">
        <v>1190</v>
      </c>
      <c r="L776" s="9"/>
      <c r="M776" s="9"/>
      <c r="N776" s="9"/>
      <c r="O776" s="9" t="s">
        <v>37</v>
      </c>
      <c r="P776" s="9" t="s">
        <v>42</v>
      </c>
      <c r="Q776" s="11"/>
      <c r="R776" s="10"/>
      <c r="S776" s="10"/>
      <c r="T776" s="10"/>
      <c r="U776" s="9"/>
      <c r="Y776" t="s">
        <v>179</v>
      </c>
      <c r="Z776" t="s">
        <v>179</v>
      </c>
      <c r="AB776" t="str">
        <f t="shared" si="38"/>
        <v>24209</v>
      </c>
    </row>
    <row r="777" ht="14.25" spans="1:28">
      <c r="A777" s="5" t="s">
        <v>28</v>
      </c>
      <c r="B777" s="5" t="s">
        <v>264</v>
      </c>
      <c r="C777" s="5">
        <v>2027</v>
      </c>
      <c r="D777" s="5" t="s">
        <v>30</v>
      </c>
      <c r="E777" s="9" t="s">
        <v>600</v>
      </c>
      <c r="F777" s="9" t="s">
        <v>601</v>
      </c>
      <c r="G777" s="9" t="s">
        <v>380</v>
      </c>
      <c r="H777" s="9" t="s">
        <v>602</v>
      </c>
      <c r="I777" s="9" t="s">
        <v>269</v>
      </c>
      <c r="J777" s="9" t="s">
        <v>36</v>
      </c>
      <c r="K777" s="9">
        <v>1190</v>
      </c>
      <c r="L777" s="9"/>
      <c r="M777" s="9"/>
      <c r="N777" s="9"/>
      <c r="O777" s="9" t="s">
        <v>37</v>
      </c>
      <c r="P777" s="9" t="s">
        <v>43</v>
      </c>
      <c r="Q777" s="11"/>
      <c r="R777" s="10"/>
      <c r="S777" s="10"/>
      <c r="T777" s="10"/>
      <c r="U777" s="9"/>
      <c r="Y777" t="s">
        <v>179</v>
      </c>
      <c r="Z777" t="s">
        <v>179</v>
      </c>
      <c r="AB777" t="str">
        <f t="shared" si="38"/>
        <v>24209</v>
      </c>
    </row>
    <row r="778" ht="14.25" spans="1:28">
      <c r="A778" s="5" t="s">
        <v>28</v>
      </c>
      <c r="B778" s="5" t="s">
        <v>264</v>
      </c>
      <c r="C778" s="5">
        <v>2027</v>
      </c>
      <c r="D778" s="5" t="s">
        <v>30</v>
      </c>
      <c r="E778" s="9" t="s">
        <v>600</v>
      </c>
      <c r="F778" s="9" t="s">
        <v>601</v>
      </c>
      <c r="G778" s="9" t="s">
        <v>380</v>
      </c>
      <c r="H778" s="9" t="s">
        <v>602</v>
      </c>
      <c r="I778" s="9" t="s">
        <v>269</v>
      </c>
      <c r="J778" s="9" t="s">
        <v>36</v>
      </c>
      <c r="K778" s="9">
        <v>1190</v>
      </c>
      <c r="L778" s="9"/>
      <c r="M778" s="9"/>
      <c r="N778" s="9"/>
      <c r="O778" s="9" t="s">
        <v>37</v>
      </c>
      <c r="P778" s="9" t="s">
        <v>44</v>
      </c>
      <c r="Q778" s="11"/>
      <c r="R778" s="10"/>
      <c r="S778" s="10"/>
      <c r="T778" s="10"/>
      <c r="U778" s="9"/>
      <c r="Y778" t="s">
        <v>179</v>
      </c>
      <c r="Z778" t="s">
        <v>179</v>
      </c>
      <c r="AB778" t="str">
        <f t="shared" si="38"/>
        <v>24209</v>
      </c>
    </row>
    <row r="779" ht="14.25" spans="1:28">
      <c r="A779" s="5" t="s">
        <v>28</v>
      </c>
      <c r="B779" s="5" t="s">
        <v>264</v>
      </c>
      <c r="C779" s="5">
        <v>2027</v>
      </c>
      <c r="D779" s="5" t="s">
        <v>30</v>
      </c>
      <c r="E779" s="9" t="s">
        <v>600</v>
      </c>
      <c r="F779" s="9" t="s">
        <v>601</v>
      </c>
      <c r="G779" s="9" t="s">
        <v>380</v>
      </c>
      <c r="H779" s="9" t="s">
        <v>602</v>
      </c>
      <c r="I779" s="9" t="s">
        <v>269</v>
      </c>
      <c r="J779" s="9" t="s">
        <v>36</v>
      </c>
      <c r="K779" s="9">
        <v>1190</v>
      </c>
      <c r="L779" s="9"/>
      <c r="M779" s="9"/>
      <c r="N779" s="9"/>
      <c r="O779" s="9" t="s">
        <v>37</v>
      </c>
      <c r="P779" s="9" t="s">
        <v>45</v>
      </c>
      <c r="Q779" s="11"/>
      <c r="R779" s="10"/>
      <c r="S779" s="10"/>
      <c r="T779" s="10"/>
      <c r="U779" s="9"/>
      <c r="Y779" t="s">
        <v>179</v>
      </c>
      <c r="Z779" t="s">
        <v>179</v>
      </c>
      <c r="AB779" t="str">
        <f t="shared" si="38"/>
        <v>24209</v>
      </c>
    </row>
    <row r="780" ht="14.25" spans="1:28">
      <c r="A780" s="5" t="s">
        <v>28</v>
      </c>
      <c r="B780" s="5" t="s">
        <v>264</v>
      </c>
      <c r="C780" s="5">
        <v>2027</v>
      </c>
      <c r="D780" s="5" t="s">
        <v>30</v>
      </c>
      <c r="E780" s="9" t="s">
        <v>603</v>
      </c>
      <c r="F780" s="9" t="s">
        <v>601</v>
      </c>
      <c r="G780" s="9" t="s">
        <v>346</v>
      </c>
      <c r="H780" s="9" t="s">
        <v>604</v>
      </c>
      <c r="I780" s="9" t="s">
        <v>269</v>
      </c>
      <c r="J780" s="9" t="s">
        <v>36</v>
      </c>
      <c r="K780" s="9">
        <v>1190</v>
      </c>
      <c r="L780" s="9"/>
      <c r="M780" s="9"/>
      <c r="N780" s="9"/>
      <c r="O780" s="9" t="s">
        <v>37</v>
      </c>
      <c r="P780" s="9" t="s">
        <v>38</v>
      </c>
      <c r="Q780" s="11"/>
      <c r="R780" s="10">
        <f t="shared" si="36"/>
        <v>0</v>
      </c>
      <c r="S780" s="10">
        <f>SUMIFS([1]Sheet1!$T:$T,[1]Sheet1!$I:$I,E780,[1]Sheet1!$C:$C,A780)</f>
        <v>0</v>
      </c>
      <c r="T780" s="10">
        <f t="shared" si="37"/>
        <v>0</v>
      </c>
      <c r="U780" s="9"/>
      <c r="X780" t="s">
        <v>191</v>
      </c>
      <c r="Y780" t="s">
        <v>179</v>
      </c>
      <c r="Z780" t="s">
        <v>179</v>
      </c>
      <c r="AB780" t="str">
        <f t="shared" si="38"/>
        <v>24209</v>
      </c>
    </row>
    <row r="781" ht="14.25" spans="1:28">
      <c r="A781" s="5" t="s">
        <v>28</v>
      </c>
      <c r="B781" s="5" t="s">
        <v>264</v>
      </c>
      <c r="C781" s="5">
        <v>2027</v>
      </c>
      <c r="D781" s="5" t="s">
        <v>30</v>
      </c>
      <c r="E781" s="9" t="s">
        <v>603</v>
      </c>
      <c r="F781" s="9" t="s">
        <v>601</v>
      </c>
      <c r="G781" s="9" t="s">
        <v>346</v>
      </c>
      <c r="H781" s="9" t="s">
        <v>604</v>
      </c>
      <c r="I781" s="9" t="s">
        <v>269</v>
      </c>
      <c r="J781" s="9" t="s">
        <v>36</v>
      </c>
      <c r="K781" s="9">
        <v>1190</v>
      </c>
      <c r="L781" s="9"/>
      <c r="M781" s="9"/>
      <c r="N781" s="9"/>
      <c r="O781" s="9" t="s">
        <v>37</v>
      </c>
      <c r="P781" s="9" t="s">
        <v>42</v>
      </c>
      <c r="Q781" s="11"/>
      <c r="R781" s="10"/>
      <c r="S781" s="10"/>
      <c r="T781" s="10"/>
      <c r="U781" s="9"/>
      <c r="X781" t="s">
        <v>191</v>
      </c>
      <c r="Y781" t="s">
        <v>179</v>
      </c>
      <c r="Z781" t="s">
        <v>179</v>
      </c>
      <c r="AB781" t="str">
        <f t="shared" si="38"/>
        <v>24209</v>
      </c>
    </row>
    <row r="782" ht="14.25" spans="1:28">
      <c r="A782" s="5" t="s">
        <v>28</v>
      </c>
      <c r="B782" s="5" t="s">
        <v>264</v>
      </c>
      <c r="C782" s="5">
        <v>2027</v>
      </c>
      <c r="D782" s="5" t="s">
        <v>30</v>
      </c>
      <c r="E782" s="9" t="s">
        <v>603</v>
      </c>
      <c r="F782" s="9" t="s">
        <v>601</v>
      </c>
      <c r="G782" s="9" t="s">
        <v>346</v>
      </c>
      <c r="H782" s="9" t="s">
        <v>604</v>
      </c>
      <c r="I782" s="9" t="s">
        <v>269</v>
      </c>
      <c r="J782" s="9" t="s">
        <v>36</v>
      </c>
      <c r="K782" s="9">
        <v>1190</v>
      </c>
      <c r="L782" s="9"/>
      <c r="M782" s="9"/>
      <c r="N782" s="9"/>
      <c r="O782" s="9" t="s">
        <v>37</v>
      </c>
      <c r="P782" s="9" t="s">
        <v>43</v>
      </c>
      <c r="Q782" s="11"/>
      <c r="R782" s="10"/>
      <c r="S782" s="10"/>
      <c r="T782" s="10"/>
      <c r="U782" s="9"/>
      <c r="X782" t="s">
        <v>191</v>
      </c>
      <c r="Y782" t="s">
        <v>179</v>
      </c>
      <c r="Z782" t="s">
        <v>179</v>
      </c>
      <c r="AB782" t="str">
        <f t="shared" si="38"/>
        <v>24209</v>
      </c>
    </row>
    <row r="783" ht="14.25" spans="1:28">
      <c r="A783" s="5" t="s">
        <v>28</v>
      </c>
      <c r="B783" s="5" t="s">
        <v>264</v>
      </c>
      <c r="C783" s="5">
        <v>2027</v>
      </c>
      <c r="D783" s="5" t="s">
        <v>30</v>
      </c>
      <c r="E783" s="9" t="s">
        <v>603</v>
      </c>
      <c r="F783" s="9" t="s">
        <v>601</v>
      </c>
      <c r="G783" s="9" t="s">
        <v>346</v>
      </c>
      <c r="H783" s="9" t="s">
        <v>604</v>
      </c>
      <c r="I783" s="9" t="s">
        <v>269</v>
      </c>
      <c r="J783" s="9" t="s">
        <v>36</v>
      </c>
      <c r="K783" s="9">
        <v>1190</v>
      </c>
      <c r="L783" s="9"/>
      <c r="M783" s="9"/>
      <c r="N783" s="9"/>
      <c r="O783" s="9" t="s">
        <v>37</v>
      </c>
      <c r="P783" s="9" t="s">
        <v>44</v>
      </c>
      <c r="Q783" s="11"/>
      <c r="R783" s="10"/>
      <c r="S783" s="10"/>
      <c r="T783" s="10"/>
      <c r="U783" s="9"/>
      <c r="X783" t="s">
        <v>191</v>
      </c>
      <c r="Y783" t="s">
        <v>179</v>
      </c>
      <c r="Z783" t="s">
        <v>179</v>
      </c>
      <c r="AB783" t="str">
        <f t="shared" si="38"/>
        <v>24209</v>
      </c>
    </row>
    <row r="784" ht="14.25" spans="1:28">
      <c r="A784" s="5" t="s">
        <v>28</v>
      </c>
      <c r="B784" s="5" t="s">
        <v>264</v>
      </c>
      <c r="C784" s="5">
        <v>2027</v>
      </c>
      <c r="D784" s="5" t="s">
        <v>30</v>
      </c>
      <c r="E784" s="9" t="s">
        <v>603</v>
      </c>
      <c r="F784" s="9" t="s">
        <v>601</v>
      </c>
      <c r="G784" s="9" t="s">
        <v>346</v>
      </c>
      <c r="H784" s="9" t="s">
        <v>604</v>
      </c>
      <c r="I784" s="9" t="s">
        <v>269</v>
      </c>
      <c r="J784" s="9" t="s">
        <v>36</v>
      </c>
      <c r="K784" s="9">
        <v>1190</v>
      </c>
      <c r="L784" s="9"/>
      <c r="M784" s="9"/>
      <c r="N784" s="9"/>
      <c r="O784" s="9" t="s">
        <v>37</v>
      </c>
      <c r="P784" s="9" t="s">
        <v>45</v>
      </c>
      <c r="Q784" s="11"/>
      <c r="R784" s="10"/>
      <c r="S784" s="10"/>
      <c r="T784" s="10"/>
      <c r="U784" s="9"/>
      <c r="X784" t="s">
        <v>191</v>
      </c>
      <c r="Y784" t="s">
        <v>179</v>
      </c>
      <c r="Z784" t="s">
        <v>179</v>
      </c>
      <c r="AB784" t="str">
        <f t="shared" si="38"/>
        <v>24209</v>
      </c>
    </row>
    <row r="785" ht="14.25" spans="1:28">
      <c r="A785" s="5" t="s">
        <v>28</v>
      </c>
      <c r="B785" s="5" t="s">
        <v>264</v>
      </c>
      <c r="C785" s="5">
        <v>2027</v>
      </c>
      <c r="D785" s="5" t="s">
        <v>30</v>
      </c>
      <c r="E785" s="9" t="s">
        <v>605</v>
      </c>
      <c r="F785" s="9" t="s">
        <v>606</v>
      </c>
      <c r="G785" s="9" t="s">
        <v>590</v>
      </c>
      <c r="H785" s="9" t="s">
        <v>607</v>
      </c>
      <c r="I785" s="9" t="s">
        <v>403</v>
      </c>
      <c r="J785" s="9" t="s">
        <v>36</v>
      </c>
      <c r="K785" s="9">
        <v>790</v>
      </c>
      <c r="L785" s="9"/>
      <c r="M785" s="9"/>
      <c r="N785" s="9"/>
      <c r="O785" s="9" t="s">
        <v>37</v>
      </c>
      <c r="P785" s="9" t="s">
        <v>38</v>
      </c>
      <c r="Q785" s="11"/>
      <c r="R785" s="10">
        <f t="shared" si="36"/>
        <v>0</v>
      </c>
      <c r="S785" s="10">
        <f>SUMIFS([1]Sheet1!$T:$T,[1]Sheet1!$I:$I,E785,[1]Sheet1!$C:$C,A785)</f>
        <v>0</v>
      </c>
      <c r="T785" s="10">
        <f t="shared" si="37"/>
        <v>0</v>
      </c>
      <c r="U785" s="9"/>
      <c r="X785" t="s">
        <v>592</v>
      </c>
      <c r="Y785" t="s">
        <v>179</v>
      </c>
      <c r="Z785" t="s">
        <v>179</v>
      </c>
      <c r="AB785" t="str">
        <f t="shared" si="38"/>
        <v>24213</v>
      </c>
    </row>
    <row r="786" ht="14.25" spans="1:28">
      <c r="A786" s="5" t="s">
        <v>28</v>
      </c>
      <c r="B786" s="5" t="s">
        <v>264</v>
      </c>
      <c r="C786" s="5">
        <v>2027</v>
      </c>
      <c r="D786" s="5" t="s">
        <v>30</v>
      </c>
      <c r="E786" s="9" t="s">
        <v>605</v>
      </c>
      <c r="F786" s="9" t="s">
        <v>606</v>
      </c>
      <c r="G786" s="9" t="s">
        <v>590</v>
      </c>
      <c r="H786" s="9" t="s">
        <v>607</v>
      </c>
      <c r="I786" s="9" t="s">
        <v>403</v>
      </c>
      <c r="J786" s="9" t="s">
        <v>36</v>
      </c>
      <c r="K786" s="9">
        <v>790</v>
      </c>
      <c r="L786" s="9"/>
      <c r="M786" s="9"/>
      <c r="N786" s="9"/>
      <c r="O786" s="9" t="s">
        <v>37</v>
      </c>
      <c r="P786" s="9" t="s">
        <v>42</v>
      </c>
      <c r="Q786" s="11"/>
      <c r="R786" s="10"/>
      <c r="S786" s="10"/>
      <c r="T786" s="10"/>
      <c r="U786" s="9"/>
      <c r="X786" t="s">
        <v>592</v>
      </c>
      <c r="Y786" t="s">
        <v>179</v>
      </c>
      <c r="Z786" t="s">
        <v>179</v>
      </c>
      <c r="AB786" t="str">
        <f t="shared" si="38"/>
        <v>24213</v>
      </c>
    </row>
    <row r="787" ht="14.25" spans="1:28">
      <c r="A787" s="5" t="s">
        <v>28</v>
      </c>
      <c r="B787" s="5" t="s">
        <v>264</v>
      </c>
      <c r="C787" s="5">
        <v>2027</v>
      </c>
      <c r="D787" s="5" t="s">
        <v>30</v>
      </c>
      <c r="E787" s="9" t="s">
        <v>605</v>
      </c>
      <c r="F787" s="9" t="s">
        <v>606</v>
      </c>
      <c r="G787" s="9" t="s">
        <v>590</v>
      </c>
      <c r="H787" s="9" t="s">
        <v>607</v>
      </c>
      <c r="I787" s="9" t="s">
        <v>403</v>
      </c>
      <c r="J787" s="9" t="s">
        <v>36</v>
      </c>
      <c r="K787" s="9">
        <v>790</v>
      </c>
      <c r="L787" s="9"/>
      <c r="M787" s="9"/>
      <c r="N787" s="9"/>
      <c r="O787" s="9" t="s">
        <v>37</v>
      </c>
      <c r="P787" s="9" t="s">
        <v>43</v>
      </c>
      <c r="Q787" s="11"/>
      <c r="R787" s="10"/>
      <c r="S787" s="10"/>
      <c r="T787" s="10"/>
      <c r="U787" s="9"/>
      <c r="X787" t="s">
        <v>592</v>
      </c>
      <c r="Y787" t="s">
        <v>179</v>
      </c>
      <c r="Z787" t="s">
        <v>179</v>
      </c>
      <c r="AB787" t="str">
        <f t="shared" si="38"/>
        <v>24213</v>
      </c>
    </row>
    <row r="788" ht="14.25" spans="1:28">
      <c r="A788" s="5" t="s">
        <v>28</v>
      </c>
      <c r="B788" s="5" t="s">
        <v>264</v>
      </c>
      <c r="C788" s="5">
        <v>2027</v>
      </c>
      <c r="D788" s="5" t="s">
        <v>30</v>
      </c>
      <c r="E788" s="9" t="s">
        <v>605</v>
      </c>
      <c r="F788" s="9" t="s">
        <v>606</v>
      </c>
      <c r="G788" s="9" t="s">
        <v>590</v>
      </c>
      <c r="H788" s="9" t="s">
        <v>607</v>
      </c>
      <c r="I788" s="9" t="s">
        <v>403</v>
      </c>
      <c r="J788" s="9" t="s">
        <v>36</v>
      </c>
      <c r="K788" s="9">
        <v>790</v>
      </c>
      <c r="L788" s="9"/>
      <c r="M788" s="9"/>
      <c r="N788" s="9"/>
      <c r="O788" s="9" t="s">
        <v>37</v>
      </c>
      <c r="P788" s="9" t="s">
        <v>44</v>
      </c>
      <c r="Q788" s="11"/>
      <c r="R788" s="10"/>
      <c r="S788" s="10"/>
      <c r="T788" s="10"/>
      <c r="U788" s="9"/>
      <c r="X788" t="s">
        <v>592</v>
      </c>
      <c r="Y788" t="s">
        <v>179</v>
      </c>
      <c r="Z788" t="s">
        <v>179</v>
      </c>
      <c r="AB788" t="str">
        <f t="shared" si="38"/>
        <v>24213</v>
      </c>
    </row>
    <row r="789" ht="14.25" spans="1:28">
      <c r="A789" s="5" t="s">
        <v>28</v>
      </c>
      <c r="B789" s="5" t="s">
        <v>264</v>
      </c>
      <c r="C789" s="5">
        <v>2027</v>
      </c>
      <c r="D789" s="5" t="s">
        <v>30</v>
      </c>
      <c r="E789" s="9" t="s">
        <v>605</v>
      </c>
      <c r="F789" s="9" t="s">
        <v>606</v>
      </c>
      <c r="G789" s="9" t="s">
        <v>590</v>
      </c>
      <c r="H789" s="9" t="s">
        <v>607</v>
      </c>
      <c r="I789" s="9" t="s">
        <v>403</v>
      </c>
      <c r="J789" s="9" t="s">
        <v>36</v>
      </c>
      <c r="K789" s="9">
        <v>790</v>
      </c>
      <c r="L789" s="9"/>
      <c r="M789" s="9"/>
      <c r="N789" s="9"/>
      <c r="O789" s="9" t="s">
        <v>37</v>
      </c>
      <c r="P789" s="9" t="s">
        <v>45</v>
      </c>
      <c r="Q789" s="11"/>
      <c r="R789" s="10"/>
      <c r="S789" s="10"/>
      <c r="T789" s="10"/>
      <c r="U789" s="9"/>
      <c r="X789" t="s">
        <v>592</v>
      </c>
      <c r="Y789" t="s">
        <v>179</v>
      </c>
      <c r="Z789" t="s">
        <v>179</v>
      </c>
      <c r="AB789" t="str">
        <f t="shared" si="38"/>
        <v>24213</v>
      </c>
    </row>
    <row r="790" ht="14.25" spans="1:28">
      <c r="A790" s="5" t="s">
        <v>28</v>
      </c>
      <c r="B790" s="5" t="s">
        <v>264</v>
      </c>
      <c r="C790" s="5">
        <v>2027</v>
      </c>
      <c r="D790" s="5" t="s">
        <v>30</v>
      </c>
      <c r="E790" s="9" t="s">
        <v>608</v>
      </c>
      <c r="F790" s="9" t="s">
        <v>609</v>
      </c>
      <c r="G790" s="9" t="s">
        <v>117</v>
      </c>
      <c r="H790" s="9" t="s">
        <v>610</v>
      </c>
      <c r="I790" s="9" t="s">
        <v>403</v>
      </c>
      <c r="J790" s="9" t="s">
        <v>36</v>
      </c>
      <c r="K790" s="9">
        <v>890</v>
      </c>
      <c r="L790" s="9"/>
      <c r="M790" s="9"/>
      <c r="N790" s="9"/>
      <c r="O790" s="9" t="s">
        <v>37</v>
      </c>
      <c r="P790" s="9" t="s">
        <v>38</v>
      </c>
      <c r="Q790" s="11"/>
      <c r="R790" s="10">
        <f t="shared" si="36"/>
        <v>0</v>
      </c>
      <c r="S790" s="10">
        <f>SUMIFS([1]Sheet1!$T:$T,[1]Sheet1!$I:$I,E790,[1]Sheet1!$C:$C,A790)</f>
        <v>0</v>
      </c>
      <c r="T790" s="10">
        <f t="shared" si="37"/>
        <v>0</v>
      </c>
      <c r="U790" s="9"/>
      <c r="X790" t="s">
        <v>122</v>
      </c>
      <c r="Y790" t="s">
        <v>179</v>
      </c>
      <c r="Z790" t="s">
        <v>179</v>
      </c>
      <c r="AB790" t="str">
        <f t="shared" si="38"/>
        <v>24219</v>
      </c>
    </row>
    <row r="791" ht="14.25" spans="1:28">
      <c r="A791" s="5" t="s">
        <v>28</v>
      </c>
      <c r="B791" s="5" t="s">
        <v>264</v>
      </c>
      <c r="C791" s="5">
        <v>2027</v>
      </c>
      <c r="D791" s="5" t="s">
        <v>30</v>
      </c>
      <c r="E791" s="9" t="s">
        <v>608</v>
      </c>
      <c r="F791" s="9" t="s">
        <v>609</v>
      </c>
      <c r="G791" s="9" t="s">
        <v>117</v>
      </c>
      <c r="H791" s="9" t="s">
        <v>610</v>
      </c>
      <c r="I791" s="9" t="s">
        <v>403</v>
      </c>
      <c r="J791" s="9" t="s">
        <v>36</v>
      </c>
      <c r="K791" s="9">
        <v>890</v>
      </c>
      <c r="L791" s="9"/>
      <c r="M791" s="9"/>
      <c r="N791" s="9"/>
      <c r="O791" s="9" t="s">
        <v>37</v>
      </c>
      <c r="P791" s="9" t="s">
        <v>42</v>
      </c>
      <c r="Q791" s="11"/>
      <c r="R791" s="10"/>
      <c r="S791" s="10"/>
      <c r="T791" s="10"/>
      <c r="U791" s="9"/>
      <c r="X791" t="s">
        <v>122</v>
      </c>
      <c r="Y791" t="s">
        <v>179</v>
      </c>
      <c r="Z791" t="s">
        <v>179</v>
      </c>
      <c r="AB791" t="str">
        <f t="shared" si="38"/>
        <v>24219</v>
      </c>
    </row>
    <row r="792" ht="14.25" spans="1:28">
      <c r="A792" s="5" t="s">
        <v>28</v>
      </c>
      <c r="B792" s="5" t="s">
        <v>264</v>
      </c>
      <c r="C792" s="5">
        <v>2027</v>
      </c>
      <c r="D792" s="5" t="s">
        <v>30</v>
      </c>
      <c r="E792" s="9" t="s">
        <v>608</v>
      </c>
      <c r="F792" s="9" t="s">
        <v>609</v>
      </c>
      <c r="G792" s="9" t="s">
        <v>117</v>
      </c>
      <c r="H792" s="9" t="s">
        <v>610</v>
      </c>
      <c r="I792" s="9" t="s">
        <v>403</v>
      </c>
      <c r="J792" s="9" t="s">
        <v>36</v>
      </c>
      <c r="K792" s="9">
        <v>890</v>
      </c>
      <c r="L792" s="9"/>
      <c r="M792" s="9"/>
      <c r="N792" s="9"/>
      <c r="O792" s="9" t="s">
        <v>37</v>
      </c>
      <c r="P792" s="9" t="s">
        <v>43</v>
      </c>
      <c r="Q792" s="11"/>
      <c r="R792" s="10"/>
      <c r="S792" s="10"/>
      <c r="T792" s="10"/>
      <c r="U792" s="9"/>
      <c r="X792" t="s">
        <v>122</v>
      </c>
      <c r="Y792" t="s">
        <v>179</v>
      </c>
      <c r="Z792" t="s">
        <v>179</v>
      </c>
      <c r="AB792" t="str">
        <f t="shared" si="38"/>
        <v>24219</v>
      </c>
    </row>
    <row r="793" ht="14.25" spans="1:28">
      <c r="A793" s="5" t="s">
        <v>28</v>
      </c>
      <c r="B793" s="5" t="s">
        <v>264</v>
      </c>
      <c r="C793" s="5">
        <v>2027</v>
      </c>
      <c r="D793" s="5" t="s">
        <v>30</v>
      </c>
      <c r="E793" s="9" t="s">
        <v>608</v>
      </c>
      <c r="F793" s="9" t="s">
        <v>609</v>
      </c>
      <c r="G793" s="9" t="s">
        <v>117</v>
      </c>
      <c r="H793" s="9" t="s">
        <v>610</v>
      </c>
      <c r="I793" s="9" t="s">
        <v>403</v>
      </c>
      <c r="J793" s="9" t="s">
        <v>36</v>
      </c>
      <c r="K793" s="9">
        <v>890</v>
      </c>
      <c r="L793" s="9"/>
      <c r="M793" s="9"/>
      <c r="N793" s="9"/>
      <c r="O793" s="9" t="s">
        <v>37</v>
      </c>
      <c r="P793" s="9" t="s">
        <v>44</v>
      </c>
      <c r="Q793" s="11"/>
      <c r="R793" s="10"/>
      <c r="S793" s="10"/>
      <c r="T793" s="10"/>
      <c r="U793" s="9"/>
      <c r="X793" t="s">
        <v>122</v>
      </c>
      <c r="Y793" t="s">
        <v>179</v>
      </c>
      <c r="Z793" t="s">
        <v>179</v>
      </c>
      <c r="AB793" t="str">
        <f t="shared" si="38"/>
        <v>24219</v>
      </c>
    </row>
    <row r="794" ht="14.25" spans="1:28">
      <c r="A794" s="5" t="s">
        <v>28</v>
      </c>
      <c r="B794" s="5" t="s">
        <v>264</v>
      </c>
      <c r="C794" s="5">
        <v>2027</v>
      </c>
      <c r="D794" s="5" t="s">
        <v>30</v>
      </c>
      <c r="E794" s="9" t="s">
        <v>608</v>
      </c>
      <c r="F794" s="9" t="s">
        <v>609</v>
      </c>
      <c r="G794" s="9" t="s">
        <v>117</v>
      </c>
      <c r="H794" s="9" t="s">
        <v>610</v>
      </c>
      <c r="I794" s="9" t="s">
        <v>403</v>
      </c>
      <c r="J794" s="9" t="s">
        <v>36</v>
      </c>
      <c r="K794" s="9">
        <v>890</v>
      </c>
      <c r="L794" s="9"/>
      <c r="M794" s="9"/>
      <c r="N794" s="9"/>
      <c r="O794" s="9" t="s">
        <v>37</v>
      </c>
      <c r="P794" s="9" t="s">
        <v>45</v>
      </c>
      <c r="Q794" s="9"/>
      <c r="R794" s="10"/>
      <c r="S794" s="10"/>
      <c r="T794" s="10"/>
      <c r="U794" s="9"/>
      <c r="X794" t="s">
        <v>122</v>
      </c>
      <c r="Y794" t="s">
        <v>179</v>
      </c>
      <c r="Z794" t="s">
        <v>179</v>
      </c>
      <c r="AB794" t="str">
        <f t="shared" si="38"/>
        <v>24219</v>
      </c>
    </row>
    <row r="795" ht="14.25" spans="1:28">
      <c r="A795" s="5" t="s">
        <v>28</v>
      </c>
      <c r="B795" s="5" t="s">
        <v>264</v>
      </c>
      <c r="C795" s="5">
        <v>2027</v>
      </c>
      <c r="D795" s="5" t="s">
        <v>30</v>
      </c>
      <c r="E795" s="9" t="s">
        <v>611</v>
      </c>
      <c r="F795" s="9" t="s">
        <v>612</v>
      </c>
      <c r="G795" s="9" t="s">
        <v>311</v>
      </c>
      <c r="H795" s="9" t="s">
        <v>613</v>
      </c>
      <c r="I795" s="9" t="s">
        <v>269</v>
      </c>
      <c r="J795" s="9" t="s">
        <v>72</v>
      </c>
      <c r="K795" s="9">
        <v>1190</v>
      </c>
      <c r="L795" s="9"/>
      <c r="M795" s="9"/>
      <c r="N795" s="9"/>
      <c r="O795" s="9" t="s">
        <v>68</v>
      </c>
      <c r="P795" s="9" t="s">
        <v>614</v>
      </c>
      <c r="Q795" s="9"/>
      <c r="R795" s="10">
        <f t="shared" si="36"/>
        <v>0</v>
      </c>
      <c r="S795" s="10">
        <f>SUMIFS([1]Sheet1!$T:$T,[1]Sheet1!$I:$I,E795,[1]Sheet1!$C:$C,A795)</f>
        <v>0</v>
      </c>
      <c r="T795" s="10">
        <f t="shared" si="37"/>
        <v>0</v>
      </c>
      <c r="U795" s="9" t="s">
        <v>136</v>
      </c>
      <c r="V795" t="s">
        <v>322</v>
      </c>
      <c r="W795" t="s">
        <v>178</v>
      </c>
      <c r="X795" t="s">
        <v>313</v>
      </c>
      <c r="Y795" t="s">
        <v>179</v>
      </c>
      <c r="Z795" t="s">
        <v>196</v>
      </c>
      <c r="AB795" t="str">
        <f t="shared" si="38"/>
        <v>24241</v>
      </c>
    </row>
    <row r="796" ht="14.25" spans="1:28">
      <c r="A796" s="5" t="s">
        <v>28</v>
      </c>
      <c r="B796" s="5" t="s">
        <v>264</v>
      </c>
      <c r="C796" s="5">
        <v>2027</v>
      </c>
      <c r="D796" s="5" t="s">
        <v>30</v>
      </c>
      <c r="E796" s="9" t="s">
        <v>611</v>
      </c>
      <c r="F796" s="9" t="s">
        <v>612</v>
      </c>
      <c r="G796" s="9" t="s">
        <v>311</v>
      </c>
      <c r="H796" s="9" t="s">
        <v>613</v>
      </c>
      <c r="I796" s="9" t="s">
        <v>269</v>
      </c>
      <c r="J796" s="9" t="s">
        <v>72</v>
      </c>
      <c r="K796" s="9">
        <v>1190</v>
      </c>
      <c r="L796" s="9"/>
      <c r="M796" s="9"/>
      <c r="N796" s="9"/>
      <c r="O796" s="9" t="s">
        <v>68</v>
      </c>
      <c r="P796" s="9" t="s">
        <v>615</v>
      </c>
      <c r="Q796" s="9"/>
      <c r="R796" s="10"/>
      <c r="S796" s="10"/>
      <c r="T796" s="10"/>
      <c r="U796" s="9" t="s">
        <v>136</v>
      </c>
      <c r="V796" t="s">
        <v>322</v>
      </c>
      <c r="W796" t="s">
        <v>178</v>
      </c>
      <c r="X796" t="s">
        <v>313</v>
      </c>
      <c r="Y796" t="s">
        <v>179</v>
      </c>
      <c r="Z796" t="s">
        <v>196</v>
      </c>
      <c r="AB796" t="str">
        <f t="shared" si="38"/>
        <v>24241</v>
      </c>
    </row>
    <row r="797" ht="14.25" spans="1:28">
      <c r="A797" s="5" t="s">
        <v>28</v>
      </c>
      <c r="B797" s="5" t="s">
        <v>264</v>
      </c>
      <c r="C797" s="5">
        <v>2027</v>
      </c>
      <c r="D797" s="5" t="s">
        <v>30</v>
      </c>
      <c r="E797" s="9" t="s">
        <v>611</v>
      </c>
      <c r="F797" s="9" t="s">
        <v>612</v>
      </c>
      <c r="G797" s="9" t="s">
        <v>311</v>
      </c>
      <c r="H797" s="9" t="s">
        <v>613</v>
      </c>
      <c r="I797" s="9" t="s">
        <v>269</v>
      </c>
      <c r="J797" s="9" t="s">
        <v>72</v>
      </c>
      <c r="K797" s="9">
        <v>1190</v>
      </c>
      <c r="L797" s="9"/>
      <c r="M797" s="9"/>
      <c r="N797" s="9"/>
      <c r="O797" s="9" t="s">
        <v>68</v>
      </c>
      <c r="P797" s="9" t="s">
        <v>616</v>
      </c>
      <c r="Q797" s="9"/>
      <c r="R797" s="10"/>
      <c r="S797" s="10"/>
      <c r="T797" s="10"/>
      <c r="U797" s="9" t="s">
        <v>136</v>
      </c>
      <c r="V797" t="s">
        <v>322</v>
      </c>
      <c r="W797" t="s">
        <v>178</v>
      </c>
      <c r="X797" t="s">
        <v>313</v>
      </c>
      <c r="Y797" t="s">
        <v>179</v>
      </c>
      <c r="Z797" t="s">
        <v>196</v>
      </c>
      <c r="AB797" t="str">
        <f t="shared" si="38"/>
        <v>24241</v>
      </c>
    </row>
    <row r="798" ht="14.25" spans="1:28">
      <c r="A798" s="5" t="s">
        <v>28</v>
      </c>
      <c r="B798" s="5" t="s">
        <v>264</v>
      </c>
      <c r="C798" s="5">
        <v>2027</v>
      </c>
      <c r="D798" s="5" t="s">
        <v>30</v>
      </c>
      <c r="E798" s="9" t="s">
        <v>611</v>
      </c>
      <c r="F798" s="9" t="s">
        <v>612</v>
      </c>
      <c r="G798" s="9" t="s">
        <v>311</v>
      </c>
      <c r="H798" s="9" t="s">
        <v>613</v>
      </c>
      <c r="I798" s="9" t="s">
        <v>269</v>
      </c>
      <c r="J798" s="9" t="s">
        <v>72</v>
      </c>
      <c r="K798" s="9">
        <v>1190</v>
      </c>
      <c r="L798" s="9"/>
      <c r="M798" s="9"/>
      <c r="N798" s="9"/>
      <c r="O798" s="9" t="s">
        <v>68</v>
      </c>
      <c r="P798" s="9" t="s">
        <v>318</v>
      </c>
      <c r="Q798" s="9"/>
      <c r="R798" s="10"/>
      <c r="S798" s="10"/>
      <c r="T798" s="10"/>
      <c r="U798" s="9" t="s">
        <v>136</v>
      </c>
      <c r="V798" t="s">
        <v>322</v>
      </c>
      <c r="W798" t="s">
        <v>178</v>
      </c>
      <c r="X798" t="s">
        <v>313</v>
      </c>
      <c r="Y798" t="s">
        <v>179</v>
      </c>
      <c r="Z798" t="s">
        <v>196</v>
      </c>
      <c r="AB798" t="str">
        <f t="shared" si="38"/>
        <v>24241</v>
      </c>
    </row>
    <row r="799" ht="14.25" spans="1:28">
      <c r="A799" s="5" t="s">
        <v>28</v>
      </c>
      <c r="B799" s="5" t="s">
        <v>264</v>
      </c>
      <c r="C799" s="5">
        <v>2027</v>
      </c>
      <c r="D799" s="5" t="s">
        <v>30</v>
      </c>
      <c r="E799" s="9" t="s">
        <v>611</v>
      </c>
      <c r="F799" s="9" t="s">
        <v>612</v>
      </c>
      <c r="G799" s="9" t="s">
        <v>311</v>
      </c>
      <c r="H799" s="9" t="s">
        <v>613</v>
      </c>
      <c r="I799" s="9" t="s">
        <v>269</v>
      </c>
      <c r="J799" s="9" t="s">
        <v>72</v>
      </c>
      <c r="K799" s="9">
        <v>1190</v>
      </c>
      <c r="L799" s="9"/>
      <c r="M799" s="9"/>
      <c r="N799" s="9"/>
      <c r="O799" s="9" t="s">
        <v>68</v>
      </c>
      <c r="P799" s="9" t="s">
        <v>69</v>
      </c>
      <c r="Q799" s="9"/>
      <c r="R799" s="10"/>
      <c r="S799" s="10"/>
      <c r="T799" s="10"/>
      <c r="U799" s="9" t="s">
        <v>136</v>
      </c>
      <c r="V799" t="s">
        <v>322</v>
      </c>
      <c r="W799" t="s">
        <v>178</v>
      </c>
      <c r="X799" t="s">
        <v>313</v>
      </c>
      <c r="Y799" t="s">
        <v>179</v>
      </c>
      <c r="Z799" t="s">
        <v>196</v>
      </c>
      <c r="AB799" t="str">
        <f t="shared" si="38"/>
        <v>24241</v>
      </c>
    </row>
    <row r="800" ht="14.25" spans="1:28">
      <c r="A800" s="5" t="s">
        <v>28</v>
      </c>
      <c r="B800" s="5" t="s">
        <v>264</v>
      </c>
      <c r="C800" s="5">
        <v>2027</v>
      </c>
      <c r="D800" s="5" t="s">
        <v>30</v>
      </c>
      <c r="E800" s="9" t="s">
        <v>617</v>
      </c>
      <c r="F800" s="9" t="s">
        <v>618</v>
      </c>
      <c r="G800" s="9" t="s">
        <v>311</v>
      </c>
      <c r="H800" s="9" t="s">
        <v>619</v>
      </c>
      <c r="I800" s="9" t="s">
        <v>269</v>
      </c>
      <c r="J800" s="9" t="s">
        <v>72</v>
      </c>
      <c r="K800" s="9">
        <v>1590</v>
      </c>
      <c r="L800" s="9"/>
      <c r="M800" s="9"/>
      <c r="N800" s="9"/>
      <c r="O800" s="9" t="s">
        <v>68</v>
      </c>
      <c r="P800" s="9" t="s">
        <v>614</v>
      </c>
      <c r="Q800" s="9"/>
      <c r="R800" s="10">
        <f t="shared" si="36"/>
        <v>0</v>
      </c>
      <c r="S800" s="10">
        <f>SUMIFS([1]Sheet1!$T:$T,[1]Sheet1!$I:$I,E800,[1]Sheet1!$C:$C,A800)</f>
        <v>6</v>
      </c>
      <c r="T800" s="10">
        <f t="shared" si="37"/>
        <v>-6</v>
      </c>
      <c r="U800" s="9" t="s">
        <v>136</v>
      </c>
      <c r="V800" t="s">
        <v>322</v>
      </c>
      <c r="W800" t="s">
        <v>178</v>
      </c>
      <c r="X800" t="s">
        <v>313</v>
      </c>
      <c r="Y800" t="s">
        <v>179</v>
      </c>
      <c r="Z800" t="s">
        <v>179</v>
      </c>
      <c r="AB800" t="str">
        <f t="shared" si="38"/>
        <v>24250</v>
      </c>
    </row>
    <row r="801" ht="14.25" spans="1:28">
      <c r="A801" s="5" t="s">
        <v>28</v>
      </c>
      <c r="B801" s="5" t="s">
        <v>264</v>
      </c>
      <c r="C801" s="5">
        <v>2027</v>
      </c>
      <c r="D801" s="5" t="s">
        <v>30</v>
      </c>
      <c r="E801" s="9" t="s">
        <v>617</v>
      </c>
      <c r="F801" s="9" t="s">
        <v>618</v>
      </c>
      <c r="G801" s="9" t="s">
        <v>311</v>
      </c>
      <c r="H801" s="9" t="s">
        <v>619</v>
      </c>
      <c r="I801" s="9" t="s">
        <v>269</v>
      </c>
      <c r="J801" s="9" t="s">
        <v>72</v>
      </c>
      <c r="K801" s="9">
        <v>1590</v>
      </c>
      <c r="L801" s="9"/>
      <c r="M801" s="9"/>
      <c r="N801" s="9"/>
      <c r="O801" s="9" t="s">
        <v>68</v>
      </c>
      <c r="P801" s="9" t="s">
        <v>615</v>
      </c>
      <c r="Q801" s="9"/>
      <c r="R801" s="10"/>
      <c r="S801" s="10"/>
      <c r="T801" s="10"/>
      <c r="U801" s="9" t="s">
        <v>136</v>
      </c>
      <c r="V801" t="s">
        <v>322</v>
      </c>
      <c r="W801" t="s">
        <v>178</v>
      </c>
      <c r="X801" t="s">
        <v>313</v>
      </c>
      <c r="Y801" t="s">
        <v>179</v>
      </c>
      <c r="Z801" t="s">
        <v>179</v>
      </c>
      <c r="AB801" t="str">
        <f t="shared" si="38"/>
        <v>24250</v>
      </c>
    </row>
    <row r="802" ht="14.25" spans="1:28">
      <c r="A802" s="5" t="s">
        <v>28</v>
      </c>
      <c r="B802" s="5" t="s">
        <v>264</v>
      </c>
      <c r="C802" s="5">
        <v>2027</v>
      </c>
      <c r="D802" s="5" t="s">
        <v>30</v>
      </c>
      <c r="E802" s="9" t="s">
        <v>617</v>
      </c>
      <c r="F802" s="9" t="s">
        <v>618</v>
      </c>
      <c r="G802" s="9" t="s">
        <v>311</v>
      </c>
      <c r="H802" s="9" t="s">
        <v>619</v>
      </c>
      <c r="I802" s="9" t="s">
        <v>269</v>
      </c>
      <c r="J802" s="9" t="s">
        <v>72</v>
      </c>
      <c r="K802" s="9">
        <v>1590</v>
      </c>
      <c r="L802" s="9"/>
      <c r="M802" s="9"/>
      <c r="N802" s="9"/>
      <c r="O802" s="9" t="s">
        <v>68</v>
      </c>
      <c r="P802" s="9" t="s">
        <v>616</v>
      </c>
      <c r="Q802" s="9"/>
      <c r="R802" s="10"/>
      <c r="S802" s="10"/>
      <c r="T802" s="10"/>
      <c r="U802" s="9" t="s">
        <v>136</v>
      </c>
      <c r="V802" t="s">
        <v>322</v>
      </c>
      <c r="W802" t="s">
        <v>178</v>
      </c>
      <c r="X802" t="s">
        <v>313</v>
      </c>
      <c r="Y802" t="s">
        <v>179</v>
      </c>
      <c r="Z802" t="s">
        <v>179</v>
      </c>
      <c r="AB802" t="str">
        <f t="shared" si="38"/>
        <v>24250</v>
      </c>
    </row>
    <row r="803" ht="14.25" spans="1:28">
      <c r="A803" s="5" t="s">
        <v>28</v>
      </c>
      <c r="B803" s="5" t="s">
        <v>264</v>
      </c>
      <c r="C803" s="5">
        <v>2027</v>
      </c>
      <c r="D803" s="5" t="s">
        <v>30</v>
      </c>
      <c r="E803" s="9" t="s">
        <v>617</v>
      </c>
      <c r="F803" s="9" t="s">
        <v>618</v>
      </c>
      <c r="G803" s="9" t="s">
        <v>311</v>
      </c>
      <c r="H803" s="9" t="s">
        <v>619</v>
      </c>
      <c r="I803" s="9" t="s">
        <v>269</v>
      </c>
      <c r="J803" s="9" t="s">
        <v>72</v>
      </c>
      <c r="K803" s="9">
        <v>1590</v>
      </c>
      <c r="L803" s="9"/>
      <c r="M803" s="9"/>
      <c r="N803" s="9"/>
      <c r="O803" s="9" t="s">
        <v>68</v>
      </c>
      <c r="P803" s="9" t="s">
        <v>318</v>
      </c>
      <c r="Q803" s="9"/>
      <c r="R803" s="10"/>
      <c r="S803" s="10"/>
      <c r="T803" s="10"/>
      <c r="U803" s="9" t="s">
        <v>136</v>
      </c>
      <c r="V803" t="s">
        <v>322</v>
      </c>
      <c r="W803" t="s">
        <v>178</v>
      </c>
      <c r="X803" t="s">
        <v>313</v>
      </c>
      <c r="Y803" t="s">
        <v>179</v>
      </c>
      <c r="Z803" t="s">
        <v>179</v>
      </c>
      <c r="AB803" t="str">
        <f t="shared" si="38"/>
        <v>24250</v>
      </c>
    </row>
    <row r="804" ht="14.25" spans="1:28">
      <c r="A804" s="5" t="s">
        <v>28</v>
      </c>
      <c r="B804" s="5" t="s">
        <v>264</v>
      </c>
      <c r="C804" s="5">
        <v>2027</v>
      </c>
      <c r="D804" s="5" t="s">
        <v>30</v>
      </c>
      <c r="E804" s="9" t="s">
        <v>617</v>
      </c>
      <c r="F804" s="9" t="s">
        <v>618</v>
      </c>
      <c r="G804" s="9" t="s">
        <v>311</v>
      </c>
      <c r="H804" s="9" t="s">
        <v>619</v>
      </c>
      <c r="I804" s="9" t="s">
        <v>269</v>
      </c>
      <c r="J804" s="9" t="s">
        <v>72</v>
      </c>
      <c r="K804" s="9">
        <v>1590</v>
      </c>
      <c r="L804" s="9"/>
      <c r="M804" s="9"/>
      <c r="N804" s="9"/>
      <c r="O804" s="9" t="s">
        <v>68</v>
      </c>
      <c r="P804" s="9" t="s">
        <v>69</v>
      </c>
      <c r="Q804" s="9"/>
      <c r="R804" s="10"/>
      <c r="S804" s="10"/>
      <c r="T804" s="10"/>
      <c r="U804" s="9" t="s">
        <v>136</v>
      </c>
      <c r="V804" t="s">
        <v>322</v>
      </c>
      <c r="W804" t="s">
        <v>178</v>
      </c>
      <c r="X804" t="s">
        <v>313</v>
      </c>
      <c r="Y804" t="s">
        <v>179</v>
      </c>
      <c r="Z804" t="s">
        <v>179</v>
      </c>
      <c r="AB804" t="str">
        <f t="shared" si="38"/>
        <v>24250</v>
      </c>
    </row>
    <row r="805" ht="14.25" spans="1:28">
      <c r="A805" s="5" t="s">
        <v>28</v>
      </c>
      <c r="B805" s="5" t="s">
        <v>264</v>
      </c>
      <c r="C805" s="5">
        <v>2027</v>
      </c>
      <c r="D805" s="5" t="s">
        <v>30</v>
      </c>
      <c r="E805" s="9" t="s">
        <v>620</v>
      </c>
      <c r="F805" s="9" t="s">
        <v>621</v>
      </c>
      <c r="G805" s="9" t="s">
        <v>316</v>
      </c>
      <c r="H805" s="9" t="s">
        <v>622</v>
      </c>
      <c r="I805" s="9" t="s">
        <v>276</v>
      </c>
      <c r="J805" s="9" t="s">
        <v>72</v>
      </c>
      <c r="K805" s="9">
        <v>1190</v>
      </c>
      <c r="L805" s="9"/>
      <c r="M805" s="9"/>
      <c r="N805" s="9"/>
      <c r="O805" s="9" t="s">
        <v>68</v>
      </c>
      <c r="P805" s="9" t="s">
        <v>614</v>
      </c>
      <c r="Q805" s="9"/>
      <c r="R805" s="10">
        <f t="shared" si="36"/>
        <v>0</v>
      </c>
      <c r="S805" s="10">
        <f>SUMIFS([1]Sheet1!$T:$T,[1]Sheet1!$I:$I,E805,[1]Sheet1!$C:$C,A805)</f>
        <v>0</v>
      </c>
      <c r="T805" s="10">
        <f t="shared" si="37"/>
        <v>0</v>
      </c>
      <c r="U805" s="9"/>
      <c r="X805" t="s">
        <v>308</v>
      </c>
      <c r="Y805" t="s">
        <v>179</v>
      </c>
      <c r="Z805" t="s">
        <v>179</v>
      </c>
      <c r="AB805" t="str">
        <f t="shared" si="38"/>
        <v>24252</v>
      </c>
    </row>
    <row r="806" ht="14.25" spans="1:28">
      <c r="A806" s="5" t="s">
        <v>28</v>
      </c>
      <c r="B806" s="5" t="s">
        <v>264</v>
      </c>
      <c r="C806" s="5">
        <v>2027</v>
      </c>
      <c r="D806" s="5" t="s">
        <v>30</v>
      </c>
      <c r="E806" s="9" t="s">
        <v>620</v>
      </c>
      <c r="F806" s="9" t="s">
        <v>621</v>
      </c>
      <c r="G806" s="9" t="s">
        <v>316</v>
      </c>
      <c r="H806" s="9" t="s">
        <v>622</v>
      </c>
      <c r="I806" s="9" t="s">
        <v>276</v>
      </c>
      <c r="J806" s="9" t="s">
        <v>72</v>
      </c>
      <c r="K806" s="9">
        <v>1190</v>
      </c>
      <c r="L806" s="9"/>
      <c r="M806" s="9"/>
      <c r="N806" s="9"/>
      <c r="O806" s="9" t="s">
        <v>68</v>
      </c>
      <c r="P806" s="9" t="s">
        <v>615</v>
      </c>
      <c r="Q806" s="11"/>
      <c r="R806" s="10"/>
      <c r="S806" s="10"/>
      <c r="T806" s="10"/>
      <c r="U806" s="9"/>
      <c r="X806" t="s">
        <v>308</v>
      </c>
      <c r="Y806" t="s">
        <v>179</v>
      </c>
      <c r="Z806" t="s">
        <v>179</v>
      </c>
      <c r="AB806" t="str">
        <f t="shared" si="38"/>
        <v>24252</v>
      </c>
    </row>
    <row r="807" ht="14.25" spans="1:28">
      <c r="A807" s="5" t="s">
        <v>28</v>
      </c>
      <c r="B807" s="5" t="s">
        <v>264</v>
      </c>
      <c r="C807" s="5">
        <v>2027</v>
      </c>
      <c r="D807" s="5" t="s">
        <v>30</v>
      </c>
      <c r="E807" s="9" t="s">
        <v>620</v>
      </c>
      <c r="F807" s="9" t="s">
        <v>621</v>
      </c>
      <c r="G807" s="9" t="s">
        <v>316</v>
      </c>
      <c r="H807" s="9" t="s">
        <v>622</v>
      </c>
      <c r="I807" s="9" t="s">
        <v>276</v>
      </c>
      <c r="J807" s="9" t="s">
        <v>72</v>
      </c>
      <c r="K807" s="9">
        <v>1190</v>
      </c>
      <c r="L807" s="9"/>
      <c r="M807" s="9"/>
      <c r="N807" s="9"/>
      <c r="O807" s="9" t="s">
        <v>68</v>
      </c>
      <c r="P807" s="9" t="s">
        <v>616</v>
      </c>
      <c r="Q807" s="11"/>
      <c r="R807" s="10"/>
      <c r="S807" s="10"/>
      <c r="T807" s="10"/>
      <c r="U807" s="9"/>
      <c r="X807" t="s">
        <v>308</v>
      </c>
      <c r="Y807" t="s">
        <v>179</v>
      </c>
      <c r="Z807" t="s">
        <v>179</v>
      </c>
      <c r="AB807" t="str">
        <f t="shared" si="38"/>
        <v>24252</v>
      </c>
    </row>
    <row r="808" ht="14.25" spans="1:28">
      <c r="A808" s="5" t="s">
        <v>28</v>
      </c>
      <c r="B808" s="5" t="s">
        <v>264</v>
      </c>
      <c r="C808" s="5">
        <v>2027</v>
      </c>
      <c r="D808" s="5" t="s">
        <v>30</v>
      </c>
      <c r="E808" s="9" t="s">
        <v>620</v>
      </c>
      <c r="F808" s="9" t="s">
        <v>621</v>
      </c>
      <c r="G808" s="9" t="s">
        <v>316</v>
      </c>
      <c r="H808" s="9" t="s">
        <v>622</v>
      </c>
      <c r="I808" s="9" t="s">
        <v>276</v>
      </c>
      <c r="J808" s="9" t="s">
        <v>72</v>
      </c>
      <c r="K808" s="9">
        <v>1190</v>
      </c>
      <c r="L808" s="9"/>
      <c r="M808" s="9"/>
      <c r="N808" s="9"/>
      <c r="O808" s="9" t="s">
        <v>68</v>
      </c>
      <c r="P808" s="9" t="s">
        <v>318</v>
      </c>
      <c r="Q808" s="11"/>
      <c r="R808" s="10"/>
      <c r="S808" s="10"/>
      <c r="T808" s="10"/>
      <c r="U808" s="9"/>
      <c r="X808" t="s">
        <v>308</v>
      </c>
      <c r="Y808" t="s">
        <v>179</v>
      </c>
      <c r="Z808" t="s">
        <v>179</v>
      </c>
      <c r="AB808" t="str">
        <f t="shared" si="38"/>
        <v>24252</v>
      </c>
    </row>
    <row r="809" ht="14.25" spans="1:28">
      <c r="A809" s="5" t="s">
        <v>28</v>
      </c>
      <c r="B809" s="5" t="s">
        <v>264</v>
      </c>
      <c r="C809" s="5">
        <v>2027</v>
      </c>
      <c r="D809" s="5" t="s">
        <v>30</v>
      </c>
      <c r="E809" s="9" t="s">
        <v>620</v>
      </c>
      <c r="F809" s="9" t="s">
        <v>621</v>
      </c>
      <c r="G809" s="9" t="s">
        <v>316</v>
      </c>
      <c r="H809" s="9" t="s">
        <v>622</v>
      </c>
      <c r="I809" s="9" t="s">
        <v>276</v>
      </c>
      <c r="J809" s="9" t="s">
        <v>72</v>
      </c>
      <c r="K809" s="9">
        <v>1190</v>
      </c>
      <c r="L809" s="9"/>
      <c r="M809" s="9"/>
      <c r="N809" s="9"/>
      <c r="O809" s="9" t="s">
        <v>68</v>
      </c>
      <c r="P809" s="9" t="s">
        <v>69</v>
      </c>
      <c r="Q809" s="11"/>
      <c r="R809" s="10"/>
      <c r="S809" s="10"/>
      <c r="T809" s="10"/>
      <c r="U809" s="9"/>
      <c r="X809" t="s">
        <v>308</v>
      </c>
      <c r="Y809" t="s">
        <v>179</v>
      </c>
      <c r="Z809" t="s">
        <v>179</v>
      </c>
      <c r="AB809" t="str">
        <f t="shared" si="38"/>
        <v>24252</v>
      </c>
    </row>
    <row r="810" ht="14.25" spans="1:28">
      <c r="A810" s="5" t="s">
        <v>28</v>
      </c>
      <c r="B810" s="5" t="s">
        <v>264</v>
      </c>
      <c r="C810" s="5">
        <v>2027</v>
      </c>
      <c r="D810" s="5" t="s">
        <v>30</v>
      </c>
      <c r="E810" s="9" t="s">
        <v>623</v>
      </c>
      <c r="F810" s="9" t="s">
        <v>624</v>
      </c>
      <c r="G810" s="9" t="s">
        <v>311</v>
      </c>
      <c r="H810" s="9" t="s">
        <v>625</v>
      </c>
      <c r="I810" s="9" t="s">
        <v>269</v>
      </c>
      <c r="J810" s="9" t="s">
        <v>72</v>
      </c>
      <c r="K810" s="9">
        <v>990</v>
      </c>
      <c r="L810" s="9"/>
      <c r="M810" s="9"/>
      <c r="N810" s="9"/>
      <c r="O810" s="9" t="s">
        <v>68</v>
      </c>
      <c r="P810" s="9" t="s">
        <v>614</v>
      </c>
      <c r="Q810" s="11"/>
      <c r="R810" s="10">
        <f t="shared" si="36"/>
        <v>0</v>
      </c>
      <c r="S810" s="10">
        <f>SUMIFS([1]Sheet1!$T:$T,[1]Sheet1!$I:$I,E810,[1]Sheet1!$C:$C,A810)</f>
        <v>0</v>
      </c>
      <c r="T810" s="10">
        <f t="shared" si="37"/>
        <v>0</v>
      </c>
      <c r="U810" s="9"/>
      <c r="X810" t="s">
        <v>313</v>
      </c>
      <c r="Y810" t="s">
        <v>179</v>
      </c>
      <c r="Z810" t="s">
        <v>179</v>
      </c>
      <c r="AB810" t="str">
        <f t="shared" si="38"/>
        <v>24260</v>
      </c>
    </row>
    <row r="811" ht="14.25" spans="1:28">
      <c r="A811" s="5" t="s">
        <v>28</v>
      </c>
      <c r="B811" s="5" t="s">
        <v>264</v>
      </c>
      <c r="C811" s="5">
        <v>2027</v>
      </c>
      <c r="D811" s="5" t="s">
        <v>30</v>
      </c>
      <c r="E811" s="9" t="s">
        <v>623</v>
      </c>
      <c r="F811" s="9" t="s">
        <v>624</v>
      </c>
      <c r="G811" s="9" t="s">
        <v>311</v>
      </c>
      <c r="H811" s="9" t="s">
        <v>625</v>
      </c>
      <c r="I811" s="9" t="s">
        <v>269</v>
      </c>
      <c r="J811" s="9" t="s">
        <v>72</v>
      </c>
      <c r="K811" s="9">
        <v>990</v>
      </c>
      <c r="L811" s="9"/>
      <c r="M811" s="9"/>
      <c r="N811" s="9"/>
      <c r="O811" s="9" t="s">
        <v>68</v>
      </c>
      <c r="P811" s="9" t="s">
        <v>615</v>
      </c>
      <c r="Q811" s="11"/>
      <c r="R811" s="10"/>
      <c r="S811" s="10"/>
      <c r="T811" s="10"/>
      <c r="U811" s="9"/>
      <c r="X811" t="s">
        <v>313</v>
      </c>
      <c r="Y811" t="s">
        <v>179</v>
      </c>
      <c r="Z811" t="s">
        <v>179</v>
      </c>
      <c r="AB811" t="str">
        <f t="shared" si="38"/>
        <v>24260</v>
      </c>
    </row>
    <row r="812" ht="14.25" spans="1:28">
      <c r="A812" s="5" t="s">
        <v>28</v>
      </c>
      <c r="B812" s="5" t="s">
        <v>264</v>
      </c>
      <c r="C812" s="5">
        <v>2027</v>
      </c>
      <c r="D812" s="5" t="s">
        <v>30</v>
      </c>
      <c r="E812" s="9" t="s">
        <v>623</v>
      </c>
      <c r="F812" s="9" t="s">
        <v>624</v>
      </c>
      <c r="G812" s="9" t="s">
        <v>311</v>
      </c>
      <c r="H812" s="9" t="s">
        <v>625</v>
      </c>
      <c r="I812" s="9" t="s">
        <v>269</v>
      </c>
      <c r="J812" s="9" t="s">
        <v>72</v>
      </c>
      <c r="K812" s="9">
        <v>990</v>
      </c>
      <c r="L812" s="9"/>
      <c r="M812" s="9"/>
      <c r="N812" s="9"/>
      <c r="O812" s="9" t="s">
        <v>68</v>
      </c>
      <c r="P812" s="9" t="s">
        <v>616</v>
      </c>
      <c r="Q812" s="11"/>
      <c r="R812" s="10"/>
      <c r="S812" s="10"/>
      <c r="T812" s="10"/>
      <c r="U812" s="9"/>
      <c r="X812" t="s">
        <v>313</v>
      </c>
      <c r="Y812" t="s">
        <v>179</v>
      </c>
      <c r="Z812" t="s">
        <v>179</v>
      </c>
      <c r="AB812" t="str">
        <f t="shared" si="38"/>
        <v>24260</v>
      </c>
    </row>
    <row r="813" ht="14.25" spans="1:28">
      <c r="A813" s="5" t="s">
        <v>28</v>
      </c>
      <c r="B813" s="5" t="s">
        <v>264</v>
      </c>
      <c r="C813" s="5">
        <v>2027</v>
      </c>
      <c r="D813" s="5" t="s">
        <v>30</v>
      </c>
      <c r="E813" s="9" t="s">
        <v>623</v>
      </c>
      <c r="F813" s="9" t="s">
        <v>624</v>
      </c>
      <c r="G813" s="9" t="s">
        <v>311</v>
      </c>
      <c r="H813" s="9" t="s">
        <v>625</v>
      </c>
      <c r="I813" s="9" t="s">
        <v>269</v>
      </c>
      <c r="J813" s="9" t="s">
        <v>72</v>
      </c>
      <c r="K813" s="9">
        <v>990</v>
      </c>
      <c r="L813" s="9"/>
      <c r="M813" s="9"/>
      <c r="N813" s="9"/>
      <c r="O813" s="9" t="s">
        <v>68</v>
      </c>
      <c r="P813" s="9" t="s">
        <v>318</v>
      </c>
      <c r="Q813" s="11"/>
      <c r="R813" s="10"/>
      <c r="S813" s="10"/>
      <c r="T813" s="10"/>
      <c r="U813" s="9"/>
      <c r="X813" t="s">
        <v>313</v>
      </c>
      <c r="Y813" t="s">
        <v>179</v>
      </c>
      <c r="Z813" t="s">
        <v>179</v>
      </c>
      <c r="AB813" t="str">
        <f t="shared" si="38"/>
        <v>24260</v>
      </c>
    </row>
    <row r="814" ht="14.25" spans="1:28">
      <c r="A814" s="5" t="s">
        <v>28</v>
      </c>
      <c r="B814" s="5" t="s">
        <v>264</v>
      </c>
      <c r="C814" s="5">
        <v>2027</v>
      </c>
      <c r="D814" s="5" t="s">
        <v>30</v>
      </c>
      <c r="E814" s="9" t="s">
        <v>623</v>
      </c>
      <c r="F814" s="9" t="s">
        <v>624</v>
      </c>
      <c r="G814" s="9" t="s">
        <v>311</v>
      </c>
      <c r="H814" s="9" t="s">
        <v>625</v>
      </c>
      <c r="I814" s="9" t="s">
        <v>269</v>
      </c>
      <c r="J814" s="9" t="s">
        <v>72</v>
      </c>
      <c r="K814" s="9">
        <v>990</v>
      </c>
      <c r="L814" s="9"/>
      <c r="M814" s="9"/>
      <c r="N814" s="9"/>
      <c r="O814" s="9" t="s">
        <v>68</v>
      </c>
      <c r="P814" s="9" t="s">
        <v>69</v>
      </c>
      <c r="Q814" s="11"/>
      <c r="R814" s="10"/>
      <c r="S814" s="10"/>
      <c r="T814" s="10"/>
      <c r="U814" s="9"/>
      <c r="X814" t="s">
        <v>313</v>
      </c>
      <c r="Y814" t="s">
        <v>179</v>
      </c>
      <c r="Z814" t="s">
        <v>179</v>
      </c>
      <c r="AB814" t="str">
        <f t="shared" si="38"/>
        <v>24260</v>
      </c>
    </row>
    <row r="815" ht="14.25" spans="1:28">
      <c r="A815" s="5" t="s">
        <v>28</v>
      </c>
      <c r="B815" s="5" t="s">
        <v>264</v>
      </c>
      <c r="C815" s="5">
        <v>2027</v>
      </c>
      <c r="D815" s="5" t="s">
        <v>30</v>
      </c>
      <c r="E815" s="9" t="s">
        <v>626</v>
      </c>
      <c r="F815" s="9" t="s">
        <v>621</v>
      </c>
      <c r="G815" s="9" t="s">
        <v>330</v>
      </c>
      <c r="H815" s="9" t="s">
        <v>627</v>
      </c>
      <c r="I815" s="9" t="s">
        <v>276</v>
      </c>
      <c r="J815" s="9" t="s">
        <v>72</v>
      </c>
      <c r="K815" s="9">
        <v>1190</v>
      </c>
      <c r="L815" s="9"/>
      <c r="M815" s="9"/>
      <c r="N815" s="9"/>
      <c r="O815" s="9" t="s">
        <v>68</v>
      </c>
      <c r="P815" s="9" t="s">
        <v>614</v>
      </c>
      <c r="Q815" s="11"/>
      <c r="R815" s="10">
        <f t="shared" si="36"/>
        <v>0</v>
      </c>
      <c r="S815" s="10">
        <f>SUMIFS([1]Sheet1!$T:$T,[1]Sheet1!$I:$I,E815,[1]Sheet1!$C:$C,A815)</f>
        <v>30</v>
      </c>
      <c r="T815" s="10">
        <f t="shared" si="37"/>
        <v>-30</v>
      </c>
      <c r="U815" s="9" t="s">
        <v>136</v>
      </c>
      <c r="V815" t="s">
        <v>322</v>
      </c>
      <c r="W815" t="s">
        <v>178</v>
      </c>
      <c r="X815" t="s">
        <v>332</v>
      </c>
      <c r="Y815" t="s">
        <v>179</v>
      </c>
      <c r="Z815" t="s">
        <v>179</v>
      </c>
      <c r="AB815" t="str">
        <f t="shared" si="38"/>
        <v>24263</v>
      </c>
    </row>
    <row r="816" ht="14.25" spans="1:28">
      <c r="A816" s="5" t="s">
        <v>28</v>
      </c>
      <c r="B816" s="5" t="s">
        <v>264</v>
      </c>
      <c r="C816" s="5">
        <v>2027</v>
      </c>
      <c r="D816" s="5" t="s">
        <v>30</v>
      </c>
      <c r="E816" s="9" t="s">
        <v>626</v>
      </c>
      <c r="F816" s="9" t="s">
        <v>621</v>
      </c>
      <c r="G816" s="9" t="s">
        <v>330</v>
      </c>
      <c r="H816" s="9" t="s">
        <v>627</v>
      </c>
      <c r="I816" s="9" t="s">
        <v>276</v>
      </c>
      <c r="J816" s="9" t="s">
        <v>72</v>
      </c>
      <c r="K816" s="9">
        <v>1190</v>
      </c>
      <c r="L816" s="9"/>
      <c r="M816" s="9"/>
      <c r="N816" s="9"/>
      <c r="O816" s="9" t="s">
        <v>68</v>
      </c>
      <c r="P816" s="9" t="s">
        <v>615</v>
      </c>
      <c r="Q816" s="11"/>
      <c r="R816" s="10"/>
      <c r="S816" s="10"/>
      <c r="T816" s="10"/>
      <c r="U816" s="9" t="s">
        <v>136</v>
      </c>
      <c r="V816" t="s">
        <v>322</v>
      </c>
      <c r="W816" t="s">
        <v>178</v>
      </c>
      <c r="X816" t="s">
        <v>332</v>
      </c>
      <c r="Y816" t="s">
        <v>179</v>
      </c>
      <c r="Z816" t="s">
        <v>179</v>
      </c>
      <c r="AB816" t="str">
        <f t="shared" si="38"/>
        <v>24263</v>
      </c>
    </row>
    <row r="817" ht="14.25" spans="1:28">
      <c r="A817" s="5" t="s">
        <v>28</v>
      </c>
      <c r="B817" s="5" t="s">
        <v>264</v>
      </c>
      <c r="C817" s="5">
        <v>2027</v>
      </c>
      <c r="D817" s="5" t="s">
        <v>30</v>
      </c>
      <c r="E817" s="9" t="s">
        <v>626</v>
      </c>
      <c r="F817" s="9" t="s">
        <v>621</v>
      </c>
      <c r="G817" s="9" t="s">
        <v>330</v>
      </c>
      <c r="H817" s="9" t="s">
        <v>627</v>
      </c>
      <c r="I817" s="9" t="s">
        <v>276</v>
      </c>
      <c r="J817" s="9" t="s">
        <v>72</v>
      </c>
      <c r="K817" s="9">
        <v>1190</v>
      </c>
      <c r="L817" s="9"/>
      <c r="M817" s="9"/>
      <c r="N817" s="9"/>
      <c r="O817" s="9" t="s">
        <v>68</v>
      </c>
      <c r="P817" s="9" t="s">
        <v>616</v>
      </c>
      <c r="Q817" s="11"/>
      <c r="R817" s="10"/>
      <c r="S817" s="10"/>
      <c r="T817" s="10"/>
      <c r="U817" s="9" t="s">
        <v>136</v>
      </c>
      <c r="V817" t="s">
        <v>322</v>
      </c>
      <c r="W817" t="s">
        <v>178</v>
      </c>
      <c r="X817" t="s">
        <v>332</v>
      </c>
      <c r="Y817" t="s">
        <v>179</v>
      </c>
      <c r="Z817" t="s">
        <v>179</v>
      </c>
      <c r="AB817" t="str">
        <f t="shared" si="38"/>
        <v>24263</v>
      </c>
    </row>
    <row r="818" ht="14.25" spans="1:28">
      <c r="A818" s="5" t="s">
        <v>28</v>
      </c>
      <c r="B818" s="5" t="s">
        <v>264</v>
      </c>
      <c r="C818" s="5">
        <v>2027</v>
      </c>
      <c r="D818" s="5" t="s">
        <v>30</v>
      </c>
      <c r="E818" s="9" t="s">
        <v>626</v>
      </c>
      <c r="F818" s="9" t="s">
        <v>621</v>
      </c>
      <c r="G818" s="9" t="s">
        <v>330</v>
      </c>
      <c r="H818" s="9" t="s">
        <v>627</v>
      </c>
      <c r="I818" s="9" t="s">
        <v>276</v>
      </c>
      <c r="J818" s="9" t="s">
        <v>72</v>
      </c>
      <c r="K818" s="9">
        <v>1190</v>
      </c>
      <c r="L818" s="9"/>
      <c r="M818" s="9"/>
      <c r="N818" s="9"/>
      <c r="O818" s="9" t="s">
        <v>68</v>
      </c>
      <c r="P818" s="9" t="s">
        <v>318</v>
      </c>
      <c r="Q818" s="9"/>
      <c r="R818" s="10"/>
      <c r="S818" s="10"/>
      <c r="T818" s="10"/>
      <c r="U818" s="9" t="s">
        <v>136</v>
      </c>
      <c r="V818" t="s">
        <v>322</v>
      </c>
      <c r="W818" t="s">
        <v>178</v>
      </c>
      <c r="X818" t="s">
        <v>332</v>
      </c>
      <c r="Y818" t="s">
        <v>179</v>
      </c>
      <c r="Z818" t="s">
        <v>179</v>
      </c>
      <c r="AB818" t="str">
        <f t="shared" si="38"/>
        <v>24263</v>
      </c>
    </row>
    <row r="819" ht="14.25" spans="1:28">
      <c r="A819" s="5" t="s">
        <v>28</v>
      </c>
      <c r="B819" s="5" t="s">
        <v>264</v>
      </c>
      <c r="C819" s="5">
        <v>2027</v>
      </c>
      <c r="D819" s="5" t="s">
        <v>30</v>
      </c>
      <c r="E819" s="9" t="s">
        <v>626</v>
      </c>
      <c r="F819" s="9" t="s">
        <v>621</v>
      </c>
      <c r="G819" s="9" t="s">
        <v>330</v>
      </c>
      <c r="H819" s="9" t="s">
        <v>627</v>
      </c>
      <c r="I819" s="9" t="s">
        <v>276</v>
      </c>
      <c r="J819" s="9" t="s">
        <v>72</v>
      </c>
      <c r="K819" s="9">
        <v>1190</v>
      </c>
      <c r="L819" s="9"/>
      <c r="M819" s="9"/>
      <c r="N819" s="9"/>
      <c r="O819" s="9" t="s">
        <v>68</v>
      </c>
      <c r="P819" s="9" t="s">
        <v>69</v>
      </c>
      <c r="Q819" s="9"/>
      <c r="R819" s="10"/>
      <c r="S819" s="10"/>
      <c r="T819" s="10"/>
      <c r="U819" s="9" t="s">
        <v>136</v>
      </c>
      <c r="V819" t="s">
        <v>322</v>
      </c>
      <c r="W819" t="s">
        <v>178</v>
      </c>
      <c r="X819" t="s">
        <v>332</v>
      </c>
      <c r="Y819" t="s">
        <v>179</v>
      </c>
      <c r="Z819" t="s">
        <v>179</v>
      </c>
      <c r="AB819" t="str">
        <f t="shared" si="38"/>
        <v>24263</v>
      </c>
    </row>
    <row r="820" ht="14.25" spans="1:28">
      <c r="A820" s="5" t="s">
        <v>28</v>
      </c>
      <c r="B820" s="5" t="s">
        <v>264</v>
      </c>
      <c r="C820" s="5">
        <v>2027</v>
      </c>
      <c r="D820" s="5" t="s">
        <v>30</v>
      </c>
      <c r="E820" s="9" t="s">
        <v>628</v>
      </c>
      <c r="F820" s="9" t="s">
        <v>618</v>
      </c>
      <c r="G820" s="9" t="s">
        <v>629</v>
      </c>
      <c r="H820" s="9" t="s">
        <v>630</v>
      </c>
      <c r="I820" s="9" t="s">
        <v>269</v>
      </c>
      <c r="J820" s="9" t="s">
        <v>72</v>
      </c>
      <c r="K820" s="9">
        <v>1190</v>
      </c>
      <c r="L820" s="9"/>
      <c r="M820" s="9"/>
      <c r="N820" s="9"/>
      <c r="O820" s="9" t="s">
        <v>68</v>
      </c>
      <c r="P820" s="9" t="s">
        <v>614</v>
      </c>
      <c r="Q820" s="9"/>
      <c r="R820" s="10">
        <f t="shared" si="36"/>
        <v>0</v>
      </c>
      <c r="S820" s="10">
        <f>SUMIFS([1]Sheet1!$T:$T,[1]Sheet1!$I:$I,E820,[1]Sheet1!$C:$C,A820)</f>
        <v>0</v>
      </c>
      <c r="T820" s="10">
        <f t="shared" si="37"/>
        <v>0</v>
      </c>
      <c r="U820" s="9"/>
      <c r="Y820" t="s">
        <v>179</v>
      </c>
      <c r="Z820" t="s">
        <v>179</v>
      </c>
      <c r="AB820" t="str">
        <f t="shared" si="38"/>
        <v>24279</v>
      </c>
    </row>
    <row r="821" ht="14.25" spans="1:28">
      <c r="A821" s="5" t="s">
        <v>28</v>
      </c>
      <c r="B821" s="5" t="s">
        <v>264</v>
      </c>
      <c r="C821" s="5">
        <v>2027</v>
      </c>
      <c r="D821" s="5" t="s">
        <v>30</v>
      </c>
      <c r="E821" s="9" t="s">
        <v>628</v>
      </c>
      <c r="F821" s="9" t="s">
        <v>618</v>
      </c>
      <c r="G821" s="9" t="s">
        <v>629</v>
      </c>
      <c r="H821" s="9" t="s">
        <v>630</v>
      </c>
      <c r="I821" s="9" t="s">
        <v>269</v>
      </c>
      <c r="J821" s="9" t="s">
        <v>72</v>
      </c>
      <c r="K821" s="9">
        <v>1190</v>
      </c>
      <c r="L821" s="9"/>
      <c r="M821" s="9"/>
      <c r="N821" s="9"/>
      <c r="O821" s="9" t="s">
        <v>68</v>
      </c>
      <c r="P821" s="9" t="s">
        <v>615</v>
      </c>
      <c r="Q821" s="9"/>
      <c r="R821" s="10"/>
      <c r="S821" s="10"/>
      <c r="T821" s="10"/>
      <c r="U821" s="9"/>
      <c r="Y821" t="s">
        <v>179</v>
      </c>
      <c r="Z821" t="s">
        <v>179</v>
      </c>
      <c r="AB821" t="str">
        <f t="shared" si="38"/>
        <v>24279</v>
      </c>
    </row>
    <row r="822" ht="14.25" spans="1:28">
      <c r="A822" s="5" t="s">
        <v>28</v>
      </c>
      <c r="B822" s="5" t="s">
        <v>264</v>
      </c>
      <c r="C822" s="5">
        <v>2027</v>
      </c>
      <c r="D822" s="5" t="s">
        <v>30</v>
      </c>
      <c r="E822" s="9" t="s">
        <v>628</v>
      </c>
      <c r="F822" s="9" t="s">
        <v>618</v>
      </c>
      <c r="G822" s="9" t="s">
        <v>629</v>
      </c>
      <c r="H822" s="9" t="s">
        <v>630</v>
      </c>
      <c r="I822" s="9" t="s">
        <v>269</v>
      </c>
      <c r="J822" s="9" t="s">
        <v>72</v>
      </c>
      <c r="K822" s="9">
        <v>1190</v>
      </c>
      <c r="L822" s="9"/>
      <c r="M822" s="9"/>
      <c r="N822" s="9"/>
      <c r="O822" s="9" t="s">
        <v>68</v>
      </c>
      <c r="P822" s="9" t="s">
        <v>616</v>
      </c>
      <c r="Q822" s="9"/>
      <c r="R822" s="10"/>
      <c r="S822" s="10"/>
      <c r="T822" s="10"/>
      <c r="U822" s="9"/>
      <c r="Y822" t="s">
        <v>179</v>
      </c>
      <c r="Z822" t="s">
        <v>179</v>
      </c>
      <c r="AB822" t="str">
        <f t="shared" si="38"/>
        <v>24279</v>
      </c>
    </row>
    <row r="823" ht="14.25" spans="1:28">
      <c r="A823" s="5" t="s">
        <v>28</v>
      </c>
      <c r="B823" s="5" t="s">
        <v>264</v>
      </c>
      <c r="C823" s="5">
        <v>2027</v>
      </c>
      <c r="D823" s="5" t="s">
        <v>30</v>
      </c>
      <c r="E823" s="9" t="s">
        <v>628</v>
      </c>
      <c r="F823" s="9" t="s">
        <v>618</v>
      </c>
      <c r="G823" s="9" t="s">
        <v>629</v>
      </c>
      <c r="H823" s="9" t="s">
        <v>630</v>
      </c>
      <c r="I823" s="9" t="s">
        <v>269</v>
      </c>
      <c r="J823" s="9" t="s">
        <v>72</v>
      </c>
      <c r="K823" s="9">
        <v>1190</v>
      </c>
      <c r="L823" s="9"/>
      <c r="M823" s="9"/>
      <c r="N823" s="9"/>
      <c r="O823" s="9" t="s">
        <v>68</v>
      </c>
      <c r="P823" s="9" t="s">
        <v>318</v>
      </c>
      <c r="Q823" s="9"/>
      <c r="R823" s="10"/>
      <c r="S823" s="10"/>
      <c r="T823" s="10"/>
      <c r="U823" s="9"/>
      <c r="Y823" t="s">
        <v>179</v>
      </c>
      <c r="Z823" t="s">
        <v>179</v>
      </c>
      <c r="AB823" t="str">
        <f t="shared" si="38"/>
        <v>24279</v>
      </c>
    </row>
    <row r="824" ht="14.25" spans="1:28">
      <c r="A824" s="5" t="s">
        <v>28</v>
      </c>
      <c r="B824" s="5" t="s">
        <v>264</v>
      </c>
      <c r="C824" s="5">
        <v>2027</v>
      </c>
      <c r="D824" s="5" t="s">
        <v>30</v>
      </c>
      <c r="E824" s="9" t="s">
        <v>628</v>
      </c>
      <c r="F824" s="9" t="s">
        <v>618</v>
      </c>
      <c r="G824" s="9" t="s">
        <v>629</v>
      </c>
      <c r="H824" s="9" t="s">
        <v>630</v>
      </c>
      <c r="I824" s="9" t="s">
        <v>269</v>
      </c>
      <c r="J824" s="9" t="s">
        <v>72</v>
      </c>
      <c r="K824" s="9">
        <v>1190</v>
      </c>
      <c r="L824" s="9"/>
      <c r="M824" s="9"/>
      <c r="N824" s="9"/>
      <c r="O824" s="9" t="s">
        <v>68</v>
      </c>
      <c r="P824" s="9" t="s">
        <v>69</v>
      </c>
      <c r="Q824" s="11"/>
      <c r="R824" s="10"/>
      <c r="S824" s="10"/>
      <c r="T824" s="10"/>
      <c r="U824" s="9"/>
      <c r="Y824" t="s">
        <v>179</v>
      </c>
      <c r="Z824" t="s">
        <v>179</v>
      </c>
      <c r="AB824" t="str">
        <f t="shared" si="38"/>
        <v>24279</v>
      </c>
    </row>
    <row r="825" ht="14.25" spans="1:28">
      <c r="A825" s="5" t="s">
        <v>28</v>
      </c>
      <c r="B825" s="5" t="s">
        <v>264</v>
      </c>
      <c r="C825" s="5">
        <v>2027</v>
      </c>
      <c r="D825" s="5" t="s">
        <v>30</v>
      </c>
      <c r="E825" s="9" t="s">
        <v>631</v>
      </c>
      <c r="F825" s="9" t="s">
        <v>632</v>
      </c>
      <c r="G825" s="9" t="s">
        <v>330</v>
      </c>
      <c r="H825" s="9" t="s">
        <v>633</v>
      </c>
      <c r="I825" s="9" t="s">
        <v>276</v>
      </c>
      <c r="J825" s="9" t="s">
        <v>36</v>
      </c>
      <c r="K825" s="9">
        <v>790</v>
      </c>
      <c r="L825" s="9"/>
      <c r="M825" s="9"/>
      <c r="N825" s="9"/>
      <c r="O825" s="9" t="s">
        <v>68</v>
      </c>
      <c r="P825" s="9" t="s">
        <v>634</v>
      </c>
      <c r="Q825" s="11"/>
      <c r="R825" s="10">
        <f t="shared" si="36"/>
        <v>0</v>
      </c>
      <c r="S825" s="10">
        <f>SUMIFS([1]Sheet1!$T:$T,[1]Sheet1!$I:$I,E825,[1]Sheet1!$C:$C,A825)</f>
        <v>0</v>
      </c>
      <c r="T825" s="10">
        <f t="shared" si="37"/>
        <v>0</v>
      </c>
      <c r="U825" s="9"/>
      <c r="X825" t="s">
        <v>332</v>
      </c>
      <c r="Y825" t="s">
        <v>179</v>
      </c>
      <c r="Z825" t="s">
        <v>179</v>
      </c>
      <c r="AB825" t="str">
        <f t="shared" si="38"/>
        <v>24315</v>
      </c>
    </row>
    <row r="826" ht="14.25" spans="1:28">
      <c r="A826" s="5" t="s">
        <v>28</v>
      </c>
      <c r="B826" s="5" t="s">
        <v>264</v>
      </c>
      <c r="C826" s="5">
        <v>2027</v>
      </c>
      <c r="D826" s="5" t="s">
        <v>30</v>
      </c>
      <c r="E826" s="9" t="s">
        <v>631</v>
      </c>
      <c r="F826" s="9" t="s">
        <v>632</v>
      </c>
      <c r="G826" s="9" t="s">
        <v>330</v>
      </c>
      <c r="H826" s="9" t="s">
        <v>633</v>
      </c>
      <c r="I826" s="9" t="s">
        <v>276</v>
      </c>
      <c r="J826" s="9" t="s">
        <v>36</v>
      </c>
      <c r="K826" s="9">
        <v>790</v>
      </c>
      <c r="L826" s="9"/>
      <c r="M826" s="9"/>
      <c r="N826" s="9"/>
      <c r="O826" s="9" t="s">
        <v>68</v>
      </c>
      <c r="P826" s="9" t="s">
        <v>614</v>
      </c>
      <c r="Q826" s="11"/>
      <c r="R826" s="10"/>
      <c r="S826" s="10"/>
      <c r="T826" s="10"/>
      <c r="U826" s="9"/>
      <c r="X826" t="s">
        <v>332</v>
      </c>
      <c r="Y826" t="s">
        <v>179</v>
      </c>
      <c r="Z826" t="s">
        <v>179</v>
      </c>
      <c r="AB826" t="str">
        <f t="shared" si="38"/>
        <v>24315</v>
      </c>
    </row>
    <row r="827" ht="14.25" spans="1:28">
      <c r="A827" s="5" t="s">
        <v>28</v>
      </c>
      <c r="B827" s="5" t="s">
        <v>264</v>
      </c>
      <c r="C827" s="5">
        <v>2027</v>
      </c>
      <c r="D827" s="5" t="s">
        <v>30</v>
      </c>
      <c r="E827" s="9" t="s">
        <v>631</v>
      </c>
      <c r="F827" s="9" t="s">
        <v>632</v>
      </c>
      <c r="G827" s="9" t="s">
        <v>330</v>
      </c>
      <c r="H827" s="9" t="s">
        <v>633</v>
      </c>
      <c r="I827" s="9" t="s">
        <v>276</v>
      </c>
      <c r="J827" s="9" t="s">
        <v>36</v>
      </c>
      <c r="K827" s="9">
        <v>790</v>
      </c>
      <c r="L827" s="9"/>
      <c r="M827" s="9"/>
      <c r="N827" s="9"/>
      <c r="O827" s="9" t="s">
        <v>68</v>
      </c>
      <c r="P827" s="9" t="s">
        <v>615</v>
      </c>
      <c r="Q827" s="11"/>
      <c r="R827" s="10"/>
      <c r="S827" s="10"/>
      <c r="T827" s="10"/>
      <c r="U827" s="9"/>
      <c r="X827" t="s">
        <v>332</v>
      </c>
      <c r="Y827" t="s">
        <v>179</v>
      </c>
      <c r="Z827" t="s">
        <v>179</v>
      </c>
      <c r="AB827" t="str">
        <f t="shared" si="38"/>
        <v>24315</v>
      </c>
    </row>
    <row r="828" ht="14.25" spans="1:28">
      <c r="A828" s="5" t="s">
        <v>28</v>
      </c>
      <c r="B828" s="5" t="s">
        <v>264</v>
      </c>
      <c r="C828" s="5">
        <v>2027</v>
      </c>
      <c r="D828" s="5" t="s">
        <v>30</v>
      </c>
      <c r="E828" s="9" t="s">
        <v>631</v>
      </c>
      <c r="F828" s="9" t="s">
        <v>632</v>
      </c>
      <c r="G828" s="9" t="s">
        <v>330</v>
      </c>
      <c r="H828" s="9" t="s">
        <v>633</v>
      </c>
      <c r="I828" s="9" t="s">
        <v>276</v>
      </c>
      <c r="J828" s="9" t="s">
        <v>36</v>
      </c>
      <c r="K828" s="9">
        <v>790</v>
      </c>
      <c r="L828" s="9"/>
      <c r="M828" s="9"/>
      <c r="N828" s="9"/>
      <c r="O828" s="9" t="s">
        <v>68</v>
      </c>
      <c r="P828" s="9" t="s">
        <v>616</v>
      </c>
      <c r="Q828" s="11"/>
      <c r="R828" s="10"/>
      <c r="S828" s="10"/>
      <c r="T828" s="10"/>
      <c r="U828" s="9"/>
      <c r="X828" t="s">
        <v>332</v>
      </c>
      <c r="Y828" t="s">
        <v>179</v>
      </c>
      <c r="Z828" t="s">
        <v>179</v>
      </c>
      <c r="AB828" t="str">
        <f t="shared" si="38"/>
        <v>24315</v>
      </c>
    </row>
    <row r="829" ht="14.25" spans="1:28">
      <c r="A829" s="5" t="s">
        <v>28</v>
      </c>
      <c r="B829" s="5" t="s">
        <v>264</v>
      </c>
      <c r="C829" s="5">
        <v>2027</v>
      </c>
      <c r="D829" s="5" t="s">
        <v>30</v>
      </c>
      <c r="E829" s="9" t="s">
        <v>631</v>
      </c>
      <c r="F829" s="9" t="s">
        <v>632</v>
      </c>
      <c r="G829" s="9" t="s">
        <v>330</v>
      </c>
      <c r="H829" s="9" t="s">
        <v>633</v>
      </c>
      <c r="I829" s="9" t="s">
        <v>276</v>
      </c>
      <c r="J829" s="9" t="s">
        <v>36</v>
      </c>
      <c r="K829" s="9">
        <v>790</v>
      </c>
      <c r="L829" s="9"/>
      <c r="M829" s="9"/>
      <c r="N829" s="9"/>
      <c r="O829" s="9" t="s">
        <v>68</v>
      </c>
      <c r="P829" s="9" t="s">
        <v>318</v>
      </c>
      <c r="Q829" s="11"/>
      <c r="R829" s="10"/>
      <c r="S829" s="10"/>
      <c r="T829" s="10"/>
      <c r="U829" s="9"/>
      <c r="X829" t="s">
        <v>332</v>
      </c>
      <c r="Y829" t="s">
        <v>179</v>
      </c>
      <c r="Z829" t="s">
        <v>179</v>
      </c>
      <c r="AB829" t="str">
        <f t="shared" si="38"/>
        <v>24315</v>
      </c>
    </row>
    <row r="830" ht="14.25" spans="1:28">
      <c r="A830" s="5" t="s">
        <v>28</v>
      </c>
      <c r="B830" s="5" t="s">
        <v>264</v>
      </c>
      <c r="C830" s="5">
        <v>2027</v>
      </c>
      <c r="D830" s="5" t="s">
        <v>30</v>
      </c>
      <c r="E830" s="9" t="s">
        <v>631</v>
      </c>
      <c r="F830" s="9" t="s">
        <v>632</v>
      </c>
      <c r="G830" s="9" t="s">
        <v>330</v>
      </c>
      <c r="H830" s="9" t="s">
        <v>633</v>
      </c>
      <c r="I830" s="9" t="s">
        <v>276</v>
      </c>
      <c r="J830" s="9" t="s">
        <v>36</v>
      </c>
      <c r="K830" s="9">
        <v>790</v>
      </c>
      <c r="L830" s="9"/>
      <c r="M830" s="9"/>
      <c r="N830" s="9"/>
      <c r="O830" s="9" t="s">
        <v>68</v>
      </c>
      <c r="P830" s="9" t="s">
        <v>69</v>
      </c>
      <c r="Q830" s="9"/>
      <c r="R830" s="10"/>
      <c r="S830" s="10"/>
      <c r="T830" s="10"/>
      <c r="U830" s="9"/>
      <c r="X830" t="s">
        <v>332</v>
      </c>
      <c r="Y830" t="s">
        <v>179</v>
      </c>
      <c r="Z830" t="s">
        <v>179</v>
      </c>
      <c r="AB830" t="str">
        <f t="shared" si="38"/>
        <v>24315</v>
      </c>
    </row>
    <row r="831" ht="14.25" spans="1:28">
      <c r="A831" s="5" t="s">
        <v>28</v>
      </c>
      <c r="B831" s="5" t="s">
        <v>264</v>
      </c>
      <c r="C831" s="5">
        <v>2027</v>
      </c>
      <c r="D831" s="5" t="s">
        <v>30</v>
      </c>
      <c r="E831" s="9" t="s">
        <v>635</v>
      </c>
      <c r="F831" s="9" t="s">
        <v>636</v>
      </c>
      <c r="G831" s="9" t="s">
        <v>330</v>
      </c>
      <c r="H831" s="9" t="s">
        <v>637</v>
      </c>
      <c r="I831" s="9" t="s">
        <v>269</v>
      </c>
      <c r="J831" s="9" t="s">
        <v>36</v>
      </c>
      <c r="K831" s="9">
        <v>1190</v>
      </c>
      <c r="L831" s="9"/>
      <c r="M831" s="9"/>
      <c r="N831" s="9"/>
      <c r="O831" s="9" t="s">
        <v>37</v>
      </c>
      <c r="P831" s="9" t="s">
        <v>38</v>
      </c>
      <c r="Q831" s="9"/>
      <c r="R831" s="10">
        <f t="shared" si="36"/>
        <v>0</v>
      </c>
      <c r="S831" s="10">
        <f>SUMIFS([1]Sheet1!$T:$T,[1]Sheet1!$I:$I,E831,[1]Sheet1!$C:$C,A831)</f>
        <v>0</v>
      </c>
      <c r="T831" s="10">
        <f t="shared" si="37"/>
        <v>0</v>
      </c>
      <c r="U831" s="9" t="s">
        <v>638</v>
      </c>
      <c r="V831" t="s">
        <v>638</v>
      </c>
      <c r="W831" t="s">
        <v>178</v>
      </c>
      <c r="X831" t="s">
        <v>332</v>
      </c>
      <c r="Y831" t="s">
        <v>179</v>
      </c>
      <c r="Z831" t="s">
        <v>179</v>
      </c>
      <c r="AB831" t="str">
        <f t="shared" si="38"/>
        <v>24325</v>
      </c>
    </row>
    <row r="832" ht="14.25" spans="1:28">
      <c r="A832" s="5" t="s">
        <v>28</v>
      </c>
      <c r="B832" s="5" t="s">
        <v>264</v>
      </c>
      <c r="C832" s="5">
        <v>2027</v>
      </c>
      <c r="D832" s="5" t="s">
        <v>30</v>
      </c>
      <c r="E832" s="9" t="s">
        <v>635</v>
      </c>
      <c r="F832" s="9" t="s">
        <v>636</v>
      </c>
      <c r="G832" s="9" t="s">
        <v>330</v>
      </c>
      <c r="H832" s="9" t="s">
        <v>637</v>
      </c>
      <c r="I832" s="9" t="s">
        <v>269</v>
      </c>
      <c r="J832" s="9" t="s">
        <v>36</v>
      </c>
      <c r="K832" s="9">
        <v>1190</v>
      </c>
      <c r="L832" s="9"/>
      <c r="M832" s="9"/>
      <c r="N832" s="9"/>
      <c r="O832" s="9" t="s">
        <v>37</v>
      </c>
      <c r="P832" s="9" t="s">
        <v>42</v>
      </c>
      <c r="Q832" s="9"/>
      <c r="R832" s="10"/>
      <c r="S832" s="10"/>
      <c r="T832" s="10"/>
      <c r="U832" s="9" t="s">
        <v>638</v>
      </c>
      <c r="V832" t="s">
        <v>638</v>
      </c>
      <c r="W832" t="s">
        <v>178</v>
      </c>
      <c r="X832" t="s">
        <v>332</v>
      </c>
      <c r="Y832" t="s">
        <v>179</v>
      </c>
      <c r="Z832" t="s">
        <v>179</v>
      </c>
      <c r="AB832" t="str">
        <f t="shared" si="38"/>
        <v>24325</v>
      </c>
    </row>
    <row r="833" ht="14.25" spans="1:28">
      <c r="A833" s="5" t="s">
        <v>28</v>
      </c>
      <c r="B833" s="5" t="s">
        <v>264</v>
      </c>
      <c r="C833" s="5">
        <v>2027</v>
      </c>
      <c r="D833" s="5" t="s">
        <v>30</v>
      </c>
      <c r="E833" s="9" t="s">
        <v>635</v>
      </c>
      <c r="F833" s="9" t="s">
        <v>636</v>
      </c>
      <c r="G833" s="9" t="s">
        <v>330</v>
      </c>
      <c r="H833" s="9" t="s">
        <v>637</v>
      </c>
      <c r="I833" s="9" t="s">
        <v>269</v>
      </c>
      <c r="J833" s="9" t="s">
        <v>36</v>
      </c>
      <c r="K833" s="9">
        <v>1190</v>
      </c>
      <c r="L833" s="9"/>
      <c r="M833" s="9"/>
      <c r="N833" s="9"/>
      <c r="O833" s="9" t="s">
        <v>37</v>
      </c>
      <c r="P833" s="9" t="s">
        <v>43</v>
      </c>
      <c r="Q833" s="9"/>
      <c r="R833" s="10"/>
      <c r="S833" s="10"/>
      <c r="T833" s="10"/>
      <c r="U833" s="9" t="s">
        <v>638</v>
      </c>
      <c r="V833" t="s">
        <v>638</v>
      </c>
      <c r="W833" t="s">
        <v>178</v>
      </c>
      <c r="X833" t="s">
        <v>332</v>
      </c>
      <c r="Y833" t="s">
        <v>179</v>
      </c>
      <c r="Z833" t="s">
        <v>179</v>
      </c>
      <c r="AB833" t="str">
        <f t="shared" si="38"/>
        <v>24325</v>
      </c>
    </row>
    <row r="834" ht="14.25" spans="1:28">
      <c r="A834" s="5" t="s">
        <v>28</v>
      </c>
      <c r="B834" s="5" t="s">
        <v>264</v>
      </c>
      <c r="C834" s="5">
        <v>2027</v>
      </c>
      <c r="D834" s="5" t="s">
        <v>30</v>
      </c>
      <c r="E834" s="9" t="s">
        <v>635</v>
      </c>
      <c r="F834" s="9" t="s">
        <v>636</v>
      </c>
      <c r="G834" s="9" t="s">
        <v>330</v>
      </c>
      <c r="H834" s="9" t="s">
        <v>637</v>
      </c>
      <c r="I834" s="9" t="s">
        <v>269</v>
      </c>
      <c r="J834" s="9" t="s">
        <v>36</v>
      </c>
      <c r="K834" s="9">
        <v>1190</v>
      </c>
      <c r="L834" s="9"/>
      <c r="M834" s="9"/>
      <c r="N834" s="9"/>
      <c r="O834" s="9" t="s">
        <v>37</v>
      </c>
      <c r="P834" s="9" t="s">
        <v>44</v>
      </c>
      <c r="Q834" s="9"/>
      <c r="R834" s="10"/>
      <c r="S834" s="10"/>
      <c r="T834" s="10"/>
      <c r="U834" s="9" t="s">
        <v>638</v>
      </c>
      <c r="V834" t="s">
        <v>638</v>
      </c>
      <c r="W834" t="s">
        <v>178</v>
      </c>
      <c r="X834" t="s">
        <v>332</v>
      </c>
      <c r="Y834" t="s">
        <v>179</v>
      </c>
      <c r="Z834" t="s">
        <v>179</v>
      </c>
      <c r="AB834" t="str">
        <f t="shared" si="38"/>
        <v>24325</v>
      </c>
    </row>
    <row r="835" ht="14.25" spans="1:28">
      <c r="A835" s="5" t="s">
        <v>28</v>
      </c>
      <c r="B835" s="5" t="s">
        <v>264</v>
      </c>
      <c r="C835" s="5">
        <v>2027</v>
      </c>
      <c r="D835" s="5" t="s">
        <v>30</v>
      </c>
      <c r="E835" s="9" t="s">
        <v>635</v>
      </c>
      <c r="F835" s="9" t="s">
        <v>636</v>
      </c>
      <c r="G835" s="9" t="s">
        <v>330</v>
      </c>
      <c r="H835" s="9" t="s">
        <v>637</v>
      </c>
      <c r="I835" s="9" t="s">
        <v>269</v>
      </c>
      <c r="J835" s="9" t="s">
        <v>36</v>
      </c>
      <c r="K835" s="9">
        <v>1190</v>
      </c>
      <c r="L835" s="9"/>
      <c r="M835" s="9"/>
      <c r="N835" s="9"/>
      <c r="O835" s="9" t="s">
        <v>37</v>
      </c>
      <c r="P835" s="9" t="s">
        <v>45</v>
      </c>
      <c r="Q835" s="9"/>
      <c r="R835" s="10"/>
      <c r="S835" s="10"/>
      <c r="T835" s="10"/>
      <c r="U835" s="9" t="s">
        <v>638</v>
      </c>
      <c r="V835" t="s">
        <v>638</v>
      </c>
      <c r="W835" t="s">
        <v>178</v>
      </c>
      <c r="X835" t="s">
        <v>332</v>
      </c>
      <c r="Y835" t="s">
        <v>179</v>
      </c>
      <c r="Z835" t="s">
        <v>179</v>
      </c>
      <c r="AB835" t="str">
        <f t="shared" ref="AB835:AB898" si="39">MID(E835,6,5)</f>
        <v>24325</v>
      </c>
    </row>
    <row r="836" ht="14.25" spans="1:28">
      <c r="A836" s="5" t="s">
        <v>28</v>
      </c>
      <c r="B836" s="5" t="s">
        <v>264</v>
      </c>
      <c r="C836" s="5">
        <v>2027</v>
      </c>
      <c r="D836" s="5" t="s">
        <v>30</v>
      </c>
      <c r="E836" s="9" t="s">
        <v>639</v>
      </c>
      <c r="F836" s="9" t="s">
        <v>334</v>
      </c>
      <c r="G836" s="9" t="s">
        <v>311</v>
      </c>
      <c r="H836" s="9" t="s">
        <v>640</v>
      </c>
      <c r="I836" s="9" t="s">
        <v>269</v>
      </c>
      <c r="J836" s="9" t="s">
        <v>36</v>
      </c>
      <c r="K836" s="9">
        <v>1790</v>
      </c>
      <c r="L836" s="9"/>
      <c r="M836" s="9"/>
      <c r="N836" s="9"/>
      <c r="O836" s="9" t="s">
        <v>37</v>
      </c>
      <c r="P836" s="9" t="s">
        <v>38</v>
      </c>
      <c r="Q836" s="9"/>
      <c r="R836" s="10">
        <f t="shared" ref="R834:R897" si="40">SUMIFS(Q:Q,E:E,E836)</f>
        <v>0</v>
      </c>
      <c r="S836" s="10">
        <f>SUMIFS([1]Sheet1!$T:$T,[1]Sheet1!$I:$I,E836,[1]Sheet1!$C:$C,A836)</f>
        <v>6</v>
      </c>
      <c r="T836" s="10">
        <f t="shared" ref="T834:T897" si="41">R836-S836</f>
        <v>-6</v>
      </c>
      <c r="U836" s="9" t="s">
        <v>242</v>
      </c>
      <c r="V836" t="s">
        <v>242</v>
      </c>
      <c r="W836" t="s">
        <v>178</v>
      </c>
      <c r="X836" t="s">
        <v>313</v>
      </c>
      <c r="Y836" t="s">
        <v>179</v>
      </c>
      <c r="Z836" t="s">
        <v>179</v>
      </c>
      <c r="AB836" t="str">
        <f t="shared" si="39"/>
        <v>24328</v>
      </c>
    </row>
    <row r="837" ht="14.25" spans="1:28">
      <c r="A837" s="5" t="s">
        <v>28</v>
      </c>
      <c r="B837" s="5" t="s">
        <v>264</v>
      </c>
      <c r="C837" s="5">
        <v>2027</v>
      </c>
      <c r="D837" s="5" t="s">
        <v>30</v>
      </c>
      <c r="E837" s="9" t="s">
        <v>639</v>
      </c>
      <c r="F837" s="9" t="s">
        <v>334</v>
      </c>
      <c r="G837" s="9" t="s">
        <v>311</v>
      </c>
      <c r="H837" s="9" t="s">
        <v>640</v>
      </c>
      <c r="I837" s="9" t="s">
        <v>269</v>
      </c>
      <c r="J837" s="9" t="s">
        <v>36</v>
      </c>
      <c r="K837" s="9">
        <v>1790</v>
      </c>
      <c r="L837" s="9"/>
      <c r="M837" s="9"/>
      <c r="N837" s="9"/>
      <c r="O837" s="9" t="s">
        <v>37</v>
      </c>
      <c r="P837" s="9" t="s">
        <v>42</v>
      </c>
      <c r="Q837" s="9"/>
      <c r="R837" s="10"/>
      <c r="S837" s="10"/>
      <c r="T837" s="10"/>
      <c r="U837" s="9" t="s">
        <v>242</v>
      </c>
      <c r="V837" t="s">
        <v>242</v>
      </c>
      <c r="W837" t="s">
        <v>178</v>
      </c>
      <c r="X837" t="s">
        <v>313</v>
      </c>
      <c r="Y837" t="s">
        <v>179</v>
      </c>
      <c r="Z837" t="s">
        <v>179</v>
      </c>
      <c r="AB837" t="str">
        <f t="shared" si="39"/>
        <v>24328</v>
      </c>
    </row>
    <row r="838" ht="14.25" spans="1:28">
      <c r="A838" s="5" t="s">
        <v>28</v>
      </c>
      <c r="B838" s="5" t="s">
        <v>264</v>
      </c>
      <c r="C838" s="5">
        <v>2027</v>
      </c>
      <c r="D838" s="5" t="s">
        <v>30</v>
      </c>
      <c r="E838" s="9" t="s">
        <v>639</v>
      </c>
      <c r="F838" s="9" t="s">
        <v>334</v>
      </c>
      <c r="G838" s="9" t="s">
        <v>311</v>
      </c>
      <c r="H838" s="9" t="s">
        <v>640</v>
      </c>
      <c r="I838" s="9" t="s">
        <v>269</v>
      </c>
      <c r="J838" s="9" t="s">
        <v>36</v>
      </c>
      <c r="K838" s="9">
        <v>1790</v>
      </c>
      <c r="L838" s="9"/>
      <c r="M838" s="9"/>
      <c r="N838" s="9"/>
      <c r="O838" s="9" t="s">
        <v>37</v>
      </c>
      <c r="P838" s="9" t="s">
        <v>43</v>
      </c>
      <c r="Q838" s="9"/>
      <c r="R838" s="10"/>
      <c r="S838" s="10"/>
      <c r="T838" s="10"/>
      <c r="U838" s="9" t="s">
        <v>242</v>
      </c>
      <c r="V838" t="s">
        <v>242</v>
      </c>
      <c r="W838" t="s">
        <v>178</v>
      </c>
      <c r="X838" t="s">
        <v>313</v>
      </c>
      <c r="Y838" t="s">
        <v>179</v>
      </c>
      <c r="Z838" t="s">
        <v>179</v>
      </c>
      <c r="AB838" t="str">
        <f t="shared" si="39"/>
        <v>24328</v>
      </c>
    </row>
    <row r="839" ht="14.25" spans="1:28">
      <c r="A839" s="5" t="s">
        <v>28</v>
      </c>
      <c r="B839" s="5" t="s">
        <v>264</v>
      </c>
      <c r="C839" s="5">
        <v>2027</v>
      </c>
      <c r="D839" s="5" t="s">
        <v>30</v>
      </c>
      <c r="E839" s="9" t="s">
        <v>639</v>
      </c>
      <c r="F839" s="9" t="s">
        <v>334</v>
      </c>
      <c r="G839" s="9" t="s">
        <v>311</v>
      </c>
      <c r="H839" s="9" t="s">
        <v>640</v>
      </c>
      <c r="I839" s="9" t="s">
        <v>269</v>
      </c>
      <c r="J839" s="9" t="s">
        <v>36</v>
      </c>
      <c r="K839" s="9">
        <v>1790</v>
      </c>
      <c r="L839" s="9"/>
      <c r="M839" s="9"/>
      <c r="N839" s="9"/>
      <c r="O839" s="9" t="s">
        <v>37</v>
      </c>
      <c r="P839" s="9" t="s">
        <v>44</v>
      </c>
      <c r="Q839" s="9"/>
      <c r="R839" s="10"/>
      <c r="S839" s="10"/>
      <c r="T839" s="10"/>
      <c r="U839" s="9" t="s">
        <v>242</v>
      </c>
      <c r="V839" t="s">
        <v>242</v>
      </c>
      <c r="W839" t="s">
        <v>178</v>
      </c>
      <c r="X839" t="s">
        <v>313</v>
      </c>
      <c r="Y839" t="s">
        <v>179</v>
      </c>
      <c r="Z839" t="s">
        <v>179</v>
      </c>
      <c r="AB839" t="str">
        <f t="shared" si="39"/>
        <v>24328</v>
      </c>
    </row>
    <row r="840" ht="14.25" spans="1:28">
      <c r="A840" s="5" t="s">
        <v>28</v>
      </c>
      <c r="B840" s="5" t="s">
        <v>264</v>
      </c>
      <c r="C840" s="5">
        <v>2027</v>
      </c>
      <c r="D840" s="5" t="s">
        <v>30</v>
      </c>
      <c r="E840" s="9" t="s">
        <v>639</v>
      </c>
      <c r="F840" s="9" t="s">
        <v>334</v>
      </c>
      <c r="G840" s="9" t="s">
        <v>311</v>
      </c>
      <c r="H840" s="9" t="s">
        <v>640</v>
      </c>
      <c r="I840" s="9" t="s">
        <v>269</v>
      </c>
      <c r="J840" s="9" t="s">
        <v>36</v>
      </c>
      <c r="K840" s="9">
        <v>1790</v>
      </c>
      <c r="L840" s="9"/>
      <c r="M840" s="9"/>
      <c r="N840" s="9"/>
      <c r="O840" s="9" t="s">
        <v>37</v>
      </c>
      <c r="P840" s="9" t="s">
        <v>45</v>
      </c>
      <c r="Q840" s="9"/>
      <c r="R840" s="10"/>
      <c r="S840" s="10"/>
      <c r="T840" s="10"/>
      <c r="U840" s="9" t="s">
        <v>242</v>
      </c>
      <c r="V840" t="s">
        <v>242</v>
      </c>
      <c r="W840" t="s">
        <v>178</v>
      </c>
      <c r="X840" t="s">
        <v>313</v>
      </c>
      <c r="Y840" t="s">
        <v>179</v>
      </c>
      <c r="Z840" t="s">
        <v>179</v>
      </c>
      <c r="AB840" t="str">
        <f t="shared" si="39"/>
        <v>24328</v>
      </c>
    </row>
    <row r="841" ht="14.25" spans="1:28">
      <c r="A841" s="5" t="s">
        <v>28</v>
      </c>
      <c r="B841" s="5" t="s">
        <v>264</v>
      </c>
      <c r="C841" s="5">
        <v>2027</v>
      </c>
      <c r="D841" s="5" t="s">
        <v>30</v>
      </c>
      <c r="E841" s="9" t="s">
        <v>641</v>
      </c>
      <c r="F841" s="9" t="s">
        <v>642</v>
      </c>
      <c r="G841" s="9" t="s">
        <v>182</v>
      </c>
      <c r="H841" s="9" t="s">
        <v>643</v>
      </c>
      <c r="I841" s="9" t="s">
        <v>276</v>
      </c>
      <c r="J841" s="9" t="s">
        <v>36</v>
      </c>
      <c r="K841" s="9">
        <v>790</v>
      </c>
      <c r="L841" s="9"/>
      <c r="M841" s="9"/>
      <c r="N841" s="9"/>
      <c r="O841" s="9" t="s">
        <v>37</v>
      </c>
      <c r="P841" s="9" t="s">
        <v>38</v>
      </c>
      <c r="Q841" s="9"/>
      <c r="R841" s="10">
        <f t="shared" si="40"/>
        <v>0</v>
      </c>
      <c r="S841" s="10">
        <f>SUMIFS([1]Sheet1!$T:$T,[1]Sheet1!$I:$I,E841,[1]Sheet1!$C:$C,A841)</f>
        <v>0</v>
      </c>
      <c r="T841" s="10">
        <f t="shared" si="41"/>
        <v>0</v>
      </c>
      <c r="U841" s="9"/>
      <c r="X841" t="s">
        <v>102</v>
      </c>
      <c r="Y841" t="s">
        <v>179</v>
      </c>
      <c r="Z841" t="s">
        <v>179</v>
      </c>
      <c r="AB841" t="str">
        <f t="shared" si="39"/>
        <v>24349</v>
      </c>
    </row>
    <row r="842" ht="14.25" spans="1:28">
      <c r="A842" s="5" t="s">
        <v>28</v>
      </c>
      <c r="B842" s="5" t="s">
        <v>264</v>
      </c>
      <c r="C842" s="5">
        <v>2027</v>
      </c>
      <c r="D842" s="5" t="s">
        <v>30</v>
      </c>
      <c r="E842" s="9" t="s">
        <v>641</v>
      </c>
      <c r="F842" s="9" t="s">
        <v>642</v>
      </c>
      <c r="G842" s="9" t="s">
        <v>182</v>
      </c>
      <c r="H842" s="9" t="s">
        <v>643</v>
      </c>
      <c r="I842" s="9" t="s">
        <v>276</v>
      </c>
      <c r="J842" s="9" t="s">
        <v>36</v>
      </c>
      <c r="K842" s="9">
        <v>790</v>
      </c>
      <c r="L842" s="9"/>
      <c r="M842" s="9"/>
      <c r="N842" s="9"/>
      <c r="O842" s="9" t="s">
        <v>37</v>
      </c>
      <c r="P842" s="9" t="s">
        <v>42</v>
      </c>
      <c r="Q842" s="9"/>
      <c r="R842" s="10"/>
      <c r="S842" s="10"/>
      <c r="T842" s="10"/>
      <c r="U842" s="9"/>
      <c r="X842" t="s">
        <v>102</v>
      </c>
      <c r="Y842" t="s">
        <v>179</v>
      </c>
      <c r="Z842" t="s">
        <v>179</v>
      </c>
      <c r="AB842" t="str">
        <f t="shared" si="39"/>
        <v>24349</v>
      </c>
    </row>
    <row r="843" ht="14.25" spans="1:28">
      <c r="A843" s="5" t="s">
        <v>28</v>
      </c>
      <c r="B843" s="5" t="s">
        <v>264</v>
      </c>
      <c r="C843" s="5">
        <v>2027</v>
      </c>
      <c r="D843" s="5" t="s">
        <v>30</v>
      </c>
      <c r="E843" s="9" t="s">
        <v>641</v>
      </c>
      <c r="F843" s="9" t="s">
        <v>642</v>
      </c>
      <c r="G843" s="9" t="s">
        <v>182</v>
      </c>
      <c r="H843" s="9" t="s">
        <v>643</v>
      </c>
      <c r="I843" s="9" t="s">
        <v>276</v>
      </c>
      <c r="J843" s="9" t="s">
        <v>36</v>
      </c>
      <c r="K843" s="9">
        <v>790</v>
      </c>
      <c r="L843" s="9"/>
      <c r="M843" s="9"/>
      <c r="N843" s="9"/>
      <c r="O843" s="9" t="s">
        <v>37</v>
      </c>
      <c r="P843" s="9" t="s">
        <v>43</v>
      </c>
      <c r="Q843" s="9"/>
      <c r="R843" s="10"/>
      <c r="S843" s="10"/>
      <c r="T843" s="10"/>
      <c r="U843" s="9"/>
      <c r="X843" t="s">
        <v>102</v>
      </c>
      <c r="Y843" t="s">
        <v>179</v>
      </c>
      <c r="Z843" t="s">
        <v>179</v>
      </c>
      <c r="AB843" t="str">
        <f t="shared" si="39"/>
        <v>24349</v>
      </c>
    </row>
    <row r="844" ht="14.25" spans="1:28">
      <c r="A844" s="5" t="s">
        <v>28</v>
      </c>
      <c r="B844" s="5" t="s">
        <v>264</v>
      </c>
      <c r="C844" s="5">
        <v>2027</v>
      </c>
      <c r="D844" s="5" t="s">
        <v>30</v>
      </c>
      <c r="E844" s="9" t="s">
        <v>641</v>
      </c>
      <c r="F844" s="9" t="s">
        <v>642</v>
      </c>
      <c r="G844" s="9" t="s">
        <v>182</v>
      </c>
      <c r="H844" s="9" t="s">
        <v>643</v>
      </c>
      <c r="I844" s="9" t="s">
        <v>276</v>
      </c>
      <c r="J844" s="9" t="s">
        <v>36</v>
      </c>
      <c r="K844" s="9">
        <v>790</v>
      </c>
      <c r="L844" s="9"/>
      <c r="M844" s="9"/>
      <c r="N844" s="9"/>
      <c r="O844" s="9" t="s">
        <v>37</v>
      </c>
      <c r="P844" s="9" t="s">
        <v>44</v>
      </c>
      <c r="Q844" s="9"/>
      <c r="R844" s="10"/>
      <c r="S844" s="10"/>
      <c r="T844" s="10"/>
      <c r="U844" s="9"/>
      <c r="X844" t="s">
        <v>102</v>
      </c>
      <c r="Y844" t="s">
        <v>179</v>
      </c>
      <c r="Z844" t="s">
        <v>179</v>
      </c>
      <c r="AB844" t="str">
        <f t="shared" si="39"/>
        <v>24349</v>
      </c>
    </row>
    <row r="845" ht="14.25" spans="1:28">
      <c r="A845" s="5" t="s">
        <v>28</v>
      </c>
      <c r="B845" s="5" t="s">
        <v>264</v>
      </c>
      <c r="C845" s="5">
        <v>2027</v>
      </c>
      <c r="D845" s="5" t="s">
        <v>30</v>
      </c>
      <c r="E845" s="9" t="s">
        <v>641</v>
      </c>
      <c r="F845" s="9" t="s">
        <v>642</v>
      </c>
      <c r="G845" s="9" t="s">
        <v>182</v>
      </c>
      <c r="H845" s="9" t="s">
        <v>643</v>
      </c>
      <c r="I845" s="9" t="s">
        <v>276</v>
      </c>
      <c r="J845" s="9" t="s">
        <v>36</v>
      </c>
      <c r="K845" s="9">
        <v>790</v>
      </c>
      <c r="L845" s="9"/>
      <c r="M845" s="9"/>
      <c r="N845" s="9"/>
      <c r="O845" s="9" t="s">
        <v>37</v>
      </c>
      <c r="P845" s="9" t="s">
        <v>45</v>
      </c>
      <c r="Q845" s="9"/>
      <c r="R845" s="10"/>
      <c r="S845" s="10"/>
      <c r="T845" s="10"/>
      <c r="U845" s="9"/>
      <c r="X845" t="s">
        <v>102</v>
      </c>
      <c r="Y845" t="s">
        <v>179</v>
      </c>
      <c r="Z845" t="s">
        <v>179</v>
      </c>
      <c r="AB845" t="str">
        <f t="shared" si="39"/>
        <v>24349</v>
      </c>
    </row>
    <row r="846" ht="14.25" spans="1:28">
      <c r="A846" s="5" t="s">
        <v>28</v>
      </c>
      <c r="B846" s="5" t="s">
        <v>264</v>
      </c>
      <c r="C846" s="5">
        <v>2027</v>
      </c>
      <c r="D846" s="5" t="s">
        <v>30</v>
      </c>
      <c r="E846" s="9" t="s">
        <v>644</v>
      </c>
      <c r="F846" s="9" t="s">
        <v>645</v>
      </c>
      <c r="G846" s="9" t="s">
        <v>311</v>
      </c>
      <c r="H846" s="9" t="s">
        <v>646</v>
      </c>
      <c r="I846" s="9" t="s">
        <v>269</v>
      </c>
      <c r="J846" s="9" t="s">
        <v>36</v>
      </c>
      <c r="K846" s="9">
        <v>990</v>
      </c>
      <c r="L846" s="9"/>
      <c r="M846" s="9"/>
      <c r="N846" s="9"/>
      <c r="O846" s="9" t="s">
        <v>68</v>
      </c>
      <c r="P846" s="9" t="s">
        <v>614</v>
      </c>
      <c r="Q846" s="9"/>
      <c r="R846" s="10">
        <f t="shared" si="40"/>
        <v>0</v>
      </c>
      <c r="S846" s="10">
        <f>SUMIFS([1]Sheet1!$T:$T,[1]Sheet1!$I:$I,E846,[1]Sheet1!$C:$C,A846)</f>
        <v>0</v>
      </c>
      <c r="T846" s="10">
        <f t="shared" si="41"/>
        <v>0</v>
      </c>
      <c r="U846" s="9"/>
      <c r="X846" t="s">
        <v>313</v>
      </c>
      <c r="Y846" t="s">
        <v>179</v>
      </c>
      <c r="Z846" t="s">
        <v>179</v>
      </c>
      <c r="AB846" t="str">
        <f t="shared" si="39"/>
        <v>24373</v>
      </c>
    </row>
    <row r="847" ht="14.25" spans="1:28">
      <c r="A847" s="5" t="s">
        <v>28</v>
      </c>
      <c r="B847" s="5" t="s">
        <v>264</v>
      </c>
      <c r="C847" s="5">
        <v>2027</v>
      </c>
      <c r="D847" s="5" t="s">
        <v>30</v>
      </c>
      <c r="E847" s="9" t="s">
        <v>644</v>
      </c>
      <c r="F847" s="9" t="s">
        <v>645</v>
      </c>
      <c r="G847" s="9" t="s">
        <v>311</v>
      </c>
      <c r="H847" s="9" t="s">
        <v>646</v>
      </c>
      <c r="I847" s="9" t="s">
        <v>269</v>
      </c>
      <c r="J847" s="9" t="s">
        <v>36</v>
      </c>
      <c r="K847" s="9">
        <v>990</v>
      </c>
      <c r="L847" s="9"/>
      <c r="M847" s="9"/>
      <c r="N847" s="9"/>
      <c r="O847" s="9" t="s">
        <v>68</v>
      </c>
      <c r="P847" s="9" t="s">
        <v>615</v>
      </c>
      <c r="Q847" s="9"/>
      <c r="R847" s="10"/>
      <c r="S847" s="10"/>
      <c r="T847" s="10"/>
      <c r="U847" s="9"/>
      <c r="X847" t="s">
        <v>313</v>
      </c>
      <c r="Y847" t="s">
        <v>179</v>
      </c>
      <c r="Z847" t="s">
        <v>179</v>
      </c>
      <c r="AB847" t="str">
        <f t="shared" si="39"/>
        <v>24373</v>
      </c>
    </row>
    <row r="848" ht="14.25" spans="1:28">
      <c r="A848" s="5" t="s">
        <v>28</v>
      </c>
      <c r="B848" s="5" t="s">
        <v>264</v>
      </c>
      <c r="C848" s="5">
        <v>2027</v>
      </c>
      <c r="D848" s="5" t="s">
        <v>30</v>
      </c>
      <c r="E848" s="9" t="s">
        <v>644</v>
      </c>
      <c r="F848" s="9" t="s">
        <v>645</v>
      </c>
      <c r="G848" s="9" t="s">
        <v>311</v>
      </c>
      <c r="H848" s="9" t="s">
        <v>646</v>
      </c>
      <c r="I848" s="9" t="s">
        <v>269</v>
      </c>
      <c r="J848" s="9" t="s">
        <v>36</v>
      </c>
      <c r="K848" s="9">
        <v>990</v>
      </c>
      <c r="L848" s="9"/>
      <c r="M848" s="9"/>
      <c r="N848" s="9"/>
      <c r="O848" s="9" t="s">
        <v>68</v>
      </c>
      <c r="P848" s="9" t="s">
        <v>616</v>
      </c>
      <c r="Q848" s="9"/>
      <c r="R848" s="10"/>
      <c r="S848" s="10"/>
      <c r="T848" s="10"/>
      <c r="U848" s="9"/>
      <c r="X848" t="s">
        <v>313</v>
      </c>
      <c r="Y848" t="s">
        <v>179</v>
      </c>
      <c r="Z848" t="s">
        <v>179</v>
      </c>
      <c r="AB848" t="str">
        <f t="shared" si="39"/>
        <v>24373</v>
      </c>
    </row>
    <row r="849" ht="14.25" spans="1:28">
      <c r="A849" s="5" t="s">
        <v>28</v>
      </c>
      <c r="B849" s="5" t="s">
        <v>264</v>
      </c>
      <c r="C849" s="5">
        <v>2027</v>
      </c>
      <c r="D849" s="5" t="s">
        <v>30</v>
      </c>
      <c r="E849" s="9" t="s">
        <v>644</v>
      </c>
      <c r="F849" s="9" t="s">
        <v>645</v>
      </c>
      <c r="G849" s="9" t="s">
        <v>311</v>
      </c>
      <c r="H849" s="9" t="s">
        <v>646</v>
      </c>
      <c r="I849" s="9" t="s">
        <v>269</v>
      </c>
      <c r="J849" s="9" t="s">
        <v>36</v>
      </c>
      <c r="K849" s="9">
        <v>990</v>
      </c>
      <c r="L849" s="9"/>
      <c r="M849" s="9"/>
      <c r="N849" s="9"/>
      <c r="O849" s="9" t="s">
        <v>68</v>
      </c>
      <c r="P849" s="9" t="s">
        <v>318</v>
      </c>
      <c r="Q849" s="9"/>
      <c r="R849" s="10"/>
      <c r="S849" s="10"/>
      <c r="T849" s="10"/>
      <c r="U849" s="9"/>
      <c r="X849" t="s">
        <v>313</v>
      </c>
      <c r="Y849" t="s">
        <v>179</v>
      </c>
      <c r="Z849" t="s">
        <v>179</v>
      </c>
      <c r="AB849" t="str">
        <f t="shared" si="39"/>
        <v>24373</v>
      </c>
    </row>
    <row r="850" ht="14.25" spans="1:28">
      <c r="A850" s="5" t="s">
        <v>28</v>
      </c>
      <c r="B850" s="5" t="s">
        <v>264</v>
      </c>
      <c r="C850" s="5">
        <v>2027</v>
      </c>
      <c r="D850" s="5" t="s">
        <v>30</v>
      </c>
      <c r="E850" s="9" t="s">
        <v>644</v>
      </c>
      <c r="F850" s="9" t="s">
        <v>645</v>
      </c>
      <c r="G850" s="9" t="s">
        <v>311</v>
      </c>
      <c r="H850" s="9" t="s">
        <v>646</v>
      </c>
      <c r="I850" s="9" t="s">
        <v>269</v>
      </c>
      <c r="J850" s="9" t="s">
        <v>36</v>
      </c>
      <c r="K850" s="9">
        <v>990</v>
      </c>
      <c r="L850" s="9"/>
      <c r="M850" s="9"/>
      <c r="N850" s="9"/>
      <c r="O850" s="9" t="s">
        <v>68</v>
      </c>
      <c r="P850" s="9" t="s">
        <v>69</v>
      </c>
      <c r="Q850" s="9"/>
      <c r="R850" s="10"/>
      <c r="S850" s="10"/>
      <c r="T850" s="10"/>
      <c r="U850" s="9"/>
      <c r="X850" t="s">
        <v>313</v>
      </c>
      <c r="Y850" t="s">
        <v>179</v>
      </c>
      <c r="Z850" t="s">
        <v>179</v>
      </c>
      <c r="AB850" t="str">
        <f t="shared" si="39"/>
        <v>24373</v>
      </c>
    </row>
    <row r="851" ht="14.25" spans="1:28">
      <c r="A851" s="5" t="s">
        <v>28</v>
      </c>
      <c r="B851" s="5" t="s">
        <v>264</v>
      </c>
      <c r="C851" s="5">
        <v>2027</v>
      </c>
      <c r="D851" s="5" t="s">
        <v>30</v>
      </c>
      <c r="E851" s="9" t="s">
        <v>647</v>
      </c>
      <c r="F851" s="9" t="s">
        <v>648</v>
      </c>
      <c r="G851" s="9" t="s">
        <v>311</v>
      </c>
      <c r="H851" s="9" t="s">
        <v>649</v>
      </c>
      <c r="I851" s="9" t="s">
        <v>269</v>
      </c>
      <c r="J851" s="9" t="s">
        <v>36</v>
      </c>
      <c r="K851" s="9">
        <v>990</v>
      </c>
      <c r="L851" s="9"/>
      <c r="M851" s="9"/>
      <c r="N851" s="9"/>
      <c r="O851" s="9" t="s">
        <v>68</v>
      </c>
      <c r="P851" s="9" t="s">
        <v>634</v>
      </c>
      <c r="Q851" s="9"/>
      <c r="R851" s="10">
        <f t="shared" si="40"/>
        <v>0</v>
      </c>
      <c r="S851" s="10">
        <f>SUMIFS([1]Sheet1!$T:$T,[1]Sheet1!$I:$I,E851,[1]Sheet1!$C:$C,A851)</f>
        <v>0</v>
      </c>
      <c r="T851" s="10">
        <f t="shared" si="41"/>
        <v>0</v>
      </c>
      <c r="U851" s="9"/>
      <c r="X851" t="s">
        <v>313</v>
      </c>
      <c r="Y851" t="s">
        <v>179</v>
      </c>
      <c r="Z851" t="s">
        <v>179</v>
      </c>
      <c r="AB851" t="str">
        <f t="shared" si="39"/>
        <v>24464</v>
      </c>
    </row>
    <row r="852" ht="14.25" spans="1:28">
      <c r="A852" s="5" t="s">
        <v>28</v>
      </c>
      <c r="B852" s="5" t="s">
        <v>264</v>
      </c>
      <c r="C852" s="5">
        <v>2027</v>
      </c>
      <c r="D852" s="5" t="s">
        <v>30</v>
      </c>
      <c r="E852" s="9" t="s">
        <v>647</v>
      </c>
      <c r="F852" s="9" t="s">
        <v>648</v>
      </c>
      <c r="G852" s="9" t="s">
        <v>311</v>
      </c>
      <c r="H852" s="9" t="s">
        <v>649</v>
      </c>
      <c r="I852" s="9" t="s">
        <v>269</v>
      </c>
      <c r="J852" s="9" t="s">
        <v>36</v>
      </c>
      <c r="K852" s="9">
        <v>990</v>
      </c>
      <c r="L852" s="9"/>
      <c r="M852" s="9"/>
      <c r="N852" s="9"/>
      <c r="O852" s="9" t="s">
        <v>68</v>
      </c>
      <c r="P852" s="9" t="s">
        <v>614</v>
      </c>
      <c r="Q852" s="9"/>
      <c r="R852" s="10"/>
      <c r="S852" s="10"/>
      <c r="T852" s="10"/>
      <c r="U852" s="9"/>
      <c r="X852" t="s">
        <v>313</v>
      </c>
      <c r="Y852" t="s">
        <v>179</v>
      </c>
      <c r="Z852" t="s">
        <v>179</v>
      </c>
      <c r="AB852" t="str">
        <f t="shared" si="39"/>
        <v>24464</v>
      </c>
    </row>
    <row r="853" ht="14.25" spans="1:28">
      <c r="A853" s="5" t="s">
        <v>28</v>
      </c>
      <c r="B853" s="5" t="s">
        <v>264</v>
      </c>
      <c r="C853" s="5">
        <v>2027</v>
      </c>
      <c r="D853" s="5" t="s">
        <v>30</v>
      </c>
      <c r="E853" s="9" t="s">
        <v>647</v>
      </c>
      <c r="F853" s="9" t="s">
        <v>648</v>
      </c>
      <c r="G853" s="9" t="s">
        <v>311</v>
      </c>
      <c r="H853" s="9" t="s">
        <v>649</v>
      </c>
      <c r="I853" s="9" t="s">
        <v>269</v>
      </c>
      <c r="J853" s="9" t="s">
        <v>36</v>
      </c>
      <c r="K853" s="9">
        <v>990</v>
      </c>
      <c r="L853" s="9"/>
      <c r="M853" s="9"/>
      <c r="N853" s="9"/>
      <c r="O853" s="9" t="s">
        <v>68</v>
      </c>
      <c r="P853" s="9" t="s">
        <v>615</v>
      </c>
      <c r="Q853" s="9"/>
      <c r="R853" s="10"/>
      <c r="S853" s="10"/>
      <c r="T853" s="10"/>
      <c r="U853" s="9"/>
      <c r="X853" t="s">
        <v>313</v>
      </c>
      <c r="Y853" t="s">
        <v>179</v>
      </c>
      <c r="Z853" t="s">
        <v>179</v>
      </c>
      <c r="AB853" t="str">
        <f t="shared" si="39"/>
        <v>24464</v>
      </c>
    </row>
    <row r="854" ht="14.25" spans="1:28">
      <c r="A854" s="5" t="s">
        <v>28</v>
      </c>
      <c r="B854" s="5" t="s">
        <v>264</v>
      </c>
      <c r="C854" s="5">
        <v>2027</v>
      </c>
      <c r="D854" s="5" t="s">
        <v>30</v>
      </c>
      <c r="E854" s="9" t="s">
        <v>647</v>
      </c>
      <c r="F854" s="9" t="s">
        <v>648</v>
      </c>
      <c r="G854" s="9" t="s">
        <v>311</v>
      </c>
      <c r="H854" s="9" t="s">
        <v>649</v>
      </c>
      <c r="I854" s="9" t="s">
        <v>269</v>
      </c>
      <c r="J854" s="9" t="s">
        <v>36</v>
      </c>
      <c r="K854" s="9">
        <v>990</v>
      </c>
      <c r="L854" s="9"/>
      <c r="M854" s="9"/>
      <c r="N854" s="9"/>
      <c r="O854" s="9" t="s">
        <v>68</v>
      </c>
      <c r="P854" s="9" t="s">
        <v>616</v>
      </c>
      <c r="Q854" s="9"/>
      <c r="R854" s="10"/>
      <c r="S854" s="10"/>
      <c r="T854" s="10"/>
      <c r="U854" s="9"/>
      <c r="X854" t="s">
        <v>313</v>
      </c>
      <c r="Y854" t="s">
        <v>179</v>
      </c>
      <c r="Z854" t="s">
        <v>179</v>
      </c>
      <c r="AB854" t="str">
        <f t="shared" si="39"/>
        <v>24464</v>
      </c>
    </row>
    <row r="855" ht="14.25" spans="1:28">
      <c r="A855" s="5" t="s">
        <v>28</v>
      </c>
      <c r="B855" s="5" t="s">
        <v>264</v>
      </c>
      <c r="C855" s="5">
        <v>2027</v>
      </c>
      <c r="D855" s="5" t="s">
        <v>30</v>
      </c>
      <c r="E855" s="9" t="s">
        <v>647</v>
      </c>
      <c r="F855" s="9" t="s">
        <v>648</v>
      </c>
      <c r="G855" s="9" t="s">
        <v>311</v>
      </c>
      <c r="H855" s="9" t="s">
        <v>649</v>
      </c>
      <c r="I855" s="9" t="s">
        <v>269</v>
      </c>
      <c r="J855" s="9" t="s">
        <v>36</v>
      </c>
      <c r="K855" s="9">
        <v>990</v>
      </c>
      <c r="L855" s="9"/>
      <c r="M855" s="9"/>
      <c r="N855" s="9"/>
      <c r="O855" s="9" t="s">
        <v>68</v>
      </c>
      <c r="P855" s="9" t="s">
        <v>318</v>
      </c>
      <c r="Q855" s="9"/>
      <c r="R855" s="10"/>
      <c r="S855" s="10"/>
      <c r="T855" s="10"/>
      <c r="U855" s="9"/>
      <c r="X855" t="s">
        <v>313</v>
      </c>
      <c r="Y855" t="s">
        <v>179</v>
      </c>
      <c r="Z855" t="s">
        <v>179</v>
      </c>
      <c r="AB855" t="str">
        <f t="shared" si="39"/>
        <v>24464</v>
      </c>
    </row>
    <row r="856" ht="14.25" spans="1:28">
      <c r="A856" s="5" t="s">
        <v>28</v>
      </c>
      <c r="B856" s="5" t="s">
        <v>264</v>
      </c>
      <c r="C856" s="5">
        <v>2027</v>
      </c>
      <c r="D856" s="5" t="s">
        <v>30</v>
      </c>
      <c r="E856" s="9" t="s">
        <v>647</v>
      </c>
      <c r="F856" s="9" t="s">
        <v>648</v>
      </c>
      <c r="G856" s="9" t="s">
        <v>311</v>
      </c>
      <c r="H856" s="9" t="s">
        <v>649</v>
      </c>
      <c r="I856" s="9" t="s">
        <v>269</v>
      </c>
      <c r="J856" s="9" t="s">
        <v>36</v>
      </c>
      <c r="K856" s="9">
        <v>990</v>
      </c>
      <c r="L856" s="9"/>
      <c r="M856" s="9"/>
      <c r="N856" s="9"/>
      <c r="O856" s="9" t="s">
        <v>68</v>
      </c>
      <c r="P856" s="9" t="s">
        <v>69</v>
      </c>
      <c r="Q856" s="9"/>
      <c r="R856" s="10"/>
      <c r="S856" s="10"/>
      <c r="T856" s="10"/>
      <c r="U856" s="9"/>
      <c r="X856" t="s">
        <v>313</v>
      </c>
      <c r="Y856" t="s">
        <v>179</v>
      </c>
      <c r="Z856" t="s">
        <v>179</v>
      </c>
      <c r="AB856" t="str">
        <f t="shared" si="39"/>
        <v>24464</v>
      </c>
    </row>
    <row r="857" ht="14.25" spans="1:28">
      <c r="A857" s="5" t="s">
        <v>28</v>
      </c>
      <c r="B857" s="5" t="s">
        <v>264</v>
      </c>
      <c r="C857" s="5">
        <v>2027</v>
      </c>
      <c r="D857" s="5" t="s">
        <v>30</v>
      </c>
      <c r="E857" s="9" t="s">
        <v>650</v>
      </c>
      <c r="F857" s="9" t="s">
        <v>651</v>
      </c>
      <c r="G857" s="9" t="s">
        <v>311</v>
      </c>
      <c r="H857" s="9" t="s">
        <v>652</v>
      </c>
      <c r="I857" s="9" t="s">
        <v>269</v>
      </c>
      <c r="J857" s="9" t="s">
        <v>36</v>
      </c>
      <c r="K857" s="9">
        <v>1590</v>
      </c>
      <c r="L857" s="9"/>
      <c r="M857" s="9"/>
      <c r="N857" s="9"/>
      <c r="O857" s="9" t="s">
        <v>37</v>
      </c>
      <c r="P857" s="9" t="s">
        <v>38</v>
      </c>
      <c r="Q857" s="9"/>
      <c r="R857" s="10">
        <f t="shared" si="40"/>
        <v>0</v>
      </c>
      <c r="S857" s="10">
        <f>SUMIFS([1]Sheet1!$T:$T,[1]Sheet1!$I:$I,E857,[1]Sheet1!$C:$C,A857)</f>
        <v>0</v>
      </c>
      <c r="T857" s="10">
        <f t="shared" si="41"/>
        <v>0</v>
      </c>
      <c r="U857" s="9"/>
      <c r="X857" t="s">
        <v>313</v>
      </c>
      <c r="Y857" t="s">
        <v>179</v>
      </c>
      <c r="Z857" t="s">
        <v>179</v>
      </c>
      <c r="AB857" t="str">
        <f t="shared" si="39"/>
        <v>24465</v>
      </c>
    </row>
    <row r="858" ht="14.25" spans="1:28">
      <c r="A858" s="5" t="s">
        <v>28</v>
      </c>
      <c r="B858" s="5" t="s">
        <v>264</v>
      </c>
      <c r="C858" s="5">
        <v>2027</v>
      </c>
      <c r="D858" s="5" t="s">
        <v>30</v>
      </c>
      <c r="E858" s="9" t="s">
        <v>650</v>
      </c>
      <c r="F858" s="9" t="s">
        <v>651</v>
      </c>
      <c r="G858" s="9" t="s">
        <v>311</v>
      </c>
      <c r="H858" s="9" t="s">
        <v>652</v>
      </c>
      <c r="I858" s="9" t="s">
        <v>269</v>
      </c>
      <c r="J858" s="9" t="s">
        <v>36</v>
      </c>
      <c r="K858" s="9">
        <v>1590</v>
      </c>
      <c r="L858" s="9"/>
      <c r="M858" s="9"/>
      <c r="N858" s="9"/>
      <c r="O858" s="9" t="s">
        <v>37</v>
      </c>
      <c r="P858" s="9" t="s">
        <v>42</v>
      </c>
      <c r="Q858" s="9"/>
      <c r="R858" s="10"/>
      <c r="S858" s="10"/>
      <c r="T858" s="10"/>
      <c r="U858" s="9"/>
      <c r="X858" t="s">
        <v>313</v>
      </c>
      <c r="Y858" t="s">
        <v>179</v>
      </c>
      <c r="Z858" t="s">
        <v>179</v>
      </c>
      <c r="AB858" t="str">
        <f t="shared" si="39"/>
        <v>24465</v>
      </c>
    </row>
    <row r="859" ht="14.25" spans="1:28">
      <c r="A859" s="5" t="s">
        <v>28</v>
      </c>
      <c r="B859" s="5" t="s">
        <v>264</v>
      </c>
      <c r="C859" s="5">
        <v>2027</v>
      </c>
      <c r="D859" s="5" t="s">
        <v>30</v>
      </c>
      <c r="E859" s="9" t="s">
        <v>650</v>
      </c>
      <c r="F859" s="9" t="s">
        <v>651</v>
      </c>
      <c r="G859" s="9" t="s">
        <v>311</v>
      </c>
      <c r="H859" s="9" t="s">
        <v>652</v>
      </c>
      <c r="I859" s="9" t="s">
        <v>269</v>
      </c>
      <c r="J859" s="9" t="s">
        <v>36</v>
      </c>
      <c r="K859" s="9">
        <v>1590</v>
      </c>
      <c r="L859" s="9"/>
      <c r="M859" s="9"/>
      <c r="N859" s="9"/>
      <c r="O859" s="9" t="s">
        <v>37</v>
      </c>
      <c r="P859" s="9" t="s">
        <v>43</v>
      </c>
      <c r="Q859" s="9"/>
      <c r="R859" s="10"/>
      <c r="S859" s="10"/>
      <c r="T859" s="10"/>
      <c r="U859" s="9"/>
      <c r="X859" t="s">
        <v>313</v>
      </c>
      <c r="Y859" t="s">
        <v>179</v>
      </c>
      <c r="Z859" t="s">
        <v>179</v>
      </c>
      <c r="AB859" t="str">
        <f t="shared" si="39"/>
        <v>24465</v>
      </c>
    </row>
    <row r="860" ht="14.25" spans="1:28">
      <c r="A860" s="5" t="s">
        <v>28</v>
      </c>
      <c r="B860" s="5" t="s">
        <v>264</v>
      </c>
      <c r="C860" s="5">
        <v>2027</v>
      </c>
      <c r="D860" s="5" t="s">
        <v>30</v>
      </c>
      <c r="E860" s="9" t="s">
        <v>650</v>
      </c>
      <c r="F860" s="9" t="s">
        <v>651</v>
      </c>
      <c r="G860" s="9" t="s">
        <v>311</v>
      </c>
      <c r="H860" s="9" t="s">
        <v>652</v>
      </c>
      <c r="I860" s="9" t="s">
        <v>269</v>
      </c>
      <c r="J860" s="9" t="s">
        <v>36</v>
      </c>
      <c r="K860" s="9">
        <v>1590</v>
      </c>
      <c r="L860" s="9"/>
      <c r="M860" s="9"/>
      <c r="N860" s="9"/>
      <c r="O860" s="9" t="s">
        <v>37</v>
      </c>
      <c r="P860" s="9" t="s">
        <v>44</v>
      </c>
      <c r="Q860" s="9"/>
      <c r="R860" s="10"/>
      <c r="S860" s="10"/>
      <c r="T860" s="10"/>
      <c r="U860" s="9"/>
      <c r="X860" t="s">
        <v>313</v>
      </c>
      <c r="Y860" t="s">
        <v>179</v>
      </c>
      <c r="Z860" t="s">
        <v>179</v>
      </c>
      <c r="AB860" t="str">
        <f t="shared" si="39"/>
        <v>24465</v>
      </c>
    </row>
    <row r="861" ht="14.25" spans="1:28">
      <c r="A861" s="5" t="s">
        <v>28</v>
      </c>
      <c r="B861" s="5" t="s">
        <v>264</v>
      </c>
      <c r="C861" s="5">
        <v>2027</v>
      </c>
      <c r="D861" s="5" t="s">
        <v>30</v>
      </c>
      <c r="E861" s="9" t="s">
        <v>650</v>
      </c>
      <c r="F861" s="9" t="s">
        <v>651</v>
      </c>
      <c r="G861" s="9" t="s">
        <v>311</v>
      </c>
      <c r="H861" s="9" t="s">
        <v>652</v>
      </c>
      <c r="I861" s="9" t="s">
        <v>269</v>
      </c>
      <c r="J861" s="9" t="s">
        <v>36</v>
      </c>
      <c r="K861" s="9">
        <v>1590</v>
      </c>
      <c r="L861" s="9"/>
      <c r="M861" s="9"/>
      <c r="N861" s="9"/>
      <c r="O861" s="9" t="s">
        <v>37</v>
      </c>
      <c r="P861" s="9" t="s">
        <v>45</v>
      </c>
      <c r="Q861" s="9"/>
      <c r="R861" s="10"/>
      <c r="S861" s="10"/>
      <c r="T861" s="10"/>
      <c r="U861" s="9"/>
      <c r="X861" t="s">
        <v>313</v>
      </c>
      <c r="Y861" t="s">
        <v>179</v>
      </c>
      <c r="Z861" t="s">
        <v>179</v>
      </c>
      <c r="AB861" t="str">
        <f t="shared" si="39"/>
        <v>24465</v>
      </c>
    </row>
    <row r="862" ht="14.25" spans="1:28">
      <c r="A862" s="5" t="s">
        <v>28</v>
      </c>
      <c r="B862" s="5" t="s">
        <v>264</v>
      </c>
      <c r="C862" s="5">
        <v>2027</v>
      </c>
      <c r="D862" s="5" t="s">
        <v>30</v>
      </c>
      <c r="E862" s="9" t="s">
        <v>653</v>
      </c>
      <c r="F862" s="9" t="s">
        <v>654</v>
      </c>
      <c r="G862" s="9" t="s">
        <v>316</v>
      </c>
      <c r="H862" s="9" t="s">
        <v>655</v>
      </c>
      <c r="I862" s="9" t="s">
        <v>269</v>
      </c>
      <c r="J862" s="9" t="s">
        <v>36</v>
      </c>
      <c r="K862" s="9">
        <v>990</v>
      </c>
      <c r="L862" s="9"/>
      <c r="M862" s="9"/>
      <c r="N862" s="9"/>
      <c r="O862" s="9" t="s">
        <v>68</v>
      </c>
      <c r="P862" s="9" t="s">
        <v>634</v>
      </c>
      <c r="Q862" s="9"/>
      <c r="R862" s="10">
        <f t="shared" si="40"/>
        <v>0</v>
      </c>
      <c r="S862" s="10">
        <f>SUMIFS([1]Sheet1!$T:$T,[1]Sheet1!$I:$I,E862,[1]Sheet1!$C:$C,A862)</f>
        <v>40</v>
      </c>
      <c r="T862" s="10">
        <f t="shared" si="41"/>
        <v>-40</v>
      </c>
      <c r="U862" s="9" t="s">
        <v>136</v>
      </c>
      <c r="V862" t="s">
        <v>656</v>
      </c>
      <c r="W862" t="s">
        <v>178</v>
      </c>
      <c r="X862" t="s">
        <v>308</v>
      </c>
      <c r="Y862" t="s">
        <v>179</v>
      </c>
      <c r="Z862" t="s">
        <v>179</v>
      </c>
      <c r="AB862" t="str">
        <f t="shared" si="39"/>
        <v>24466</v>
      </c>
    </row>
    <row r="863" ht="14.25" spans="1:28">
      <c r="A863" s="5" t="s">
        <v>28</v>
      </c>
      <c r="B863" s="5" t="s">
        <v>264</v>
      </c>
      <c r="C863" s="5">
        <v>2027</v>
      </c>
      <c r="D863" s="5" t="s">
        <v>30</v>
      </c>
      <c r="E863" s="9" t="s">
        <v>653</v>
      </c>
      <c r="F863" s="9" t="s">
        <v>654</v>
      </c>
      <c r="G863" s="9" t="s">
        <v>316</v>
      </c>
      <c r="H863" s="9" t="s">
        <v>655</v>
      </c>
      <c r="I863" s="9" t="s">
        <v>269</v>
      </c>
      <c r="J863" s="9" t="s">
        <v>36</v>
      </c>
      <c r="K863" s="9">
        <v>990</v>
      </c>
      <c r="L863" s="9"/>
      <c r="M863" s="9"/>
      <c r="N863" s="9"/>
      <c r="O863" s="9" t="s">
        <v>68</v>
      </c>
      <c r="P863" s="9" t="s">
        <v>614</v>
      </c>
      <c r="Q863" s="9"/>
      <c r="R863" s="10"/>
      <c r="S863" s="10"/>
      <c r="T863" s="10"/>
      <c r="U863" s="9" t="s">
        <v>136</v>
      </c>
      <c r="V863" t="s">
        <v>656</v>
      </c>
      <c r="W863" t="s">
        <v>178</v>
      </c>
      <c r="X863" t="s">
        <v>308</v>
      </c>
      <c r="Y863" t="s">
        <v>179</v>
      </c>
      <c r="Z863" t="s">
        <v>179</v>
      </c>
      <c r="AB863" t="str">
        <f t="shared" si="39"/>
        <v>24466</v>
      </c>
    </row>
    <row r="864" ht="14.25" spans="1:28">
      <c r="A864" s="5" t="s">
        <v>28</v>
      </c>
      <c r="B864" s="5" t="s">
        <v>264</v>
      </c>
      <c r="C864" s="5">
        <v>2027</v>
      </c>
      <c r="D864" s="5" t="s">
        <v>30</v>
      </c>
      <c r="E864" s="9" t="s">
        <v>653</v>
      </c>
      <c r="F864" s="9" t="s">
        <v>654</v>
      </c>
      <c r="G864" s="9" t="s">
        <v>316</v>
      </c>
      <c r="H864" s="9" t="s">
        <v>655</v>
      </c>
      <c r="I864" s="9" t="s">
        <v>269</v>
      </c>
      <c r="J864" s="9" t="s">
        <v>36</v>
      </c>
      <c r="K864" s="9">
        <v>990</v>
      </c>
      <c r="L864" s="9"/>
      <c r="M864" s="9"/>
      <c r="N864" s="9"/>
      <c r="O864" s="9" t="s">
        <v>68</v>
      </c>
      <c r="P864" s="9" t="s">
        <v>615</v>
      </c>
      <c r="Q864" s="9"/>
      <c r="R864" s="10"/>
      <c r="S864" s="10"/>
      <c r="T864" s="10"/>
      <c r="U864" s="9" t="s">
        <v>136</v>
      </c>
      <c r="V864" t="s">
        <v>656</v>
      </c>
      <c r="W864" t="s">
        <v>178</v>
      </c>
      <c r="X864" t="s">
        <v>308</v>
      </c>
      <c r="Y864" t="s">
        <v>179</v>
      </c>
      <c r="Z864" t="s">
        <v>179</v>
      </c>
      <c r="AB864" t="str">
        <f t="shared" si="39"/>
        <v>24466</v>
      </c>
    </row>
    <row r="865" ht="14.25" spans="1:28">
      <c r="A865" s="5" t="s">
        <v>28</v>
      </c>
      <c r="B865" s="5" t="s">
        <v>264</v>
      </c>
      <c r="C865" s="5">
        <v>2027</v>
      </c>
      <c r="D865" s="5" t="s">
        <v>30</v>
      </c>
      <c r="E865" s="9" t="s">
        <v>653</v>
      </c>
      <c r="F865" s="9" t="s">
        <v>654</v>
      </c>
      <c r="G865" s="9" t="s">
        <v>316</v>
      </c>
      <c r="H865" s="9" t="s">
        <v>655</v>
      </c>
      <c r="I865" s="9" t="s">
        <v>269</v>
      </c>
      <c r="J865" s="9" t="s">
        <v>36</v>
      </c>
      <c r="K865" s="9">
        <v>990</v>
      </c>
      <c r="L865" s="9"/>
      <c r="M865" s="9"/>
      <c r="N865" s="9"/>
      <c r="O865" s="9" t="s">
        <v>68</v>
      </c>
      <c r="P865" s="9" t="s">
        <v>616</v>
      </c>
      <c r="Q865" s="9"/>
      <c r="R865" s="10"/>
      <c r="S865" s="10"/>
      <c r="T865" s="10"/>
      <c r="U865" s="9" t="s">
        <v>136</v>
      </c>
      <c r="V865" t="s">
        <v>656</v>
      </c>
      <c r="W865" t="s">
        <v>178</v>
      </c>
      <c r="X865" t="s">
        <v>308</v>
      </c>
      <c r="Y865" t="s">
        <v>179</v>
      </c>
      <c r="Z865" t="s">
        <v>179</v>
      </c>
      <c r="AB865" t="str">
        <f t="shared" si="39"/>
        <v>24466</v>
      </c>
    </row>
    <row r="866" ht="14.25" spans="1:28">
      <c r="A866" s="5" t="s">
        <v>28</v>
      </c>
      <c r="B866" s="5" t="s">
        <v>264</v>
      </c>
      <c r="C866" s="5">
        <v>2027</v>
      </c>
      <c r="D866" s="5" t="s">
        <v>30</v>
      </c>
      <c r="E866" s="9" t="s">
        <v>653</v>
      </c>
      <c r="F866" s="9" t="s">
        <v>654</v>
      </c>
      <c r="G866" s="9" t="s">
        <v>316</v>
      </c>
      <c r="H866" s="9" t="s">
        <v>655</v>
      </c>
      <c r="I866" s="9" t="s">
        <v>269</v>
      </c>
      <c r="J866" s="9" t="s">
        <v>36</v>
      </c>
      <c r="K866" s="9">
        <v>990</v>
      </c>
      <c r="L866" s="9"/>
      <c r="M866" s="9"/>
      <c r="N866" s="9"/>
      <c r="O866" s="9" t="s">
        <v>68</v>
      </c>
      <c r="P866" s="9" t="s">
        <v>318</v>
      </c>
      <c r="Q866" s="9"/>
      <c r="R866" s="10"/>
      <c r="S866" s="10"/>
      <c r="T866" s="10"/>
      <c r="U866" s="9" t="s">
        <v>136</v>
      </c>
      <c r="V866" t="s">
        <v>656</v>
      </c>
      <c r="W866" t="s">
        <v>178</v>
      </c>
      <c r="X866" t="s">
        <v>308</v>
      </c>
      <c r="Y866" t="s">
        <v>179</v>
      </c>
      <c r="Z866" t="s">
        <v>179</v>
      </c>
      <c r="AB866" t="str">
        <f t="shared" si="39"/>
        <v>24466</v>
      </c>
    </row>
    <row r="867" ht="14.25" spans="1:28">
      <c r="A867" s="5" t="s">
        <v>28</v>
      </c>
      <c r="B867" s="5" t="s">
        <v>264</v>
      </c>
      <c r="C867" s="5">
        <v>2027</v>
      </c>
      <c r="D867" s="5" t="s">
        <v>30</v>
      </c>
      <c r="E867" s="9" t="s">
        <v>653</v>
      </c>
      <c r="F867" s="9" t="s">
        <v>654</v>
      </c>
      <c r="G867" s="9" t="s">
        <v>316</v>
      </c>
      <c r="H867" s="9" t="s">
        <v>655</v>
      </c>
      <c r="I867" s="9" t="s">
        <v>269</v>
      </c>
      <c r="J867" s="9" t="s">
        <v>36</v>
      </c>
      <c r="K867" s="9">
        <v>990</v>
      </c>
      <c r="L867" s="9"/>
      <c r="M867" s="9"/>
      <c r="N867" s="9"/>
      <c r="O867" s="9" t="s">
        <v>68</v>
      </c>
      <c r="P867" s="9" t="s">
        <v>69</v>
      </c>
      <c r="Q867" s="9"/>
      <c r="R867" s="10"/>
      <c r="S867" s="10"/>
      <c r="T867" s="10"/>
      <c r="U867" s="9" t="s">
        <v>136</v>
      </c>
      <c r="V867" t="s">
        <v>656</v>
      </c>
      <c r="W867" t="s">
        <v>178</v>
      </c>
      <c r="X867" t="s">
        <v>308</v>
      </c>
      <c r="Y867" t="s">
        <v>179</v>
      </c>
      <c r="Z867" t="s">
        <v>179</v>
      </c>
      <c r="AB867" t="str">
        <f t="shared" si="39"/>
        <v>24466</v>
      </c>
    </row>
    <row r="868" ht="14.25" spans="1:28">
      <c r="A868" s="5" t="s">
        <v>28</v>
      </c>
      <c r="B868" s="5" t="s">
        <v>264</v>
      </c>
      <c r="C868" s="5">
        <v>2027</v>
      </c>
      <c r="D868" s="5" t="s">
        <v>30</v>
      </c>
      <c r="E868" s="9" t="s">
        <v>657</v>
      </c>
      <c r="F868" s="9" t="s">
        <v>658</v>
      </c>
      <c r="G868" s="9" t="s">
        <v>330</v>
      </c>
      <c r="H868" s="9" t="s">
        <v>659</v>
      </c>
      <c r="I868" s="9" t="s">
        <v>269</v>
      </c>
      <c r="J868" s="9" t="s">
        <v>36</v>
      </c>
      <c r="K868" s="9">
        <v>990</v>
      </c>
      <c r="L868" s="9"/>
      <c r="M868" s="9"/>
      <c r="N868" s="9"/>
      <c r="O868" s="9" t="s">
        <v>37</v>
      </c>
      <c r="P868" s="9" t="s">
        <v>38</v>
      </c>
      <c r="Q868" s="9"/>
      <c r="R868" s="10">
        <f t="shared" si="40"/>
        <v>0</v>
      </c>
      <c r="S868" s="10">
        <f>SUMIFS([1]Sheet1!$T:$T,[1]Sheet1!$I:$I,E868,[1]Sheet1!$C:$C,A868)</f>
        <v>0</v>
      </c>
      <c r="T868" s="10">
        <f t="shared" si="41"/>
        <v>0</v>
      </c>
      <c r="U868" s="9"/>
      <c r="X868" t="s">
        <v>332</v>
      </c>
      <c r="Y868" t="s">
        <v>179</v>
      </c>
      <c r="Z868" t="s">
        <v>179</v>
      </c>
      <c r="AB868" t="str">
        <f t="shared" si="39"/>
        <v>24473</v>
      </c>
    </row>
    <row r="869" ht="14.25" spans="1:28">
      <c r="A869" s="5" t="s">
        <v>28</v>
      </c>
      <c r="B869" s="5" t="s">
        <v>264</v>
      </c>
      <c r="C869" s="5">
        <v>2027</v>
      </c>
      <c r="D869" s="5" t="s">
        <v>30</v>
      </c>
      <c r="E869" s="9" t="s">
        <v>657</v>
      </c>
      <c r="F869" s="9" t="s">
        <v>658</v>
      </c>
      <c r="G869" s="9" t="s">
        <v>330</v>
      </c>
      <c r="H869" s="9" t="s">
        <v>659</v>
      </c>
      <c r="I869" s="9" t="s">
        <v>269</v>
      </c>
      <c r="J869" s="9" t="s">
        <v>36</v>
      </c>
      <c r="K869" s="9">
        <v>990</v>
      </c>
      <c r="L869" s="9"/>
      <c r="M869" s="9"/>
      <c r="N869" s="9"/>
      <c r="O869" s="9" t="s">
        <v>37</v>
      </c>
      <c r="P869" s="9" t="s">
        <v>42</v>
      </c>
      <c r="Q869" s="9"/>
      <c r="R869" s="10"/>
      <c r="S869" s="10"/>
      <c r="T869" s="10"/>
      <c r="U869" s="9"/>
      <c r="X869" t="s">
        <v>332</v>
      </c>
      <c r="Y869" t="s">
        <v>179</v>
      </c>
      <c r="Z869" t="s">
        <v>179</v>
      </c>
      <c r="AB869" t="str">
        <f t="shared" si="39"/>
        <v>24473</v>
      </c>
    </row>
    <row r="870" ht="14.25" spans="1:28">
      <c r="A870" s="5" t="s">
        <v>28</v>
      </c>
      <c r="B870" s="5" t="s">
        <v>264</v>
      </c>
      <c r="C870" s="5">
        <v>2027</v>
      </c>
      <c r="D870" s="5" t="s">
        <v>30</v>
      </c>
      <c r="E870" s="9" t="s">
        <v>657</v>
      </c>
      <c r="F870" s="9" t="s">
        <v>658</v>
      </c>
      <c r="G870" s="9" t="s">
        <v>330</v>
      </c>
      <c r="H870" s="9" t="s">
        <v>659</v>
      </c>
      <c r="I870" s="9" t="s">
        <v>269</v>
      </c>
      <c r="J870" s="9" t="s">
        <v>36</v>
      </c>
      <c r="K870" s="9">
        <v>990</v>
      </c>
      <c r="L870" s="9"/>
      <c r="M870" s="9"/>
      <c r="N870" s="9"/>
      <c r="O870" s="9" t="s">
        <v>37</v>
      </c>
      <c r="P870" s="9" t="s">
        <v>43</v>
      </c>
      <c r="Q870" s="9"/>
      <c r="R870" s="10"/>
      <c r="S870" s="10"/>
      <c r="T870" s="10"/>
      <c r="U870" s="9"/>
      <c r="X870" t="s">
        <v>332</v>
      </c>
      <c r="Y870" t="s">
        <v>179</v>
      </c>
      <c r="Z870" t="s">
        <v>179</v>
      </c>
      <c r="AB870" t="str">
        <f t="shared" si="39"/>
        <v>24473</v>
      </c>
    </row>
    <row r="871" ht="14.25" spans="1:28">
      <c r="A871" s="5" t="s">
        <v>28</v>
      </c>
      <c r="B871" s="5" t="s">
        <v>264</v>
      </c>
      <c r="C871" s="5">
        <v>2027</v>
      </c>
      <c r="D871" s="5" t="s">
        <v>30</v>
      </c>
      <c r="E871" s="9" t="s">
        <v>657</v>
      </c>
      <c r="F871" s="9" t="s">
        <v>658</v>
      </c>
      <c r="G871" s="9" t="s">
        <v>330</v>
      </c>
      <c r="H871" s="9" t="s">
        <v>659</v>
      </c>
      <c r="I871" s="9" t="s">
        <v>269</v>
      </c>
      <c r="J871" s="9" t="s">
        <v>36</v>
      </c>
      <c r="K871" s="9">
        <v>990</v>
      </c>
      <c r="L871" s="9"/>
      <c r="M871" s="9"/>
      <c r="N871" s="9"/>
      <c r="O871" s="9" t="s">
        <v>37</v>
      </c>
      <c r="P871" s="9" t="s">
        <v>44</v>
      </c>
      <c r="Q871" s="9"/>
      <c r="R871" s="10"/>
      <c r="S871" s="10"/>
      <c r="T871" s="10"/>
      <c r="U871" s="9"/>
      <c r="X871" t="s">
        <v>332</v>
      </c>
      <c r="Y871" t="s">
        <v>179</v>
      </c>
      <c r="Z871" t="s">
        <v>179</v>
      </c>
      <c r="AB871" t="str">
        <f t="shared" si="39"/>
        <v>24473</v>
      </c>
    </row>
    <row r="872" ht="14.25" spans="1:28">
      <c r="A872" s="5" t="s">
        <v>28</v>
      </c>
      <c r="B872" s="5" t="s">
        <v>264</v>
      </c>
      <c r="C872" s="5">
        <v>2027</v>
      </c>
      <c r="D872" s="5" t="s">
        <v>30</v>
      </c>
      <c r="E872" s="9" t="s">
        <v>657</v>
      </c>
      <c r="F872" s="9" t="s">
        <v>658</v>
      </c>
      <c r="G872" s="9" t="s">
        <v>330</v>
      </c>
      <c r="H872" s="9" t="s">
        <v>659</v>
      </c>
      <c r="I872" s="9" t="s">
        <v>269</v>
      </c>
      <c r="J872" s="9" t="s">
        <v>36</v>
      </c>
      <c r="K872" s="9">
        <v>990</v>
      </c>
      <c r="L872" s="9"/>
      <c r="M872" s="9"/>
      <c r="N872" s="9"/>
      <c r="O872" s="9" t="s">
        <v>37</v>
      </c>
      <c r="P872" s="9" t="s">
        <v>45</v>
      </c>
      <c r="Q872" s="9"/>
      <c r="R872" s="10"/>
      <c r="S872" s="10"/>
      <c r="T872" s="10"/>
      <c r="U872" s="9"/>
      <c r="X872" t="s">
        <v>332</v>
      </c>
      <c r="Y872" t="s">
        <v>179</v>
      </c>
      <c r="Z872" t="s">
        <v>179</v>
      </c>
      <c r="AB872" t="str">
        <f t="shared" si="39"/>
        <v>24473</v>
      </c>
    </row>
    <row r="873" ht="14.25" spans="1:28">
      <c r="A873" s="5" t="s">
        <v>28</v>
      </c>
      <c r="B873" s="5" t="s">
        <v>264</v>
      </c>
      <c r="C873" s="5">
        <v>2027</v>
      </c>
      <c r="D873" s="5" t="s">
        <v>30</v>
      </c>
      <c r="E873" s="9" t="s">
        <v>660</v>
      </c>
      <c r="F873" s="9" t="s">
        <v>661</v>
      </c>
      <c r="G873" s="9" t="s">
        <v>511</v>
      </c>
      <c r="H873" s="9" t="s">
        <v>662</v>
      </c>
      <c r="I873" s="9" t="s">
        <v>276</v>
      </c>
      <c r="J873" s="9" t="s">
        <v>36</v>
      </c>
      <c r="K873" s="9">
        <v>490</v>
      </c>
      <c r="L873" s="9"/>
      <c r="M873" s="9"/>
      <c r="N873" s="9"/>
      <c r="O873" s="9" t="s">
        <v>37</v>
      </c>
      <c r="P873" s="9" t="s">
        <v>38</v>
      </c>
      <c r="Q873" s="9"/>
      <c r="R873" s="10">
        <f t="shared" si="40"/>
        <v>0</v>
      </c>
      <c r="S873" s="10">
        <f>SUMIFS([1]Sheet1!$T:$T,[1]Sheet1!$I:$I,E873,[1]Sheet1!$C:$C,A873)</f>
        <v>10</v>
      </c>
      <c r="T873" s="10">
        <f t="shared" si="41"/>
        <v>-10</v>
      </c>
      <c r="U873" s="9" t="s">
        <v>148</v>
      </c>
      <c r="V873" t="s">
        <v>184</v>
      </c>
      <c r="W873" t="s">
        <v>178</v>
      </c>
      <c r="X873" t="s">
        <v>58</v>
      </c>
      <c r="Y873" t="s">
        <v>179</v>
      </c>
      <c r="Z873" t="s">
        <v>538</v>
      </c>
      <c r="AB873" t="str">
        <f t="shared" si="39"/>
        <v>24491</v>
      </c>
    </row>
    <row r="874" ht="14.25" spans="1:28">
      <c r="A874" s="5" t="s">
        <v>28</v>
      </c>
      <c r="B874" s="5" t="s">
        <v>264</v>
      </c>
      <c r="C874" s="5">
        <v>2027</v>
      </c>
      <c r="D874" s="5" t="s">
        <v>30</v>
      </c>
      <c r="E874" s="9" t="s">
        <v>660</v>
      </c>
      <c r="F874" s="9" t="s">
        <v>661</v>
      </c>
      <c r="G874" s="9" t="s">
        <v>511</v>
      </c>
      <c r="H874" s="9" t="s">
        <v>662</v>
      </c>
      <c r="I874" s="9" t="s">
        <v>276</v>
      </c>
      <c r="J874" s="9" t="s">
        <v>36</v>
      </c>
      <c r="K874" s="9">
        <v>490</v>
      </c>
      <c r="L874" s="9"/>
      <c r="M874" s="9"/>
      <c r="N874" s="9"/>
      <c r="O874" s="9" t="s">
        <v>37</v>
      </c>
      <c r="P874" s="9" t="s">
        <v>42</v>
      </c>
      <c r="Q874" s="9"/>
      <c r="R874" s="10"/>
      <c r="S874" s="10"/>
      <c r="T874" s="10"/>
      <c r="U874" s="9" t="s">
        <v>148</v>
      </c>
      <c r="V874" t="s">
        <v>184</v>
      </c>
      <c r="W874" t="s">
        <v>178</v>
      </c>
      <c r="X874" t="s">
        <v>58</v>
      </c>
      <c r="Y874" t="s">
        <v>179</v>
      </c>
      <c r="Z874" t="s">
        <v>538</v>
      </c>
      <c r="AB874" t="str">
        <f t="shared" si="39"/>
        <v>24491</v>
      </c>
    </row>
    <row r="875" ht="14.25" spans="1:28">
      <c r="A875" s="5" t="s">
        <v>28</v>
      </c>
      <c r="B875" s="5" t="s">
        <v>264</v>
      </c>
      <c r="C875" s="5">
        <v>2027</v>
      </c>
      <c r="D875" s="5" t="s">
        <v>30</v>
      </c>
      <c r="E875" s="9" t="s">
        <v>660</v>
      </c>
      <c r="F875" s="9" t="s">
        <v>661</v>
      </c>
      <c r="G875" s="9" t="s">
        <v>511</v>
      </c>
      <c r="H875" s="9" t="s">
        <v>662</v>
      </c>
      <c r="I875" s="9" t="s">
        <v>276</v>
      </c>
      <c r="J875" s="9" t="s">
        <v>36</v>
      </c>
      <c r="K875" s="9">
        <v>490</v>
      </c>
      <c r="L875" s="9"/>
      <c r="M875" s="9"/>
      <c r="N875" s="9"/>
      <c r="O875" s="9" t="s">
        <v>37</v>
      </c>
      <c r="P875" s="9" t="s">
        <v>43</v>
      </c>
      <c r="Q875" s="9"/>
      <c r="R875" s="10"/>
      <c r="S875" s="10"/>
      <c r="T875" s="10"/>
      <c r="U875" s="9" t="s">
        <v>148</v>
      </c>
      <c r="V875" t="s">
        <v>184</v>
      </c>
      <c r="W875" t="s">
        <v>178</v>
      </c>
      <c r="X875" t="s">
        <v>58</v>
      </c>
      <c r="Y875" t="s">
        <v>179</v>
      </c>
      <c r="Z875" t="s">
        <v>538</v>
      </c>
      <c r="AB875" t="str">
        <f t="shared" si="39"/>
        <v>24491</v>
      </c>
    </row>
    <row r="876" ht="14.25" spans="1:28">
      <c r="A876" s="5" t="s">
        <v>28</v>
      </c>
      <c r="B876" s="5" t="s">
        <v>264</v>
      </c>
      <c r="C876" s="5">
        <v>2027</v>
      </c>
      <c r="D876" s="5" t="s">
        <v>30</v>
      </c>
      <c r="E876" s="9" t="s">
        <v>660</v>
      </c>
      <c r="F876" s="9" t="s">
        <v>661</v>
      </c>
      <c r="G876" s="9" t="s">
        <v>511</v>
      </c>
      <c r="H876" s="9" t="s">
        <v>662</v>
      </c>
      <c r="I876" s="9" t="s">
        <v>276</v>
      </c>
      <c r="J876" s="9" t="s">
        <v>36</v>
      </c>
      <c r="K876" s="9">
        <v>490</v>
      </c>
      <c r="L876" s="9"/>
      <c r="M876" s="9"/>
      <c r="N876" s="9"/>
      <c r="O876" s="9" t="s">
        <v>37</v>
      </c>
      <c r="P876" s="9" t="s">
        <v>44</v>
      </c>
      <c r="Q876" s="9"/>
      <c r="R876" s="10"/>
      <c r="S876" s="10"/>
      <c r="T876" s="10"/>
      <c r="U876" s="9" t="s">
        <v>148</v>
      </c>
      <c r="V876" t="s">
        <v>184</v>
      </c>
      <c r="W876" t="s">
        <v>178</v>
      </c>
      <c r="X876" t="s">
        <v>58</v>
      </c>
      <c r="Y876" t="s">
        <v>179</v>
      </c>
      <c r="Z876" t="s">
        <v>538</v>
      </c>
      <c r="AB876" t="str">
        <f t="shared" si="39"/>
        <v>24491</v>
      </c>
    </row>
    <row r="877" ht="14.25" spans="1:28">
      <c r="A877" s="5" t="s">
        <v>28</v>
      </c>
      <c r="B877" s="5" t="s">
        <v>264</v>
      </c>
      <c r="C877" s="5">
        <v>2027</v>
      </c>
      <c r="D877" s="5" t="s">
        <v>30</v>
      </c>
      <c r="E877" s="9" t="s">
        <v>660</v>
      </c>
      <c r="F877" s="9" t="s">
        <v>661</v>
      </c>
      <c r="G877" s="9" t="s">
        <v>511</v>
      </c>
      <c r="H877" s="9" t="s">
        <v>662</v>
      </c>
      <c r="I877" s="9" t="s">
        <v>276</v>
      </c>
      <c r="J877" s="9" t="s">
        <v>36</v>
      </c>
      <c r="K877" s="9">
        <v>490</v>
      </c>
      <c r="L877" s="9"/>
      <c r="M877" s="9"/>
      <c r="N877" s="9"/>
      <c r="O877" s="9" t="s">
        <v>37</v>
      </c>
      <c r="P877" s="9" t="s">
        <v>45</v>
      </c>
      <c r="Q877" s="9"/>
      <c r="R877" s="10"/>
      <c r="S877" s="10"/>
      <c r="T877" s="10"/>
      <c r="U877" s="9" t="s">
        <v>148</v>
      </c>
      <c r="V877" t="s">
        <v>184</v>
      </c>
      <c r="W877" t="s">
        <v>178</v>
      </c>
      <c r="X877" t="s">
        <v>58</v>
      </c>
      <c r="Y877" t="s">
        <v>179</v>
      </c>
      <c r="Z877" t="s">
        <v>538</v>
      </c>
      <c r="AB877" t="str">
        <f t="shared" si="39"/>
        <v>24491</v>
      </c>
    </row>
    <row r="878" ht="14.25" spans="1:28">
      <c r="A878" s="5" t="s">
        <v>28</v>
      </c>
      <c r="B878" s="5" t="s">
        <v>264</v>
      </c>
      <c r="C878" s="5">
        <v>2027</v>
      </c>
      <c r="D878" s="5" t="s">
        <v>30</v>
      </c>
      <c r="E878" s="9" t="s">
        <v>663</v>
      </c>
      <c r="F878" s="9" t="s">
        <v>661</v>
      </c>
      <c r="G878" s="9" t="s">
        <v>346</v>
      </c>
      <c r="H878" s="9" t="s">
        <v>664</v>
      </c>
      <c r="I878" s="9" t="s">
        <v>276</v>
      </c>
      <c r="J878" s="9" t="s">
        <v>36</v>
      </c>
      <c r="K878" s="9">
        <v>490</v>
      </c>
      <c r="L878" s="9"/>
      <c r="M878" s="9"/>
      <c r="N878" s="9"/>
      <c r="O878" s="9" t="s">
        <v>37</v>
      </c>
      <c r="P878" s="9" t="s">
        <v>38</v>
      </c>
      <c r="Q878" s="11"/>
      <c r="R878" s="10">
        <f t="shared" si="40"/>
        <v>0</v>
      </c>
      <c r="S878" s="10">
        <f>SUMIFS([1]Sheet1!$T:$T,[1]Sheet1!$I:$I,E878,[1]Sheet1!$C:$C,A878)</f>
        <v>15</v>
      </c>
      <c r="T878" s="10">
        <f t="shared" si="41"/>
        <v>-15</v>
      </c>
      <c r="U878" s="9" t="s">
        <v>148</v>
      </c>
      <c r="V878" t="s">
        <v>184</v>
      </c>
      <c r="W878" t="s">
        <v>178</v>
      </c>
      <c r="X878" t="s">
        <v>191</v>
      </c>
      <c r="Y878" t="s">
        <v>179</v>
      </c>
      <c r="Z878" t="s">
        <v>538</v>
      </c>
      <c r="AB878" t="str">
        <f t="shared" si="39"/>
        <v>24491</v>
      </c>
    </row>
    <row r="879" ht="14.25" spans="1:28">
      <c r="A879" s="5" t="s">
        <v>28</v>
      </c>
      <c r="B879" s="5" t="s">
        <v>264</v>
      </c>
      <c r="C879" s="5">
        <v>2027</v>
      </c>
      <c r="D879" s="5" t="s">
        <v>30</v>
      </c>
      <c r="E879" s="9" t="s">
        <v>663</v>
      </c>
      <c r="F879" s="9" t="s">
        <v>661</v>
      </c>
      <c r="G879" s="9" t="s">
        <v>346</v>
      </c>
      <c r="H879" s="9" t="s">
        <v>664</v>
      </c>
      <c r="I879" s="9" t="s">
        <v>276</v>
      </c>
      <c r="J879" s="9" t="s">
        <v>36</v>
      </c>
      <c r="K879" s="9">
        <v>490</v>
      </c>
      <c r="L879" s="9"/>
      <c r="M879" s="9"/>
      <c r="N879" s="9"/>
      <c r="O879" s="9" t="s">
        <v>37</v>
      </c>
      <c r="P879" s="9" t="s">
        <v>42</v>
      </c>
      <c r="Q879" s="11"/>
      <c r="R879" s="10"/>
      <c r="S879" s="10"/>
      <c r="T879" s="10"/>
      <c r="U879" s="9" t="s">
        <v>148</v>
      </c>
      <c r="V879" t="s">
        <v>184</v>
      </c>
      <c r="W879" t="s">
        <v>178</v>
      </c>
      <c r="X879" t="s">
        <v>191</v>
      </c>
      <c r="Y879" t="s">
        <v>179</v>
      </c>
      <c r="Z879" t="s">
        <v>538</v>
      </c>
      <c r="AB879" t="str">
        <f t="shared" si="39"/>
        <v>24491</v>
      </c>
    </row>
    <row r="880" ht="14.25" spans="1:28">
      <c r="A880" s="5" t="s">
        <v>28</v>
      </c>
      <c r="B880" s="5" t="s">
        <v>264</v>
      </c>
      <c r="C880" s="5">
        <v>2027</v>
      </c>
      <c r="D880" s="5" t="s">
        <v>30</v>
      </c>
      <c r="E880" s="9" t="s">
        <v>663</v>
      </c>
      <c r="F880" s="9" t="s">
        <v>661</v>
      </c>
      <c r="G880" s="9" t="s">
        <v>346</v>
      </c>
      <c r="H880" s="9" t="s">
        <v>664</v>
      </c>
      <c r="I880" s="9" t="s">
        <v>276</v>
      </c>
      <c r="J880" s="9" t="s">
        <v>36</v>
      </c>
      <c r="K880" s="9">
        <v>490</v>
      </c>
      <c r="L880" s="9"/>
      <c r="M880" s="9"/>
      <c r="N880" s="9"/>
      <c r="O880" s="9" t="s">
        <v>37</v>
      </c>
      <c r="P880" s="9" t="s">
        <v>43</v>
      </c>
      <c r="Q880" s="11"/>
      <c r="R880" s="10"/>
      <c r="S880" s="10"/>
      <c r="T880" s="10"/>
      <c r="U880" s="9" t="s">
        <v>148</v>
      </c>
      <c r="V880" t="s">
        <v>184</v>
      </c>
      <c r="W880" t="s">
        <v>178</v>
      </c>
      <c r="X880" t="s">
        <v>191</v>
      </c>
      <c r="Y880" t="s">
        <v>179</v>
      </c>
      <c r="Z880" t="s">
        <v>538</v>
      </c>
      <c r="AB880" t="str">
        <f t="shared" si="39"/>
        <v>24491</v>
      </c>
    </row>
    <row r="881" ht="14.25" spans="1:28">
      <c r="A881" s="5" t="s">
        <v>28</v>
      </c>
      <c r="B881" s="5" t="s">
        <v>264</v>
      </c>
      <c r="C881" s="5">
        <v>2027</v>
      </c>
      <c r="D881" s="5" t="s">
        <v>30</v>
      </c>
      <c r="E881" s="9" t="s">
        <v>663</v>
      </c>
      <c r="F881" s="9" t="s">
        <v>661</v>
      </c>
      <c r="G881" s="9" t="s">
        <v>346</v>
      </c>
      <c r="H881" s="9" t="s">
        <v>664</v>
      </c>
      <c r="I881" s="9" t="s">
        <v>276</v>
      </c>
      <c r="J881" s="9" t="s">
        <v>36</v>
      </c>
      <c r="K881" s="9">
        <v>490</v>
      </c>
      <c r="L881" s="9"/>
      <c r="M881" s="9"/>
      <c r="N881" s="9"/>
      <c r="O881" s="9" t="s">
        <v>37</v>
      </c>
      <c r="P881" s="9" t="s">
        <v>44</v>
      </c>
      <c r="Q881" s="11"/>
      <c r="R881" s="10"/>
      <c r="S881" s="10"/>
      <c r="T881" s="10"/>
      <c r="U881" s="9" t="s">
        <v>148</v>
      </c>
      <c r="V881" t="s">
        <v>184</v>
      </c>
      <c r="W881" t="s">
        <v>178</v>
      </c>
      <c r="X881" t="s">
        <v>191</v>
      </c>
      <c r="Y881" t="s">
        <v>179</v>
      </c>
      <c r="Z881" t="s">
        <v>538</v>
      </c>
      <c r="AB881" t="str">
        <f t="shared" si="39"/>
        <v>24491</v>
      </c>
    </row>
    <row r="882" ht="14.25" spans="1:28">
      <c r="A882" s="5" t="s">
        <v>28</v>
      </c>
      <c r="B882" s="5" t="s">
        <v>264</v>
      </c>
      <c r="C882" s="5">
        <v>2027</v>
      </c>
      <c r="D882" s="5" t="s">
        <v>30</v>
      </c>
      <c r="E882" s="9" t="s">
        <v>663</v>
      </c>
      <c r="F882" s="9" t="s">
        <v>661</v>
      </c>
      <c r="G882" s="9" t="s">
        <v>346</v>
      </c>
      <c r="H882" s="9" t="s">
        <v>664</v>
      </c>
      <c r="I882" s="9" t="s">
        <v>276</v>
      </c>
      <c r="J882" s="9" t="s">
        <v>36</v>
      </c>
      <c r="K882" s="9">
        <v>490</v>
      </c>
      <c r="L882" s="9"/>
      <c r="M882" s="9"/>
      <c r="N882" s="9"/>
      <c r="O882" s="9" t="s">
        <v>37</v>
      </c>
      <c r="P882" s="9" t="s">
        <v>45</v>
      </c>
      <c r="Q882" s="11"/>
      <c r="R882" s="10"/>
      <c r="S882" s="10"/>
      <c r="T882" s="10"/>
      <c r="U882" s="9" t="s">
        <v>148</v>
      </c>
      <c r="V882" t="s">
        <v>184</v>
      </c>
      <c r="W882" t="s">
        <v>178</v>
      </c>
      <c r="X882" t="s">
        <v>191</v>
      </c>
      <c r="Y882" t="s">
        <v>179</v>
      </c>
      <c r="Z882" t="s">
        <v>538</v>
      </c>
      <c r="AB882" t="str">
        <f t="shared" si="39"/>
        <v>24491</v>
      </c>
    </row>
    <row r="883" ht="14.25" spans="1:28">
      <c r="A883" s="5" t="s">
        <v>28</v>
      </c>
      <c r="B883" s="5" t="s">
        <v>264</v>
      </c>
      <c r="C883" s="5">
        <v>2027</v>
      </c>
      <c r="D883" s="5" t="s">
        <v>30</v>
      </c>
      <c r="E883" s="9" t="s">
        <v>665</v>
      </c>
      <c r="F883" s="9" t="s">
        <v>666</v>
      </c>
      <c r="G883" s="9" t="s">
        <v>387</v>
      </c>
      <c r="H883" s="9" t="s">
        <v>667</v>
      </c>
      <c r="I883" s="9" t="s">
        <v>269</v>
      </c>
      <c r="J883" s="9" t="s">
        <v>36</v>
      </c>
      <c r="K883" s="9">
        <v>490</v>
      </c>
      <c r="L883" s="9"/>
      <c r="M883" s="9"/>
      <c r="N883" s="9"/>
      <c r="O883" s="9" t="s">
        <v>37</v>
      </c>
      <c r="P883" s="9" t="s">
        <v>38</v>
      </c>
      <c r="Q883" s="11"/>
      <c r="R883" s="10">
        <f t="shared" si="40"/>
        <v>0</v>
      </c>
      <c r="S883" s="10">
        <f>SUMIFS([1]Sheet1!$T:$T,[1]Sheet1!$I:$I,E883,[1]Sheet1!$C:$C,A883)</f>
        <v>0</v>
      </c>
      <c r="T883" s="10">
        <f t="shared" si="41"/>
        <v>0</v>
      </c>
      <c r="U883" s="9" t="s">
        <v>148</v>
      </c>
      <c r="V883" t="s">
        <v>184</v>
      </c>
      <c r="W883" t="s">
        <v>178</v>
      </c>
      <c r="Y883" t="s">
        <v>179</v>
      </c>
      <c r="Z883" t="s">
        <v>538</v>
      </c>
      <c r="AB883" t="str">
        <f t="shared" si="39"/>
        <v>24502</v>
      </c>
    </row>
    <row r="884" ht="14.25" spans="1:28">
      <c r="A884" s="5" t="s">
        <v>28</v>
      </c>
      <c r="B884" s="5" t="s">
        <v>264</v>
      </c>
      <c r="C884" s="5">
        <v>2027</v>
      </c>
      <c r="D884" s="5" t="s">
        <v>30</v>
      </c>
      <c r="E884" s="9" t="s">
        <v>665</v>
      </c>
      <c r="F884" s="9" t="s">
        <v>666</v>
      </c>
      <c r="G884" s="9" t="s">
        <v>387</v>
      </c>
      <c r="H884" s="9" t="s">
        <v>667</v>
      </c>
      <c r="I884" s="9" t="s">
        <v>269</v>
      </c>
      <c r="J884" s="9" t="s">
        <v>36</v>
      </c>
      <c r="K884" s="9">
        <v>490</v>
      </c>
      <c r="L884" s="9"/>
      <c r="M884" s="9"/>
      <c r="N884" s="9"/>
      <c r="O884" s="9" t="s">
        <v>37</v>
      </c>
      <c r="P884" s="9" t="s">
        <v>42</v>
      </c>
      <c r="Q884" s="9"/>
      <c r="R884" s="10"/>
      <c r="S884" s="10"/>
      <c r="T884" s="10"/>
      <c r="U884" s="9" t="s">
        <v>148</v>
      </c>
      <c r="V884" t="s">
        <v>184</v>
      </c>
      <c r="W884" t="s">
        <v>178</v>
      </c>
      <c r="Y884" t="s">
        <v>179</v>
      </c>
      <c r="Z884" t="s">
        <v>538</v>
      </c>
      <c r="AB884" t="str">
        <f t="shared" si="39"/>
        <v>24502</v>
      </c>
    </row>
    <row r="885" ht="14.25" spans="1:28">
      <c r="A885" s="5" t="s">
        <v>28</v>
      </c>
      <c r="B885" s="5" t="s">
        <v>264</v>
      </c>
      <c r="C885" s="5">
        <v>2027</v>
      </c>
      <c r="D885" s="5" t="s">
        <v>30</v>
      </c>
      <c r="E885" s="9" t="s">
        <v>665</v>
      </c>
      <c r="F885" s="9" t="s">
        <v>666</v>
      </c>
      <c r="G885" s="9" t="s">
        <v>387</v>
      </c>
      <c r="H885" s="9" t="s">
        <v>667</v>
      </c>
      <c r="I885" s="9" t="s">
        <v>269</v>
      </c>
      <c r="J885" s="9" t="s">
        <v>36</v>
      </c>
      <c r="K885" s="9">
        <v>490</v>
      </c>
      <c r="L885" s="9"/>
      <c r="M885" s="9"/>
      <c r="N885" s="9"/>
      <c r="O885" s="9" t="s">
        <v>37</v>
      </c>
      <c r="P885" s="9" t="s">
        <v>43</v>
      </c>
      <c r="Q885" s="9"/>
      <c r="R885" s="10"/>
      <c r="S885" s="10"/>
      <c r="T885" s="10"/>
      <c r="U885" s="9" t="s">
        <v>148</v>
      </c>
      <c r="V885" t="s">
        <v>184</v>
      </c>
      <c r="W885" t="s">
        <v>178</v>
      </c>
      <c r="Y885" t="s">
        <v>179</v>
      </c>
      <c r="Z885" t="s">
        <v>538</v>
      </c>
      <c r="AB885" t="str">
        <f t="shared" si="39"/>
        <v>24502</v>
      </c>
    </row>
    <row r="886" ht="14.25" spans="1:28">
      <c r="A886" s="5" t="s">
        <v>28</v>
      </c>
      <c r="B886" s="5" t="s">
        <v>264</v>
      </c>
      <c r="C886" s="5">
        <v>2027</v>
      </c>
      <c r="D886" s="5" t="s">
        <v>30</v>
      </c>
      <c r="E886" s="9" t="s">
        <v>665</v>
      </c>
      <c r="F886" s="9" t="s">
        <v>666</v>
      </c>
      <c r="G886" s="9" t="s">
        <v>387</v>
      </c>
      <c r="H886" s="9" t="s">
        <v>667</v>
      </c>
      <c r="I886" s="9" t="s">
        <v>269</v>
      </c>
      <c r="J886" s="9" t="s">
        <v>36</v>
      </c>
      <c r="K886" s="9">
        <v>490</v>
      </c>
      <c r="L886" s="9"/>
      <c r="M886" s="9"/>
      <c r="N886" s="9"/>
      <c r="O886" s="9" t="s">
        <v>37</v>
      </c>
      <c r="P886" s="9" t="s">
        <v>44</v>
      </c>
      <c r="Q886" s="9"/>
      <c r="R886" s="10"/>
      <c r="S886" s="10"/>
      <c r="T886" s="10"/>
      <c r="U886" s="9" t="s">
        <v>148</v>
      </c>
      <c r="V886" t="s">
        <v>184</v>
      </c>
      <c r="W886" t="s">
        <v>178</v>
      </c>
      <c r="Y886" t="s">
        <v>179</v>
      </c>
      <c r="Z886" t="s">
        <v>538</v>
      </c>
      <c r="AB886" t="str">
        <f t="shared" si="39"/>
        <v>24502</v>
      </c>
    </row>
    <row r="887" ht="14.25" spans="1:28">
      <c r="A887" s="5" t="s">
        <v>28</v>
      </c>
      <c r="B887" s="5" t="s">
        <v>264</v>
      </c>
      <c r="C887" s="5">
        <v>2027</v>
      </c>
      <c r="D887" s="5" t="s">
        <v>30</v>
      </c>
      <c r="E887" s="9" t="s">
        <v>665</v>
      </c>
      <c r="F887" s="9" t="s">
        <v>666</v>
      </c>
      <c r="G887" s="9" t="s">
        <v>387</v>
      </c>
      <c r="H887" s="9" t="s">
        <v>667</v>
      </c>
      <c r="I887" s="9" t="s">
        <v>269</v>
      </c>
      <c r="J887" s="9" t="s">
        <v>36</v>
      </c>
      <c r="K887" s="9">
        <v>490</v>
      </c>
      <c r="L887" s="9"/>
      <c r="M887" s="9"/>
      <c r="N887" s="9"/>
      <c r="O887" s="9" t="s">
        <v>37</v>
      </c>
      <c r="P887" s="9" t="s">
        <v>45</v>
      </c>
      <c r="Q887" s="9"/>
      <c r="R887" s="10"/>
      <c r="S887" s="10"/>
      <c r="T887" s="10"/>
      <c r="U887" s="9" t="s">
        <v>148</v>
      </c>
      <c r="V887" t="s">
        <v>184</v>
      </c>
      <c r="W887" t="s">
        <v>178</v>
      </c>
      <c r="Y887" t="s">
        <v>179</v>
      </c>
      <c r="Z887" t="s">
        <v>538</v>
      </c>
      <c r="AB887" t="str">
        <f t="shared" si="39"/>
        <v>24502</v>
      </c>
    </row>
    <row r="888" ht="14.25" spans="1:28">
      <c r="A888" s="5" t="s">
        <v>28</v>
      </c>
      <c r="B888" s="5" t="s">
        <v>264</v>
      </c>
      <c r="C888" s="5">
        <v>2027</v>
      </c>
      <c r="D888" s="5" t="s">
        <v>30</v>
      </c>
      <c r="E888" s="9" t="s">
        <v>668</v>
      </c>
      <c r="F888" s="9" t="s">
        <v>666</v>
      </c>
      <c r="G888" s="9" t="s">
        <v>669</v>
      </c>
      <c r="H888" s="9" t="s">
        <v>670</v>
      </c>
      <c r="I888" s="9" t="s">
        <v>269</v>
      </c>
      <c r="J888" s="9" t="s">
        <v>36</v>
      </c>
      <c r="K888" s="9">
        <v>490</v>
      </c>
      <c r="L888" s="9"/>
      <c r="M888" s="9"/>
      <c r="N888" s="9"/>
      <c r="O888" s="9" t="s">
        <v>37</v>
      </c>
      <c r="P888" s="9" t="s">
        <v>38</v>
      </c>
      <c r="Q888" s="9"/>
      <c r="R888" s="10">
        <f t="shared" si="40"/>
        <v>0</v>
      </c>
      <c r="S888" s="10">
        <f>SUMIFS([1]Sheet1!$T:$T,[1]Sheet1!$I:$I,E888,[1]Sheet1!$C:$C,A888)</f>
        <v>0</v>
      </c>
      <c r="T888" s="10">
        <f t="shared" si="41"/>
        <v>0</v>
      </c>
      <c r="U888" s="9" t="s">
        <v>148</v>
      </c>
      <c r="V888" t="s">
        <v>184</v>
      </c>
      <c r="W888" t="s">
        <v>178</v>
      </c>
      <c r="Y888" t="s">
        <v>179</v>
      </c>
      <c r="Z888" t="s">
        <v>538</v>
      </c>
      <c r="AB888" t="str">
        <f t="shared" si="39"/>
        <v>24502</v>
      </c>
    </row>
    <row r="889" ht="14.25" spans="1:28">
      <c r="A889" s="5" t="s">
        <v>28</v>
      </c>
      <c r="B889" s="5" t="s">
        <v>264</v>
      </c>
      <c r="C889" s="5">
        <v>2027</v>
      </c>
      <c r="D889" s="5" t="s">
        <v>30</v>
      </c>
      <c r="E889" s="9" t="s">
        <v>668</v>
      </c>
      <c r="F889" s="9" t="s">
        <v>666</v>
      </c>
      <c r="G889" s="9" t="s">
        <v>669</v>
      </c>
      <c r="H889" s="9" t="s">
        <v>670</v>
      </c>
      <c r="I889" s="9" t="s">
        <v>269</v>
      </c>
      <c r="J889" s="9" t="s">
        <v>36</v>
      </c>
      <c r="K889" s="9">
        <v>490</v>
      </c>
      <c r="L889" s="9"/>
      <c r="M889" s="9"/>
      <c r="N889" s="9"/>
      <c r="O889" s="9" t="s">
        <v>37</v>
      </c>
      <c r="P889" s="9" t="s">
        <v>42</v>
      </c>
      <c r="Q889" s="9"/>
      <c r="R889" s="10"/>
      <c r="S889" s="10"/>
      <c r="T889" s="10"/>
      <c r="U889" s="9" t="s">
        <v>148</v>
      </c>
      <c r="V889" t="s">
        <v>184</v>
      </c>
      <c r="W889" t="s">
        <v>178</v>
      </c>
      <c r="Y889" t="s">
        <v>179</v>
      </c>
      <c r="Z889" t="s">
        <v>538</v>
      </c>
      <c r="AB889" t="str">
        <f t="shared" si="39"/>
        <v>24502</v>
      </c>
    </row>
    <row r="890" ht="14.25" spans="1:28">
      <c r="A890" s="5" t="s">
        <v>28</v>
      </c>
      <c r="B890" s="5" t="s">
        <v>264</v>
      </c>
      <c r="C890" s="5">
        <v>2027</v>
      </c>
      <c r="D890" s="5" t="s">
        <v>30</v>
      </c>
      <c r="E890" s="9" t="s">
        <v>668</v>
      </c>
      <c r="F890" s="9" t="s">
        <v>666</v>
      </c>
      <c r="G890" s="9" t="s">
        <v>669</v>
      </c>
      <c r="H890" s="9" t="s">
        <v>670</v>
      </c>
      <c r="I890" s="9" t="s">
        <v>269</v>
      </c>
      <c r="J890" s="9" t="s">
        <v>36</v>
      </c>
      <c r="K890" s="9">
        <v>490</v>
      </c>
      <c r="L890" s="9"/>
      <c r="M890" s="9"/>
      <c r="N890" s="9"/>
      <c r="O890" s="9" t="s">
        <v>37</v>
      </c>
      <c r="P890" s="9" t="s">
        <v>43</v>
      </c>
      <c r="Q890" s="11"/>
      <c r="R890" s="10"/>
      <c r="S890" s="10"/>
      <c r="T890" s="10"/>
      <c r="U890" s="9" t="s">
        <v>148</v>
      </c>
      <c r="V890" t="s">
        <v>184</v>
      </c>
      <c r="W890" t="s">
        <v>178</v>
      </c>
      <c r="Y890" t="s">
        <v>179</v>
      </c>
      <c r="Z890" t="s">
        <v>538</v>
      </c>
      <c r="AB890" t="str">
        <f t="shared" si="39"/>
        <v>24502</v>
      </c>
    </row>
    <row r="891" ht="14.25" spans="1:28">
      <c r="A891" s="5" t="s">
        <v>28</v>
      </c>
      <c r="B891" s="5" t="s">
        <v>264</v>
      </c>
      <c r="C891" s="5">
        <v>2027</v>
      </c>
      <c r="D891" s="5" t="s">
        <v>30</v>
      </c>
      <c r="E891" s="9" t="s">
        <v>668</v>
      </c>
      <c r="F891" s="9" t="s">
        <v>666</v>
      </c>
      <c r="G891" s="9" t="s">
        <v>669</v>
      </c>
      <c r="H891" s="9" t="s">
        <v>670</v>
      </c>
      <c r="I891" s="9" t="s">
        <v>269</v>
      </c>
      <c r="J891" s="9" t="s">
        <v>36</v>
      </c>
      <c r="K891" s="9">
        <v>490</v>
      </c>
      <c r="L891" s="9"/>
      <c r="M891" s="9"/>
      <c r="N891" s="9"/>
      <c r="O891" s="9" t="s">
        <v>37</v>
      </c>
      <c r="P891" s="9" t="s">
        <v>44</v>
      </c>
      <c r="Q891" s="11"/>
      <c r="R891" s="10"/>
      <c r="S891" s="10"/>
      <c r="T891" s="10"/>
      <c r="U891" s="9" t="s">
        <v>148</v>
      </c>
      <c r="V891" t="s">
        <v>184</v>
      </c>
      <c r="W891" t="s">
        <v>178</v>
      </c>
      <c r="Y891" t="s">
        <v>179</v>
      </c>
      <c r="Z891" t="s">
        <v>538</v>
      </c>
      <c r="AB891" t="str">
        <f t="shared" si="39"/>
        <v>24502</v>
      </c>
    </row>
    <row r="892" ht="14.25" spans="1:28">
      <c r="A892" s="5" t="s">
        <v>28</v>
      </c>
      <c r="B892" s="5" t="s">
        <v>264</v>
      </c>
      <c r="C892" s="5">
        <v>2027</v>
      </c>
      <c r="D892" s="5" t="s">
        <v>30</v>
      </c>
      <c r="E892" s="9" t="s">
        <v>668</v>
      </c>
      <c r="F892" s="9" t="s">
        <v>666</v>
      </c>
      <c r="G892" s="9" t="s">
        <v>669</v>
      </c>
      <c r="H892" s="9" t="s">
        <v>670</v>
      </c>
      <c r="I892" s="9" t="s">
        <v>269</v>
      </c>
      <c r="J892" s="9" t="s">
        <v>36</v>
      </c>
      <c r="K892" s="9">
        <v>490</v>
      </c>
      <c r="L892" s="9"/>
      <c r="M892" s="9"/>
      <c r="N892" s="9"/>
      <c r="O892" s="9" t="s">
        <v>37</v>
      </c>
      <c r="P892" s="9" t="s">
        <v>45</v>
      </c>
      <c r="Q892" s="11"/>
      <c r="R892" s="10"/>
      <c r="S892" s="10"/>
      <c r="T892" s="10"/>
      <c r="U892" s="9" t="s">
        <v>148</v>
      </c>
      <c r="V892" t="s">
        <v>184</v>
      </c>
      <c r="W892" t="s">
        <v>178</v>
      </c>
      <c r="Y892" t="s">
        <v>179</v>
      </c>
      <c r="Z892" t="s">
        <v>538</v>
      </c>
      <c r="AB892" t="str">
        <f t="shared" si="39"/>
        <v>24502</v>
      </c>
    </row>
    <row r="893" ht="14.25" spans="1:28">
      <c r="A893" s="5" t="s">
        <v>28</v>
      </c>
      <c r="B893" s="5" t="s">
        <v>264</v>
      </c>
      <c r="C893" s="5">
        <v>2027</v>
      </c>
      <c r="D893" s="5" t="s">
        <v>30</v>
      </c>
      <c r="E893" s="9" t="s">
        <v>671</v>
      </c>
      <c r="F893" s="9" t="s">
        <v>672</v>
      </c>
      <c r="G893" s="9" t="s">
        <v>189</v>
      </c>
      <c r="H893" s="9" t="s">
        <v>673</v>
      </c>
      <c r="I893" s="9" t="s">
        <v>403</v>
      </c>
      <c r="J893" s="9" t="s">
        <v>36</v>
      </c>
      <c r="K893" s="9">
        <v>690</v>
      </c>
      <c r="L893" s="9"/>
      <c r="M893" s="9"/>
      <c r="N893" s="9"/>
      <c r="O893" s="9" t="s">
        <v>37</v>
      </c>
      <c r="P893" s="9" t="s">
        <v>38</v>
      </c>
      <c r="Q893" s="11"/>
      <c r="R893" s="10">
        <f t="shared" si="40"/>
        <v>0</v>
      </c>
      <c r="S893" s="10">
        <f>SUMIFS([1]Sheet1!$T:$T,[1]Sheet1!$I:$I,E893,[1]Sheet1!$C:$C,A893)</f>
        <v>0</v>
      </c>
      <c r="T893" s="10">
        <f t="shared" si="41"/>
        <v>0</v>
      </c>
      <c r="U893" s="9" t="s">
        <v>148</v>
      </c>
      <c r="V893" t="s">
        <v>674</v>
      </c>
      <c r="W893" t="s">
        <v>178</v>
      </c>
      <c r="X893" t="s">
        <v>191</v>
      </c>
      <c r="Y893" t="s">
        <v>179</v>
      </c>
      <c r="Z893" t="s">
        <v>538</v>
      </c>
      <c r="AB893" t="str">
        <f t="shared" si="39"/>
        <v>24503</v>
      </c>
    </row>
    <row r="894" ht="14.25" spans="1:28">
      <c r="A894" s="5" t="s">
        <v>28</v>
      </c>
      <c r="B894" s="5" t="s">
        <v>264</v>
      </c>
      <c r="C894" s="5">
        <v>2027</v>
      </c>
      <c r="D894" s="5" t="s">
        <v>30</v>
      </c>
      <c r="E894" s="9" t="s">
        <v>671</v>
      </c>
      <c r="F894" s="9" t="s">
        <v>672</v>
      </c>
      <c r="G894" s="9" t="s">
        <v>189</v>
      </c>
      <c r="H894" s="9" t="s">
        <v>673</v>
      </c>
      <c r="I894" s="9" t="s">
        <v>403</v>
      </c>
      <c r="J894" s="9" t="s">
        <v>36</v>
      </c>
      <c r="K894" s="9">
        <v>690</v>
      </c>
      <c r="L894" s="9"/>
      <c r="M894" s="9"/>
      <c r="N894" s="9"/>
      <c r="O894" s="9" t="s">
        <v>37</v>
      </c>
      <c r="P894" s="9" t="s">
        <v>42</v>
      </c>
      <c r="Q894" s="11"/>
      <c r="R894" s="10"/>
      <c r="S894" s="10"/>
      <c r="T894" s="10"/>
      <c r="U894" s="9" t="s">
        <v>148</v>
      </c>
      <c r="V894" t="s">
        <v>674</v>
      </c>
      <c r="W894" t="s">
        <v>178</v>
      </c>
      <c r="X894" t="s">
        <v>191</v>
      </c>
      <c r="Y894" t="s">
        <v>179</v>
      </c>
      <c r="Z894" t="s">
        <v>538</v>
      </c>
      <c r="AB894" t="str">
        <f t="shared" si="39"/>
        <v>24503</v>
      </c>
    </row>
    <row r="895" ht="14.25" spans="1:28">
      <c r="A895" s="5" t="s">
        <v>28</v>
      </c>
      <c r="B895" s="5" t="s">
        <v>264</v>
      </c>
      <c r="C895" s="5">
        <v>2027</v>
      </c>
      <c r="D895" s="5" t="s">
        <v>30</v>
      </c>
      <c r="E895" s="9" t="s">
        <v>671</v>
      </c>
      <c r="F895" s="9" t="s">
        <v>672</v>
      </c>
      <c r="G895" s="9" t="s">
        <v>189</v>
      </c>
      <c r="H895" s="9" t="s">
        <v>673</v>
      </c>
      <c r="I895" s="9" t="s">
        <v>403</v>
      </c>
      <c r="J895" s="9" t="s">
        <v>36</v>
      </c>
      <c r="K895" s="9">
        <v>690</v>
      </c>
      <c r="L895" s="9"/>
      <c r="M895" s="9"/>
      <c r="N895" s="9"/>
      <c r="O895" s="9" t="s">
        <v>37</v>
      </c>
      <c r="P895" s="9" t="s">
        <v>43</v>
      </c>
      <c r="Q895" s="11"/>
      <c r="R895" s="10"/>
      <c r="S895" s="10"/>
      <c r="T895" s="10"/>
      <c r="U895" s="9" t="s">
        <v>148</v>
      </c>
      <c r="V895" t="s">
        <v>674</v>
      </c>
      <c r="W895" t="s">
        <v>178</v>
      </c>
      <c r="X895" t="s">
        <v>191</v>
      </c>
      <c r="Y895" t="s">
        <v>179</v>
      </c>
      <c r="Z895" t="s">
        <v>538</v>
      </c>
      <c r="AB895" t="str">
        <f t="shared" si="39"/>
        <v>24503</v>
      </c>
    </row>
    <row r="896" ht="14.25" spans="1:28">
      <c r="A896" s="5" t="s">
        <v>28</v>
      </c>
      <c r="B896" s="5" t="s">
        <v>264</v>
      </c>
      <c r="C896" s="5">
        <v>2027</v>
      </c>
      <c r="D896" s="5" t="s">
        <v>30</v>
      </c>
      <c r="E896" s="9" t="s">
        <v>671</v>
      </c>
      <c r="F896" s="9" t="s">
        <v>672</v>
      </c>
      <c r="G896" s="9" t="s">
        <v>189</v>
      </c>
      <c r="H896" s="9" t="s">
        <v>673</v>
      </c>
      <c r="I896" s="9" t="s">
        <v>403</v>
      </c>
      <c r="J896" s="9" t="s">
        <v>36</v>
      </c>
      <c r="K896" s="9">
        <v>690</v>
      </c>
      <c r="L896" s="9"/>
      <c r="M896" s="9"/>
      <c r="N896" s="9"/>
      <c r="O896" s="9" t="s">
        <v>37</v>
      </c>
      <c r="P896" s="9" t="s">
        <v>44</v>
      </c>
      <c r="Q896" s="9"/>
      <c r="R896" s="10"/>
      <c r="S896" s="10"/>
      <c r="T896" s="10"/>
      <c r="U896" s="9" t="s">
        <v>148</v>
      </c>
      <c r="V896" t="s">
        <v>674</v>
      </c>
      <c r="W896" t="s">
        <v>178</v>
      </c>
      <c r="X896" t="s">
        <v>191</v>
      </c>
      <c r="Y896" t="s">
        <v>179</v>
      </c>
      <c r="Z896" t="s">
        <v>538</v>
      </c>
      <c r="AB896" t="str">
        <f t="shared" si="39"/>
        <v>24503</v>
      </c>
    </row>
    <row r="897" ht="14.25" spans="1:28">
      <c r="A897" s="5" t="s">
        <v>28</v>
      </c>
      <c r="B897" s="5" t="s">
        <v>264</v>
      </c>
      <c r="C897" s="5">
        <v>2027</v>
      </c>
      <c r="D897" s="5" t="s">
        <v>30</v>
      </c>
      <c r="E897" s="9" t="s">
        <v>671</v>
      </c>
      <c r="F897" s="9" t="s">
        <v>672</v>
      </c>
      <c r="G897" s="9" t="s">
        <v>189</v>
      </c>
      <c r="H897" s="9" t="s">
        <v>673</v>
      </c>
      <c r="I897" s="9" t="s">
        <v>403</v>
      </c>
      <c r="J897" s="9" t="s">
        <v>36</v>
      </c>
      <c r="K897" s="9">
        <v>690</v>
      </c>
      <c r="L897" s="9"/>
      <c r="M897" s="9"/>
      <c r="N897" s="9"/>
      <c r="O897" s="9" t="s">
        <v>37</v>
      </c>
      <c r="P897" s="9" t="s">
        <v>45</v>
      </c>
      <c r="Q897" s="9"/>
      <c r="R897" s="10"/>
      <c r="S897" s="10"/>
      <c r="T897" s="10"/>
      <c r="U897" s="9" t="s">
        <v>148</v>
      </c>
      <c r="V897" t="s">
        <v>674</v>
      </c>
      <c r="W897" t="s">
        <v>178</v>
      </c>
      <c r="X897" t="s">
        <v>191</v>
      </c>
      <c r="Y897" t="s">
        <v>179</v>
      </c>
      <c r="Z897" t="s">
        <v>538</v>
      </c>
      <c r="AB897" t="str">
        <f t="shared" si="39"/>
        <v>24503</v>
      </c>
    </row>
    <row r="898" ht="14.25" spans="1:28">
      <c r="A898" s="5" t="s">
        <v>28</v>
      </c>
      <c r="B898" s="5" t="s">
        <v>264</v>
      </c>
      <c r="C898" s="5">
        <v>2027</v>
      </c>
      <c r="D898" s="5" t="s">
        <v>30</v>
      </c>
      <c r="E898" s="9" t="s">
        <v>675</v>
      </c>
      <c r="F898" s="9" t="s">
        <v>676</v>
      </c>
      <c r="G898" s="9" t="s">
        <v>182</v>
      </c>
      <c r="H898" s="9" t="s">
        <v>677</v>
      </c>
      <c r="I898" s="9" t="s">
        <v>269</v>
      </c>
      <c r="J898" s="9" t="s">
        <v>36</v>
      </c>
      <c r="K898" s="9">
        <v>990</v>
      </c>
      <c r="L898" s="9"/>
      <c r="M898" s="9"/>
      <c r="N898" s="9"/>
      <c r="O898" s="9" t="s">
        <v>37</v>
      </c>
      <c r="P898" s="9" t="s">
        <v>38</v>
      </c>
      <c r="Q898" s="9"/>
      <c r="R898" s="10">
        <f t="shared" ref="R898:R961" si="42">SUMIFS(Q:Q,E:E,E898)</f>
        <v>0</v>
      </c>
      <c r="S898" s="10">
        <f>SUMIFS([1]Sheet1!$T:$T,[1]Sheet1!$I:$I,E898,[1]Sheet1!$C:$C,A898)</f>
        <v>0</v>
      </c>
      <c r="T898" s="10">
        <f t="shared" ref="T898:T961" si="43">R898-S898</f>
        <v>0</v>
      </c>
      <c r="U898" s="9" t="s">
        <v>638</v>
      </c>
      <c r="V898" t="s">
        <v>638</v>
      </c>
      <c r="W898" t="s">
        <v>178</v>
      </c>
      <c r="X898" t="s">
        <v>102</v>
      </c>
      <c r="Y898" t="s">
        <v>179</v>
      </c>
      <c r="Z898" t="s">
        <v>179</v>
      </c>
      <c r="AB898" t="str">
        <f t="shared" si="39"/>
        <v>24513</v>
      </c>
    </row>
    <row r="899" ht="14.25" spans="1:28">
      <c r="A899" s="5" t="s">
        <v>28</v>
      </c>
      <c r="B899" s="5" t="s">
        <v>264</v>
      </c>
      <c r="C899" s="5">
        <v>2027</v>
      </c>
      <c r="D899" s="5" t="s">
        <v>30</v>
      </c>
      <c r="E899" s="9" t="s">
        <v>675</v>
      </c>
      <c r="F899" s="9" t="s">
        <v>676</v>
      </c>
      <c r="G899" s="9" t="s">
        <v>182</v>
      </c>
      <c r="H899" s="9" t="s">
        <v>677</v>
      </c>
      <c r="I899" s="9" t="s">
        <v>269</v>
      </c>
      <c r="J899" s="9" t="s">
        <v>36</v>
      </c>
      <c r="K899" s="9">
        <v>990</v>
      </c>
      <c r="L899" s="9"/>
      <c r="M899" s="9"/>
      <c r="N899" s="9"/>
      <c r="O899" s="9" t="s">
        <v>37</v>
      </c>
      <c r="P899" s="9" t="s">
        <v>42</v>
      </c>
      <c r="Q899" s="9"/>
      <c r="R899" s="10"/>
      <c r="S899" s="10"/>
      <c r="T899" s="10"/>
      <c r="U899" s="9" t="s">
        <v>638</v>
      </c>
      <c r="V899" t="s">
        <v>638</v>
      </c>
      <c r="W899" t="s">
        <v>178</v>
      </c>
      <c r="X899" t="s">
        <v>102</v>
      </c>
      <c r="Y899" t="s">
        <v>179</v>
      </c>
      <c r="Z899" t="s">
        <v>179</v>
      </c>
      <c r="AB899" t="str">
        <f t="shared" ref="AB899:AB962" si="44">MID(E899,6,5)</f>
        <v>24513</v>
      </c>
    </row>
    <row r="900" ht="14.25" spans="1:28">
      <c r="A900" s="5" t="s">
        <v>28</v>
      </c>
      <c r="B900" s="5" t="s">
        <v>264</v>
      </c>
      <c r="C900" s="5">
        <v>2027</v>
      </c>
      <c r="D900" s="5" t="s">
        <v>30</v>
      </c>
      <c r="E900" s="9" t="s">
        <v>675</v>
      </c>
      <c r="F900" s="9" t="s">
        <v>676</v>
      </c>
      <c r="G900" s="9" t="s">
        <v>182</v>
      </c>
      <c r="H900" s="9" t="s">
        <v>677</v>
      </c>
      <c r="I900" s="9" t="s">
        <v>269</v>
      </c>
      <c r="J900" s="9" t="s">
        <v>36</v>
      </c>
      <c r="K900" s="9">
        <v>990</v>
      </c>
      <c r="L900" s="9"/>
      <c r="M900" s="9"/>
      <c r="N900" s="9"/>
      <c r="O900" s="9" t="s">
        <v>37</v>
      </c>
      <c r="P900" s="9" t="s">
        <v>43</v>
      </c>
      <c r="Q900" s="9"/>
      <c r="R900" s="10"/>
      <c r="S900" s="10"/>
      <c r="T900" s="10"/>
      <c r="U900" s="9" t="s">
        <v>638</v>
      </c>
      <c r="V900" t="s">
        <v>638</v>
      </c>
      <c r="W900" t="s">
        <v>178</v>
      </c>
      <c r="X900" t="s">
        <v>102</v>
      </c>
      <c r="Y900" t="s">
        <v>179</v>
      </c>
      <c r="Z900" t="s">
        <v>179</v>
      </c>
      <c r="AB900" t="str">
        <f t="shared" si="44"/>
        <v>24513</v>
      </c>
    </row>
    <row r="901" ht="14.25" spans="1:28">
      <c r="A901" s="5" t="s">
        <v>28</v>
      </c>
      <c r="B901" s="5" t="s">
        <v>264</v>
      </c>
      <c r="C901" s="5">
        <v>2027</v>
      </c>
      <c r="D901" s="5" t="s">
        <v>30</v>
      </c>
      <c r="E901" s="9" t="s">
        <v>675</v>
      </c>
      <c r="F901" s="9" t="s">
        <v>676</v>
      </c>
      <c r="G901" s="9" t="s">
        <v>182</v>
      </c>
      <c r="H901" s="9" t="s">
        <v>677</v>
      </c>
      <c r="I901" s="9" t="s">
        <v>269</v>
      </c>
      <c r="J901" s="9" t="s">
        <v>36</v>
      </c>
      <c r="K901" s="9">
        <v>990</v>
      </c>
      <c r="L901" s="9"/>
      <c r="M901" s="9"/>
      <c r="N901" s="9"/>
      <c r="O901" s="9" t="s">
        <v>37</v>
      </c>
      <c r="P901" s="9" t="s">
        <v>44</v>
      </c>
      <c r="Q901" s="9"/>
      <c r="R901" s="10"/>
      <c r="S901" s="10"/>
      <c r="T901" s="10"/>
      <c r="U901" s="9" t="s">
        <v>638</v>
      </c>
      <c r="V901" t="s">
        <v>638</v>
      </c>
      <c r="W901" t="s">
        <v>178</v>
      </c>
      <c r="X901" t="s">
        <v>102</v>
      </c>
      <c r="Y901" t="s">
        <v>179</v>
      </c>
      <c r="Z901" t="s">
        <v>179</v>
      </c>
      <c r="AB901" t="str">
        <f t="shared" si="44"/>
        <v>24513</v>
      </c>
    </row>
    <row r="902" ht="14.25" spans="1:28">
      <c r="A902" s="5" t="s">
        <v>28</v>
      </c>
      <c r="B902" s="5" t="s">
        <v>264</v>
      </c>
      <c r="C902" s="5">
        <v>2027</v>
      </c>
      <c r="D902" s="5" t="s">
        <v>30</v>
      </c>
      <c r="E902" s="9" t="s">
        <v>675</v>
      </c>
      <c r="F902" s="9" t="s">
        <v>676</v>
      </c>
      <c r="G902" s="9" t="s">
        <v>182</v>
      </c>
      <c r="H902" s="9" t="s">
        <v>677</v>
      </c>
      <c r="I902" s="9" t="s">
        <v>269</v>
      </c>
      <c r="J902" s="9" t="s">
        <v>36</v>
      </c>
      <c r="K902" s="9">
        <v>990</v>
      </c>
      <c r="L902" s="9"/>
      <c r="M902" s="9"/>
      <c r="N902" s="9"/>
      <c r="O902" s="9" t="s">
        <v>37</v>
      </c>
      <c r="P902" s="9" t="s">
        <v>45</v>
      </c>
      <c r="Q902" s="9"/>
      <c r="R902" s="10"/>
      <c r="S902" s="10"/>
      <c r="T902" s="10"/>
      <c r="U902" s="9" t="s">
        <v>638</v>
      </c>
      <c r="V902" t="s">
        <v>638</v>
      </c>
      <c r="W902" t="s">
        <v>178</v>
      </c>
      <c r="X902" t="s">
        <v>102</v>
      </c>
      <c r="Y902" t="s">
        <v>179</v>
      </c>
      <c r="Z902" t="s">
        <v>179</v>
      </c>
      <c r="AB902" t="str">
        <f t="shared" si="44"/>
        <v>24513</v>
      </c>
    </row>
    <row r="903" ht="14.25" spans="1:28">
      <c r="A903" s="5" t="s">
        <v>28</v>
      </c>
      <c r="B903" s="5" t="s">
        <v>264</v>
      </c>
      <c r="C903" s="5">
        <v>2027</v>
      </c>
      <c r="D903" s="5" t="s">
        <v>30</v>
      </c>
      <c r="E903" s="9" t="s">
        <v>678</v>
      </c>
      <c r="F903" s="9" t="s">
        <v>676</v>
      </c>
      <c r="G903" s="9" t="s">
        <v>369</v>
      </c>
      <c r="H903" s="9" t="s">
        <v>679</v>
      </c>
      <c r="I903" s="9" t="s">
        <v>269</v>
      </c>
      <c r="J903" s="9" t="s">
        <v>36</v>
      </c>
      <c r="K903" s="9">
        <v>990</v>
      </c>
      <c r="L903" s="9"/>
      <c r="M903" s="9"/>
      <c r="N903" s="9"/>
      <c r="O903" s="9" t="s">
        <v>37</v>
      </c>
      <c r="P903" s="9" t="s">
        <v>38</v>
      </c>
      <c r="Q903" s="9"/>
      <c r="R903" s="10">
        <f t="shared" si="42"/>
        <v>0</v>
      </c>
      <c r="S903" s="10">
        <f>SUMIFS([1]Sheet1!$T:$T,[1]Sheet1!$I:$I,E903,[1]Sheet1!$C:$C,A903)</f>
        <v>0</v>
      </c>
      <c r="T903" s="10">
        <f t="shared" si="43"/>
        <v>0</v>
      </c>
      <c r="U903" s="9" t="s">
        <v>638</v>
      </c>
      <c r="V903" t="s">
        <v>638</v>
      </c>
      <c r="W903" t="s">
        <v>178</v>
      </c>
      <c r="Y903" t="s">
        <v>179</v>
      </c>
      <c r="Z903" t="s">
        <v>179</v>
      </c>
      <c r="AB903" t="str">
        <f t="shared" si="44"/>
        <v>24513</v>
      </c>
    </row>
    <row r="904" ht="14.25" spans="1:28">
      <c r="A904" s="5" t="s">
        <v>28</v>
      </c>
      <c r="B904" s="5" t="s">
        <v>264</v>
      </c>
      <c r="C904" s="5">
        <v>2027</v>
      </c>
      <c r="D904" s="5" t="s">
        <v>30</v>
      </c>
      <c r="E904" s="9" t="s">
        <v>678</v>
      </c>
      <c r="F904" s="9" t="s">
        <v>676</v>
      </c>
      <c r="G904" s="9" t="s">
        <v>369</v>
      </c>
      <c r="H904" s="9" t="s">
        <v>679</v>
      </c>
      <c r="I904" s="9" t="s">
        <v>269</v>
      </c>
      <c r="J904" s="9" t="s">
        <v>36</v>
      </c>
      <c r="K904" s="9">
        <v>990</v>
      </c>
      <c r="L904" s="9"/>
      <c r="M904" s="9"/>
      <c r="N904" s="9"/>
      <c r="O904" s="9" t="s">
        <v>37</v>
      </c>
      <c r="P904" s="9" t="s">
        <v>42</v>
      </c>
      <c r="Q904" s="9"/>
      <c r="R904" s="10"/>
      <c r="S904" s="10"/>
      <c r="T904" s="10"/>
      <c r="U904" s="9" t="s">
        <v>638</v>
      </c>
      <c r="V904" t="s">
        <v>638</v>
      </c>
      <c r="W904" t="s">
        <v>178</v>
      </c>
      <c r="Y904" t="s">
        <v>179</v>
      </c>
      <c r="Z904" t="s">
        <v>179</v>
      </c>
      <c r="AB904" t="str">
        <f t="shared" si="44"/>
        <v>24513</v>
      </c>
    </row>
    <row r="905" ht="14.25" spans="1:28">
      <c r="A905" s="5" t="s">
        <v>28</v>
      </c>
      <c r="B905" s="5" t="s">
        <v>264</v>
      </c>
      <c r="C905" s="5">
        <v>2027</v>
      </c>
      <c r="D905" s="5" t="s">
        <v>30</v>
      </c>
      <c r="E905" s="9" t="s">
        <v>678</v>
      </c>
      <c r="F905" s="9" t="s">
        <v>676</v>
      </c>
      <c r="G905" s="9" t="s">
        <v>369</v>
      </c>
      <c r="H905" s="9" t="s">
        <v>679</v>
      </c>
      <c r="I905" s="9" t="s">
        <v>269</v>
      </c>
      <c r="J905" s="9" t="s">
        <v>36</v>
      </c>
      <c r="K905" s="9">
        <v>990</v>
      </c>
      <c r="L905" s="9"/>
      <c r="M905" s="9"/>
      <c r="N905" s="9"/>
      <c r="O905" s="9" t="s">
        <v>37</v>
      </c>
      <c r="P905" s="9" t="s">
        <v>43</v>
      </c>
      <c r="Q905" s="9"/>
      <c r="R905" s="10"/>
      <c r="S905" s="10"/>
      <c r="T905" s="10"/>
      <c r="U905" s="9" t="s">
        <v>638</v>
      </c>
      <c r="V905" t="s">
        <v>638</v>
      </c>
      <c r="W905" t="s">
        <v>178</v>
      </c>
      <c r="Y905" t="s">
        <v>179</v>
      </c>
      <c r="Z905" t="s">
        <v>179</v>
      </c>
      <c r="AB905" t="str">
        <f t="shared" si="44"/>
        <v>24513</v>
      </c>
    </row>
    <row r="906" ht="14.25" spans="1:28">
      <c r="A906" s="5" t="s">
        <v>28</v>
      </c>
      <c r="B906" s="5" t="s">
        <v>264</v>
      </c>
      <c r="C906" s="5">
        <v>2027</v>
      </c>
      <c r="D906" s="5" t="s">
        <v>30</v>
      </c>
      <c r="E906" s="9" t="s">
        <v>678</v>
      </c>
      <c r="F906" s="9" t="s">
        <v>676</v>
      </c>
      <c r="G906" s="9" t="s">
        <v>369</v>
      </c>
      <c r="H906" s="9" t="s">
        <v>679</v>
      </c>
      <c r="I906" s="9" t="s">
        <v>269</v>
      </c>
      <c r="J906" s="9" t="s">
        <v>36</v>
      </c>
      <c r="K906" s="9">
        <v>990</v>
      </c>
      <c r="L906" s="9"/>
      <c r="M906" s="9"/>
      <c r="N906" s="9"/>
      <c r="O906" s="9" t="s">
        <v>37</v>
      </c>
      <c r="P906" s="9" t="s">
        <v>44</v>
      </c>
      <c r="Q906" s="9"/>
      <c r="R906" s="10"/>
      <c r="S906" s="10"/>
      <c r="T906" s="10"/>
      <c r="U906" s="9" t="s">
        <v>638</v>
      </c>
      <c r="V906" t="s">
        <v>638</v>
      </c>
      <c r="W906" t="s">
        <v>178</v>
      </c>
      <c r="Y906" t="s">
        <v>179</v>
      </c>
      <c r="Z906" t="s">
        <v>179</v>
      </c>
      <c r="AB906" t="str">
        <f t="shared" si="44"/>
        <v>24513</v>
      </c>
    </row>
    <row r="907" ht="14.25" spans="1:28">
      <c r="A907" s="5" t="s">
        <v>28</v>
      </c>
      <c r="B907" s="5" t="s">
        <v>264</v>
      </c>
      <c r="C907" s="5">
        <v>2027</v>
      </c>
      <c r="D907" s="5" t="s">
        <v>30</v>
      </c>
      <c r="E907" s="9" t="s">
        <v>678</v>
      </c>
      <c r="F907" s="9" t="s">
        <v>676</v>
      </c>
      <c r="G907" s="9" t="s">
        <v>369</v>
      </c>
      <c r="H907" s="9" t="s">
        <v>679</v>
      </c>
      <c r="I907" s="9" t="s">
        <v>269</v>
      </c>
      <c r="J907" s="9" t="s">
        <v>36</v>
      </c>
      <c r="K907" s="9">
        <v>990</v>
      </c>
      <c r="L907" s="9"/>
      <c r="M907" s="9"/>
      <c r="N907" s="9"/>
      <c r="O907" s="9" t="s">
        <v>37</v>
      </c>
      <c r="P907" s="9" t="s">
        <v>45</v>
      </c>
      <c r="Q907" s="9"/>
      <c r="R907" s="10"/>
      <c r="S907" s="10"/>
      <c r="T907" s="10"/>
      <c r="U907" s="9" t="s">
        <v>638</v>
      </c>
      <c r="V907" t="s">
        <v>638</v>
      </c>
      <c r="W907" t="s">
        <v>178</v>
      </c>
      <c r="Y907" t="s">
        <v>179</v>
      </c>
      <c r="Z907" t="s">
        <v>179</v>
      </c>
      <c r="AB907" t="str">
        <f t="shared" si="44"/>
        <v>24513</v>
      </c>
    </row>
    <row r="908" ht="14.25" spans="1:28">
      <c r="A908" s="5" t="s">
        <v>28</v>
      </c>
      <c r="B908" s="5" t="s">
        <v>264</v>
      </c>
      <c r="C908" s="5">
        <v>2027</v>
      </c>
      <c r="D908" s="5" t="s">
        <v>30</v>
      </c>
      <c r="E908" s="9" t="s">
        <v>680</v>
      </c>
      <c r="F908" s="9" t="s">
        <v>681</v>
      </c>
      <c r="G908" s="9" t="s">
        <v>182</v>
      </c>
      <c r="H908" s="9" t="s">
        <v>682</v>
      </c>
      <c r="I908" s="9" t="s">
        <v>276</v>
      </c>
      <c r="J908" s="9" t="s">
        <v>36</v>
      </c>
      <c r="K908" s="9">
        <v>790</v>
      </c>
      <c r="L908" s="9"/>
      <c r="M908" s="9"/>
      <c r="N908" s="9"/>
      <c r="O908" s="9" t="s">
        <v>37</v>
      </c>
      <c r="P908" s="9" t="s">
        <v>38</v>
      </c>
      <c r="Q908" s="9"/>
      <c r="R908" s="10">
        <f t="shared" si="42"/>
        <v>0</v>
      </c>
      <c r="S908" s="10">
        <f>SUMIFS([1]Sheet1!$T:$T,[1]Sheet1!$I:$I,E908,[1]Sheet1!$C:$C,A908)</f>
        <v>20</v>
      </c>
      <c r="T908" s="10">
        <f t="shared" si="43"/>
        <v>-20</v>
      </c>
      <c r="U908" s="9" t="s">
        <v>638</v>
      </c>
      <c r="V908" t="s">
        <v>638</v>
      </c>
      <c r="W908" t="s">
        <v>178</v>
      </c>
      <c r="X908" t="s">
        <v>102</v>
      </c>
      <c r="Y908" t="s">
        <v>179</v>
      </c>
      <c r="Z908" t="s">
        <v>104</v>
      </c>
      <c r="AB908" t="str">
        <f t="shared" si="44"/>
        <v>24516</v>
      </c>
    </row>
    <row r="909" ht="14.25" spans="1:28">
      <c r="A909" s="5" t="s">
        <v>28</v>
      </c>
      <c r="B909" s="5" t="s">
        <v>264</v>
      </c>
      <c r="C909" s="5">
        <v>2027</v>
      </c>
      <c r="D909" s="5" t="s">
        <v>30</v>
      </c>
      <c r="E909" s="9" t="s">
        <v>680</v>
      </c>
      <c r="F909" s="9" t="s">
        <v>681</v>
      </c>
      <c r="G909" s="9" t="s">
        <v>182</v>
      </c>
      <c r="H909" s="9" t="s">
        <v>682</v>
      </c>
      <c r="I909" s="9" t="s">
        <v>276</v>
      </c>
      <c r="J909" s="9" t="s">
        <v>36</v>
      </c>
      <c r="K909" s="9">
        <v>790</v>
      </c>
      <c r="L909" s="9"/>
      <c r="M909" s="9"/>
      <c r="N909" s="9"/>
      <c r="O909" s="9" t="s">
        <v>37</v>
      </c>
      <c r="P909" s="9" t="s">
        <v>42</v>
      </c>
      <c r="Q909" s="9"/>
      <c r="R909" s="10"/>
      <c r="S909" s="10"/>
      <c r="T909" s="10"/>
      <c r="U909" s="9" t="s">
        <v>638</v>
      </c>
      <c r="V909" t="s">
        <v>638</v>
      </c>
      <c r="W909" t="s">
        <v>178</v>
      </c>
      <c r="X909" t="s">
        <v>102</v>
      </c>
      <c r="Y909" t="s">
        <v>179</v>
      </c>
      <c r="Z909" t="s">
        <v>104</v>
      </c>
      <c r="AB909" t="str">
        <f t="shared" si="44"/>
        <v>24516</v>
      </c>
    </row>
    <row r="910" ht="14.25" spans="1:28">
      <c r="A910" s="5" t="s">
        <v>28</v>
      </c>
      <c r="B910" s="5" t="s">
        <v>264</v>
      </c>
      <c r="C910" s="5">
        <v>2027</v>
      </c>
      <c r="D910" s="5" t="s">
        <v>30</v>
      </c>
      <c r="E910" s="9" t="s">
        <v>680</v>
      </c>
      <c r="F910" s="9" t="s">
        <v>681</v>
      </c>
      <c r="G910" s="9" t="s">
        <v>182</v>
      </c>
      <c r="H910" s="9" t="s">
        <v>682</v>
      </c>
      <c r="I910" s="9" t="s">
        <v>276</v>
      </c>
      <c r="J910" s="9" t="s">
        <v>36</v>
      </c>
      <c r="K910" s="9">
        <v>790</v>
      </c>
      <c r="L910" s="9"/>
      <c r="M910" s="9"/>
      <c r="N910" s="9"/>
      <c r="O910" s="9" t="s">
        <v>37</v>
      </c>
      <c r="P910" s="9" t="s">
        <v>43</v>
      </c>
      <c r="Q910" s="9"/>
      <c r="R910" s="10"/>
      <c r="S910" s="10"/>
      <c r="T910" s="10"/>
      <c r="U910" s="9" t="s">
        <v>638</v>
      </c>
      <c r="V910" t="s">
        <v>638</v>
      </c>
      <c r="W910" t="s">
        <v>178</v>
      </c>
      <c r="X910" t="s">
        <v>102</v>
      </c>
      <c r="Y910" t="s">
        <v>179</v>
      </c>
      <c r="Z910" t="s">
        <v>104</v>
      </c>
      <c r="AB910" t="str">
        <f t="shared" si="44"/>
        <v>24516</v>
      </c>
    </row>
    <row r="911" ht="14.25" spans="1:28">
      <c r="A911" s="5" t="s">
        <v>28</v>
      </c>
      <c r="B911" s="5" t="s">
        <v>264</v>
      </c>
      <c r="C911" s="5">
        <v>2027</v>
      </c>
      <c r="D911" s="5" t="s">
        <v>30</v>
      </c>
      <c r="E911" s="9" t="s">
        <v>680</v>
      </c>
      <c r="F911" s="9" t="s">
        <v>681</v>
      </c>
      <c r="G911" s="9" t="s">
        <v>182</v>
      </c>
      <c r="H911" s="9" t="s">
        <v>682</v>
      </c>
      <c r="I911" s="9" t="s">
        <v>276</v>
      </c>
      <c r="J911" s="9" t="s">
        <v>36</v>
      </c>
      <c r="K911" s="9">
        <v>790</v>
      </c>
      <c r="L911" s="9"/>
      <c r="M911" s="9"/>
      <c r="N911" s="9"/>
      <c r="O911" s="9" t="s">
        <v>37</v>
      </c>
      <c r="P911" s="9" t="s">
        <v>44</v>
      </c>
      <c r="Q911" s="9"/>
      <c r="R911" s="10"/>
      <c r="S911" s="10"/>
      <c r="T911" s="10"/>
      <c r="U911" s="9" t="s">
        <v>638</v>
      </c>
      <c r="V911" t="s">
        <v>638</v>
      </c>
      <c r="W911" t="s">
        <v>178</v>
      </c>
      <c r="X911" t="s">
        <v>102</v>
      </c>
      <c r="Y911" t="s">
        <v>179</v>
      </c>
      <c r="Z911" t="s">
        <v>104</v>
      </c>
      <c r="AB911" t="str">
        <f t="shared" si="44"/>
        <v>24516</v>
      </c>
    </row>
    <row r="912" ht="14.25" spans="1:28">
      <c r="A912" s="5" t="s">
        <v>28</v>
      </c>
      <c r="B912" s="5" t="s">
        <v>264</v>
      </c>
      <c r="C912" s="5">
        <v>2027</v>
      </c>
      <c r="D912" s="5" t="s">
        <v>30</v>
      </c>
      <c r="E912" s="9" t="s">
        <v>680</v>
      </c>
      <c r="F912" s="9" t="s">
        <v>681</v>
      </c>
      <c r="G912" s="9" t="s">
        <v>182</v>
      </c>
      <c r="H912" s="9" t="s">
        <v>682</v>
      </c>
      <c r="I912" s="9" t="s">
        <v>276</v>
      </c>
      <c r="J912" s="9" t="s">
        <v>36</v>
      </c>
      <c r="K912" s="9">
        <v>790</v>
      </c>
      <c r="L912" s="9"/>
      <c r="M912" s="9"/>
      <c r="N912" s="9"/>
      <c r="O912" s="9" t="s">
        <v>37</v>
      </c>
      <c r="P912" s="9" t="s">
        <v>45</v>
      </c>
      <c r="Q912" s="9"/>
      <c r="R912" s="10"/>
      <c r="S912" s="10"/>
      <c r="T912" s="10"/>
      <c r="U912" s="9" t="s">
        <v>638</v>
      </c>
      <c r="V912" t="s">
        <v>638</v>
      </c>
      <c r="W912" t="s">
        <v>178</v>
      </c>
      <c r="X912" t="s">
        <v>102</v>
      </c>
      <c r="Y912" t="s">
        <v>179</v>
      </c>
      <c r="Z912" t="s">
        <v>104</v>
      </c>
      <c r="AB912" t="str">
        <f t="shared" si="44"/>
        <v>24516</v>
      </c>
    </row>
    <row r="913" ht="14.25" spans="1:28">
      <c r="A913" s="5" t="s">
        <v>28</v>
      </c>
      <c r="B913" s="5" t="s">
        <v>264</v>
      </c>
      <c r="C913" s="5">
        <v>2027</v>
      </c>
      <c r="D913" s="5" t="s">
        <v>30</v>
      </c>
      <c r="E913" s="9" t="s">
        <v>683</v>
      </c>
      <c r="F913" s="9" t="s">
        <v>681</v>
      </c>
      <c r="G913" s="9" t="s">
        <v>684</v>
      </c>
      <c r="H913" s="9" t="s">
        <v>685</v>
      </c>
      <c r="I913" s="9" t="s">
        <v>276</v>
      </c>
      <c r="J913" s="9" t="s">
        <v>36</v>
      </c>
      <c r="K913" s="9">
        <v>790</v>
      </c>
      <c r="L913" s="9"/>
      <c r="M913" s="9"/>
      <c r="N913" s="9"/>
      <c r="O913" s="9" t="s">
        <v>37</v>
      </c>
      <c r="P913" s="9" t="s">
        <v>38</v>
      </c>
      <c r="Q913" s="9"/>
      <c r="R913" s="10">
        <f t="shared" si="42"/>
        <v>0</v>
      </c>
      <c r="S913" s="10">
        <f>SUMIFS([1]Sheet1!$T:$T,[1]Sheet1!$I:$I,E913,[1]Sheet1!$C:$C,A913)</f>
        <v>0</v>
      </c>
      <c r="T913" s="10">
        <f t="shared" si="43"/>
        <v>0</v>
      </c>
      <c r="U913" s="9"/>
      <c r="Y913" t="s">
        <v>179</v>
      </c>
      <c r="Z913" t="s">
        <v>104</v>
      </c>
      <c r="AB913" t="str">
        <f t="shared" si="44"/>
        <v>24516</v>
      </c>
    </row>
    <row r="914" ht="14.25" spans="1:28">
      <c r="A914" s="5" t="s">
        <v>28</v>
      </c>
      <c r="B914" s="5" t="s">
        <v>264</v>
      </c>
      <c r="C914" s="5">
        <v>2027</v>
      </c>
      <c r="D914" s="5" t="s">
        <v>30</v>
      </c>
      <c r="E914" s="9" t="s">
        <v>683</v>
      </c>
      <c r="F914" s="9" t="s">
        <v>681</v>
      </c>
      <c r="G914" s="9" t="s">
        <v>684</v>
      </c>
      <c r="H914" s="9" t="s">
        <v>685</v>
      </c>
      <c r="I914" s="9" t="s">
        <v>276</v>
      </c>
      <c r="J914" s="9" t="s">
        <v>36</v>
      </c>
      <c r="K914" s="9">
        <v>790</v>
      </c>
      <c r="L914" s="9"/>
      <c r="M914" s="9"/>
      <c r="N914" s="9"/>
      <c r="O914" s="9" t="s">
        <v>37</v>
      </c>
      <c r="P914" s="9" t="s">
        <v>42</v>
      </c>
      <c r="Q914" s="9"/>
      <c r="R914" s="10"/>
      <c r="S914" s="10"/>
      <c r="T914" s="10"/>
      <c r="U914" s="9"/>
      <c r="Y914" t="s">
        <v>179</v>
      </c>
      <c r="Z914" t="s">
        <v>104</v>
      </c>
      <c r="AB914" t="str">
        <f t="shared" si="44"/>
        <v>24516</v>
      </c>
    </row>
    <row r="915" ht="14.25" spans="1:28">
      <c r="A915" s="5" t="s">
        <v>28</v>
      </c>
      <c r="B915" s="5" t="s">
        <v>264</v>
      </c>
      <c r="C915" s="5">
        <v>2027</v>
      </c>
      <c r="D915" s="5" t="s">
        <v>30</v>
      </c>
      <c r="E915" s="9" t="s">
        <v>683</v>
      </c>
      <c r="F915" s="9" t="s">
        <v>681</v>
      </c>
      <c r="G915" s="9" t="s">
        <v>684</v>
      </c>
      <c r="H915" s="9" t="s">
        <v>685</v>
      </c>
      <c r="I915" s="9" t="s">
        <v>276</v>
      </c>
      <c r="J915" s="9" t="s">
        <v>36</v>
      </c>
      <c r="K915" s="9">
        <v>790</v>
      </c>
      <c r="L915" s="9"/>
      <c r="M915" s="9"/>
      <c r="N915" s="9"/>
      <c r="O915" s="9" t="s">
        <v>37</v>
      </c>
      <c r="P915" s="9" t="s">
        <v>43</v>
      </c>
      <c r="Q915" s="9"/>
      <c r="R915" s="10"/>
      <c r="S915" s="10"/>
      <c r="T915" s="10"/>
      <c r="U915" s="9"/>
      <c r="Y915" t="s">
        <v>179</v>
      </c>
      <c r="Z915" t="s">
        <v>104</v>
      </c>
      <c r="AB915" t="str">
        <f t="shared" si="44"/>
        <v>24516</v>
      </c>
    </row>
    <row r="916" ht="14.25" spans="1:28">
      <c r="A916" s="5" t="s">
        <v>28</v>
      </c>
      <c r="B916" s="5" t="s">
        <v>264</v>
      </c>
      <c r="C916" s="5">
        <v>2027</v>
      </c>
      <c r="D916" s="5" t="s">
        <v>30</v>
      </c>
      <c r="E916" s="9" t="s">
        <v>683</v>
      </c>
      <c r="F916" s="9" t="s">
        <v>681</v>
      </c>
      <c r="G916" s="9" t="s">
        <v>684</v>
      </c>
      <c r="H916" s="9" t="s">
        <v>685</v>
      </c>
      <c r="I916" s="9" t="s">
        <v>276</v>
      </c>
      <c r="J916" s="9" t="s">
        <v>36</v>
      </c>
      <c r="K916" s="9">
        <v>790</v>
      </c>
      <c r="L916" s="9"/>
      <c r="M916" s="9"/>
      <c r="N916" s="9"/>
      <c r="O916" s="9" t="s">
        <v>37</v>
      </c>
      <c r="P916" s="9" t="s">
        <v>44</v>
      </c>
      <c r="Q916" s="9"/>
      <c r="R916" s="10"/>
      <c r="S916" s="10"/>
      <c r="T916" s="10"/>
      <c r="U916" s="9"/>
      <c r="Y916" t="s">
        <v>179</v>
      </c>
      <c r="Z916" t="s">
        <v>104</v>
      </c>
      <c r="AB916" t="str">
        <f t="shared" si="44"/>
        <v>24516</v>
      </c>
    </row>
    <row r="917" ht="14.25" spans="1:28">
      <c r="A917" s="5" t="s">
        <v>28</v>
      </c>
      <c r="B917" s="5" t="s">
        <v>264</v>
      </c>
      <c r="C917" s="5">
        <v>2027</v>
      </c>
      <c r="D917" s="5" t="s">
        <v>30</v>
      </c>
      <c r="E917" s="9" t="s">
        <v>683</v>
      </c>
      <c r="F917" s="9" t="s">
        <v>681</v>
      </c>
      <c r="G917" s="9" t="s">
        <v>684</v>
      </c>
      <c r="H917" s="9" t="s">
        <v>685</v>
      </c>
      <c r="I917" s="9" t="s">
        <v>276</v>
      </c>
      <c r="J917" s="9" t="s">
        <v>36</v>
      </c>
      <c r="K917" s="9">
        <v>790</v>
      </c>
      <c r="L917" s="9"/>
      <c r="M917" s="9"/>
      <c r="N917" s="9"/>
      <c r="O917" s="9" t="s">
        <v>37</v>
      </c>
      <c r="P917" s="9" t="s">
        <v>45</v>
      </c>
      <c r="Q917" s="9"/>
      <c r="R917" s="10"/>
      <c r="S917" s="10"/>
      <c r="T917" s="10"/>
      <c r="U917" s="9"/>
      <c r="Y917" t="s">
        <v>179</v>
      </c>
      <c r="Z917" t="s">
        <v>104</v>
      </c>
      <c r="AB917" t="str">
        <f t="shared" si="44"/>
        <v>24516</v>
      </c>
    </row>
    <row r="918" ht="14.25" spans="1:28">
      <c r="A918" s="5" t="s">
        <v>28</v>
      </c>
      <c r="B918" s="5" t="s">
        <v>264</v>
      </c>
      <c r="C918" s="5">
        <v>2027</v>
      </c>
      <c r="D918" s="5" t="s">
        <v>30</v>
      </c>
      <c r="E918" s="9" t="s">
        <v>686</v>
      </c>
      <c r="F918" s="9" t="s">
        <v>687</v>
      </c>
      <c r="G918" s="9" t="s">
        <v>182</v>
      </c>
      <c r="H918" s="9" t="s">
        <v>688</v>
      </c>
      <c r="I918" s="9" t="s">
        <v>269</v>
      </c>
      <c r="J918" s="9" t="s">
        <v>36</v>
      </c>
      <c r="K918" s="9">
        <v>890</v>
      </c>
      <c r="L918" s="9"/>
      <c r="M918" s="9"/>
      <c r="N918" s="9"/>
      <c r="O918" s="9" t="s">
        <v>37</v>
      </c>
      <c r="P918" s="9" t="s">
        <v>38</v>
      </c>
      <c r="Q918" s="9"/>
      <c r="R918" s="10">
        <f t="shared" si="42"/>
        <v>0</v>
      </c>
      <c r="S918" s="10">
        <f>SUMIFS([1]Sheet1!$T:$T,[1]Sheet1!$I:$I,E918,[1]Sheet1!$C:$C,A918)</f>
        <v>0</v>
      </c>
      <c r="T918" s="10">
        <f t="shared" si="43"/>
        <v>0</v>
      </c>
      <c r="U918" s="9"/>
      <c r="X918" t="s">
        <v>102</v>
      </c>
      <c r="Y918" t="s">
        <v>179</v>
      </c>
      <c r="Z918" t="s">
        <v>179</v>
      </c>
      <c r="AB918" t="str">
        <f t="shared" si="44"/>
        <v>24527</v>
      </c>
    </row>
    <row r="919" ht="14.25" spans="1:28">
      <c r="A919" s="5" t="s">
        <v>28</v>
      </c>
      <c r="B919" s="5" t="s">
        <v>264</v>
      </c>
      <c r="C919" s="5">
        <v>2027</v>
      </c>
      <c r="D919" s="5" t="s">
        <v>30</v>
      </c>
      <c r="E919" s="9" t="s">
        <v>686</v>
      </c>
      <c r="F919" s="9" t="s">
        <v>687</v>
      </c>
      <c r="G919" s="9" t="s">
        <v>182</v>
      </c>
      <c r="H919" s="9" t="s">
        <v>688</v>
      </c>
      <c r="I919" s="9" t="s">
        <v>269</v>
      </c>
      <c r="J919" s="9" t="s">
        <v>36</v>
      </c>
      <c r="K919" s="9">
        <v>890</v>
      </c>
      <c r="L919" s="9"/>
      <c r="M919" s="9"/>
      <c r="N919" s="9"/>
      <c r="O919" s="9" t="s">
        <v>37</v>
      </c>
      <c r="P919" s="9" t="s">
        <v>42</v>
      </c>
      <c r="Q919" s="9"/>
      <c r="R919" s="10"/>
      <c r="S919" s="10"/>
      <c r="T919" s="10"/>
      <c r="U919" s="9"/>
      <c r="X919" t="s">
        <v>102</v>
      </c>
      <c r="Y919" t="s">
        <v>179</v>
      </c>
      <c r="Z919" t="s">
        <v>179</v>
      </c>
      <c r="AB919" t="str">
        <f t="shared" si="44"/>
        <v>24527</v>
      </c>
    </row>
    <row r="920" ht="14.25" spans="1:28">
      <c r="A920" s="5" t="s">
        <v>28</v>
      </c>
      <c r="B920" s="5" t="s">
        <v>264</v>
      </c>
      <c r="C920" s="5">
        <v>2027</v>
      </c>
      <c r="D920" s="5" t="s">
        <v>30</v>
      </c>
      <c r="E920" s="9" t="s">
        <v>686</v>
      </c>
      <c r="F920" s="9" t="s">
        <v>687</v>
      </c>
      <c r="G920" s="9" t="s">
        <v>182</v>
      </c>
      <c r="H920" s="9" t="s">
        <v>688</v>
      </c>
      <c r="I920" s="9" t="s">
        <v>269</v>
      </c>
      <c r="J920" s="9" t="s">
        <v>36</v>
      </c>
      <c r="K920" s="9">
        <v>890</v>
      </c>
      <c r="L920" s="9"/>
      <c r="M920" s="9"/>
      <c r="N920" s="9"/>
      <c r="O920" s="9" t="s">
        <v>37</v>
      </c>
      <c r="P920" s="9" t="s">
        <v>43</v>
      </c>
      <c r="Q920" s="9"/>
      <c r="R920" s="10"/>
      <c r="S920" s="10"/>
      <c r="T920" s="10"/>
      <c r="U920" s="9"/>
      <c r="X920" t="s">
        <v>102</v>
      </c>
      <c r="Y920" t="s">
        <v>179</v>
      </c>
      <c r="Z920" t="s">
        <v>179</v>
      </c>
      <c r="AB920" t="str">
        <f t="shared" si="44"/>
        <v>24527</v>
      </c>
    </row>
    <row r="921" ht="14.25" spans="1:28">
      <c r="A921" s="5" t="s">
        <v>28</v>
      </c>
      <c r="B921" s="5" t="s">
        <v>264</v>
      </c>
      <c r="C921" s="5">
        <v>2027</v>
      </c>
      <c r="D921" s="5" t="s">
        <v>30</v>
      </c>
      <c r="E921" s="9" t="s">
        <v>686</v>
      </c>
      <c r="F921" s="9" t="s">
        <v>687</v>
      </c>
      <c r="G921" s="9" t="s">
        <v>182</v>
      </c>
      <c r="H921" s="9" t="s">
        <v>688</v>
      </c>
      <c r="I921" s="9" t="s">
        <v>269</v>
      </c>
      <c r="J921" s="9" t="s">
        <v>36</v>
      </c>
      <c r="K921" s="9">
        <v>890</v>
      </c>
      <c r="L921" s="9"/>
      <c r="M921" s="9"/>
      <c r="N921" s="9"/>
      <c r="O921" s="9" t="s">
        <v>37</v>
      </c>
      <c r="P921" s="9" t="s">
        <v>44</v>
      </c>
      <c r="Q921" s="9"/>
      <c r="R921" s="10"/>
      <c r="S921" s="10"/>
      <c r="T921" s="10"/>
      <c r="U921" s="9"/>
      <c r="X921" t="s">
        <v>102</v>
      </c>
      <c r="Y921" t="s">
        <v>179</v>
      </c>
      <c r="Z921" t="s">
        <v>179</v>
      </c>
      <c r="AB921" t="str">
        <f t="shared" si="44"/>
        <v>24527</v>
      </c>
    </row>
    <row r="922" ht="14.25" spans="1:28">
      <c r="A922" s="5" t="s">
        <v>28</v>
      </c>
      <c r="B922" s="5" t="s">
        <v>264</v>
      </c>
      <c r="C922" s="5">
        <v>2027</v>
      </c>
      <c r="D922" s="5" t="s">
        <v>30</v>
      </c>
      <c r="E922" s="9" t="s">
        <v>686</v>
      </c>
      <c r="F922" s="9" t="s">
        <v>687</v>
      </c>
      <c r="G922" s="9" t="s">
        <v>182</v>
      </c>
      <c r="H922" s="9" t="s">
        <v>688</v>
      </c>
      <c r="I922" s="9" t="s">
        <v>269</v>
      </c>
      <c r="J922" s="9" t="s">
        <v>36</v>
      </c>
      <c r="K922" s="9">
        <v>890</v>
      </c>
      <c r="L922" s="9"/>
      <c r="M922" s="9"/>
      <c r="N922" s="9"/>
      <c r="O922" s="9" t="s">
        <v>37</v>
      </c>
      <c r="P922" s="9" t="s">
        <v>45</v>
      </c>
      <c r="Q922" s="9"/>
      <c r="R922" s="10"/>
      <c r="S922" s="10"/>
      <c r="T922" s="10"/>
      <c r="U922" s="9"/>
      <c r="X922" t="s">
        <v>102</v>
      </c>
      <c r="Y922" t="s">
        <v>179</v>
      </c>
      <c r="Z922" t="s">
        <v>179</v>
      </c>
      <c r="AB922" t="str">
        <f t="shared" si="44"/>
        <v>24527</v>
      </c>
    </row>
    <row r="923" ht="14.25" spans="1:28">
      <c r="A923" s="5" t="s">
        <v>28</v>
      </c>
      <c r="B923" s="5" t="s">
        <v>264</v>
      </c>
      <c r="C923" s="5">
        <v>2027</v>
      </c>
      <c r="D923" s="5" t="s">
        <v>30</v>
      </c>
      <c r="E923" s="9" t="s">
        <v>689</v>
      </c>
      <c r="F923" s="9" t="s">
        <v>690</v>
      </c>
      <c r="G923" s="9" t="s">
        <v>691</v>
      </c>
      <c r="H923" s="9" t="s">
        <v>692</v>
      </c>
      <c r="I923" s="9" t="s">
        <v>276</v>
      </c>
      <c r="J923" s="9" t="s">
        <v>36</v>
      </c>
      <c r="K923" s="9">
        <v>990</v>
      </c>
      <c r="L923" s="9"/>
      <c r="M923" s="9"/>
      <c r="N923" s="9"/>
      <c r="O923" s="9" t="s">
        <v>693</v>
      </c>
      <c r="P923" s="9" t="s">
        <v>77</v>
      </c>
      <c r="Q923" s="9"/>
      <c r="R923" s="10">
        <f t="shared" si="42"/>
        <v>0</v>
      </c>
      <c r="S923" s="10">
        <f>SUMIFS([1]Sheet1!$T:$T,[1]Sheet1!$I:$I,E923,[1]Sheet1!$C:$C,A923)</f>
        <v>0</v>
      </c>
      <c r="T923" s="10">
        <f t="shared" si="43"/>
        <v>0</v>
      </c>
      <c r="U923" s="9"/>
      <c r="X923" t="s">
        <v>62</v>
      </c>
      <c r="Y923" t="s">
        <v>179</v>
      </c>
      <c r="Z923" t="s">
        <v>179</v>
      </c>
      <c r="AB923" t="str">
        <f t="shared" si="44"/>
        <v>00005</v>
      </c>
    </row>
    <row r="924" ht="14.25" spans="1:28">
      <c r="A924" s="5" t="s">
        <v>28</v>
      </c>
      <c r="B924" s="5" t="s">
        <v>264</v>
      </c>
      <c r="C924" s="5">
        <v>2027</v>
      </c>
      <c r="D924" s="5" t="s">
        <v>30</v>
      </c>
      <c r="E924" s="9" t="s">
        <v>689</v>
      </c>
      <c r="F924" s="9" t="s">
        <v>690</v>
      </c>
      <c r="G924" s="9" t="s">
        <v>691</v>
      </c>
      <c r="H924" s="9" t="s">
        <v>692</v>
      </c>
      <c r="I924" s="9" t="s">
        <v>276</v>
      </c>
      <c r="J924" s="9" t="s">
        <v>36</v>
      </c>
      <c r="K924" s="9">
        <v>990</v>
      </c>
      <c r="L924" s="9"/>
      <c r="M924" s="9"/>
      <c r="N924" s="9"/>
      <c r="O924" s="9" t="s">
        <v>693</v>
      </c>
      <c r="P924" s="9" t="s">
        <v>217</v>
      </c>
      <c r="Q924" s="9"/>
      <c r="R924" s="10"/>
      <c r="S924" s="10"/>
      <c r="T924" s="10"/>
      <c r="U924" s="9"/>
      <c r="X924" t="s">
        <v>62</v>
      </c>
      <c r="Y924" t="s">
        <v>179</v>
      </c>
      <c r="Z924" t="s">
        <v>179</v>
      </c>
      <c r="AB924" t="str">
        <f t="shared" si="44"/>
        <v>00005</v>
      </c>
    </row>
    <row r="925" ht="14.25" spans="1:28">
      <c r="A925" s="5" t="s">
        <v>28</v>
      </c>
      <c r="B925" s="5" t="s">
        <v>264</v>
      </c>
      <c r="C925" s="5">
        <v>2027</v>
      </c>
      <c r="D925" s="5" t="s">
        <v>30</v>
      </c>
      <c r="E925" s="9" t="s">
        <v>689</v>
      </c>
      <c r="F925" s="9" t="s">
        <v>690</v>
      </c>
      <c r="G925" s="9" t="s">
        <v>691</v>
      </c>
      <c r="H925" s="9" t="s">
        <v>692</v>
      </c>
      <c r="I925" s="9" t="s">
        <v>276</v>
      </c>
      <c r="J925" s="9" t="s">
        <v>36</v>
      </c>
      <c r="K925" s="9">
        <v>990</v>
      </c>
      <c r="L925" s="9"/>
      <c r="M925" s="9"/>
      <c r="N925" s="9"/>
      <c r="O925" s="9" t="s">
        <v>693</v>
      </c>
      <c r="P925" s="9" t="s">
        <v>78</v>
      </c>
      <c r="Q925" s="9"/>
      <c r="R925" s="10"/>
      <c r="S925" s="10"/>
      <c r="T925" s="10"/>
      <c r="U925" s="9"/>
      <c r="X925" t="s">
        <v>62</v>
      </c>
      <c r="Y925" t="s">
        <v>179</v>
      </c>
      <c r="Z925" t="s">
        <v>179</v>
      </c>
      <c r="AB925" t="str">
        <f t="shared" si="44"/>
        <v>00005</v>
      </c>
    </row>
    <row r="926" ht="14.25" spans="1:28">
      <c r="A926" s="5" t="s">
        <v>28</v>
      </c>
      <c r="B926" s="5" t="s">
        <v>264</v>
      </c>
      <c r="C926" s="5">
        <v>2027</v>
      </c>
      <c r="D926" s="5" t="s">
        <v>30</v>
      </c>
      <c r="E926" s="9" t="s">
        <v>689</v>
      </c>
      <c r="F926" s="9" t="s">
        <v>690</v>
      </c>
      <c r="G926" s="9" t="s">
        <v>691</v>
      </c>
      <c r="H926" s="9" t="s">
        <v>692</v>
      </c>
      <c r="I926" s="9" t="s">
        <v>276</v>
      </c>
      <c r="J926" s="9" t="s">
        <v>36</v>
      </c>
      <c r="K926" s="9">
        <v>990</v>
      </c>
      <c r="L926" s="9"/>
      <c r="M926" s="9"/>
      <c r="N926" s="9"/>
      <c r="O926" s="9" t="s">
        <v>693</v>
      </c>
      <c r="P926" s="9" t="s">
        <v>218</v>
      </c>
      <c r="Q926" s="9"/>
      <c r="R926" s="10"/>
      <c r="S926" s="10"/>
      <c r="T926" s="10"/>
      <c r="U926" s="9"/>
      <c r="X926" t="s">
        <v>62</v>
      </c>
      <c r="Y926" t="s">
        <v>179</v>
      </c>
      <c r="Z926" t="s">
        <v>179</v>
      </c>
      <c r="AB926" t="str">
        <f t="shared" si="44"/>
        <v>00005</v>
      </c>
    </row>
    <row r="927" ht="14.25" spans="1:28">
      <c r="A927" s="5" t="s">
        <v>28</v>
      </c>
      <c r="B927" s="5" t="s">
        <v>264</v>
      </c>
      <c r="C927" s="5">
        <v>2027</v>
      </c>
      <c r="D927" s="5" t="s">
        <v>30</v>
      </c>
      <c r="E927" s="9" t="s">
        <v>689</v>
      </c>
      <c r="F927" s="9" t="s">
        <v>690</v>
      </c>
      <c r="G927" s="9" t="s">
        <v>691</v>
      </c>
      <c r="H927" s="9" t="s">
        <v>692</v>
      </c>
      <c r="I927" s="9" t="s">
        <v>276</v>
      </c>
      <c r="J927" s="9" t="s">
        <v>36</v>
      </c>
      <c r="K927" s="9">
        <v>990</v>
      </c>
      <c r="L927" s="9"/>
      <c r="M927" s="9"/>
      <c r="N927" s="9"/>
      <c r="O927" s="9" t="s">
        <v>693</v>
      </c>
      <c r="P927" s="9" t="s">
        <v>79</v>
      </c>
      <c r="Q927" s="9"/>
      <c r="R927" s="10"/>
      <c r="S927" s="10"/>
      <c r="T927" s="10"/>
      <c r="U927" s="9"/>
      <c r="X927" t="s">
        <v>62</v>
      </c>
      <c r="Y927" t="s">
        <v>179</v>
      </c>
      <c r="Z927" t="s">
        <v>179</v>
      </c>
      <c r="AB927" t="str">
        <f t="shared" si="44"/>
        <v>00005</v>
      </c>
    </row>
    <row r="928" ht="14.25" spans="1:28">
      <c r="A928" s="5" t="s">
        <v>28</v>
      </c>
      <c r="B928" s="5" t="s">
        <v>264</v>
      </c>
      <c r="C928" s="5">
        <v>2027</v>
      </c>
      <c r="D928" s="5" t="s">
        <v>30</v>
      </c>
      <c r="E928" s="9" t="s">
        <v>689</v>
      </c>
      <c r="F928" s="9" t="s">
        <v>690</v>
      </c>
      <c r="G928" s="9" t="s">
        <v>691</v>
      </c>
      <c r="H928" s="9" t="s">
        <v>692</v>
      </c>
      <c r="I928" s="9" t="s">
        <v>276</v>
      </c>
      <c r="J928" s="9" t="s">
        <v>36</v>
      </c>
      <c r="K928" s="9">
        <v>990</v>
      </c>
      <c r="L928" s="9"/>
      <c r="M928" s="9"/>
      <c r="N928" s="9"/>
      <c r="O928" s="9" t="s">
        <v>693</v>
      </c>
      <c r="P928" s="9" t="s">
        <v>203</v>
      </c>
      <c r="Q928" s="9"/>
      <c r="R928" s="10"/>
      <c r="S928" s="10"/>
      <c r="T928" s="10"/>
      <c r="U928" s="9"/>
      <c r="X928" t="s">
        <v>62</v>
      </c>
      <c r="Y928" t="s">
        <v>179</v>
      </c>
      <c r="Z928" t="s">
        <v>179</v>
      </c>
      <c r="AB928" t="str">
        <f t="shared" si="44"/>
        <v>00005</v>
      </c>
    </row>
    <row r="929" ht="14.25" spans="1:28">
      <c r="A929" s="5" t="s">
        <v>28</v>
      </c>
      <c r="B929" s="5" t="s">
        <v>264</v>
      </c>
      <c r="C929" s="5">
        <v>2027</v>
      </c>
      <c r="D929" s="5" t="s">
        <v>30</v>
      </c>
      <c r="E929" s="9" t="s">
        <v>689</v>
      </c>
      <c r="F929" s="9" t="s">
        <v>690</v>
      </c>
      <c r="G929" s="9" t="s">
        <v>691</v>
      </c>
      <c r="H929" s="9" t="s">
        <v>692</v>
      </c>
      <c r="I929" s="9" t="s">
        <v>276</v>
      </c>
      <c r="J929" s="9" t="s">
        <v>36</v>
      </c>
      <c r="K929" s="9">
        <v>990</v>
      </c>
      <c r="L929" s="9"/>
      <c r="M929" s="9"/>
      <c r="N929" s="9"/>
      <c r="O929" s="9" t="s">
        <v>693</v>
      </c>
      <c r="P929" s="9" t="s">
        <v>204</v>
      </c>
      <c r="Q929" s="9"/>
      <c r="R929" s="10"/>
      <c r="S929" s="10"/>
      <c r="T929" s="10"/>
      <c r="U929" s="9"/>
      <c r="X929" t="s">
        <v>62</v>
      </c>
      <c r="Y929" t="s">
        <v>179</v>
      </c>
      <c r="Z929" t="s">
        <v>179</v>
      </c>
      <c r="AB929" t="str">
        <f t="shared" si="44"/>
        <v>00005</v>
      </c>
    </row>
    <row r="930" ht="14.25" spans="1:28">
      <c r="A930" s="5" t="s">
        <v>28</v>
      </c>
      <c r="B930" s="5" t="s">
        <v>264</v>
      </c>
      <c r="C930" s="5">
        <v>2027</v>
      </c>
      <c r="D930" s="5" t="s">
        <v>30</v>
      </c>
      <c r="E930" s="9" t="s">
        <v>689</v>
      </c>
      <c r="F930" s="9" t="s">
        <v>690</v>
      </c>
      <c r="G930" s="9" t="s">
        <v>691</v>
      </c>
      <c r="H930" s="9" t="s">
        <v>692</v>
      </c>
      <c r="I930" s="9" t="s">
        <v>276</v>
      </c>
      <c r="J930" s="9" t="s">
        <v>36</v>
      </c>
      <c r="K930" s="9">
        <v>990</v>
      </c>
      <c r="L930" s="9"/>
      <c r="M930" s="9"/>
      <c r="N930" s="9"/>
      <c r="O930" s="9" t="s">
        <v>693</v>
      </c>
      <c r="P930" s="9" t="s">
        <v>205</v>
      </c>
      <c r="Q930" s="9"/>
      <c r="R930" s="10"/>
      <c r="S930" s="10"/>
      <c r="T930" s="10"/>
      <c r="U930" s="9"/>
      <c r="X930" t="s">
        <v>62</v>
      </c>
      <c r="Y930" t="s">
        <v>179</v>
      </c>
      <c r="Z930" t="s">
        <v>179</v>
      </c>
      <c r="AB930" t="str">
        <f t="shared" si="44"/>
        <v>00005</v>
      </c>
    </row>
    <row r="931" ht="14.25" spans="1:28">
      <c r="A931" s="5" t="s">
        <v>28</v>
      </c>
      <c r="B931" s="5" t="s">
        <v>264</v>
      </c>
      <c r="C931" s="5">
        <v>2027</v>
      </c>
      <c r="D931" s="5" t="s">
        <v>30</v>
      </c>
      <c r="E931" s="9" t="s">
        <v>689</v>
      </c>
      <c r="F931" s="9" t="s">
        <v>690</v>
      </c>
      <c r="G931" s="9" t="s">
        <v>691</v>
      </c>
      <c r="H931" s="9" t="s">
        <v>692</v>
      </c>
      <c r="I931" s="9" t="s">
        <v>276</v>
      </c>
      <c r="J931" s="9" t="s">
        <v>36</v>
      </c>
      <c r="K931" s="9">
        <v>990</v>
      </c>
      <c r="L931" s="9"/>
      <c r="M931" s="9"/>
      <c r="N931" s="9"/>
      <c r="O931" s="9" t="s">
        <v>693</v>
      </c>
      <c r="P931" s="9" t="s">
        <v>206</v>
      </c>
      <c r="Q931" s="9"/>
      <c r="R931" s="10"/>
      <c r="S931" s="10"/>
      <c r="T931" s="10"/>
      <c r="U931" s="9"/>
      <c r="X931" t="s">
        <v>62</v>
      </c>
      <c r="Y931" t="s">
        <v>179</v>
      </c>
      <c r="Z931" t="s">
        <v>179</v>
      </c>
      <c r="AB931" t="str">
        <f t="shared" si="44"/>
        <v>00005</v>
      </c>
    </row>
    <row r="932" ht="14.25" spans="1:28">
      <c r="A932" s="5" t="s">
        <v>28</v>
      </c>
      <c r="B932" s="5" t="s">
        <v>264</v>
      </c>
      <c r="C932" s="5">
        <v>2027</v>
      </c>
      <c r="D932" s="5" t="s">
        <v>30</v>
      </c>
      <c r="E932" s="9" t="s">
        <v>694</v>
      </c>
      <c r="F932" s="9" t="s">
        <v>690</v>
      </c>
      <c r="G932" s="9" t="s">
        <v>695</v>
      </c>
      <c r="H932" s="9" t="s">
        <v>696</v>
      </c>
      <c r="I932" s="9" t="s">
        <v>276</v>
      </c>
      <c r="J932" s="9" t="s">
        <v>36</v>
      </c>
      <c r="K932" s="9">
        <v>990</v>
      </c>
      <c r="L932" s="9"/>
      <c r="M932" s="9"/>
      <c r="N932" s="9"/>
      <c r="O932" s="9" t="s">
        <v>693</v>
      </c>
      <c r="P932" s="9" t="s">
        <v>77</v>
      </c>
      <c r="Q932" s="9"/>
      <c r="R932" s="10">
        <f t="shared" si="42"/>
        <v>0</v>
      </c>
      <c r="S932" s="10">
        <f>SUMIFS([1]Sheet1!$T:$T,[1]Sheet1!$I:$I,E932,[1]Sheet1!$C:$C,A932)</f>
        <v>0</v>
      </c>
      <c r="T932" s="10">
        <f t="shared" si="43"/>
        <v>0</v>
      </c>
      <c r="U932" s="9"/>
      <c r="Y932" t="s">
        <v>179</v>
      </c>
      <c r="Z932" t="s">
        <v>179</v>
      </c>
      <c r="AB932" t="str">
        <f t="shared" si="44"/>
        <v>00005</v>
      </c>
    </row>
    <row r="933" ht="14.25" spans="1:28">
      <c r="A933" s="5" t="s">
        <v>28</v>
      </c>
      <c r="B933" s="5" t="s">
        <v>264</v>
      </c>
      <c r="C933" s="5">
        <v>2027</v>
      </c>
      <c r="D933" s="5" t="s">
        <v>30</v>
      </c>
      <c r="E933" s="9" t="s">
        <v>694</v>
      </c>
      <c r="F933" s="9" t="s">
        <v>690</v>
      </c>
      <c r="G933" s="9" t="s">
        <v>695</v>
      </c>
      <c r="H933" s="9" t="s">
        <v>696</v>
      </c>
      <c r="I933" s="9" t="s">
        <v>276</v>
      </c>
      <c r="J933" s="9" t="s">
        <v>36</v>
      </c>
      <c r="K933" s="9">
        <v>990</v>
      </c>
      <c r="L933" s="9"/>
      <c r="M933" s="9"/>
      <c r="N933" s="9"/>
      <c r="O933" s="9" t="s">
        <v>693</v>
      </c>
      <c r="P933" s="9" t="s">
        <v>217</v>
      </c>
      <c r="Q933" s="9"/>
      <c r="R933" s="10"/>
      <c r="S933" s="10"/>
      <c r="T933" s="10"/>
      <c r="U933" s="9"/>
      <c r="Y933" t="s">
        <v>179</v>
      </c>
      <c r="Z933" t="s">
        <v>179</v>
      </c>
      <c r="AB933" t="str">
        <f t="shared" si="44"/>
        <v>00005</v>
      </c>
    </row>
    <row r="934" ht="14.25" spans="1:28">
      <c r="A934" s="5" t="s">
        <v>28</v>
      </c>
      <c r="B934" s="5" t="s">
        <v>264</v>
      </c>
      <c r="C934" s="5">
        <v>2027</v>
      </c>
      <c r="D934" s="5" t="s">
        <v>30</v>
      </c>
      <c r="E934" s="9" t="s">
        <v>694</v>
      </c>
      <c r="F934" s="9" t="s">
        <v>690</v>
      </c>
      <c r="G934" s="9" t="s">
        <v>695</v>
      </c>
      <c r="H934" s="9" t="s">
        <v>696</v>
      </c>
      <c r="I934" s="9" t="s">
        <v>276</v>
      </c>
      <c r="J934" s="9" t="s">
        <v>36</v>
      </c>
      <c r="K934" s="9">
        <v>990</v>
      </c>
      <c r="L934" s="9"/>
      <c r="M934" s="9"/>
      <c r="N934" s="9"/>
      <c r="O934" s="9" t="s">
        <v>693</v>
      </c>
      <c r="P934" s="9" t="s">
        <v>78</v>
      </c>
      <c r="Q934" s="9"/>
      <c r="R934" s="10"/>
      <c r="S934" s="10"/>
      <c r="T934" s="10"/>
      <c r="U934" s="9"/>
      <c r="Y934" t="s">
        <v>179</v>
      </c>
      <c r="Z934" t="s">
        <v>179</v>
      </c>
      <c r="AB934" t="str">
        <f t="shared" si="44"/>
        <v>00005</v>
      </c>
    </row>
    <row r="935" ht="14.25" spans="1:28">
      <c r="A935" s="5" t="s">
        <v>28</v>
      </c>
      <c r="B935" s="5" t="s">
        <v>264</v>
      </c>
      <c r="C935" s="5">
        <v>2027</v>
      </c>
      <c r="D935" s="5" t="s">
        <v>30</v>
      </c>
      <c r="E935" s="9" t="s">
        <v>694</v>
      </c>
      <c r="F935" s="9" t="s">
        <v>690</v>
      </c>
      <c r="G935" s="9" t="s">
        <v>695</v>
      </c>
      <c r="H935" s="9" t="s">
        <v>696</v>
      </c>
      <c r="I935" s="9" t="s">
        <v>276</v>
      </c>
      <c r="J935" s="9" t="s">
        <v>36</v>
      </c>
      <c r="K935" s="9">
        <v>990</v>
      </c>
      <c r="L935" s="9"/>
      <c r="M935" s="9"/>
      <c r="N935" s="9"/>
      <c r="O935" s="9" t="s">
        <v>693</v>
      </c>
      <c r="P935" s="9" t="s">
        <v>218</v>
      </c>
      <c r="Q935" s="9"/>
      <c r="R935" s="10"/>
      <c r="S935" s="10"/>
      <c r="T935" s="10"/>
      <c r="U935" s="9"/>
      <c r="Y935" t="s">
        <v>179</v>
      </c>
      <c r="Z935" t="s">
        <v>179</v>
      </c>
      <c r="AB935" t="str">
        <f t="shared" si="44"/>
        <v>00005</v>
      </c>
    </row>
    <row r="936" ht="14.25" spans="1:28">
      <c r="A936" s="5" t="s">
        <v>28</v>
      </c>
      <c r="B936" s="5" t="s">
        <v>264</v>
      </c>
      <c r="C936" s="5">
        <v>2027</v>
      </c>
      <c r="D936" s="5" t="s">
        <v>30</v>
      </c>
      <c r="E936" s="9" t="s">
        <v>694</v>
      </c>
      <c r="F936" s="9" t="s">
        <v>690</v>
      </c>
      <c r="G936" s="9" t="s">
        <v>695</v>
      </c>
      <c r="H936" s="9" t="s">
        <v>696</v>
      </c>
      <c r="I936" s="9" t="s">
        <v>276</v>
      </c>
      <c r="J936" s="9" t="s">
        <v>36</v>
      </c>
      <c r="K936" s="9">
        <v>990</v>
      </c>
      <c r="L936" s="9"/>
      <c r="M936" s="9"/>
      <c r="N936" s="9"/>
      <c r="O936" s="9" t="s">
        <v>693</v>
      </c>
      <c r="P936" s="9" t="s">
        <v>79</v>
      </c>
      <c r="Q936" s="9"/>
      <c r="R936" s="10"/>
      <c r="S936" s="10"/>
      <c r="T936" s="10"/>
      <c r="U936" s="9"/>
      <c r="Y936" t="s">
        <v>179</v>
      </c>
      <c r="Z936" t="s">
        <v>179</v>
      </c>
      <c r="AB936" t="str">
        <f t="shared" si="44"/>
        <v>00005</v>
      </c>
    </row>
    <row r="937" ht="14.25" spans="1:28">
      <c r="A937" s="5" t="s">
        <v>28</v>
      </c>
      <c r="B937" s="5" t="s">
        <v>264</v>
      </c>
      <c r="C937" s="5">
        <v>2027</v>
      </c>
      <c r="D937" s="5" t="s">
        <v>30</v>
      </c>
      <c r="E937" s="9" t="s">
        <v>694</v>
      </c>
      <c r="F937" s="9" t="s">
        <v>690</v>
      </c>
      <c r="G937" s="9" t="s">
        <v>695</v>
      </c>
      <c r="H937" s="9" t="s">
        <v>696</v>
      </c>
      <c r="I937" s="9" t="s">
        <v>276</v>
      </c>
      <c r="J937" s="9" t="s">
        <v>36</v>
      </c>
      <c r="K937" s="9">
        <v>990</v>
      </c>
      <c r="L937" s="9"/>
      <c r="M937" s="9"/>
      <c r="N937" s="9"/>
      <c r="O937" s="9" t="s">
        <v>693</v>
      </c>
      <c r="P937" s="9" t="s">
        <v>203</v>
      </c>
      <c r="Q937" s="9"/>
      <c r="R937" s="10"/>
      <c r="S937" s="10"/>
      <c r="T937" s="10"/>
      <c r="U937" s="9"/>
      <c r="Y937" t="s">
        <v>179</v>
      </c>
      <c r="Z937" t="s">
        <v>179</v>
      </c>
      <c r="AB937" t="str">
        <f t="shared" si="44"/>
        <v>00005</v>
      </c>
    </row>
    <row r="938" ht="14.25" spans="1:28">
      <c r="A938" s="5" t="s">
        <v>28</v>
      </c>
      <c r="B938" s="5" t="s">
        <v>264</v>
      </c>
      <c r="C938" s="5">
        <v>2027</v>
      </c>
      <c r="D938" s="5" t="s">
        <v>30</v>
      </c>
      <c r="E938" s="9" t="s">
        <v>694</v>
      </c>
      <c r="F938" s="9" t="s">
        <v>690</v>
      </c>
      <c r="G938" s="9" t="s">
        <v>695</v>
      </c>
      <c r="H938" s="9" t="s">
        <v>696</v>
      </c>
      <c r="I938" s="9" t="s">
        <v>276</v>
      </c>
      <c r="J938" s="9" t="s">
        <v>36</v>
      </c>
      <c r="K938" s="9">
        <v>990</v>
      </c>
      <c r="L938" s="9"/>
      <c r="M938" s="9"/>
      <c r="N938" s="9"/>
      <c r="O938" s="9" t="s">
        <v>693</v>
      </c>
      <c r="P938" s="9" t="s">
        <v>204</v>
      </c>
      <c r="Q938" s="9"/>
      <c r="R938" s="10"/>
      <c r="S938" s="10"/>
      <c r="T938" s="10"/>
      <c r="U938" s="9"/>
      <c r="Y938" t="s">
        <v>179</v>
      </c>
      <c r="Z938" t="s">
        <v>179</v>
      </c>
      <c r="AB938" t="str">
        <f t="shared" si="44"/>
        <v>00005</v>
      </c>
    </row>
    <row r="939" ht="14.25" spans="1:28">
      <c r="A939" s="5" t="s">
        <v>28</v>
      </c>
      <c r="B939" s="5" t="s">
        <v>264</v>
      </c>
      <c r="C939" s="5">
        <v>2027</v>
      </c>
      <c r="D939" s="5" t="s">
        <v>30</v>
      </c>
      <c r="E939" s="9" t="s">
        <v>694</v>
      </c>
      <c r="F939" s="9" t="s">
        <v>690</v>
      </c>
      <c r="G939" s="9" t="s">
        <v>695</v>
      </c>
      <c r="H939" s="9" t="s">
        <v>696</v>
      </c>
      <c r="I939" s="9" t="s">
        <v>276</v>
      </c>
      <c r="J939" s="9" t="s">
        <v>36</v>
      </c>
      <c r="K939" s="9">
        <v>990</v>
      </c>
      <c r="L939" s="9"/>
      <c r="M939" s="9"/>
      <c r="N939" s="9"/>
      <c r="O939" s="9" t="s">
        <v>693</v>
      </c>
      <c r="P939" s="9" t="s">
        <v>205</v>
      </c>
      <c r="Q939" s="9"/>
      <c r="R939" s="10"/>
      <c r="S939" s="10"/>
      <c r="T939" s="10"/>
      <c r="U939" s="9"/>
      <c r="Y939" t="s">
        <v>179</v>
      </c>
      <c r="Z939" t="s">
        <v>179</v>
      </c>
      <c r="AB939" t="str">
        <f t="shared" si="44"/>
        <v>00005</v>
      </c>
    </row>
    <row r="940" ht="14.25" spans="1:28">
      <c r="A940" s="5" t="s">
        <v>28</v>
      </c>
      <c r="B940" s="5" t="s">
        <v>264</v>
      </c>
      <c r="C940" s="5">
        <v>2027</v>
      </c>
      <c r="D940" s="5" t="s">
        <v>30</v>
      </c>
      <c r="E940" s="9" t="s">
        <v>694</v>
      </c>
      <c r="F940" s="9" t="s">
        <v>690</v>
      </c>
      <c r="G940" s="9" t="s">
        <v>695</v>
      </c>
      <c r="H940" s="9" t="s">
        <v>696</v>
      </c>
      <c r="I940" s="9" t="s">
        <v>276</v>
      </c>
      <c r="J940" s="9" t="s">
        <v>36</v>
      </c>
      <c r="K940" s="9">
        <v>990</v>
      </c>
      <c r="L940" s="9"/>
      <c r="M940" s="9"/>
      <c r="N940" s="9"/>
      <c r="O940" s="9" t="s">
        <v>693</v>
      </c>
      <c r="P940" s="9" t="s">
        <v>206</v>
      </c>
      <c r="Q940" s="11"/>
      <c r="R940" s="10"/>
      <c r="S940" s="10"/>
      <c r="T940" s="10"/>
      <c r="U940" s="9"/>
      <c r="Y940" t="s">
        <v>179</v>
      </c>
      <c r="Z940" t="s">
        <v>179</v>
      </c>
      <c r="AB940" t="str">
        <f t="shared" si="44"/>
        <v>00005</v>
      </c>
    </row>
    <row r="941" ht="14.25" spans="1:28">
      <c r="A941" s="5" t="s">
        <v>28</v>
      </c>
      <c r="B941" s="5" t="s">
        <v>697</v>
      </c>
      <c r="C941" s="5">
        <v>2027</v>
      </c>
      <c r="D941" s="5" t="s">
        <v>30</v>
      </c>
      <c r="E941" s="9" t="s">
        <v>698</v>
      </c>
      <c r="F941" s="9" t="s">
        <v>699</v>
      </c>
      <c r="G941" s="9" t="s">
        <v>700</v>
      </c>
      <c r="H941" s="9" t="s">
        <v>701</v>
      </c>
      <c r="I941" s="9" t="s">
        <v>119</v>
      </c>
      <c r="J941" s="9" t="s">
        <v>36</v>
      </c>
      <c r="K941" s="9">
        <v>138</v>
      </c>
      <c r="L941" s="9"/>
      <c r="M941" s="9"/>
      <c r="N941" s="9"/>
      <c r="O941" s="9" t="s">
        <v>113</v>
      </c>
      <c r="P941" s="9" t="s">
        <v>113</v>
      </c>
      <c r="Q941" s="11"/>
      <c r="R941" s="10">
        <f t="shared" si="42"/>
        <v>0</v>
      </c>
      <c r="S941" s="10">
        <f>SUMIFS([1]Sheet1!$T:$T,[1]Sheet1!$I:$I,E941,[1]Sheet1!$C:$C,A941)</f>
        <v>0</v>
      </c>
      <c r="T941" s="10">
        <f t="shared" si="43"/>
        <v>0</v>
      </c>
      <c r="U941" s="9"/>
      <c r="Y941" t="s">
        <v>179</v>
      </c>
      <c r="Z941" t="s">
        <v>113</v>
      </c>
      <c r="AB941" t="str">
        <f t="shared" si="44"/>
        <v>M0202</v>
      </c>
    </row>
    <row r="942" ht="14.25" spans="1:28">
      <c r="A942" s="5" t="s">
        <v>28</v>
      </c>
      <c r="B942" s="5" t="s">
        <v>697</v>
      </c>
      <c r="C942" s="5">
        <v>2027</v>
      </c>
      <c r="D942" s="5" t="s">
        <v>30</v>
      </c>
      <c r="E942" s="9" t="s">
        <v>702</v>
      </c>
      <c r="F942" s="9" t="s">
        <v>703</v>
      </c>
      <c r="G942" s="9" t="s">
        <v>704</v>
      </c>
      <c r="H942" s="9" t="s">
        <v>705</v>
      </c>
      <c r="I942" s="9" t="s">
        <v>119</v>
      </c>
      <c r="J942" s="9" t="s">
        <v>36</v>
      </c>
      <c r="K942" s="9">
        <v>158</v>
      </c>
      <c r="L942" s="9"/>
      <c r="M942" s="9"/>
      <c r="N942" s="9"/>
      <c r="O942" s="9" t="s">
        <v>113</v>
      </c>
      <c r="P942" s="9" t="s">
        <v>113</v>
      </c>
      <c r="Q942" s="10">
        <v>50</v>
      </c>
      <c r="R942" s="10">
        <f t="shared" si="42"/>
        <v>50</v>
      </c>
      <c r="S942" s="10">
        <f>SUMIFS([1]Sheet1!$T:$T,[1]Sheet1!$I:$I,E942,[1]Sheet1!$C:$C,A942)</f>
        <v>50</v>
      </c>
      <c r="T942" s="10">
        <f t="shared" si="43"/>
        <v>0</v>
      </c>
      <c r="U942" s="9" t="s">
        <v>706</v>
      </c>
      <c r="V942" t="s">
        <v>707</v>
      </c>
      <c r="W942" t="s">
        <v>138</v>
      </c>
      <c r="Y942" t="s">
        <v>179</v>
      </c>
      <c r="Z942" t="s">
        <v>113</v>
      </c>
      <c r="AB942" t="str">
        <f t="shared" si="44"/>
        <v>M0406</v>
      </c>
    </row>
    <row r="943" ht="14.25" spans="1:28">
      <c r="A943" s="5" t="s">
        <v>28</v>
      </c>
      <c r="B943" s="5" t="s">
        <v>697</v>
      </c>
      <c r="C943" s="5">
        <v>2027</v>
      </c>
      <c r="D943" s="5" t="s">
        <v>30</v>
      </c>
      <c r="E943" s="9" t="s">
        <v>708</v>
      </c>
      <c r="F943" s="9" t="s">
        <v>703</v>
      </c>
      <c r="G943" s="9" t="s">
        <v>709</v>
      </c>
      <c r="H943" s="9" t="s">
        <v>710</v>
      </c>
      <c r="I943" s="9" t="s">
        <v>119</v>
      </c>
      <c r="J943" s="9" t="s">
        <v>36</v>
      </c>
      <c r="K943" s="9">
        <v>158</v>
      </c>
      <c r="L943" s="9"/>
      <c r="M943" s="9"/>
      <c r="N943" s="9"/>
      <c r="O943" s="9" t="s">
        <v>113</v>
      </c>
      <c r="P943" s="9" t="s">
        <v>113</v>
      </c>
      <c r="Q943" s="10">
        <v>50</v>
      </c>
      <c r="R943" s="10">
        <f t="shared" si="42"/>
        <v>50</v>
      </c>
      <c r="S943" s="10">
        <f>SUMIFS([1]Sheet1!$T:$T,[1]Sheet1!$I:$I,E943,[1]Sheet1!$C:$C,A943)</f>
        <v>50</v>
      </c>
      <c r="T943" s="10">
        <f t="shared" si="43"/>
        <v>0</v>
      </c>
      <c r="U943" s="9" t="s">
        <v>706</v>
      </c>
      <c r="V943" t="s">
        <v>707</v>
      </c>
      <c r="W943" t="s">
        <v>138</v>
      </c>
      <c r="Y943" t="s">
        <v>179</v>
      </c>
      <c r="Z943" t="s">
        <v>113</v>
      </c>
      <c r="AB943" t="str">
        <f t="shared" si="44"/>
        <v>M0409</v>
      </c>
    </row>
    <row r="944" ht="14.25" spans="1:28">
      <c r="A944" s="5" t="s">
        <v>28</v>
      </c>
      <c r="B944" s="5" t="s">
        <v>697</v>
      </c>
      <c r="C944" s="5">
        <v>2027</v>
      </c>
      <c r="D944" s="5" t="s">
        <v>30</v>
      </c>
      <c r="E944" s="9" t="s">
        <v>711</v>
      </c>
      <c r="F944" s="9" t="s">
        <v>703</v>
      </c>
      <c r="G944" s="9" t="s">
        <v>712</v>
      </c>
      <c r="H944" s="9" t="s">
        <v>713</v>
      </c>
      <c r="I944" s="9" t="s">
        <v>119</v>
      </c>
      <c r="J944" s="9" t="s">
        <v>36</v>
      </c>
      <c r="K944" s="9">
        <v>158</v>
      </c>
      <c r="L944" s="9"/>
      <c r="M944" s="9"/>
      <c r="N944" s="9"/>
      <c r="O944" s="9" t="s">
        <v>113</v>
      </c>
      <c r="P944" s="9" t="s">
        <v>113</v>
      </c>
      <c r="Q944" s="10">
        <v>50</v>
      </c>
      <c r="R944" s="10">
        <f t="shared" si="42"/>
        <v>50</v>
      </c>
      <c r="S944" s="10">
        <f>SUMIFS([1]Sheet1!$T:$T,[1]Sheet1!$I:$I,E944,[1]Sheet1!$C:$C,A944)</f>
        <v>50</v>
      </c>
      <c r="T944" s="10">
        <f t="shared" si="43"/>
        <v>0</v>
      </c>
      <c r="U944" s="9" t="s">
        <v>706</v>
      </c>
      <c r="V944" t="s">
        <v>707</v>
      </c>
      <c r="W944" t="s">
        <v>138</v>
      </c>
      <c r="Y944" t="s">
        <v>179</v>
      </c>
      <c r="Z944" t="s">
        <v>113</v>
      </c>
      <c r="AB944" t="str">
        <f t="shared" si="44"/>
        <v>M0409</v>
      </c>
    </row>
    <row r="945" ht="14.25" spans="1:28">
      <c r="A945" s="5" t="s">
        <v>28</v>
      </c>
      <c r="B945" s="5" t="s">
        <v>697</v>
      </c>
      <c r="C945" s="5">
        <v>2027</v>
      </c>
      <c r="D945" s="5" t="s">
        <v>30</v>
      </c>
      <c r="E945" s="9" t="s">
        <v>714</v>
      </c>
      <c r="F945" s="9" t="s">
        <v>715</v>
      </c>
      <c r="G945" s="9" t="s">
        <v>716</v>
      </c>
      <c r="H945" s="9" t="s">
        <v>717</v>
      </c>
      <c r="I945" s="9" t="s">
        <v>119</v>
      </c>
      <c r="J945" s="9" t="s">
        <v>36</v>
      </c>
      <c r="K945" s="9">
        <v>108</v>
      </c>
      <c r="L945" s="9"/>
      <c r="M945" s="9"/>
      <c r="N945" s="9"/>
      <c r="O945" s="9" t="s">
        <v>113</v>
      </c>
      <c r="P945" s="9" t="s">
        <v>113</v>
      </c>
      <c r="Q945" s="11"/>
      <c r="R945" s="10">
        <f t="shared" si="42"/>
        <v>0</v>
      </c>
      <c r="S945" s="10">
        <f>SUMIFS([1]Sheet1!$T:$T,[1]Sheet1!$I:$I,E945,[1]Sheet1!$C:$C,A945)</f>
        <v>0</v>
      </c>
      <c r="T945" s="10">
        <f t="shared" si="43"/>
        <v>0</v>
      </c>
      <c r="U945" s="9"/>
      <c r="Y945" t="s">
        <v>179</v>
      </c>
      <c r="Z945" t="s">
        <v>113</v>
      </c>
      <c r="AB945" t="str">
        <f t="shared" si="44"/>
        <v>M0501</v>
      </c>
    </row>
    <row r="946" ht="14.25" spans="1:28">
      <c r="A946" s="5" t="s">
        <v>28</v>
      </c>
      <c r="B946" s="5" t="s">
        <v>697</v>
      </c>
      <c r="C946" s="5">
        <v>2027</v>
      </c>
      <c r="D946" s="5" t="s">
        <v>30</v>
      </c>
      <c r="E946" s="9" t="s">
        <v>718</v>
      </c>
      <c r="F946" s="9" t="s">
        <v>715</v>
      </c>
      <c r="G946" s="9" t="s">
        <v>719</v>
      </c>
      <c r="H946" s="9" t="s">
        <v>720</v>
      </c>
      <c r="I946" s="9" t="s">
        <v>119</v>
      </c>
      <c r="J946" s="9" t="s">
        <v>36</v>
      </c>
      <c r="K946" s="9">
        <v>108</v>
      </c>
      <c r="L946" s="9"/>
      <c r="M946" s="9"/>
      <c r="N946" s="9"/>
      <c r="O946" s="9" t="s">
        <v>113</v>
      </c>
      <c r="P946" s="9" t="s">
        <v>113</v>
      </c>
      <c r="Q946" s="10">
        <v>20</v>
      </c>
      <c r="R946" s="10">
        <f t="shared" si="42"/>
        <v>20</v>
      </c>
      <c r="S946" s="10">
        <f>SUMIFS([1]Sheet1!$T:$T,[1]Sheet1!$I:$I,E946,[1]Sheet1!$C:$C,A946)</f>
        <v>20</v>
      </c>
      <c r="T946" s="10">
        <f t="shared" si="43"/>
        <v>0</v>
      </c>
      <c r="U946" s="9" t="s">
        <v>706</v>
      </c>
      <c r="V946" t="s">
        <v>707</v>
      </c>
      <c r="W946" t="s">
        <v>138</v>
      </c>
      <c r="Y946" t="s">
        <v>179</v>
      </c>
      <c r="Z946" t="s">
        <v>113</v>
      </c>
      <c r="AB946" t="str">
        <f t="shared" si="44"/>
        <v>M0502</v>
      </c>
    </row>
    <row r="947" ht="14.25" spans="1:28">
      <c r="A947" s="5" t="s">
        <v>28</v>
      </c>
      <c r="B947" s="5" t="s">
        <v>697</v>
      </c>
      <c r="C947" s="5">
        <v>2027</v>
      </c>
      <c r="D947" s="5" t="s">
        <v>30</v>
      </c>
      <c r="E947" s="9" t="s">
        <v>721</v>
      </c>
      <c r="F947" s="9" t="s">
        <v>722</v>
      </c>
      <c r="G947" s="9" t="s">
        <v>704</v>
      </c>
      <c r="H947" s="9" t="s">
        <v>723</v>
      </c>
      <c r="I947" s="9" t="s">
        <v>119</v>
      </c>
      <c r="J947" s="9" t="s">
        <v>36</v>
      </c>
      <c r="K947" s="9">
        <v>108</v>
      </c>
      <c r="L947" s="9"/>
      <c r="M947" s="9"/>
      <c r="N947" s="9"/>
      <c r="O947" s="9" t="s">
        <v>113</v>
      </c>
      <c r="P947" s="9" t="s">
        <v>113</v>
      </c>
      <c r="Q947" s="10">
        <v>20</v>
      </c>
      <c r="R947" s="10">
        <f t="shared" si="42"/>
        <v>20</v>
      </c>
      <c r="S947" s="10">
        <f>SUMIFS([1]Sheet1!$T:$T,[1]Sheet1!$I:$I,E947,[1]Sheet1!$C:$C,A947)</f>
        <v>20</v>
      </c>
      <c r="T947" s="10">
        <f t="shared" si="43"/>
        <v>0</v>
      </c>
      <c r="U947" s="9" t="s">
        <v>706</v>
      </c>
      <c r="V947" t="s">
        <v>707</v>
      </c>
      <c r="W947" t="s">
        <v>138</v>
      </c>
      <c r="Y947" t="s">
        <v>179</v>
      </c>
      <c r="Z947" t="s">
        <v>113</v>
      </c>
      <c r="AB947" t="str">
        <f t="shared" si="44"/>
        <v>M0506</v>
      </c>
    </row>
    <row r="948" ht="14.25" spans="1:28">
      <c r="A948" s="5" t="s">
        <v>28</v>
      </c>
      <c r="B948" s="5" t="s">
        <v>697</v>
      </c>
      <c r="C948" s="5">
        <v>2027</v>
      </c>
      <c r="D948" s="5" t="s">
        <v>30</v>
      </c>
      <c r="E948" s="9" t="s">
        <v>724</v>
      </c>
      <c r="F948" s="9" t="s">
        <v>725</v>
      </c>
      <c r="G948" s="9" t="s">
        <v>726</v>
      </c>
      <c r="H948" s="9" t="s">
        <v>727</v>
      </c>
      <c r="I948" s="9" t="s">
        <v>119</v>
      </c>
      <c r="J948" s="9" t="s">
        <v>36</v>
      </c>
      <c r="K948" s="9">
        <v>158</v>
      </c>
      <c r="L948" s="9"/>
      <c r="M948" s="9"/>
      <c r="N948" s="9"/>
      <c r="O948" s="9" t="s">
        <v>113</v>
      </c>
      <c r="P948" s="9" t="s">
        <v>113</v>
      </c>
      <c r="Q948" s="10">
        <v>50</v>
      </c>
      <c r="R948" s="10">
        <f t="shared" si="42"/>
        <v>50</v>
      </c>
      <c r="S948" s="10">
        <f>SUMIFS([1]Sheet1!$T:$T,[1]Sheet1!$I:$I,E948,[1]Sheet1!$C:$C,A948)</f>
        <v>50</v>
      </c>
      <c r="T948" s="10">
        <f t="shared" si="43"/>
        <v>0</v>
      </c>
      <c r="U948" s="9" t="s">
        <v>706</v>
      </c>
      <c r="V948" t="s">
        <v>707</v>
      </c>
      <c r="W948" t="s">
        <v>138</v>
      </c>
      <c r="Y948" t="s">
        <v>179</v>
      </c>
      <c r="Z948" t="s">
        <v>113</v>
      </c>
      <c r="AB948" t="str">
        <f t="shared" si="44"/>
        <v>M0706</v>
      </c>
    </row>
    <row r="949" ht="14.25" spans="1:28">
      <c r="A949" s="5" t="s">
        <v>28</v>
      </c>
      <c r="B949" s="5" t="s">
        <v>697</v>
      </c>
      <c r="C949" s="5">
        <v>2027</v>
      </c>
      <c r="D949" s="5" t="s">
        <v>30</v>
      </c>
      <c r="E949" s="9" t="s">
        <v>728</v>
      </c>
      <c r="F949" s="9" t="s">
        <v>725</v>
      </c>
      <c r="G949" s="9" t="s">
        <v>729</v>
      </c>
      <c r="H949" s="9" t="s">
        <v>730</v>
      </c>
      <c r="I949" s="9" t="s">
        <v>119</v>
      </c>
      <c r="J949" s="9" t="s">
        <v>36</v>
      </c>
      <c r="K949" s="9">
        <v>158</v>
      </c>
      <c r="L949" s="9"/>
      <c r="M949" s="9"/>
      <c r="N949" s="9"/>
      <c r="O949" s="9" t="s">
        <v>113</v>
      </c>
      <c r="P949" s="9" t="s">
        <v>113</v>
      </c>
      <c r="Q949" s="10">
        <v>50</v>
      </c>
      <c r="R949" s="10">
        <f t="shared" si="42"/>
        <v>50</v>
      </c>
      <c r="S949" s="10">
        <f>SUMIFS([1]Sheet1!$T:$T,[1]Sheet1!$I:$I,E949,[1]Sheet1!$C:$C,A949)</f>
        <v>50</v>
      </c>
      <c r="T949" s="10">
        <f t="shared" si="43"/>
        <v>0</v>
      </c>
      <c r="U949" s="9" t="s">
        <v>706</v>
      </c>
      <c r="V949" t="s">
        <v>707</v>
      </c>
      <c r="W949" t="s">
        <v>138</v>
      </c>
      <c r="Y949" t="s">
        <v>179</v>
      </c>
      <c r="Z949" t="s">
        <v>113</v>
      </c>
      <c r="AB949" t="str">
        <f t="shared" si="44"/>
        <v>M0709</v>
      </c>
    </row>
    <row r="950" ht="14.25" spans="1:28">
      <c r="A950" s="5" t="s">
        <v>28</v>
      </c>
      <c r="B950" s="5" t="s">
        <v>697</v>
      </c>
      <c r="C950" s="5">
        <v>2027</v>
      </c>
      <c r="D950" s="5" t="s">
        <v>30</v>
      </c>
      <c r="E950" s="9" t="s">
        <v>731</v>
      </c>
      <c r="F950" s="9" t="s">
        <v>725</v>
      </c>
      <c r="G950" s="9" t="s">
        <v>732</v>
      </c>
      <c r="H950" s="9" t="s">
        <v>733</v>
      </c>
      <c r="I950" s="9" t="s">
        <v>119</v>
      </c>
      <c r="J950" s="9" t="s">
        <v>36</v>
      </c>
      <c r="K950" s="9">
        <v>158</v>
      </c>
      <c r="L950" s="9"/>
      <c r="M950" s="9"/>
      <c r="N950" s="9"/>
      <c r="O950" s="9" t="s">
        <v>113</v>
      </c>
      <c r="P950" s="9" t="s">
        <v>113</v>
      </c>
      <c r="Q950" s="10">
        <v>50</v>
      </c>
      <c r="R950" s="10">
        <f t="shared" si="42"/>
        <v>50</v>
      </c>
      <c r="S950" s="10">
        <f>SUMIFS([1]Sheet1!$T:$T,[1]Sheet1!$I:$I,E950,[1]Sheet1!$C:$C,A950)</f>
        <v>50</v>
      </c>
      <c r="T950" s="10">
        <f t="shared" si="43"/>
        <v>0</v>
      </c>
      <c r="U950" s="9" t="s">
        <v>706</v>
      </c>
      <c r="V950" t="s">
        <v>707</v>
      </c>
      <c r="W950" t="s">
        <v>138</v>
      </c>
      <c r="Y950" t="s">
        <v>179</v>
      </c>
      <c r="Z950" t="s">
        <v>113</v>
      </c>
      <c r="AB950" t="str">
        <f t="shared" si="44"/>
        <v>M0709</v>
      </c>
    </row>
    <row r="951" ht="14.25" spans="1:28">
      <c r="A951" s="5" t="s">
        <v>28</v>
      </c>
      <c r="B951" s="5" t="s">
        <v>697</v>
      </c>
      <c r="C951" s="5">
        <v>2027</v>
      </c>
      <c r="D951" s="5" t="s">
        <v>30</v>
      </c>
      <c r="E951" s="9" t="s">
        <v>734</v>
      </c>
      <c r="F951" s="9" t="s">
        <v>725</v>
      </c>
      <c r="G951" s="9" t="s">
        <v>735</v>
      </c>
      <c r="H951" s="9" t="s">
        <v>736</v>
      </c>
      <c r="I951" s="9" t="s">
        <v>119</v>
      </c>
      <c r="J951" s="9" t="s">
        <v>36</v>
      </c>
      <c r="K951" s="9">
        <v>158</v>
      </c>
      <c r="L951" s="9"/>
      <c r="M951" s="9"/>
      <c r="N951" s="9"/>
      <c r="O951" s="9" t="s">
        <v>113</v>
      </c>
      <c r="P951" s="9" t="s">
        <v>113</v>
      </c>
      <c r="Q951" s="10">
        <v>50</v>
      </c>
      <c r="R951" s="10">
        <f t="shared" si="42"/>
        <v>50</v>
      </c>
      <c r="S951" s="10">
        <f>SUMIFS([1]Sheet1!$T:$T,[1]Sheet1!$I:$I,E951,[1]Sheet1!$C:$C,A951)</f>
        <v>50</v>
      </c>
      <c r="T951" s="10">
        <f t="shared" si="43"/>
        <v>0</v>
      </c>
      <c r="U951" s="9" t="s">
        <v>706</v>
      </c>
      <c r="V951" t="s">
        <v>707</v>
      </c>
      <c r="W951" t="s">
        <v>138</v>
      </c>
      <c r="Y951" t="s">
        <v>179</v>
      </c>
      <c r="Z951" t="s">
        <v>113</v>
      </c>
      <c r="AB951" t="str">
        <f t="shared" si="44"/>
        <v>M0709</v>
      </c>
    </row>
    <row r="952" ht="14.25" spans="1:28">
      <c r="A952" s="5" t="s">
        <v>28</v>
      </c>
      <c r="B952" s="5" t="s">
        <v>697</v>
      </c>
      <c r="C952" s="5">
        <v>2027</v>
      </c>
      <c r="D952" s="5" t="s">
        <v>30</v>
      </c>
      <c r="E952" s="9" t="s">
        <v>737</v>
      </c>
      <c r="F952" s="9" t="s">
        <v>738</v>
      </c>
      <c r="G952" s="9" t="s">
        <v>726</v>
      </c>
      <c r="H952" s="9" t="s">
        <v>739</v>
      </c>
      <c r="I952" s="9" t="s">
        <v>119</v>
      </c>
      <c r="J952" s="9" t="s">
        <v>36</v>
      </c>
      <c r="K952" s="9">
        <v>128</v>
      </c>
      <c r="L952" s="9"/>
      <c r="M952" s="9"/>
      <c r="N952" s="9"/>
      <c r="O952" s="9" t="s">
        <v>113</v>
      </c>
      <c r="P952" s="9" t="s">
        <v>113</v>
      </c>
      <c r="Q952" s="10">
        <v>50</v>
      </c>
      <c r="R952" s="10">
        <f t="shared" si="42"/>
        <v>50</v>
      </c>
      <c r="S952" s="10">
        <f>SUMIFS([1]Sheet1!$T:$T,[1]Sheet1!$I:$I,E952,[1]Sheet1!$C:$C,A952)</f>
        <v>50</v>
      </c>
      <c r="T952" s="10">
        <f t="shared" si="43"/>
        <v>0</v>
      </c>
      <c r="U952" s="9" t="s">
        <v>706</v>
      </c>
      <c r="V952" t="s">
        <v>707</v>
      </c>
      <c r="W952" t="s">
        <v>178</v>
      </c>
      <c r="Y952" t="s">
        <v>179</v>
      </c>
      <c r="Z952" t="s">
        <v>113</v>
      </c>
      <c r="AB952" t="str">
        <f t="shared" si="44"/>
        <v>W0106</v>
      </c>
    </row>
    <row r="953" ht="14.25" spans="1:28">
      <c r="A953" s="5" t="s">
        <v>28</v>
      </c>
      <c r="B953" s="5" t="s">
        <v>697</v>
      </c>
      <c r="C953" s="5">
        <v>2027</v>
      </c>
      <c r="D953" s="5" t="s">
        <v>30</v>
      </c>
      <c r="E953" s="9" t="s">
        <v>740</v>
      </c>
      <c r="F953" s="9" t="s">
        <v>738</v>
      </c>
      <c r="G953" s="9" t="s">
        <v>729</v>
      </c>
      <c r="H953" s="9" t="s">
        <v>741</v>
      </c>
      <c r="I953" s="9" t="s">
        <v>119</v>
      </c>
      <c r="J953" s="9" t="s">
        <v>36</v>
      </c>
      <c r="K953" s="9">
        <v>128</v>
      </c>
      <c r="L953" s="9"/>
      <c r="M953" s="9"/>
      <c r="N953" s="9"/>
      <c r="O953" s="9" t="s">
        <v>113</v>
      </c>
      <c r="P953" s="9" t="s">
        <v>113</v>
      </c>
      <c r="Q953" s="10">
        <v>50</v>
      </c>
      <c r="R953" s="10">
        <f t="shared" si="42"/>
        <v>50</v>
      </c>
      <c r="S953" s="10">
        <f>SUMIFS([1]Sheet1!$T:$T,[1]Sheet1!$I:$I,E953,[1]Sheet1!$C:$C,A953)</f>
        <v>50</v>
      </c>
      <c r="T953" s="10">
        <f t="shared" si="43"/>
        <v>0</v>
      </c>
      <c r="U953" s="9" t="s">
        <v>706</v>
      </c>
      <c r="V953" t="s">
        <v>707</v>
      </c>
      <c r="W953" t="s">
        <v>178</v>
      </c>
      <c r="Y953" t="s">
        <v>179</v>
      </c>
      <c r="Z953" t="s">
        <v>113</v>
      </c>
      <c r="AB953" t="str">
        <f t="shared" si="44"/>
        <v>W0109</v>
      </c>
    </row>
    <row r="954" ht="14.25" spans="1:28">
      <c r="A954" s="5" t="s">
        <v>28</v>
      </c>
      <c r="B954" s="5" t="s">
        <v>697</v>
      </c>
      <c r="C954" s="5">
        <v>2027</v>
      </c>
      <c r="D954" s="5" t="s">
        <v>30</v>
      </c>
      <c r="E954" s="9" t="s">
        <v>742</v>
      </c>
      <c r="F954" s="9" t="s">
        <v>738</v>
      </c>
      <c r="G954" s="9" t="s">
        <v>732</v>
      </c>
      <c r="H954" s="9" t="s">
        <v>743</v>
      </c>
      <c r="I954" s="9" t="s">
        <v>119</v>
      </c>
      <c r="J954" s="9" t="s">
        <v>36</v>
      </c>
      <c r="K954" s="9">
        <v>128</v>
      </c>
      <c r="L954" s="9"/>
      <c r="M954" s="9"/>
      <c r="N954" s="9"/>
      <c r="O954" s="9" t="s">
        <v>113</v>
      </c>
      <c r="P954" s="9" t="s">
        <v>113</v>
      </c>
      <c r="Q954" s="10">
        <v>50</v>
      </c>
      <c r="R954" s="10">
        <f t="shared" si="42"/>
        <v>50</v>
      </c>
      <c r="S954" s="10">
        <f>SUMIFS([1]Sheet1!$T:$T,[1]Sheet1!$I:$I,E954,[1]Sheet1!$C:$C,A954)</f>
        <v>50</v>
      </c>
      <c r="T954" s="10">
        <f t="shared" si="43"/>
        <v>0</v>
      </c>
      <c r="U954" s="9" t="s">
        <v>706</v>
      </c>
      <c r="V954" t="s">
        <v>707</v>
      </c>
      <c r="W954" t="s">
        <v>178</v>
      </c>
      <c r="Y954" t="s">
        <v>179</v>
      </c>
      <c r="Z954" t="s">
        <v>113</v>
      </c>
      <c r="AB954" t="str">
        <f t="shared" si="44"/>
        <v>W0109</v>
      </c>
    </row>
    <row r="955" ht="14.25" spans="1:28">
      <c r="A955" s="5" t="s">
        <v>28</v>
      </c>
      <c r="B955" s="5" t="s">
        <v>697</v>
      </c>
      <c r="C955" s="5">
        <v>2027</v>
      </c>
      <c r="D955" s="5" t="s">
        <v>30</v>
      </c>
      <c r="E955" s="9" t="s">
        <v>744</v>
      </c>
      <c r="F955" s="9" t="s">
        <v>745</v>
      </c>
      <c r="G955" s="9" t="s">
        <v>746</v>
      </c>
      <c r="H955" s="9" t="s">
        <v>747</v>
      </c>
      <c r="I955" s="9" t="s">
        <v>119</v>
      </c>
      <c r="J955" s="9" t="s">
        <v>36</v>
      </c>
      <c r="K955" s="9">
        <v>148</v>
      </c>
      <c r="L955" s="9"/>
      <c r="M955" s="9"/>
      <c r="N955" s="9"/>
      <c r="O955" s="9" t="s">
        <v>113</v>
      </c>
      <c r="P955" s="9" t="s">
        <v>113</v>
      </c>
      <c r="Q955" s="10">
        <v>50</v>
      </c>
      <c r="R955" s="10">
        <f t="shared" si="42"/>
        <v>50</v>
      </c>
      <c r="S955" s="10">
        <f>SUMIFS([1]Sheet1!$T:$T,[1]Sheet1!$I:$I,E955,[1]Sheet1!$C:$C,A955)</f>
        <v>50</v>
      </c>
      <c r="T955" s="10">
        <f t="shared" si="43"/>
        <v>0</v>
      </c>
      <c r="U955" s="9" t="s">
        <v>706</v>
      </c>
      <c r="V955" t="s">
        <v>707</v>
      </c>
      <c r="W955" t="s">
        <v>178</v>
      </c>
      <c r="Y955" t="s">
        <v>179</v>
      </c>
      <c r="Z955" t="s">
        <v>113</v>
      </c>
      <c r="AB955" t="str">
        <f t="shared" si="44"/>
        <v>W0202</v>
      </c>
    </row>
    <row r="956" ht="14.25" spans="1:28">
      <c r="A956" s="5" t="s">
        <v>28</v>
      </c>
      <c r="B956" s="5" t="s">
        <v>697</v>
      </c>
      <c r="C956" s="5">
        <v>2027</v>
      </c>
      <c r="D956" s="5" t="s">
        <v>30</v>
      </c>
      <c r="E956" s="9" t="s">
        <v>748</v>
      </c>
      <c r="F956" s="9" t="s">
        <v>745</v>
      </c>
      <c r="G956" s="9" t="s">
        <v>726</v>
      </c>
      <c r="H956" s="9" t="s">
        <v>749</v>
      </c>
      <c r="I956" s="9" t="s">
        <v>119</v>
      </c>
      <c r="J956" s="9" t="s">
        <v>36</v>
      </c>
      <c r="K956" s="9">
        <v>148</v>
      </c>
      <c r="L956" s="9"/>
      <c r="M956" s="9"/>
      <c r="N956" s="9"/>
      <c r="O956" s="9" t="s">
        <v>113</v>
      </c>
      <c r="P956" s="9" t="s">
        <v>113</v>
      </c>
      <c r="Q956" s="10">
        <v>50</v>
      </c>
      <c r="R956" s="10">
        <f t="shared" si="42"/>
        <v>50</v>
      </c>
      <c r="S956" s="10">
        <f>SUMIFS([1]Sheet1!$T:$T,[1]Sheet1!$I:$I,E956,[1]Sheet1!$C:$C,A956)</f>
        <v>50</v>
      </c>
      <c r="T956" s="10">
        <f t="shared" si="43"/>
        <v>0</v>
      </c>
      <c r="U956" s="9" t="s">
        <v>706</v>
      </c>
      <c r="V956" t="s">
        <v>707</v>
      </c>
      <c r="W956" t="s">
        <v>178</v>
      </c>
      <c r="Y956" t="s">
        <v>179</v>
      </c>
      <c r="Z956" t="s">
        <v>113</v>
      </c>
      <c r="AB956" t="str">
        <f t="shared" si="44"/>
        <v>W0206</v>
      </c>
    </row>
    <row r="957" ht="14.25" spans="1:28">
      <c r="A957" s="5" t="s">
        <v>28</v>
      </c>
      <c r="B957" s="5" t="s">
        <v>697</v>
      </c>
      <c r="C957" s="5">
        <v>2027</v>
      </c>
      <c r="D957" s="5" t="s">
        <v>30</v>
      </c>
      <c r="E957" s="9" t="s">
        <v>750</v>
      </c>
      <c r="F957" s="9" t="s">
        <v>745</v>
      </c>
      <c r="G957" s="9" t="s">
        <v>751</v>
      </c>
      <c r="H957" s="9" t="s">
        <v>752</v>
      </c>
      <c r="I957" s="9" t="s">
        <v>119</v>
      </c>
      <c r="J957" s="9" t="s">
        <v>36</v>
      </c>
      <c r="K957" s="9">
        <v>148</v>
      </c>
      <c r="L957" s="9"/>
      <c r="M957" s="9"/>
      <c r="N957" s="9"/>
      <c r="O957" s="9" t="s">
        <v>113</v>
      </c>
      <c r="P957" s="9" t="s">
        <v>113</v>
      </c>
      <c r="Q957" s="11">
        <v>100</v>
      </c>
      <c r="R957" s="10">
        <f t="shared" si="42"/>
        <v>100</v>
      </c>
      <c r="S957" s="10">
        <f>SUMIFS([1]Sheet1!$T:$T,[1]Sheet1!$I:$I,E957,[1]Sheet1!$C:$C,A957)</f>
        <v>100</v>
      </c>
      <c r="T957" s="10">
        <f t="shared" si="43"/>
        <v>0</v>
      </c>
      <c r="U957" s="9" t="s">
        <v>706</v>
      </c>
      <c r="V957" t="s">
        <v>707</v>
      </c>
      <c r="W957" t="s">
        <v>178</v>
      </c>
      <c r="Y957" t="s">
        <v>179</v>
      </c>
      <c r="Z957" t="s">
        <v>113</v>
      </c>
      <c r="AB957" t="str">
        <f t="shared" si="44"/>
        <v>W0209</v>
      </c>
    </row>
    <row r="958" ht="14.25" spans="1:28">
      <c r="A958" s="5" t="s">
        <v>28</v>
      </c>
      <c r="B958" s="5" t="s">
        <v>697</v>
      </c>
      <c r="C958" s="5">
        <v>2027</v>
      </c>
      <c r="D958" s="5" t="s">
        <v>30</v>
      </c>
      <c r="E958" s="9" t="s">
        <v>753</v>
      </c>
      <c r="F958" s="9" t="s">
        <v>129</v>
      </c>
      <c r="G958" s="9" t="s">
        <v>754</v>
      </c>
      <c r="H958" s="9" t="s">
        <v>755</v>
      </c>
      <c r="I958" s="9" t="s">
        <v>119</v>
      </c>
      <c r="J958" s="9" t="s">
        <v>36</v>
      </c>
      <c r="K958" s="9">
        <v>390</v>
      </c>
      <c r="L958" s="9"/>
      <c r="M958" s="9"/>
      <c r="N958" s="9"/>
      <c r="O958" s="9" t="s">
        <v>113</v>
      </c>
      <c r="P958" s="9" t="s">
        <v>113</v>
      </c>
      <c r="Q958" s="11"/>
      <c r="R958" s="10">
        <f t="shared" si="42"/>
        <v>0</v>
      </c>
      <c r="S958" s="10">
        <f>SUMIFS([1]Sheet1!$T:$T,[1]Sheet1!$I:$I,E958,[1]Sheet1!$C:$C,A958)</f>
        <v>0</v>
      </c>
      <c r="T958" s="10">
        <f t="shared" si="43"/>
        <v>0</v>
      </c>
      <c r="U958" s="9" t="s">
        <v>706</v>
      </c>
      <c r="V958" t="s">
        <v>756</v>
      </c>
      <c r="W958" t="s">
        <v>138</v>
      </c>
      <c r="Y958" t="s">
        <v>132</v>
      </c>
      <c r="Z958" t="s">
        <v>113</v>
      </c>
      <c r="AB958" t="str">
        <f t="shared" si="44"/>
        <v>12531</v>
      </c>
    </row>
    <row r="959" ht="14.25" spans="1:28">
      <c r="A959" s="5" t="s">
        <v>28</v>
      </c>
      <c r="B959" s="5" t="s">
        <v>697</v>
      </c>
      <c r="C959" s="5">
        <v>2027</v>
      </c>
      <c r="D959" s="5" t="s">
        <v>30</v>
      </c>
      <c r="E959" s="9" t="s">
        <v>757</v>
      </c>
      <c r="F959" s="9" t="s">
        <v>129</v>
      </c>
      <c r="G959" s="9" t="s">
        <v>758</v>
      </c>
      <c r="H959" s="9" t="s">
        <v>759</v>
      </c>
      <c r="I959" s="9" t="s">
        <v>119</v>
      </c>
      <c r="J959" s="9" t="s">
        <v>36</v>
      </c>
      <c r="K959" s="9">
        <v>390</v>
      </c>
      <c r="L959" s="9"/>
      <c r="M959" s="9"/>
      <c r="N959" s="9"/>
      <c r="O959" s="9" t="s">
        <v>113</v>
      </c>
      <c r="P959" s="9" t="s">
        <v>113</v>
      </c>
      <c r="Q959" s="11"/>
      <c r="R959" s="10">
        <f t="shared" si="42"/>
        <v>0</v>
      </c>
      <c r="S959" s="10">
        <f>SUMIFS([1]Sheet1!$T:$T,[1]Sheet1!$I:$I,E959,[1]Sheet1!$C:$C,A959)</f>
        <v>0</v>
      </c>
      <c r="T959" s="10">
        <f t="shared" si="43"/>
        <v>0</v>
      </c>
      <c r="U959" s="9"/>
      <c r="Y959" t="s">
        <v>132</v>
      </c>
      <c r="Z959" t="s">
        <v>113</v>
      </c>
      <c r="AB959" t="str">
        <f t="shared" si="44"/>
        <v>12531</v>
      </c>
    </row>
    <row r="960" ht="14.25" spans="1:28">
      <c r="A960" s="5" t="s">
        <v>28</v>
      </c>
      <c r="B960" s="5" t="s">
        <v>697</v>
      </c>
      <c r="C960" s="5">
        <v>2027</v>
      </c>
      <c r="D960" s="5" t="s">
        <v>30</v>
      </c>
      <c r="E960" s="9" t="s">
        <v>760</v>
      </c>
      <c r="F960" s="9" t="s">
        <v>129</v>
      </c>
      <c r="G960" s="9" t="s">
        <v>761</v>
      </c>
      <c r="H960" s="9" t="s">
        <v>762</v>
      </c>
      <c r="I960" s="9" t="s">
        <v>119</v>
      </c>
      <c r="J960" s="9" t="s">
        <v>36</v>
      </c>
      <c r="K960" s="9">
        <v>390</v>
      </c>
      <c r="L960" s="9"/>
      <c r="M960" s="9"/>
      <c r="N960" s="9"/>
      <c r="O960" s="9" t="s">
        <v>113</v>
      </c>
      <c r="P960" s="9" t="s">
        <v>113</v>
      </c>
      <c r="Q960" s="11"/>
      <c r="R960" s="10">
        <f t="shared" si="42"/>
        <v>0</v>
      </c>
      <c r="S960" s="10">
        <f>SUMIFS([1]Sheet1!$T:$T,[1]Sheet1!$I:$I,E960,[1]Sheet1!$C:$C,A960)</f>
        <v>0</v>
      </c>
      <c r="T960" s="10">
        <f t="shared" si="43"/>
        <v>0</v>
      </c>
      <c r="U960" s="9"/>
      <c r="Y960" t="s">
        <v>132</v>
      </c>
      <c r="Z960" t="s">
        <v>113</v>
      </c>
      <c r="AB960" t="str">
        <f t="shared" si="44"/>
        <v>12531</v>
      </c>
    </row>
    <row r="961" ht="14.25" spans="1:28">
      <c r="A961" s="5" t="s">
        <v>28</v>
      </c>
      <c r="B961" s="5" t="s">
        <v>697</v>
      </c>
      <c r="C961" s="5">
        <v>2027</v>
      </c>
      <c r="D961" s="5" t="s">
        <v>30</v>
      </c>
      <c r="E961" s="9" t="s">
        <v>763</v>
      </c>
      <c r="F961" s="9" t="s">
        <v>129</v>
      </c>
      <c r="G961" s="9" t="s">
        <v>764</v>
      </c>
      <c r="H961" s="9" t="s">
        <v>765</v>
      </c>
      <c r="I961" s="9" t="s">
        <v>119</v>
      </c>
      <c r="J961" s="9" t="s">
        <v>36</v>
      </c>
      <c r="K961" s="9">
        <v>390</v>
      </c>
      <c r="L961" s="9"/>
      <c r="M961" s="9"/>
      <c r="N961" s="9"/>
      <c r="O961" s="9" t="s">
        <v>113</v>
      </c>
      <c r="P961" s="9" t="s">
        <v>113</v>
      </c>
      <c r="Q961" s="11"/>
      <c r="R961" s="10">
        <f t="shared" si="42"/>
        <v>0</v>
      </c>
      <c r="S961" s="10">
        <f>SUMIFS([1]Sheet1!$T:$T,[1]Sheet1!$I:$I,E961,[1]Sheet1!$C:$C,A961)</f>
        <v>0</v>
      </c>
      <c r="T961" s="10">
        <f t="shared" si="43"/>
        <v>0</v>
      </c>
      <c r="U961" s="9"/>
      <c r="Y961" t="s">
        <v>132</v>
      </c>
      <c r="Z961" t="s">
        <v>113</v>
      </c>
      <c r="AB961" t="str">
        <f t="shared" si="44"/>
        <v>12531</v>
      </c>
    </row>
    <row r="962" ht="14.25" spans="1:28">
      <c r="A962" s="5" t="s">
        <v>28</v>
      </c>
      <c r="B962" s="5" t="s">
        <v>697</v>
      </c>
      <c r="C962" s="5">
        <v>2027</v>
      </c>
      <c r="D962" s="5" t="s">
        <v>30</v>
      </c>
      <c r="E962" s="9" t="s">
        <v>766</v>
      </c>
      <c r="F962" s="9" t="s">
        <v>129</v>
      </c>
      <c r="G962" s="9" t="s">
        <v>767</v>
      </c>
      <c r="H962" s="9" t="s">
        <v>768</v>
      </c>
      <c r="I962" s="9" t="s">
        <v>119</v>
      </c>
      <c r="J962" s="9" t="s">
        <v>36</v>
      </c>
      <c r="K962" s="9">
        <v>390</v>
      </c>
      <c r="L962" s="9"/>
      <c r="M962" s="9"/>
      <c r="N962" s="9"/>
      <c r="O962" s="9" t="s">
        <v>113</v>
      </c>
      <c r="P962" s="9" t="s">
        <v>113</v>
      </c>
      <c r="Q962" s="11"/>
      <c r="R962" s="10">
        <f t="shared" ref="R962:R1025" si="45">SUMIFS(Q:Q,E:E,E962)</f>
        <v>0</v>
      </c>
      <c r="S962" s="10">
        <f>SUMIFS([1]Sheet1!$T:$T,[1]Sheet1!$I:$I,E962,[1]Sheet1!$C:$C,A962)</f>
        <v>0</v>
      </c>
      <c r="T962" s="10">
        <f t="shared" ref="T962:T1025" si="46">R962-S962</f>
        <v>0</v>
      </c>
      <c r="U962" s="9" t="s">
        <v>706</v>
      </c>
      <c r="V962" t="s">
        <v>756</v>
      </c>
      <c r="W962" t="s">
        <v>138</v>
      </c>
      <c r="Y962" t="s">
        <v>132</v>
      </c>
      <c r="Z962" t="s">
        <v>113</v>
      </c>
      <c r="AB962" t="str">
        <f t="shared" si="44"/>
        <v>12531</v>
      </c>
    </row>
    <row r="963" ht="14.25" spans="1:28">
      <c r="A963" s="5" t="s">
        <v>28</v>
      </c>
      <c r="B963" s="5" t="s">
        <v>697</v>
      </c>
      <c r="C963" s="5">
        <v>2027</v>
      </c>
      <c r="D963" s="5" t="s">
        <v>30</v>
      </c>
      <c r="E963" s="9" t="s">
        <v>769</v>
      </c>
      <c r="F963" s="9" t="s">
        <v>109</v>
      </c>
      <c r="G963" s="9" t="s">
        <v>770</v>
      </c>
      <c r="H963" s="9" t="s">
        <v>771</v>
      </c>
      <c r="I963" s="9" t="s">
        <v>119</v>
      </c>
      <c r="J963" s="9" t="s">
        <v>36</v>
      </c>
      <c r="K963" s="9">
        <v>390</v>
      </c>
      <c r="L963" s="9"/>
      <c r="M963" s="9"/>
      <c r="N963" s="9"/>
      <c r="O963" s="9" t="s">
        <v>113</v>
      </c>
      <c r="P963" s="9" t="s">
        <v>113</v>
      </c>
      <c r="Q963" s="11"/>
      <c r="R963" s="10">
        <f t="shared" si="45"/>
        <v>0</v>
      </c>
      <c r="S963" s="10">
        <f>SUMIFS([1]Sheet1!$T:$T,[1]Sheet1!$I:$I,E963,[1]Sheet1!$C:$C,A963)</f>
        <v>0</v>
      </c>
      <c r="T963" s="10">
        <f t="shared" si="46"/>
        <v>0</v>
      </c>
      <c r="U963" s="9"/>
      <c r="Y963" t="s">
        <v>114</v>
      </c>
      <c r="Z963" t="s">
        <v>113</v>
      </c>
      <c r="AB963" t="str">
        <f t="shared" ref="AB963:AB1026" si="47">MID(E963,6,5)</f>
        <v>13008</v>
      </c>
    </row>
    <row r="964" ht="14.25" spans="1:28">
      <c r="A964" s="5" t="s">
        <v>28</v>
      </c>
      <c r="B964" s="5" t="s">
        <v>697</v>
      </c>
      <c r="C964" s="5">
        <v>2027</v>
      </c>
      <c r="D964" s="5" t="s">
        <v>30</v>
      </c>
      <c r="E964" s="9" t="s">
        <v>772</v>
      </c>
      <c r="F964" s="9" t="s">
        <v>109</v>
      </c>
      <c r="G964" s="9" t="s">
        <v>773</v>
      </c>
      <c r="H964" s="9" t="s">
        <v>774</v>
      </c>
      <c r="I964" s="9" t="s">
        <v>119</v>
      </c>
      <c r="J964" s="9" t="s">
        <v>36</v>
      </c>
      <c r="K964" s="9">
        <v>390</v>
      </c>
      <c r="L964" s="9"/>
      <c r="M964" s="9"/>
      <c r="N964" s="9"/>
      <c r="O964" s="9" t="s">
        <v>113</v>
      </c>
      <c r="P964" s="9" t="s">
        <v>113</v>
      </c>
      <c r="Q964" s="11"/>
      <c r="R964" s="10">
        <f t="shared" si="45"/>
        <v>0</v>
      </c>
      <c r="S964" s="10">
        <f>SUMIFS([1]Sheet1!$T:$T,[1]Sheet1!$I:$I,E964,[1]Sheet1!$C:$C,A964)</f>
        <v>0</v>
      </c>
      <c r="T964" s="10">
        <f t="shared" si="46"/>
        <v>0</v>
      </c>
      <c r="U964" s="9"/>
      <c r="Y964" t="s">
        <v>114</v>
      </c>
      <c r="Z964" t="s">
        <v>113</v>
      </c>
      <c r="AB964" t="str">
        <f t="shared" si="47"/>
        <v>13008</v>
      </c>
    </row>
    <row r="965" ht="14.25" spans="1:28">
      <c r="A965" s="5" t="s">
        <v>28</v>
      </c>
      <c r="B965" s="5" t="s">
        <v>697</v>
      </c>
      <c r="C965" s="5">
        <v>2027</v>
      </c>
      <c r="D965" s="5" t="s">
        <v>30</v>
      </c>
      <c r="E965" s="9" t="s">
        <v>775</v>
      </c>
      <c r="F965" s="9" t="s">
        <v>776</v>
      </c>
      <c r="G965" s="9" t="s">
        <v>117</v>
      </c>
      <c r="H965" s="9" t="s">
        <v>777</v>
      </c>
      <c r="I965" s="9" t="s">
        <v>119</v>
      </c>
      <c r="J965" s="9" t="s">
        <v>36</v>
      </c>
      <c r="K965" s="9">
        <v>990</v>
      </c>
      <c r="L965" s="9"/>
      <c r="M965" s="9"/>
      <c r="N965" s="9"/>
      <c r="O965" s="9" t="s">
        <v>120</v>
      </c>
      <c r="P965" s="9" t="s">
        <v>121</v>
      </c>
      <c r="Q965" s="11"/>
      <c r="R965" s="10">
        <f t="shared" si="45"/>
        <v>0</v>
      </c>
      <c r="S965" s="10">
        <f>SUMIFS([1]Sheet1!$T:$T,[1]Sheet1!$I:$I,E965,[1]Sheet1!$C:$C,A965)</f>
        <v>0</v>
      </c>
      <c r="T965" s="10">
        <f t="shared" si="46"/>
        <v>0</v>
      </c>
      <c r="U965" s="9"/>
      <c r="X965" t="s">
        <v>122</v>
      </c>
      <c r="Y965" t="s">
        <v>778</v>
      </c>
      <c r="Z965" t="s">
        <v>113</v>
      </c>
      <c r="AB965" t="str">
        <f t="shared" si="47"/>
        <v>13012</v>
      </c>
    </row>
    <row r="966" ht="14.25" spans="1:28">
      <c r="A966" s="5" t="s">
        <v>28</v>
      </c>
      <c r="B966" s="5" t="s">
        <v>697</v>
      </c>
      <c r="C966" s="5">
        <v>2027</v>
      </c>
      <c r="D966" s="5" t="s">
        <v>30</v>
      </c>
      <c r="E966" s="9" t="s">
        <v>775</v>
      </c>
      <c r="F966" s="9" t="s">
        <v>776</v>
      </c>
      <c r="G966" s="9" t="s">
        <v>117</v>
      </c>
      <c r="H966" s="9" t="s">
        <v>777</v>
      </c>
      <c r="I966" s="9" t="s">
        <v>119</v>
      </c>
      <c r="J966" s="9" t="s">
        <v>36</v>
      </c>
      <c r="K966" s="9">
        <v>990</v>
      </c>
      <c r="L966" s="9"/>
      <c r="M966" s="9"/>
      <c r="N966" s="9"/>
      <c r="O966" s="9" t="s">
        <v>120</v>
      </c>
      <c r="P966" s="9" t="s">
        <v>124</v>
      </c>
      <c r="Q966" s="11"/>
      <c r="R966" s="10"/>
      <c r="S966" s="10"/>
      <c r="T966" s="10"/>
      <c r="U966" s="9"/>
      <c r="X966" t="s">
        <v>122</v>
      </c>
      <c r="Y966" t="s">
        <v>778</v>
      </c>
      <c r="Z966" t="s">
        <v>113</v>
      </c>
      <c r="AB966" t="str">
        <f t="shared" si="47"/>
        <v>13012</v>
      </c>
    </row>
    <row r="967" ht="14.25" spans="1:28">
      <c r="A967" s="5" t="s">
        <v>28</v>
      </c>
      <c r="B967" s="5" t="s">
        <v>697</v>
      </c>
      <c r="C967" s="5">
        <v>2027</v>
      </c>
      <c r="D967" s="5" t="s">
        <v>30</v>
      </c>
      <c r="E967" s="9" t="s">
        <v>775</v>
      </c>
      <c r="F967" s="9" t="s">
        <v>776</v>
      </c>
      <c r="G967" s="9" t="s">
        <v>117</v>
      </c>
      <c r="H967" s="9" t="s">
        <v>777</v>
      </c>
      <c r="I967" s="9" t="s">
        <v>119</v>
      </c>
      <c r="J967" s="9" t="s">
        <v>36</v>
      </c>
      <c r="K967" s="9">
        <v>990</v>
      </c>
      <c r="L967" s="9"/>
      <c r="M967" s="9"/>
      <c r="N967" s="9"/>
      <c r="O967" s="9" t="s">
        <v>120</v>
      </c>
      <c r="P967" s="9" t="s">
        <v>125</v>
      </c>
      <c r="Q967" s="11"/>
      <c r="R967" s="10"/>
      <c r="S967" s="10"/>
      <c r="T967" s="10"/>
      <c r="U967" s="9"/>
      <c r="X967" t="s">
        <v>122</v>
      </c>
      <c r="Y967" t="s">
        <v>778</v>
      </c>
      <c r="Z967" t="s">
        <v>113</v>
      </c>
      <c r="AB967" t="str">
        <f t="shared" si="47"/>
        <v>13012</v>
      </c>
    </row>
    <row r="968" ht="14.25" spans="1:28">
      <c r="A968" s="5" t="s">
        <v>28</v>
      </c>
      <c r="B968" s="5" t="s">
        <v>697</v>
      </c>
      <c r="C968" s="5">
        <v>2027</v>
      </c>
      <c r="D968" s="5" t="s">
        <v>30</v>
      </c>
      <c r="E968" s="9" t="s">
        <v>775</v>
      </c>
      <c r="F968" s="9" t="s">
        <v>776</v>
      </c>
      <c r="G968" s="9" t="s">
        <v>117</v>
      </c>
      <c r="H968" s="9" t="s">
        <v>777</v>
      </c>
      <c r="I968" s="9" t="s">
        <v>119</v>
      </c>
      <c r="J968" s="9" t="s">
        <v>36</v>
      </c>
      <c r="K968" s="9">
        <v>990</v>
      </c>
      <c r="L968" s="9"/>
      <c r="M968" s="9"/>
      <c r="N968" s="9"/>
      <c r="O968" s="9" t="s">
        <v>120</v>
      </c>
      <c r="P968" s="9" t="s">
        <v>126</v>
      </c>
      <c r="Q968" s="11"/>
      <c r="R968" s="10"/>
      <c r="S968" s="10"/>
      <c r="T968" s="10"/>
      <c r="U968" s="9"/>
      <c r="X968" t="s">
        <v>122</v>
      </c>
      <c r="Y968" t="s">
        <v>778</v>
      </c>
      <c r="Z968" t="s">
        <v>113</v>
      </c>
      <c r="AB968" t="str">
        <f t="shared" si="47"/>
        <v>13012</v>
      </c>
    </row>
    <row r="969" ht="14.25" spans="1:28">
      <c r="A969" s="5" t="s">
        <v>28</v>
      </c>
      <c r="B969" s="5" t="s">
        <v>697</v>
      </c>
      <c r="C969" s="5">
        <v>2027</v>
      </c>
      <c r="D969" s="5" t="s">
        <v>30</v>
      </c>
      <c r="E969" s="9" t="s">
        <v>775</v>
      </c>
      <c r="F969" s="9" t="s">
        <v>776</v>
      </c>
      <c r="G969" s="9" t="s">
        <v>117</v>
      </c>
      <c r="H969" s="9" t="s">
        <v>777</v>
      </c>
      <c r="I969" s="9" t="s">
        <v>119</v>
      </c>
      <c r="J969" s="9" t="s">
        <v>36</v>
      </c>
      <c r="K969" s="9">
        <v>990</v>
      </c>
      <c r="L969" s="9"/>
      <c r="M969" s="9"/>
      <c r="N969" s="9"/>
      <c r="O969" s="9" t="s">
        <v>120</v>
      </c>
      <c r="P969" s="9" t="s">
        <v>127</v>
      </c>
      <c r="Q969" s="11"/>
      <c r="R969" s="10"/>
      <c r="S969" s="10"/>
      <c r="T969" s="10"/>
      <c r="U969" s="9"/>
      <c r="X969" t="s">
        <v>122</v>
      </c>
      <c r="Y969" t="s">
        <v>778</v>
      </c>
      <c r="Z969" t="s">
        <v>113</v>
      </c>
      <c r="AB969" t="str">
        <f t="shared" si="47"/>
        <v>13012</v>
      </c>
    </row>
    <row r="970" ht="14.25" spans="1:28">
      <c r="A970" s="5" t="s">
        <v>28</v>
      </c>
      <c r="B970" s="5" t="s">
        <v>697</v>
      </c>
      <c r="C970" s="5">
        <v>2027</v>
      </c>
      <c r="D970" s="5" t="s">
        <v>30</v>
      </c>
      <c r="E970" s="9" t="s">
        <v>779</v>
      </c>
      <c r="F970" s="9" t="s">
        <v>776</v>
      </c>
      <c r="G970" s="9" t="s">
        <v>780</v>
      </c>
      <c r="H970" s="9" t="s">
        <v>781</v>
      </c>
      <c r="I970" s="9" t="s">
        <v>119</v>
      </c>
      <c r="J970" s="9" t="s">
        <v>36</v>
      </c>
      <c r="K970" s="9">
        <v>990</v>
      </c>
      <c r="L970" s="9"/>
      <c r="M970" s="9"/>
      <c r="N970" s="9"/>
      <c r="O970" s="9" t="s">
        <v>120</v>
      </c>
      <c r="P970" s="9" t="s">
        <v>121</v>
      </c>
      <c r="Q970" s="11"/>
      <c r="R970" s="10">
        <f t="shared" si="45"/>
        <v>0</v>
      </c>
      <c r="S970" s="10">
        <f>SUMIFS([1]Sheet1!$T:$T,[1]Sheet1!$I:$I,E970,[1]Sheet1!$C:$C,A970)</f>
        <v>0</v>
      </c>
      <c r="T970" s="10">
        <f t="shared" si="46"/>
        <v>0</v>
      </c>
      <c r="U970" s="9"/>
      <c r="X970" t="s">
        <v>39</v>
      </c>
      <c r="Y970" t="s">
        <v>782</v>
      </c>
      <c r="Z970" t="s">
        <v>113</v>
      </c>
      <c r="AB970" t="str">
        <f t="shared" si="47"/>
        <v>13012</v>
      </c>
    </row>
    <row r="971" ht="14.25" spans="1:28">
      <c r="A971" s="5" t="s">
        <v>28</v>
      </c>
      <c r="B971" s="5" t="s">
        <v>697</v>
      </c>
      <c r="C971" s="5">
        <v>2027</v>
      </c>
      <c r="D971" s="5" t="s">
        <v>30</v>
      </c>
      <c r="E971" s="9" t="s">
        <v>779</v>
      </c>
      <c r="F971" s="9" t="s">
        <v>776</v>
      </c>
      <c r="G971" s="9" t="s">
        <v>780</v>
      </c>
      <c r="H971" s="9" t="s">
        <v>781</v>
      </c>
      <c r="I971" s="9" t="s">
        <v>119</v>
      </c>
      <c r="J971" s="9" t="s">
        <v>36</v>
      </c>
      <c r="K971" s="9">
        <v>990</v>
      </c>
      <c r="L971" s="9"/>
      <c r="M971" s="9"/>
      <c r="N971" s="9"/>
      <c r="O971" s="9" t="s">
        <v>120</v>
      </c>
      <c r="P971" s="9" t="s">
        <v>124</v>
      </c>
      <c r="Q971" s="11"/>
      <c r="R971" s="10"/>
      <c r="S971" s="10"/>
      <c r="T971" s="10"/>
      <c r="U971" s="9"/>
      <c r="X971" t="s">
        <v>39</v>
      </c>
      <c r="Y971" t="s">
        <v>782</v>
      </c>
      <c r="Z971" t="s">
        <v>113</v>
      </c>
      <c r="AB971" t="str">
        <f t="shared" si="47"/>
        <v>13012</v>
      </c>
    </row>
    <row r="972" ht="14.25" spans="1:28">
      <c r="A972" s="5" t="s">
        <v>28</v>
      </c>
      <c r="B972" s="5" t="s">
        <v>697</v>
      </c>
      <c r="C972" s="5">
        <v>2027</v>
      </c>
      <c r="D972" s="5" t="s">
        <v>30</v>
      </c>
      <c r="E972" s="9" t="s">
        <v>779</v>
      </c>
      <c r="F972" s="9" t="s">
        <v>776</v>
      </c>
      <c r="G972" s="9" t="s">
        <v>780</v>
      </c>
      <c r="H972" s="9" t="s">
        <v>781</v>
      </c>
      <c r="I972" s="9" t="s">
        <v>119</v>
      </c>
      <c r="J972" s="9" t="s">
        <v>36</v>
      </c>
      <c r="K972" s="9">
        <v>990</v>
      </c>
      <c r="L972" s="9"/>
      <c r="M972" s="9"/>
      <c r="N972" s="9"/>
      <c r="O972" s="9" t="s">
        <v>120</v>
      </c>
      <c r="P972" s="9" t="s">
        <v>125</v>
      </c>
      <c r="Q972" s="11"/>
      <c r="R972" s="10"/>
      <c r="S972" s="10"/>
      <c r="T972" s="10"/>
      <c r="U972" s="9"/>
      <c r="X972" t="s">
        <v>39</v>
      </c>
      <c r="Y972" t="s">
        <v>782</v>
      </c>
      <c r="Z972" t="s">
        <v>113</v>
      </c>
      <c r="AB972" t="str">
        <f t="shared" si="47"/>
        <v>13012</v>
      </c>
    </row>
    <row r="973" ht="14.25" spans="1:28">
      <c r="A973" s="5" t="s">
        <v>28</v>
      </c>
      <c r="B973" s="5" t="s">
        <v>697</v>
      </c>
      <c r="C973" s="5">
        <v>2027</v>
      </c>
      <c r="D973" s="5" t="s">
        <v>30</v>
      </c>
      <c r="E973" s="9" t="s">
        <v>779</v>
      </c>
      <c r="F973" s="9" t="s">
        <v>776</v>
      </c>
      <c r="G973" s="9" t="s">
        <v>780</v>
      </c>
      <c r="H973" s="9" t="s">
        <v>781</v>
      </c>
      <c r="I973" s="9" t="s">
        <v>119</v>
      </c>
      <c r="J973" s="9" t="s">
        <v>36</v>
      </c>
      <c r="K973" s="9">
        <v>990</v>
      </c>
      <c r="L973" s="9"/>
      <c r="M973" s="9"/>
      <c r="N973" s="9"/>
      <c r="O973" s="9" t="s">
        <v>120</v>
      </c>
      <c r="P973" s="9" t="s">
        <v>126</v>
      </c>
      <c r="Q973" s="11"/>
      <c r="R973" s="10"/>
      <c r="S973" s="10"/>
      <c r="T973" s="10"/>
      <c r="U973" s="9"/>
      <c r="X973" t="s">
        <v>39</v>
      </c>
      <c r="Y973" t="s">
        <v>782</v>
      </c>
      <c r="Z973" t="s">
        <v>113</v>
      </c>
      <c r="AB973" t="str">
        <f t="shared" si="47"/>
        <v>13012</v>
      </c>
    </row>
    <row r="974" ht="14.25" spans="1:28">
      <c r="A974" s="5" t="s">
        <v>28</v>
      </c>
      <c r="B974" s="5" t="s">
        <v>697</v>
      </c>
      <c r="C974" s="5">
        <v>2027</v>
      </c>
      <c r="D974" s="5" t="s">
        <v>30</v>
      </c>
      <c r="E974" s="9" t="s">
        <v>779</v>
      </c>
      <c r="F974" s="9" t="s">
        <v>776</v>
      </c>
      <c r="G974" s="9" t="s">
        <v>780</v>
      </c>
      <c r="H974" s="9" t="s">
        <v>781</v>
      </c>
      <c r="I974" s="9" t="s">
        <v>119</v>
      </c>
      <c r="J974" s="9" t="s">
        <v>36</v>
      </c>
      <c r="K974" s="9">
        <v>990</v>
      </c>
      <c r="L974" s="9"/>
      <c r="M974" s="9"/>
      <c r="N974" s="9"/>
      <c r="O974" s="9" t="s">
        <v>120</v>
      </c>
      <c r="P974" s="9" t="s">
        <v>127</v>
      </c>
      <c r="Q974" s="11"/>
      <c r="R974" s="10"/>
      <c r="S974" s="10"/>
      <c r="T974" s="10"/>
      <c r="U974" s="9"/>
      <c r="X974" t="s">
        <v>39</v>
      </c>
      <c r="Y974" t="s">
        <v>782</v>
      </c>
      <c r="Z974" t="s">
        <v>113</v>
      </c>
      <c r="AB974" t="str">
        <f t="shared" si="47"/>
        <v>13012</v>
      </c>
    </row>
    <row r="975" ht="14.25" spans="1:28">
      <c r="A975" s="5" t="s">
        <v>28</v>
      </c>
      <c r="B975" s="5" t="s">
        <v>697</v>
      </c>
      <c r="C975" s="5">
        <v>2027</v>
      </c>
      <c r="D975" s="5" t="s">
        <v>30</v>
      </c>
      <c r="E975" s="9" t="s">
        <v>783</v>
      </c>
      <c r="F975" s="9" t="s">
        <v>784</v>
      </c>
      <c r="G975" s="9" t="s">
        <v>110</v>
      </c>
      <c r="H975" s="9" t="s">
        <v>785</v>
      </c>
      <c r="I975" s="9" t="s">
        <v>119</v>
      </c>
      <c r="J975" s="9" t="s">
        <v>36</v>
      </c>
      <c r="K975" s="9">
        <v>590</v>
      </c>
      <c r="L975" s="9"/>
      <c r="M975" s="9"/>
      <c r="N975" s="9"/>
      <c r="O975" s="9" t="s">
        <v>120</v>
      </c>
      <c r="P975" s="9" t="s">
        <v>121</v>
      </c>
      <c r="Q975" s="11"/>
      <c r="R975" s="10">
        <f t="shared" si="45"/>
        <v>0</v>
      </c>
      <c r="S975" s="10">
        <f>SUMIFS([1]Sheet1!$T:$T,[1]Sheet1!$I:$I,E975,[1]Sheet1!$C:$C,A975)</f>
        <v>0</v>
      </c>
      <c r="T975" s="10">
        <f t="shared" si="46"/>
        <v>0</v>
      </c>
      <c r="U975" s="9"/>
      <c r="X975" t="s">
        <v>70</v>
      </c>
      <c r="Y975" t="s">
        <v>179</v>
      </c>
      <c r="Z975" t="s">
        <v>113</v>
      </c>
      <c r="AB975" t="str">
        <f t="shared" si="47"/>
        <v>13824</v>
      </c>
    </row>
    <row r="976" ht="14.25" spans="1:28">
      <c r="A976" s="5" t="s">
        <v>28</v>
      </c>
      <c r="B976" s="5" t="s">
        <v>697</v>
      </c>
      <c r="C976" s="5">
        <v>2027</v>
      </c>
      <c r="D976" s="5" t="s">
        <v>30</v>
      </c>
      <c r="E976" s="9" t="s">
        <v>783</v>
      </c>
      <c r="F976" s="9" t="s">
        <v>784</v>
      </c>
      <c r="G976" s="9" t="s">
        <v>110</v>
      </c>
      <c r="H976" s="9" t="s">
        <v>785</v>
      </c>
      <c r="I976" s="9" t="s">
        <v>119</v>
      </c>
      <c r="J976" s="9" t="s">
        <v>36</v>
      </c>
      <c r="K976" s="9">
        <v>590</v>
      </c>
      <c r="L976" s="9"/>
      <c r="M976" s="9"/>
      <c r="N976" s="9"/>
      <c r="O976" s="9" t="s">
        <v>120</v>
      </c>
      <c r="P976" s="9" t="s">
        <v>124</v>
      </c>
      <c r="Q976" s="9"/>
      <c r="R976" s="10"/>
      <c r="S976" s="10"/>
      <c r="T976" s="10"/>
      <c r="U976" s="9"/>
      <c r="X976" t="s">
        <v>70</v>
      </c>
      <c r="Y976" t="s">
        <v>179</v>
      </c>
      <c r="Z976" t="s">
        <v>113</v>
      </c>
      <c r="AB976" t="str">
        <f t="shared" si="47"/>
        <v>13824</v>
      </c>
    </row>
    <row r="977" ht="14.25" spans="1:28">
      <c r="A977" s="5" t="s">
        <v>28</v>
      </c>
      <c r="B977" s="5" t="s">
        <v>697</v>
      </c>
      <c r="C977" s="5">
        <v>2027</v>
      </c>
      <c r="D977" s="5" t="s">
        <v>30</v>
      </c>
      <c r="E977" s="9" t="s">
        <v>783</v>
      </c>
      <c r="F977" s="9" t="s">
        <v>784</v>
      </c>
      <c r="G977" s="9" t="s">
        <v>110</v>
      </c>
      <c r="H977" s="9" t="s">
        <v>785</v>
      </c>
      <c r="I977" s="9" t="s">
        <v>119</v>
      </c>
      <c r="J977" s="9" t="s">
        <v>36</v>
      </c>
      <c r="K977" s="9">
        <v>590</v>
      </c>
      <c r="L977" s="9"/>
      <c r="M977" s="9"/>
      <c r="N977" s="9"/>
      <c r="O977" s="9" t="s">
        <v>120</v>
      </c>
      <c r="P977" s="9" t="s">
        <v>125</v>
      </c>
      <c r="Q977" s="9"/>
      <c r="R977" s="10"/>
      <c r="S977" s="10"/>
      <c r="T977" s="10"/>
      <c r="U977" s="9"/>
      <c r="X977" t="s">
        <v>70</v>
      </c>
      <c r="Y977" t="s">
        <v>179</v>
      </c>
      <c r="Z977" t="s">
        <v>113</v>
      </c>
      <c r="AB977" t="str">
        <f t="shared" si="47"/>
        <v>13824</v>
      </c>
    </row>
    <row r="978" ht="14.25" spans="1:28">
      <c r="A978" s="5" t="s">
        <v>28</v>
      </c>
      <c r="B978" s="5" t="s">
        <v>697</v>
      </c>
      <c r="C978" s="5">
        <v>2027</v>
      </c>
      <c r="D978" s="5" t="s">
        <v>30</v>
      </c>
      <c r="E978" s="9" t="s">
        <v>783</v>
      </c>
      <c r="F978" s="9" t="s">
        <v>784</v>
      </c>
      <c r="G978" s="9" t="s">
        <v>110</v>
      </c>
      <c r="H978" s="9" t="s">
        <v>785</v>
      </c>
      <c r="I978" s="9" t="s">
        <v>119</v>
      </c>
      <c r="J978" s="9" t="s">
        <v>36</v>
      </c>
      <c r="K978" s="9">
        <v>590</v>
      </c>
      <c r="L978" s="9"/>
      <c r="M978" s="9"/>
      <c r="N978" s="9"/>
      <c r="O978" s="9" t="s">
        <v>120</v>
      </c>
      <c r="P978" s="9" t="s">
        <v>126</v>
      </c>
      <c r="Q978" s="9"/>
      <c r="R978" s="10"/>
      <c r="S978" s="10"/>
      <c r="T978" s="10"/>
      <c r="U978" s="9"/>
      <c r="X978" t="s">
        <v>70</v>
      </c>
      <c r="Y978" t="s">
        <v>179</v>
      </c>
      <c r="Z978" t="s">
        <v>113</v>
      </c>
      <c r="AB978" t="str">
        <f t="shared" si="47"/>
        <v>13824</v>
      </c>
    </row>
    <row r="979" ht="14.25" spans="1:28">
      <c r="A979" s="5" t="s">
        <v>28</v>
      </c>
      <c r="B979" s="5" t="s">
        <v>697</v>
      </c>
      <c r="C979" s="5">
        <v>2027</v>
      </c>
      <c r="D979" s="5" t="s">
        <v>30</v>
      </c>
      <c r="E979" s="9" t="s">
        <v>783</v>
      </c>
      <c r="F979" s="9" t="s">
        <v>784</v>
      </c>
      <c r="G979" s="9" t="s">
        <v>110</v>
      </c>
      <c r="H979" s="9" t="s">
        <v>785</v>
      </c>
      <c r="I979" s="9" t="s">
        <v>119</v>
      </c>
      <c r="J979" s="9" t="s">
        <v>36</v>
      </c>
      <c r="K979" s="9">
        <v>590</v>
      </c>
      <c r="L979" s="9"/>
      <c r="M979" s="9"/>
      <c r="N979" s="9"/>
      <c r="O979" s="9" t="s">
        <v>120</v>
      </c>
      <c r="P979" s="9" t="s">
        <v>127</v>
      </c>
      <c r="Q979" s="9"/>
      <c r="R979" s="10"/>
      <c r="S979" s="10"/>
      <c r="T979" s="10"/>
      <c r="U979" s="9"/>
      <c r="X979" t="s">
        <v>70</v>
      </c>
      <c r="Y979" t="s">
        <v>179</v>
      </c>
      <c r="Z979" t="s">
        <v>113</v>
      </c>
      <c r="AB979" t="str">
        <f t="shared" si="47"/>
        <v>13824</v>
      </c>
    </row>
    <row r="980" ht="14.25" spans="1:28">
      <c r="A980" s="5" t="s">
        <v>28</v>
      </c>
      <c r="B980" s="5" t="s">
        <v>697</v>
      </c>
      <c r="C980" s="5">
        <v>2027</v>
      </c>
      <c r="D980" s="5" t="s">
        <v>30</v>
      </c>
      <c r="E980" s="9" t="s">
        <v>786</v>
      </c>
      <c r="F980" s="9" t="s">
        <v>784</v>
      </c>
      <c r="G980" s="9" t="s">
        <v>117</v>
      </c>
      <c r="H980" s="9" t="s">
        <v>787</v>
      </c>
      <c r="I980" s="9" t="s">
        <v>119</v>
      </c>
      <c r="J980" s="9" t="s">
        <v>36</v>
      </c>
      <c r="K980" s="9">
        <v>590</v>
      </c>
      <c r="L980" s="9"/>
      <c r="M980" s="9"/>
      <c r="N980" s="9"/>
      <c r="O980" s="9" t="s">
        <v>120</v>
      </c>
      <c r="P980" s="9" t="s">
        <v>121</v>
      </c>
      <c r="Q980" s="9"/>
      <c r="R980" s="10">
        <f t="shared" si="45"/>
        <v>0</v>
      </c>
      <c r="S980" s="10">
        <f>SUMIFS([1]Sheet1!$T:$T,[1]Sheet1!$I:$I,E980,[1]Sheet1!$C:$C,A980)</f>
        <v>0</v>
      </c>
      <c r="T980" s="10">
        <f t="shared" si="46"/>
        <v>0</v>
      </c>
      <c r="U980" s="9"/>
      <c r="X980" t="s">
        <v>122</v>
      </c>
      <c r="Y980" t="s">
        <v>179</v>
      </c>
      <c r="Z980" t="s">
        <v>113</v>
      </c>
      <c r="AB980" t="str">
        <f t="shared" si="47"/>
        <v>13824</v>
      </c>
    </row>
    <row r="981" ht="14.25" spans="1:28">
      <c r="A981" s="5" t="s">
        <v>28</v>
      </c>
      <c r="B981" s="5" t="s">
        <v>697</v>
      </c>
      <c r="C981" s="5">
        <v>2027</v>
      </c>
      <c r="D981" s="5" t="s">
        <v>30</v>
      </c>
      <c r="E981" s="9" t="s">
        <v>786</v>
      </c>
      <c r="F981" s="9" t="s">
        <v>784</v>
      </c>
      <c r="G981" s="9" t="s">
        <v>117</v>
      </c>
      <c r="H981" s="9" t="s">
        <v>787</v>
      </c>
      <c r="I981" s="9" t="s">
        <v>119</v>
      </c>
      <c r="J981" s="9" t="s">
        <v>36</v>
      </c>
      <c r="K981" s="9">
        <v>590</v>
      </c>
      <c r="L981" s="9"/>
      <c r="M981" s="9"/>
      <c r="N981" s="9"/>
      <c r="O981" s="9" t="s">
        <v>120</v>
      </c>
      <c r="P981" s="9" t="s">
        <v>124</v>
      </c>
      <c r="Q981" s="9"/>
      <c r="R981" s="10"/>
      <c r="S981" s="10"/>
      <c r="T981" s="10"/>
      <c r="U981" s="9"/>
      <c r="X981" t="s">
        <v>122</v>
      </c>
      <c r="Y981" t="s">
        <v>179</v>
      </c>
      <c r="Z981" t="s">
        <v>113</v>
      </c>
      <c r="AB981" t="str">
        <f t="shared" si="47"/>
        <v>13824</v>
      </c>
    </row>
    <row r="982" ht="14.25" spans="1:28">
      <c r="A982" s="5" t="s">
        <v>28</v>
      </c>
      <c r="B982" s="5" t="s">
        <v>697</v>
      </c>
      <c r="C982" s="5">
        <v>2027</v>
      </c>
      <c r="D982" s="5" t="s">
        <v>30</v>
      </c>
      <c r="E982" s="9" t="s">
        <v>786</v>
      </c>
      <c r="F982" s="9" t="s">
        <v>784</v>
      </c>
      <c r="G982" s="9" t="s">
        <v>117</v>
      </c>
      <c r="H982" s="9" t="s">
        <v>787</v>
      </c>
      <c r="I982" s="9" t="s">
        <v>119</v>
      </c>
      <c r="J982" s="9" t="s">
        <v>36</v>
      </c>
      <c r="K982" s="9">
        <v>590</v>
      </c>
      <c r="L982" s="9"/>
      <c r="M982" s="9"/>
      <c r="N982" s="9"/>
      <c r="O982" s="9" t="s">
        <v>120</v>
      </c>
      <c r="P982" s="9" t="s">
        <v>125</v>
      </c>
      <c r="Q982" s="11"/>
      <c r="R982" s="10"/>
      <c r="S982" s="10"/>
      <c r="T982" s="10"/>
      <c r="U982" s="9"/>
      <c r="X982" t="s">
        <v>122</v>
      </c>
      <c r="Y982" t="s">
        <v>179</v>
      </c>
      <c r="Z982" t="s">
        <v>113</v>
      </c>
      <c r="AB982" t="str">
        <f t="shared" si="47"/>
        <v>13824</v>
      </c>
    </row>
    <row r="983" ht="14.25" spans="1:28">
      <c r="A983" s="5" t="s">
        <v>28</v>
      </c>
      <c r="B983" s="5" t="s">
        <v>697</v>
      </c>
      <c r="C983" s="5">
        <v>2027</v>
      </c>
      <c r="D983" s="5" t="s">
        <v>30</v>
      </c>
      <c r="E983" s="9" t="s">
        <v>786</v>
      </c>
      <c r="F983" s="9" t="s">
        <v>784</v>
      </c>
      <c r="G983" s="9" t="s">
        <v>117</v>
      </c>
      <c r="H983" s="9" t="s">
        <v>787</v>
      </c>
      <c r="I983" s="9" t="s">
        <v>119</v>
      </c>
      <c r="J983" s="9" t="s">
        <v>36</v>
      </c>
      <c r="K983" s="9">
        <v>590</v>
      </c>
      <c r="L983" s="9"/>
      <c r="M983" s="9"/>
      <c r="N983" s="9"/>
      <c r="O983" s="9" t="s">
        <v>120</v>
      </c>
      <c r="P983" s="9" t="s">
        <v>126</v>
      </c>
      <c r="Q983" s="11"/>
      <c r="R983" s="10"/>
      <c r="S983" s="10"/>
      <c r="T983" s="10"/>
      <c r="U983" s="9"/>
      <c r="X983" t="s">
        <v>122</v>
      </c>
      <c r="Y983" t="s">
        <v>179</v>
      </c>
      <c r="Z983" t="s">
        <v>113</v>
      </c>
      <c r="AB983" t="str">
        <f t="shared" si="47"/>
        <v>13824</v>
      </c>
    </row>
    <row r="984" ht="14.25" spans="1:28">
      <c r="A984" s="5" t="s">
        <v>28</v>
      </c>
      <c r="B984" s="5" t="s">
        <v>697</v>
      </c>
      <c r="C984" s="5">
        <v>2027</v>
      </c>
      <c r="D984" s="5" t="s">
        <v>30</v>
      </c>
      <c r="E984" s="9" t="s">
        <v>786</v>
      </c>
      <c r="F984" s="9" t="s">
        <v>784</v>
      </c>
      <c r="G984" s="9" t="s">
        <v>117</v>
      </c>
      <c r="H984" s="9" t="s">
        <v>787</v>
      </c>
      <c r="I984" s="9" t="s">
        <v>119</v>
      </c>
      <c r="J984" s="9" t="s">
        <v>36</v>
      </c>
      <c r="K984" s="9">
        <v>590</v>
      </c>
      <c r="L984" s="9"/>
      <c r="M984" s="9"/>
      <c r="N984" s="9"/>
      <c r="O984" s="9" t="s">
        <v>120</v>
      </c>
      <c r="P984" s="9" t="s">
        <v>127</v>
      </c>
      <c r="Q984" s="11"/>
      <c r="R984" s="10"/>
      <c r="S984" s="10"/>
      <c r="T984" s="10"/>
      <c r="U984" s="9"/>
      <c r="X984" t="s">
        <v>122</v>
      </c>
      <c r="Y984" t="s">
        <v>179</v>
      </c>
      <c r="Z984" t="s">
        <v>113</v>
      </c>
      <c r="AB984" t="str">
        <f t="shared" si="47"/>
        <v>13824</v>
      </c>
    </row>
    <row r="985" ht="14.25" spans="1:28">
      <c r="A985" s="5" t="s">
        <v>28</v>
      </c>
      <c r="B985" s="5" t="s">
        <v>697</v>
      </c>
      <c r="C985" s="5">
        <v>2027</v>
      </c>
      <c r="D985" s="5" t="s">
        <v>30</v>
      </c>
      <c r="E985" s="9" t="s">
        <v>788</v>
      </c>
      <c r="F985" s="9" t="s">
        <v>789</v>
      </c>
      <c r="G985" s="9" t="s">
        <v>117</v>
      </c>
      <c r="H985" s="9" t="s">
        <v>790</v>
      </c>
      <c r="I985" s="9" t="s">
        <v>147</v>
      </c>
      <c r="J985" s="9" t="s">
        <v>36</v>
      </c>
      <c r="K985" s="9">
        <v>690</v>
      </c>
      <c r="L985" s="9"/>
      <c r="M985" s="9"/>
      <c r="N985" s="9"/>
      <c r="O985" s="9" t="s">
        <v>120</v>
      </c>
      <c r="P985" s="9" t="s">
        <v>121</v>
      </c>
      <c r="Q985" s="11"/>
      <c r="R985" s="10">
        <f t="shared" si="45"/>
        <v>0</v>
      </c>
      <c r="S985" s="10">
        <f>SUMIFS([1]Sheet1!$T:$T,[1]Sheet1!$I:$I,E985,[1]Sheet1!$C:$C,A985)</f>
        <v>0</v>
      </c>
      <c r="T985" s="10">
        <f t="shared" si="46"/>
        <v>0</v>
      </c>
      <c r="U985" s="9"/>
      <c r="X985" t="s">
        <v>122</v>
      </c>
      <c r="Y985" t="s">
        <v>791</v>
      </c>
      <c r="Z985" t="s">
        <v>113</v>
      </c>
      <c r="AB985" t="str">
        <f t="shared" si="47"/>
        <v>14814</v>
      </c>
    </row>
    <row r="986" ht="14.25" spans="1:28">
      <c r="A986" s="5" t="s">
        <v>28</v>
      </c>
      <c r="B986" s="5" t="s">
        <v>697</v>
      </c>
      <c r="C986" s="5">
        <v>2027</v>
      </c>
      <c r="D986" s="5" t="s">
        <v>30</v>
      </c>
      <c r="E986" s="9" t="s">
        <v>788</v>
      </c>
      <c r="F986" s="9" t="s">
        <v>789</v>
      </c>
      <c r="G986" s="9" t="s">
        <v>117</v>
      </c>
      <c r="H986" s="9" t="s">
        <v>790</v>
      </c>
      <c r="I986" s="9" t="s">
        <v>147</v>
      </c>
      <c r="J986" s="9" t="s">
        <v>36</v>
      </c>
      <c r="K986" s="9">
        <v>690</v>
      </c>
      <c r="L986" s="9"/>
      <c r="M986" s="9"/>
      <c r="N986" s="9"/>
      <c r="O986" s="9" t="s">
        <v>120</v>
      </c>
      <c r="P986" s="9" t="s">
        <v>124</v>
      </c>
      <c r="Q986" s="11"/>
      <c r="R986" s="10"/>
      <c r="S986" s="10"/>
      <c r="T986" s="10"/>
      <c r="U986" s="9"/>
      <c r="X986" t="s">
        <v>122</v>
      </c>
      <c r="Y986" t="s">
        <v>791</v>
      </c>
      <c r="Z986" t="s">
        <v>113</v>
      </c>
      <c r="AB986" t="str">
        <f t="shared" si="47"/>
        <v>14814</v>
      </c>
    </row>
    <row r="987" ht="14.25" spans="1:28">
      <c r="A987" s="5" t="s">
        <v>28</v>
      </c>
      <c r="B987" s="5" t="s">
        <v>697</v>
      </c>
      <c r="C987" s="5">
        <v>2027</v>
      </c>
      <c r="D987" s="5" t="s">
        <v>30</v>
      </c>
      <c r="E987" s="9" t="s">
        <v>788</v>
      </c>
      <c r="F987" s="9" t="s">
        <v>789</v>
      </c>
      <c r="G987" s="9" t="s">
        <v>117</v>
      </c>
      <c r="H987" s="9" t="s">
        <v>790</v>
      </c>
      <c r="I987" s="9" t="s">
        <v>147</v>
      </c>
      <c r="J987" s="9" t="s">
        <v>36</v>
      </c>
      <c r="K987" s="9">
        <v>690</v>
      </c>
      <c r="L987" s="9"/>
      <c r="M987" s="9"/>
      <c r="N987" s="9"/>
      <c r="O987" s="9" t="s">
        <v>120</v>
      </c>
      <c r="P987" s="9" t="s">
        <v>125</v>
      </c>
      <c r="Q987" s="11"/>
      <c r="R987" s="10"/>
      <c r="S987" s="10"/>
      <c r="T987" s="10"/>
      <c r="U987" s="9"/>
      <c r="X987" t="s">
        <v>122</v>
      </c>
      <c r="Y987" t="s">
        <v>791</v>
      </c>
      <c r="Z987" t="s">
        <v>113</v>
      </c>
      <c r="AB987" t="str">
        <f t="shared" si="47"/>
        <v>14814</v>
      </c>
    </row>
    <row r="988" ht="14.25" spans="1:28">
      <c r="A988" s="5" t="s">
        <v>28</v>
      </c>
      <c r="B988" s="5" t="s">
        <v>697</v>
      </c>
      <c r="C988" s="5">
        <v>2027</v>
      </c>
      <c r="D988" s="5" t="s">
        <v>30</v>
      </c>
      <c r="E988" s="9" t="s">
        <v>788</v>
      </c>
      <c r="F988" s="9" t="s">
        <v>789</v>
      </c>
      <c r="G988" s="9" t="s">
        <v>117</v>
      </c>
      <c r="H988" s="9" t="s">
        <v>790</v>
      </c>
      <c r="I988" s="9" t="s">
        <v>147</v>
      </c>
      <c r="J988" s="9" t="s">
        <v>36</v>
      </c>
      <c r="K988" s="9">
        <v>690</v>
      </c>
      <c r="L988" s="9"/>
      <c r="M988" s="9"/>
      <c r="N988" s="9"/>
      <c r="O988" s="9" t="s">
        <v>120</v>
      </c>
      <c r="P988" s="9" t="s">
        <v>126</v>
      </c>
      <c r="Q988" s="11"/>
      <c r="R988" s="10"/>
      <c r="S988" s="10"/>
      <c r="T988" s="10"/>
      <c r="U988" s="9"/>
      <c r="X988" t="s">
        <v>122</v>
      </c>
      <c r="Y988" t="s">
        <v>791</v>
      </c>
      <c r="Z988" t="s">
        <v>113</v>
      </c>
      <c r="AB988" t="str">
        <f t="shared" si="47"/>
        <v>14814</v>
      </c>
    </row>
    <row r="989" ht="14.25" spans="1:28">
      <c r="A989" s="5" t="s">
        <v>28</v>
      </c>
      <c r="B989" s="5" t="s">
        <v>697</v>
      </c>
      <c r="C989" s="5">
        <v>2027</v>
      </c>
      <c r="D989" s="5" t="s">
        <v>30</v>
      </c>
      <c r="E989" s="9" t="s">
        <v>788</v>
      </c>
      <c r="F989" s="9" t="s">
        <v>789</v>
      </c>
      <c r="G989" s="9" t="s">
        <v>117</v>
      </c>
      <c r="H989" s="9" t="s">
        <v>790</v>
      </c>
      <c r="I989" s="9" t="s">
        <v>147</v>
      </c>
      <c r="J989" s="9" t="s">
        <v>36</v>
      </c>
      <c r="K989" s="9">
        <v>690</v>
      </c>
      <c r="L989" s="9"/>
      <c r="M989" s="9"/>
      <c r="N989" s="9"/>
      <c r="O989" s="9" t="s">
        <v>120</v>
      </c>
      <c r="P989" s="9" t="s">
        <v>127</v>
      </c>
      <c r="Q989" s="11"/>
      <c r="R989" s="10"/>
      <c r="S989" s="10"/>
      <c r="T989" s="10"/>
      <c r="U989" s="9"/>
      <c r="X989" t="s">
        <v>122</v>
      </c>
      <c r="Y989" t="s">
        <v>791</v>
      </c>
      <c r="Z989" t="s">
        <v>113</v>
      </c>
      <c r="AB989" t="str">
        <f t="shared" si="47"/>
        <v>14814</v>
      </c>
    </row>
    <row r="990" ht="14.25" spans="1:28">
      <c r="A990" s="5" t="s">
        <v>28</v>
      </c>
      <c r="B990" s="5" t="s">
        <v>697</v>
      </c>
      <c r="C990" s="5">
        <v>2027</v>
      </c>
      <c r="D990" s="5" t="s">
        <v>30</v>
      </c>
      <c r="E990" s="9" t="s">
        <v>792</v>
      </c>
      <c r="F990" s="9" t="s">
        <v>793</v>
      </c>
      <c r="G990" s="9" t="s">
        <v>110</v>
      </c>
      <c r="H990" s="9" t="s">
        <v>794</v>
      </c>
      <c r="I990" s="9" t="s">
        <v>119</v>
      </c>
      <c r="J990" s="9" t="s">
        <v>36</v>
      </c>
      <c r="K990" s="9">
        <v>390</v>
      </c>
      <c r="L990" s="9"/>
      <c r="M990" s="9"/>
      <c r="N990" s="9"/>
      <c r="O990" s="9" t="s">
        <v>113</v>
      </c>
      <c r="P990" s="9" t="s">
        <v>113</v>
      </c>
      <c r="Q990" s="11"/>
      <c r="R990" s="10">
        <f t="shared" si="45"/>
        <v>0</v>
      </c>
      <c r="S990" s="10">
        <f>SUMIFS([1]Sheet1!$T:$T,[1]Sheet1!$I:$I,E990,[1]Sheet1!$C:$C,A990)</f>
        <v>0</v>
      </c>
      <c r="T990" s="10">
        <f t="shared" si="46"/>
        <v>0</v>
      </c>
      <c r="U990" s="9"/>
      <c r="X990" t="s">
        <v>70</v>
      </c>
      <c r="Y990" t="s">
        <v>114</v>
      </c>
      <c r="Z990" t="s">
        <v>113</v>
      </c>
      <c r="AB990" t="str">
        <f t="shared" si="47"/>
        <v>15066</v>
      </c>
    </row>
    <row r="991" ht="14.25" spans="1:28">
      <c r="A991" s="5" t="s">
        <v>28</v>
      </c>
      <c r="B991" s="5" t="s">
        <v>697</v>
      </c>
      <c r="C991" s="5">
        <v>2027</v>
      </c>
      <c r="D991" s="5" t="s">
        <v>30</v>
      </c>
      <c r="E991" s="9" t="s">
        <v>795</v>
      </c>
      <c r="F991" s="9" t="s">
        <v>793</v>
      </c>
      <c r="G991" s="9" t="s">
        <v>758</v>
      </c>
      <c r="H991" s="9" t="s">
        <v>796</v>
      </c>
      <c r="I991" s="9" t="s">
        <v>147</v>
      </c>
      <c r="J991" s="9" t="s">
        <v>36</v>
      </c>
      <c r="K991" s="9">
        <v>390</v>
      </c>
      <c r="L991" s="9"/>
      <c r="M991" s="9"/>
      <c r="N991" s="9"/>
      <c r="O991" s="9" t="s">
        <v>113</v>
      </c>
      <c r="P991" s="9" t="s">
        <v>113</v>
      </c>
      <c r="Q991" s="11"/>
      <c r="R991" s="10">
        <f t="shared" si="45"/>
        <v>0</v>
      </c>
      <c r="S991" s="10">
        <f>SUMIFS([1]Sheet1!$T:$T,[1]Sheet1!$I:$I,E991,[1]Sheet1!$C:$C,A991)</f>
        <v>0</v>
      </c>
      <c r="T991" s="10">
        <f t="shared" si="46"/>
        <v>0</v>
      </c>
      <c r="U991" s="9"/>
      <c r="Y991" t="s">
        <v>114</v>
      </c>
      <c r="Z991" t="s">
        <v>113</v>
      </c>
      <c r="AB991" t="str">
        <f t="shared" si="47"/>
        <v>15066</v>
      </c>
    </row>
    <row r="992" ht="14.25" spans="1:28">
      <c r="A992" s="5" t="s">
        <v>28</v>
      </c>
      <c r="B992" s="5" t="s">
        <v>697</v>
      </c>
      <c r="C992" s="5">
        <v>2027</v>
      </c>
      <c r="D992" s="5" t="s">
        <v>30</v>
      </c>
      <c r="E992" s="9" t="s">
        <v>797</v>
      </c>
      <c r="F992" s="9" t="s">
        <v>798</v>
      </c>
      <c r="G992" s="9" t="s">
        <v>110</v>
      </c>
      <c r="H992" s="9" t="s">
        <v>799</v>
      </c>
      <c r="I992" s="9" t="s">
        <v>119</v>
      </c>
      <c r="J992" s="9" t="s">
        <v>36</v>
      </c>
      <c r="K992" s="9">
        <v>490</v>
      </c>
      <c r="L992" s="9"/>
      <c r="M992" s="9"/>
      <c r="N992" s="9"/>
      <c r="O992" s="9" t="s">
        <v>113</v>
      </c>
      <c r="P992" s="9" t="s">
        <v>113</v>
      </c>
      <c r="Q992" s="11"/>
      <c r="R992" s="10">
        <f t="shared" si="45"/>
        <v>0</v>
      </c>
      <c r="S992" s="10">
        <f>SUMIFS([1]Sheet1!$T:$T,[1]Sheet1!$I:$I,E992,[1]Sheet1!$C:$C,A992)</f>
        <v>0</v>
      </c>
      <c r="T992" s="10">
        <f t="shared" si="46"/>
        <v>0</v>
      </c>
      <c r="U992" s="9"/>
      <c r="X992" t="s">
        <v>70</v>
      </c>
      <c r="Y992" t="s">
        <v>800</v>
      </c>
      <c r="Z992" t="s">
        <v>113</v>
      </c>
      <c r="AB992" t="str">
        <f t="shared" si="47"/>
        <v>15068</v>
      </c>
    </row>
    <row r="993" ht="14.25" spans="1:28">
      <c r="A993" s="5" t="s">
        <v>28</v>
      </c>
      <c r="B993" s="5" t="s">
        <v>697</v>
      </c>
      <c r="C993" s="5">
        <v>2027</v>
      </c>
      <c r="D993" s="5" t="s">
        <v>30</v>
      </c>
      <c r="E993" s="9" t="s">
        <v>801</v>
      </c>
      <c r="F993" s="9" t="s">
        <v>798</v>
      </c>
      <c r="G993" s="9" t="s">
        <v>780</v>
      </c>
      <c r="H993" s="9" t="s">
        <v>802</v>
      </c>
      <c r="I993" s="9" t="s">
        <v>119</v>
      </c>
      <c r="J993" s="9" t="s">
        <v>36</v>
      </c>
      <c r="K993" s="9">
        <v>490</v>
      </c>
      <c r="L993" s="9"/>
      <c r="M993" s="9"/>
      <c r="N993" s="9"/>
      <c r="O993" s="9" t="s">
        <v>113</v>
      </c>
      <c r="P993" s="9" t="s">
        <v>113</v>
      </c>
      <c r="Q993" s="11"/>
      <c r="R993" s="10">
        <f t="shared" si="45"/>
        <v>0</v>
      </c>
      <c r="S993" s="10">
        <f>SUMIFS([1]Sheet1!$T:$T,[1]Sheet1!$I:$I,E993,[1]Sheet1!$C:$C,A993)</f>
        <v>0</v>
      </c>
      <c r="T993" s="10">
        <f t="shared" si="46"/>
        <v>0</v>
      </c>
      <c r="U993" s="9"/>
      <c r="X993" t="s">
        <v>39</v>
      </c>
      <c r="Y993" t="s">
        <v>800</v>
      </c>
      <c r="Z993" t="s">
        <v>113</v>
      </c>
      <c r="AB993" t="str">
        <f t="shared" si="47"/>
        <v>15068</v>
      </c>
    </row>
    <row r="994" ht="14.25" spans="1:28">
      <c r="A994" s="5" t="s">
        <v>28</v>
      </c>
      <c r="B994" s="5" t="s">
        <v>697</v>
      </c>
      <c r="C994" s="5">
        <v>2027</v>
      </c>
      <c r="D994" s="5" t="s">
        <v>30</v>
      </c>
      <c r="E994" s="9" t="s">
        <v>803</v>
      </c>
      <c r="F994" s="9" t="s">
        <v>804</v>
      </c>
      <c r="G994" s="9" t="s">
        <v>110</v>
      </c>
      <c r="H994" s="9" t="s">
        <v>805</v>
      </c>
      <c r="I994" s="9" t="s">
        <v>147</v>
      </c>
      <c r="J994" s="9" t="s">
        <v>36</v>
      </c>
      <c r="K994" s="9">
        <v>490</v>
      </c>
      <c r="L994" s="9"/>
      <c r="M994" s="9"/>
      <c r="N994" s="9"/>
      <c r="O994" s="9" t="s">
        <v>113</v>
      </c>
      <c r="P994" s="9" t="s">
        <v>113</v>
      </c>
      <c r="Q994" s="11"/>
      <c r="R994" s="10">
        <f t="shared" si="45"/>
        <v>0</v>
      </c>
      <c r="S994" s="10">
        <f>SUMIFS([1]Sheet1!$T:$T,[1]Sheet1!$I:$I,E994,[1]Sheet1!$C:$C,A994)</f>
        <v>0</v>
      </c>
      <c r="T994" s="10">
        <f t="shared" si="46"/>
        <v>0</v>
      </c>
      <c r="U994" s="9"/>
      <c r="X994" t="s">
        <v>70</v>
      </c>
      <c r="Y994" t="s">
        <v>132</v>
      </c>
      <c r="Z994" t="s">
        <v>113</v>
      </c>
      <c r="AB994" t="str">
        <f t="shared" si="47"/>
        <v>15069</v>
      </c>
    </row>
    <row r="995" ht="14.25" spans="1:28">
      <c r="A995" s="5" t="s">
        <v>28</v>
      </c>
      <c r="B995" s="5" t="s">
        <v>697</v>
      </c>
      <c r="C995" s="5">
        <v>2027</v>
      </c>
      <c r="D995" s="5" t="s">
        <v>30</v>
      </c>
      <c r="E995" s="9" t="s">
        <v>806</v>
      </c>
      <c r="F995" s="9" t="s">
        <v>804</v>
      </c>
      <c r="G995" s="9" t="s">
        <v>780</v>
      </c>
      <c r="H995" s="9" t="s">
        <v>807</v>
      </c>
      <c r="I995" s="9" t="s">
        <v>119</v>
      </c>
      <c r="J995" s="9" t="s">
        <v>36</v>
      </c>
      <c r="K995" s="9">
        <v>490</v>
      </c>
      <c r="L995" s="9"/>
      <c r="M995" s="9"/>
      <c r="N995" s="9"/>
      <c r="O995" s="9" t="s">
        <v>113</v>
      </c>
      <c r="P995" s="9" t="s">
        <v>113</v>
      </c>
      <c r="Q995" s="11"/>
      <c r="R995" s="10">
        <f t="shared" si="45"/>
        <v>0</v>
      </c>
      <c r="S995" s="10">
        <f>SUMIFS([1]Sheet1!$T:$T,[1]Sheet1!$I:$I,E995,[1]Sheet1!$C:$C,A995)</f>
        <v>0</v>
      </c>
      <c r="T995" s="10">
        <f t="shared" si="46"/>
        <v>0</v>
      </c>
      <c r="U995" s="9"/>
      <c r="X995" t="s">
        <v>39</v>
      </c>
      <c r="Y995" t="s">
        <v>132</v>
      </c>
      <c r="Z995" t="s">
        <v>113</v>
      </c>
      <c r="AB995" t="str">
        <f t="shared" si="47"/>
        <v>15069</v>
      </c>
    </row>
    <row r="996" ht="14.25" spans="1:28">
      <c r="A996" s="5" t="s">
        <v>28</v>
      </c>
      <c r="B996" s="5" t="s">
        <v>697</v>
      </c>
      <c r="C996" s="5">
        <v>2027</v>
      </c>
      <c r="D996" s="5" t="s">
        <v>30</v>
      </c>
      <c r="E996" s="9" t="s">
        <v>808</v>
      </c>
      <c r="F996" s="9" t="s">
        <v>804</v>
      </c>
      <c r="G996" s="9" t="s">
        <v>809</v>
      </c>
      <c r="H996" s="9" t="s">
        <v>810</v>
      </c>
      <c r="I996" s="9" t="s">
        <v>147</v>
      </c>
      <c r="J996" s="9" t="s">
        <v>36</v>
      </c>
      <c r="K996" s="9">
        <v>490</v>
      </c>
      <c r="L996" s="9"/>
      <c r="M996" s="9"/>
      <c r="N996" s="9"/>
      <c r="O996" s="9" t="s">
        <v>113</v>
      </c>
      <c r="P996" s="9" t="s">
        <v>113</v>
      </c>
      <c r="Q996" s="11"/>
      <c r="R996" s="10">
        <f t="shared" si="45"/>
        <v>0</v>
      </c>
      <c r="S996" s="10">
        <f>SUMIFS([1]Sheet1!$T:$T,[1]Sheet1!$I:$I,E996,[1]Sheet1!$C:$C,A996)</f>
        <v>0</v>
      </c>
      <c r="T996" s="10">
        <f t="shared" si="46"/>
        <v>0</v>
      </c>
      <c r="U996" s="9"/>
      <c r="Y996" t="s">
        <v>132</v>
      </c>
      <c r="Z996" t="s">
        <v>113</v>
      </c>
      <c r="AB996" t="str">
        <f t="shared" si="47"/>
        <v>15069</v>
      </c>
    </row>
    <row r="997" ht="14.25" spans="1:28">
      <c r="A997" s="5" t="s">
        <v>28</v>
      </c>
      <c r="B997" s="5" t="s">
        <v>697</v>
      </c>
      <c r="C997" s="5">
        <v>2027</v>
      </c>
      <c r="D997" s="5" t="s">
        <v>30</v>
      </c>
      <c r="E997" s="9" t="s">
        <v>811</v>
      </c>
      <c r="F997" s="9" t="s">
        <v>812</v>
      </c>
      <c r="G997" s="9" t="s">
        <v>153</v>
      </c>
      <c r="H997" s="9" t="s">
        <v>813</v>
      </c>
      <c r="I997" s="9" t="s">
        <v>119</v>
      </c>
      <c r="J997" s="9" t="s">
        <v>36</v>
      </c>
      <c r="K997" s="9">
        <v>590</v>
      </c>
      <c r="L997" s="9"/>
      <c r="M997" s="9"/>
      <c r="N997" s="9"/>
      <c r="O997" s="9" t="s">
        <v>120</v>
      </c>
      <c r="P997" s="9" t="s">
        <v>121</v>
      </c>
      <c r="Q997" s="11"/>
      <c r="R997" s="10">
        <f t="shared" si="45"/>
        <v>0</v>
      </c>
      <c r="S997" s="10">
        <f>SUMIFS([1]Sheet1!$T:$T,[1]Sheet1!$I:$I,E997,[1]Sheet1!$C:$C,A997)</f>
        <v>0</v>
      </c>
      <c r="T997" s="10">
        <f t="shared" si="46"/>
        <v>0</v>
      </c>
      <c r="U997" s="9"/>
      <c r="X997" t="s">
        <v>39</v>
      </c>
      <c r="Y997" t="s">
        <v>179</v>
      </c>
      <c r="Z997" t="s">
        <v>113</v>
      </c>
      <c r="AB997" t="str">
        <f t="shared" si="47"/>
        <v>15102</v>
      </c>
    </row>
    <row r="998" ht="14.25" spans="1:28">
      <c r="A998" s="5" t="s">
        <v>28</v>
      </c>
      <c r="B998" s="5" t="s">
        <v>697</v>
      </c>
      <c r="C998" s="5">
        <v>2027</v>
      </c>
      <c r="D998" s="5" t="s">
        <v>30</v>
      </c>
      <c r="E998" s="9" t="s">
        <v>811</v>
      </c>
      <c r="F998" s="9" t="s">
        <v>812</v>
      </c>
      <c r="G998" s="9" t="s">
        <v>153</v>
      </c>
      <c r="H998" s="9" t="s">
        <v>813</v>
      </c>
      <c r="I998" s="9" t="s">
        <v>119</v>
      </c>
      <c r="J998" s="9" t="s">
        <v>36</v>
      </c>
      <c r="K998" s="9">
        <v>590</v>
      </c>
      <c r="L998" s="9"/>
      <c r="M998" s="9"/>
      <c r="N998" s="9"/>
      <c r="O998" s="9" t="s">
        <v>120</v>
      </c>
      <c r="P998" s="9" t="s">
        <v>124</v>
      </c>
      <c r="Q998" s="11"/>
      <c r="R998" s="10"/>
      <c r="S998" s="10"/>
      <c r="T998" s="10"/>
      <c r="U998" s="9"/>
      <c r="X998" t="s">
        <v>39</v>
      </c>
      <c r="Y998" t="s">
        <v>179</v>
      </c>
      <c r="Z998" t="s">
        <v>113</v>
      </c>
      <c r="AB998" t="str">
        <f t="shared" si="47"/>
        <v>15102</v>
      </c>
    </row>
    <row r="999" ht="14.25" spans="1:28">
      <c r="A999" s="5" t="s">
        <v>28</v>
      </c>
      <c r="B999" s="5" t="s">
        <v>697</v>
      </c>
      <c r="C999" s="5">
        <v>2027</v>
      </c>
      <c r="D999" s="5" t="s">
        <v>30</v>
      </c>
      <c r="E999" s="9" t="s">
        <v>811</v>
      </c>
      <c r="F999" s="9" t="s">
        <v>812</v>
      </c>
      <c r="G999" s="9" t="s">
        <v>153</v>
      </c>
      <c r="H999" s="9" t="s">
        <v>813</v>
      </c>
      <c r="I999" s="9" t="s">
        <v>119</v>
      </c>
      <c r="J999" s="9" t="s">
        <v>36</v>
      </c>
      <c r="K999" s="9">
        <v>590</v>
      </c>
      <c r="L999" s="9"/>
      <c r="M999" s="9"/>
      <c r="N999" s="9"/>
      <c r="O999" s="9" t="s">
        <v>120</v>
      </c>
      <c r="P999" s="9" t="s">
        <v>125</v>
      </c>
      <c r="Q999" s="11"/>
      <c r="R999" s="10"/>
      <c r="S999" s="10"/>
      <c r="T999" s="10"/>
      <c r="U999" s="9"/>
      <c r="X999" t="s">
        <v>39</v>
      </c>
      <c r="Y999" t="s">
        <v>179</v>
      </c>
      <c r="Z999" t="s">
        <v>113</v>
      </c>
      <c r="AB999" t="str">
        <f t="shared" si="47"/>
        <v>15102</v>
      </c>
    </row>
    <row r="1000" ht="14.25" spans="1:28">
      <c r="A1000" s="5" t="s">
        <v>28</v>
      </c>
      <c r="B1000" s="5" t="s">
        <v>697</v>
      </c>
      <c r="C1000" s="5">
        <v>2027</v>
      </c>
      <c r="D1000" s="5" t="s">
        <v>30</v>
      </c>
      <c r="E1000" s="9" t="s">
        <v>811</v>
      </c>
      <c r="F1000" s="9" t="s">
        <v>812</v>
      </c>
      <c r="G1000" s="9" t="s">
        <v>153</v>
      </c>
      <c r="H1000" s="9" t="s">
        <v>813</v>
      </c>
      <c r="I1000" s="9" t="s">
        <v>119</v>
      </c>
      <c r="J1000" s="9" t="s">
        <v>36</v>
      </c>
      <c r="K1000" s="9">
        <v>590</v>
      </c>
      <c r="L1000" s="9"/>
      <c r="M1000" s="9"/>
      <c r="N1000" s="9"/>
      <c r="O1000" s="9" t="s">
        <v>120</v>
      </c>
      <c r="P1000" s="9" t="s">
        <v>126</v>
      </c>
      <c r="Q1000" s="11"/>
      <c r="R1000" s="10"/>
      <c r="S1000" s="10"/>
      <c r="T1000" s="10"/>
      <c r="U1000" s="9"/>
      <c r="X1000" t="s">
        <v>39</v>
      </c>
      <c r="Y1000" t="s">
        <v>179</v>
      </c>
      <c r="Z1000" t="s">
        <v>113</v>
      </c>
      <c r="AB1000" t="str">
        <f t="shared" si="47"/>
        <v>15102</v>
      </c>
    </row>
    <row r="1001" ht="14.25" spans="1:28">
      <c r="A1001" s="5" t="s">
        <v>28</v>
      </c>
      <c r="B1001" s="5" t="s">
        <v>697</v>
      </c>
      <c r="C1001" s="5">
        <v>2027</v>
      </c>
      <c r="D1001" s="5" t="s">
        <v>30</v>
      </c>
      <c r="E1001" s="9" t="s">
        <v>811</v>
      </c>
      <c r="F1001" s="9" t="s">
        <v>812</v>
      </c>
      <c r="G1001" s="9" t="s">
        <v>153</v>
      </c>
      <c r="H1001" s="9" t="s">
        <v>813</v>
      </c>
      <c r="I1001" s="9" t="s">
        <v>119</v>
      </c>
      <c r="J1001" s="9" t="s">
        <v>36</v>
      </c>
      <c r="K1001" s="9">
        <v>590</v>
      </c>
      <c r="L1001" s="9"/>
      <c r="M1001" s="9"/>
      <c r="N1001" s="9"/>
      <c r="O1001" s="9" t="s">
        <v>120</v>
      </c>
      <c r="P1001" s="9" t="s">
        <v>127</v>
      </c>
      <c r="Q1001" s="11"/>
      <c r="R1001" s="10"/>
      <c r="S1001" s="10"/>
      <c r="T1001" s="10"/>
      <c r="U1001" s="9"/>
      <c r="X1001" t="s">
        <v>39</v>
      </c>
      <c r="Y1001" t="s">
        <v>179</v>
      </c>
      <c r="Z1001" t="s">
        <v>113</v>
      </c>
      <c r="AB1001" t="str">
        <f t="shared" si="47"/>
        <v>15102</v>
      </c>
    </row>
    <row r="1002" ht="14.25" spans="1:28">
      <c r="A1002" s="5" t="s">
        <v>28</v>
      </c>
      <c r="B1002" s="5" t="s">
        <v>697</v>
      </c>
      <c r="C1002" s="5">
        <v>2027</v>
      </c>
      <c r="D1002" s="5" t="s">
        <v>30</v>
      </c>
      <c r="E1002" s="9" t="s">
        <v>814</v>
      </c>
      <c r="F1002" s="9" t="s">
        <v>812</v>
      </c>
      <c r="G1002" s="9" t="s">
        <v>117</v>
      </c>
      <c r="H1002" s="9" t="s">
        <v>815</v>
      </c>
      <c r="I1002" s="9" t="s">
        <v>119</v>
      </c>
      <c r="J1002" s="9" t="s">
        <v>36</v>
      </c>
      <c r="K1002" s="9">
        <v>590</v>
      </c>
      <c r="L1002" s="9"/>
      <c r="M1002" s="9"/>
      <c r="N1002" s="9"/>
      <c r="O1002" s="9" t="s">
        <v>120</v>
      </c>
      <c r="P1002" s="9" t="s">
        <v>121</v>
      </c>
      <c r="Q1002" s="11"/>
      <c r="R1002" s="10">
        <f t="shared" si="45"/>
        <v>0</v>
      </c>
      <c r="S1002" s="10">
        <f>SUMIFS([1]Sheet1!$T:$T,[1]Sheet1!$I:$I,E1002,[1]Sheet1!$C:$C,A1002)</f>
        <v>0</v>
      </c>
      <c r="T1002" s="10">
        <f t="shared" si="46"/>
        <v>0</v>
      </c>
      <c r="U1002" s="9"/>
      <c r="X1002" t="s">
        <v>122</v>
      </c>
      <c r="Y1002" t="s">
        <v>179</v>
      </c>
      <c r="Z1002" t="s">
        <v>113</v>
      </c>
      <c r="AB1002" t="str">
        <f t="shared" si="47"/>
        <v>15102</v>
      </c>
    </row>
    <row r="1003" ht="14.25" spans="1:28">
      <c r="A1003" s="5" t="s">
        <v>28</v>
      </c>
      <c r="B1003" s="5" t="s">
        <v>697</v>
      </c>
      <c r="C1003" s="5">
        <v>2027</v>
      </c>
      <c r="D1003" s="5" t="s">
        <v>30</v>
      </c>
      <c r="E1003" s="9" t="s">
        <v>814</v>
      </c>
      <c r="F1003" s="9" t="s">
        <v>812</v>
      </c>
      <c r="G1003" s="9" t="s">
        <v>117</v>
      </c>
      <c r="H1003" s="9" t="s">
        <v>815</v>
      </c>
      <c r="I1003" s="9" t="s">
        <v>119</v>
      </c>
      <c r="J1003" s="9" t="s">
        <v>36</v>
      </c>
      <c r="K1003" s="9">
        <v>590</v>
      </c>
      <c r="L1003" s="9"/>
      <c r="M1003" s="9"/>
      <c r="N1003" s="9"/>
      <c r="O1003" s="9" t="s">
        <v>120</v>
      </c>
      <c r="P1003" s="9" t="s">
        <v>124</v>
      </c>
      <c r="Q1003" s="11"/>
      <c r="R1003" s="10"/>
      <c r="S1003" s="10"/>
      <c r="T1003" s="10"/>
      <c r="U1003" s="9"/>
      <c r="X1003" t="s">
        <v>122</v>
      </c>
      <c r="Y1003" t="s">
        <v>179</v>
      </c>
      <c r="Z1003" t="s">
        <v>113</v>
      </c>
      <c r="AB1003" t="str">
        <f t="shared" si="47"/>
        <v>15102</v>
      </c>
    </row>
    <row r="1004" ht="14.25" spans="1:28">
      <c r="A1004" s="5" t="s">
        <v>28</v>
      </c>
      <c r="B1004" s="5" t="s">
        <v>697</v>
      </c>
      <c r="C1004" s="5">
        <v>2027</v>
      </c>
      <c r="D1004" s="5" t="s">
        <v>30</v>
      </c>
      <c r="E1004" s="9" t="s">
        <v>814</v>
      </c>
      <c r="F1004" s="9" t="s">
        <v>812</v>
      </c>
      <c r="G1004" s="9" t="s">
        <v>117</v>
      </c>
      <c r="H1004" s="9" t="s">
        <v>815</v>
      </c>
      <c r="I1004" s="9" t="s">
        <v>119</v>
      </c>
      <c r="J1004" s="9" t="s">
        <v>36</v>
      </c>
      <c r="K1004" s="9">
        <v>590</v>
      </c>
      <c r="L1004" s="9"/>
      <c r="M1004" s="9"/>
      <c r="N1004" s="9"/>
      <c r="O1004" s="9" t="s">
        <v>120</v>
      </c>
      <c r="P1004" s="9" t="s">
        <v>125</v>
      </c>
      <c r="Q1004" s="11"/>
      <c r="R1004" s="10"/>
      <c r="S1004" s="10"/>
      <c r="T1004" s="10"/>
      <c r="U1004" s="9"/>
      <c r="X1004" t="s">
        <v>122</v>
      </c>
      <c r="Y1004" t="s">
        <v>179</v>
      </c>
      <c r="Z1004" t="s">
        <v>113</v>
      </c>
      <c r="AB1004" t="str">
        <f t="shared" si="47"/>
        <v>15102</v>
      </c>
    </row>
    <row r="1005" ht="14.25" spans="1:28">
      <c r="A1005" s="5" t="s">
        <v>28</v>
      </c>
      <c r="B1005" s="5" t="s">
        <v>697</v>
      </c>
      <c r="C1005" s="5">
        <v>2027</v>
      </c>
      <c r="D1005" s="5" t="s">
        <v>30</v>
      </c>
      <c r="E1005" s="9" t="s">
        <v>814</v>
      </c>
      <c r="F1005" s="9" t="s">
        <v>812</v>
      </c>
      <c r="G1005" s="9" t="s">
        <v>117</v>
      </c>
      <c r="H1005" s="9" t="s">
        <v>815</v>
      </c>
      <c r="I1005" s="9" t="s">
        <v>119</v>
      </c>
      <c r="J1005" s="9" t="s">
        <v>36</v>
      </c>
      <c r="K1005" s="9">
        <v>590</v>
      </c>
      <c r="L1005" s="9"/>
      <c r="M1005" s="9"/>
      <c r="N1005" s="9"/>
      <c r="O1005" s="9" t="s">
        <v>120</v>
      </c>
      <c r="P1005" s="9" t="s">
        <v>126</v>
      </c>
      <c r="Q1005" s="11"/>
      <c r="R1005" s="10"/>
      <c r="S1005" s="10"/>
      <c r="T1005" s="10"/>
      <c r="U1005" s="9"/>
      <c r="X1005" t="s">
        <v>122</v>
      </c>
      <c r="Y1005" t="s">
        <v>179</v>
      </c>
      <c r="Z1005" t="s">
        <v>113</v>
      </c>
      <c r="AB1005" t="str">
        <f t="shared" si="47"/>
        <v>15102</v>
      </c>
    </row>
    <row r="1006" ht="14.25" spans="1:28">
      <c r="A1006" s="5" t="s">
        <v>28</v>
      </c>
      <c r="B1006" s="5" t="s">
        <v>697</v>
      </c>
      <c r="C1006" s="5">
        <v>2027</v>
      </c>
      <c r="D1006" s="5" t="s">
        <v>30</v>
      </c>
      <c r="E1006" s="9" t="s">
        <v>814</v>
      </c>
      <c r="F1006" s="9" t="s">
        <v>812</v>
      </c>
      <c r="G1006" s="9" t="s">
        <v>117</v>
      </c>
      <c r="H1006" s="9" t="s">
        <v>815</v>
      </c>
      <c r="I1006" s="9" t="s">
        <v>119</v>
      </c>
      <c r="J1006" s="9" t="s">
        <v>36</v>
      </c>
      <c r="K1006" s="9">
        <v>590</v>
      </c>
      <c r="L1006" s="9"/>
      <c r="M1006" s="9"/>
      <c r="N1006" s="9"/>
      <c r="O1006" s="9" t="s">
        <v>120</v>
      </c>
      <c r="P1006" s="9" t="s">
        <v>127</v>
      </c>
      <c r="Q1006" s="11"/>
      <c r="R1006" s="10"/>
      <c r="S1006" s="10"/>
      <c r="T1006" s="10"/>
      <c r="U1006" s="9"/>
      <c r="X1006" t="s">
        <v>122</v>
      </c>
      <c r="Y1006" t="s">
        <v>179</v>
      </c>
      <c r="Z1006" t="s">
        <v>113</v>
      </c>
      <c r="AB1006" t="str">
        <f t="shared" si="47"/>
        <v>15102</v>
      </c>
    </row>
    <row r="1007" ht="14.25" spans="1:28">
      <c r="A1007" s="5" t="s">
        <v>28</v>
      </c>
      <c r="B1007" s="5" t="s">
        <v>697</v>
      </c>
      <c r="C1007" s="5">
        <v>2027</v>
      </c>
      <c r="D1007" s="5" t="s">
        <v>30</v>
      </c>
      <c r="E1007" s="9" t="s">
        <v>816</v>
      </c>
      <c r="F1007" s="9" t="s">
        <v>817</v>
      </c>
      <c r="G1007" s="9" t="s">
        <v>117</v>
      </c>
      <c r="H1007" s="9" t="s">
        <v>818</v>
      </c>
      <c r="I1007" s="9" t="s">
        <v>119</v>
      </c>
      <c r="J1007" s="9" t="s">
        <v>36</v>
      </c>
      <c r="K1007" s="9">
        <v>990</v>
      </c>
      <c r="L1007" s="9"/>
      <c r="M1007" s="9"/>
      <c r="N1007" s="9"/>
      <c r="O1007" s="9" t="s">
        <v>120</v>
      </c>
      <c r="P1007" s="9" t="s">
        <v>121</v>
      </c>
      <c r="Q1007" s="11"/>
      <c r="R1007" s="10">
        <f t="shared" si="45"/>
        <v>0</v>
      </c>
      <c r="S1007" s="10">
        <f>SUMIFS([1]Sheet1!$T:$T,[1]Sheet1!$I:$I,E1007,[1]Sheet1!$C:$C,A1007)</f>
        <v>0</v>
      </c>
      <c r="T1007" s="10">
        <f t="shared" si="46"/>
        <v>0</v>
      </c>
      <c r="U1007" s="9"/>
      <c r="X1007" t="s">
        <v>122</v>
      </c>
      <c r="Y1007" t="s">
        <v>819</v>
      </c>
      <c r="Z1007" t="s">
        <v>113</v>
      </c>
      <c r="AB1007" t="str">
        <f t="shared" si="47"/>
        <v>15103</v>
      </c>
    </row>
    <row r="1008" ht="14.25" spans="1:28">
      <c r="A1008" s="5" t="s">
        <v>28</v>
      </c>
      <c r="B1008" s="5" t="s">
        <v>697</v>
      </c>
      <c r="C1008" s="5">
        <v>2027</v>
      </c>
      <c r="D1008" s="5" t="s">
        <v>30</v>
      </c>
      <c r="E1008" s="9" t="s">
        <v>816</v>
      </c>
      <c r="F1008" s="9" t="s">
        <v>817</v>
      </c>
      <c r="G1008" s="9" t="s">
        <v>117</v>
      </c>
      <c r="H1008" s="9" t="s">
        <v>818</v>
      </c>
      <c r="I1008" s="9" t="s">
        <v>119</v>
      </c>
      <c r="J1008" s="9" t="s">
        <v>36</v>
      </c>
      <c r="K1008" s="9">
        <v>990</v>
      </c>
      <c r="L1008" s="9"/>
      <c r="M1008" s="9"/>
      <c r="N1008" s="9"/>
      <c r="O1008" s="9" t="s">
        <v>120</v>
      </c>
      <c r="P1008" s="9" t="s">
        <v>124</v>
      </c>
      <c r="Q1008" s="11"/>
      <c r="R1008" s="10"/>
      <c r="S1008" s="10"/>
      <c r="T1008" s="10"/>
      <c r="U1008" s="9"/>
      <c r="X1008" t="s">
        <v>122</v>
      </c>
      <c r="Y1008" t="s">
        <v>819</v>
      </c>
      <c r="Z1008" t="s">
        <v>113</v>
      </c>
      <c r="AB1008" t="str">
        <f t="shared" si="47"/>
        <v>15103</v>
      </c>
    </row>
    <row r="1009" ht="14.25" spans="1:28">
      <c r="A1009" s="5" t="s">
        <v>28</v>
      </c>
      <c r="B1009" s="5" t="s">
        <v>697</v>
      </c>
      <c r="C1009" s="5">
        <v>2027</v>
      </c>
      <c r="D1009" s="5" t="s">
        <v>30</v>
      </c>
      <c r="E1009" s="9" t="s">
        <v>816</v>
      </c>
      <c r="F1009" s="9" t="s">
        <v>817</v>
      </c>
      <c r="G1009" s="9" t="s">
        <v>117</v>
      </c>
      <c r="H1009" s="9" t="s">
        <v>818</v>
      </c>
      <c r="I1009" s="9" t="s">
        <v>119</v>
      </c>
      <c r="J1009" s="9" t="s">
        <v>36</v>
      </c>
      <c r="K1009" s="9">
        <v>990</v>
      </c>
      <c r="L1009" s="9"/>
      <c r="M1009" s="9"/>
      <c r="N1009" s="9"/>
      <c r="O1009" s="9" t="s">
        <v>120</v>
      </c>
      <c r="P1009" s="9" t="s">
        <v>125</v>
      </c>
      <c r="Q1009" s="11"/>
      <c r="R1009" s="10"/>
      <c r="S1009" s="10"/>
      <c r="T1009" s="10"/>
      <c r="U1009" s="9"/>
      <c r="X1009" t="s">
        <v>122</v>
      </c>
      <c r="Y1009" t="s">
        <v>819</v>
      </c>
      <c r="Z1009" t="s">
        <v>113</v>
      </c>
      <c r="AB1009" t="str">
        <f t="shared" si="47"/>
        <v>15103</v>
      </c>
    </row>
    <row r="1010" ht="14.25" spans="1:28">
      <c r="A1010" s="5" t="s">
        <v>28</v>
      </c>
      <c r="B1010" s="5" t="s">
        <v>697</v>
      </c>
      <c r="C1010" s="5">
        <v>2027</v>
      </c>
      <c r="D1010" s="5" t="s">
        <v>30</v>
      </c>
      <c r="E1010" s="9" t="s">
        <v>816</v>
      </c>
      <c r="F1010" s="9" t="s">
        <v>817</v>
      </c>
      <c r="G1010" s="9" t="s">
        <v>117</v>
      </c>
      <c r="H1010" s="9" t="s">
        <v>818</v>
      </c>
      <c r="I1010" s="9" t="s">
        <v>119</v>
      </c>
      <c r="J1010" s="9" t="s">
        <v>36</v>
      </c>
      <c r="K1010" s="9">
        <v>990</v>
      </c>
      <c r="L1010" s="9"/>
      <c r="M1010" s="9"/>
      <c r="N1010" s="9"/>
      <c r="O1010" s="9" t="s">
        <v>120</v>
      </c>
      <c r="P1010" s="9" t="s">
        <v>126</v>
      </c>
      <c r="Q1010" s="11"/>
      <c r="R1010" s="10"/>
      <c r="S1010" s="10"/>
      <c r="T1010" s="10"/>
      <c r="U1010" s="9"/>
      <c r="X1010" t="s">
        <v>122</v>
      </c>
      <c r="Y1010" t="s">
        <v>819</v>
      </c>
      <c r="Z1010" t="s">
        <v>113</v>
      </c>
      <c r="AB1010" t="str">
        <f t="shared" si="47"/>
        <v>15103</v>
      </c>
    </row>
    <row r="1011" ht="14.25" spans="1:28">
      <c r="A1011" s="5" t="s">
        <v>28</v>
      </c>
      <c r="B1011" s="5" t="s">
        <v>697</v>
      </c>
      <c r="C1011" s="5">
        <v>2027</v>
      </c>
      <c r="D1011" s="5" t="s">
        <v>30</v>
      </c>
      <c r="E1011" s="9" t="s">
        <v>816</v>
      </c>
      <c r="F1011" s="9" t="s">
        <v>817</v>
      </c>
      <c r="G1011" s="9" t="s">
        <v>117</v>
      </c>
      <c r="H1011" s="9" t="s">
        <v>818</v>
      </c>
      <c r="I1011" s="9" t="s">
        <v>119</v>
      </c>
      <c r="J1011" s="9" t="s">
        <v>36</v>
      </c>
      <c r="K1011" s="9">
        <v>990</v>
      </c>
      <c r="L1011" s="9"/>
      <c r="M1011" s="9"/>
      <c r="N1011" s="9"/>
      <c r="O1011" s="9" t="s">
        <v>120</v>
      </c>
      <c r="P1011" s="9" t="s">
        <v>127</v>
      </c>
      <c r="Q1011" s="11"/>
      <c r="R1011" s="10"/>
      <c r="S1011" s="10"/>
      <c r="T1011" s="10"/>
      <c r="U1011" s="9"/>
      <c r="X1011" t="s">
        <v>122</v>
      </c>
      <c r="Y1011" t="s">
        <v>819</v>
      </c>
      <c r="Z1011" t="s">
        <v>113</v>
      </c>
      <c r="AB1011" t="str">
        <f t="shared" si="47"/>
        <v>15103</v>
      </c>
    </row>
    <row r="1012" ht="14.25" spans="1:28">
      <c r="A1012" s="5" t="s">
        <v>28</v>
      </c>
      <c r="B1012" s="5" t="s">
        <v>697</v>
      </c>
      <c r="C1012" s="5">
        <v>2027</v>
      </c>
      <c r="D1012" s="5" t="s">
        <v>30</v>
      </c>
      <c r="E1012" s="9" t="s">
        <v>820</v>
      </c>
      <c r="F1012" s="9" t="s">
        <v>821</v>
      </c>
      <c r="G1012" s="9" t="s">
        <v>780</v>
      </c>
      <c r="H1012" s="9" t="s">
        <v>822</v>
      </c>
      <c r="I1012" s="9" t="s">
        <v>119</v>
      </c>
      <c r="J1012" s="9" t="s">
        <v>36</v>
      </c>
      <c r="K1012" s="9">
        <v>690</v>
      </c>
      <c r="L1012" s="9"/>
      <c r="M1012" s="9"/>
      <c r="N1012" s="9"/>
      <c r="O1012" s="9" t="s">
        <v>120</v>
      </c>
      <c r="P1012" s="9" t="s">
        <v>121</v>
      </c>
      <c r="Q1012" s="11"/>
      <c r="R1012" s="10">
        <f t="shared" si="45"/>
        <v>0</v>
      </c>
      <c r="S1012" s="10">
        <f>SUMIFS([1]Sheet1!$T:$T,[1]Sheet1!$I:$I,E1012,[1]Sheet1!$C:$C,A1012)</f>
        <v>0</v>
      </c>
      <c r="T1012" s="10">
        <f t="shared" si="46"/>
        <v>0</v>
      </c>
      <c r="U1012" s="9"/>
      <c r="X1012" t="s">
        <v>39</v>
      </c>
      <c r="Y1012" t="s">
        <v>823</v>
      </c>
      <c r="Z1012" t="s">
        <v>113</v>
      </c>
      <c r="AB1012" t="str">
        <f t="shared" si="47"/>
        <v>15110</v>
      </c>
    </row>
    <row r="1013" ht="14.25" spans="1:28">
      <c r="A1013" s="5" t="s">
        <v>28</v>
      </c>
      <c r="B1013" s="5" t="s">
        <v>697</v>
      </c>
      <c r="C1013" s="5">
        <v>2027</v>
      </c>
      <c r="D1013" s="5" t="s">
        <v>30</v>
      </c>
      <c r="E1013" s="9" t="s">
        <v>820</v>
      </c>
      <c r="F1013" s="9" t="s">
        <v>821</v>
      </c>
      <c r="G1013" s="9" t="s">
        <v>780</v>
      </c>
      <c r="H1013" s="9" t="s">
        <v>822</v>
      </c>
      <c r="I1013" s="9" t="s">
        <v>119</v>
      </c>
      <c r="J1013" s="9" t="s">
        <v>36</v>
      </c>
      <c r="K1013" s="9">
        <v>690</v>
      </c>
      <c r="L1013" s="9"/>
      <c r="M1013" s="9"/>
      <c r="N1013" s="9"/>
      <c r="O1013" s="9" t="s">
        <v>120</v>
      </c>
      <c r="P1013" s="9" t="s">
        <v>124</v>
      </c>
      <c r="Q1013" s="11"/>
      <c r="R1013" s="10"/>
      <c r="S1013" s="10"/>
      <c r="T1013" s="10"/>
      <c r="U1013" s="9"/>
      <c r="X1013" t="s">
        <v>39</v>
      </c>
      <c r="Y1013" t="s">
        <v>823</v>
      </c>
      <c r="Z1013" t="s">
        <v>113</v>
      </c>
      <c r="AB1013" t="str">
        <f t="shared" si="47"/>
        <v>15110</v>
      </c>
    </row>
    <row r="1014" ht="14.25" spans="1:28">
      <c r="A1014" s="5" t="s">
        <v>28</v>
      </c>
      <c r="B1014" s="5" t="s">
        <v>697</v>
      </c>
      <c r="C1014" s="5">
        <v>2027</v>
      </c>
      <c r="D1014" s="5" t="s">
        <v>30</v>
      </c>
      <c r="E1014" s="9" t="s">
        <v>820</v>
      </c>
      <c r="F1014" s="9" t="s">
        <v>821</v>
      </c>
      <c r="G1014" s="9" t="s">
        <v>780</v>
      </c>
      <c r="H1014" s="9" t="s">
        <v>822</v>
      </c>
      <c r="I1014" s="9" t="s">
        <v>119</v>
      </c>
      <c r="J1014" s="9" t="s">
        <v>36</v>
      </c>
      <c r="K1014" s="9">
        <v>690</v>
      </c>
      <c r="L1014" s="9"/>
      <c r="M1014" s="9"/>
      <c r="N1014" s="9"/>
      <c r="O1014" s="9" t="s">
        <v>120</v>
      </c>
      <c r="P1014" s="9" t="s">
        <v>125</v>
      </c>
      <c r="Q1014" s="11"/>
      <c r="R1014" s="10"/>
      <c r="S1014" s="10"/>
      <c r="T1014" s="10"/>
      <c r="U1014" s="9"/>
      <c r="X1014" t="s">
        <v>39</v>
      </c>
      <c r="Y1014" t="s">
        <v>823</v>
      </c>
      <c r="Z1014" t="s">
        <v>113</v>
      </c>
      <c r="AB1014" t="str">
        <f t="shared" si="47"/>
        <v>15110</v>
      </c>
    </row>
    <row r="1015" ht="14.25" spans="1:28">
      <c r="A1015" s="5" t="s">
        <v>28</v>
      </c>
      <c r="B1015" s="5" t="s">
        <v>697</v>
      </c>
      <c r="C1015" s="5">
        <v>2027</v>
      </c>
      <c r="D1015" s="5" t="s">
        <v>30</v>
      </c>
      <c r="E1015" s="9" t="s">
        <v>820</v>
      </c>
      <c r="F1015" s="9" t="s">
        <v>821</v>
      </c>
      <c r="G1015" s="9" t="s">
        <v>780</v>
      </c>
      <c r="H1015" s="9" t="s">
        <v>822</v>
      </c>
      <c r="I1015" s="9" t="s">
        <v>119</v>
      </c>
      <c r="J1015" s="9" t="s">
        <v>36</v>
      </c>
      <c r="K1015" s="9">
        <v>690</v>
      </c>
      <c r="L1015" s="9"/>
      <c r="M1015" s="9"/>
      <c r="N1015" s="9"/>
      <c r="O1015" s="9" t="s">
        <v>120</v>
      </c>
      <c r="P1015" s="9" t="s">
        <v>126</v>
      </c>
      <c r="Q1015" s="11"/>
      <c r="R1015" s="10"/>
      <c r="S1015" s="10"/>
      <c r="T1015" s="10"/>
      <c r="U1015" s="9"/>
      <c r="X1015" t="s">
        <v>39</v>
      </c>
      <c r="Y1015" t="s">
        <v>823</v>
      </c>
      <c r="Z1015" t="s">
        <v>113</v>
      </c>
      <c r="AB1015" t="str">
        <f t="shared" si="47"/>
        <v>15110</v>
      </c>
    </row>
    <row r="1016" ht="14.25" spans="1:28">
      <c r="A1016" s="5" t="s">
        <v>28</v>
      </c>
      <c r="B1016" s="5" t="s">
        <v>697</v>
      </c>
      <c r="C1016" s="5">
        <v>2027</v>
      </c>
      <c r="D1016" s="5" t="s">
        <v>30</v>
      </c>
      <c r="E1016" s="9" t="s">
        <v>820</v>
      </c>
      <c r="F1016" s="9" t="s">
        <v>821</v>
      </c>
      <c r="G1016" s="9" t="s">
        <v>780</v>
      </c>
      <c r="H1016" s="9" t="s">
        <v>822</v>
      </c>
      <c r="I1016" s="9" t="s">
        <v>119</v>
      </c>
      <c r="J1016" s="9" t="s">
        <v>36</v>
      </c>
      <c r="K1016" s="9">
        <v>690</v>
      </c>
      <c r="L1016" s="9"/>
      <c r="M1016" s="9"/>
      <c r="N1016" s="9"/>
      <c r="O1016" s="9" t="s">
        <v>120</v>
      </c>
      <c r="P1016" s="9" t="s">
        <v>127</v>
      </c>
      <c r="Q1016" s="11"/>
      <c r="R1016" s="10"/>
      <c r="S1016" s="10"/>
      <c r="T1016" s="10"/>
      <c r="U1016" s="9"/>
      <c r="X1016" t="s">
        <v>39</v>
      </c>
      <c r="Y1016" t="s">
        <v>823</v>
      </c>
      <c r="Z1016" t="s">
        <v>113</v>
      </c>
      <c r="AB1016" t="str">
        <f t="shared" si="47"/>
        <v>15110</v>
      </c>
    </row>
    <row r="1017" ht="14.25" spans="1:28">
      <c r="A1017" s="5" t="s">
        <v>28</v>
      </c>
      <c r="B1017" s="5" t="s">
        <v>697</v>
      </c>
      <c r="C1017" s="5">
        <v>2027</v>
      </c>
      <c r="D1017" s="5" t="s">
        <v>30</v>
      </c>
      <c r="E1017" s="9" t="s">
        <v>824</v>
      </c>
      <c r="F1017" s="9" t="s">
        <v>825</v>
      </c>
      <c r="G1017" s="9" t="s">
        <v>117</v>
      </c>
      <c r="H1017" s="9" t="s">
        <v>826</v>
      </c>
      <c r="I1017" s="9" t="s">
        <v>147</v>
      </c>
      <c r="J1017" s="9" t="s">
        <v>36</v>
      </c>
      <c r="K1017" s="9">
        <v>1590</v>
      </c>
      <c r="L1017" s="9"/>
      <c r="M1017" s="9"/>
      <c r="N1017" s="9"/>
      <c r="O1017" s="9" t="s">
        <v>113</v>
      </c>
      <c r="P1017" s="9" t="s">
        <v>113</v>
      </c>
      <c r="Q1017" s="11"/>
      <c r="R1017" s="10">
        <f t="shared" si="45"/>
        <v>0</v>
      </c>
      <c r="S1017" s="10">
        <f>SUMIFS([1]Sheet1!$T:$T,[1]Sheet1!$I:$I,E1017,[1]Sheet1!$C:$C,A1017)</f>
        <v>0</v>
      </c>
      <c r="T1017" s="10">
        <f t="shared" si="46"/>
        <v>0</v>
      </c>
      <c r="U1017" s="9"/>
      <c r="X1017" t="s">
        <v>122</v>
      </c>
      <c r="Y1017" t="s">
        <v>827</v>
      </c>
      <c r="Z1017" t="s">
        <v>113</v>
      </c>
      <c r="AB1017" t="str">
        <f t="shared" si="47"/>
        <v>15128</v>
      </c>
    </row>
    <row r="1018" ht="14.25" spans="1:28">
      <c r="A1018" s="5" t="s">
        <v>28</v>
      </c>
      <c r="B1018" s="5" t="s">
        <v>697</v>
      </c>
      <c r="C1018" s="5">
        <v>2027</v>
      </c>
      <c r="D1018" s="5" t="s">
        <v>30</v>
      </c>
      <c r="E1018" s="9" t="s">
        <v>828</v>
      </c>
      <c r="F1018" s="9" t="s">
        <v>829</v>
      </c>
      <c r="G1018" s="9" t="s">
        <v>117</v>
      </c>
      <c r="H1018" s="9" t="s">
        <v>830</v>
      </c>
      <c r="I1018" s="9" t="s">
        <v>119</v>
      </c>
      <c r="J1018" s="9" t="s">
        <v>36</v>
      </c>
      <c r="K1018" s="9">
        <v>1590</v>
      </c>
      <c r="L1018" s="9"/>
      <c r="M1018" s="9"/>
      <c r="N1018" s="9"/>
      <c r="O1018" s="9" t="s">
        <v>113</v>
      </c>
      <c r="P1018" s="9" t="s">
        <v>113</v>
      </c>
      <c r="Q1018" s="9"/>
      <c r="R1018" s="10">
        <f t="shared" si="45"/>
        <v>0</v>
      </c>
      <c r="S1018" s="10">
        <f>SUMIFS([1]Sheet1!$T:$T,[1]Sheet1!$I:$I,E1018,[1]Sheet1!$C:$C,A1018)</f>
        <v>15</v>
      </c>
      <c r="T1018" s="10">
        <f t="shared" si="46"/>
        <v>-15</v>
      </c>
      <c r="U1018" s="9" t="s">
        <v>706</v>
      </c>
      <c r="V1018" t="s">
        <v>831</v>
      </c>
      <c r="W1018" t="s">
        <v>138</v>
      </c>
      <c r="X1018" t="s">
        <v>122</v>
      </c>
      <c r="Y1018" t="s">
        <v>832</v>
      </c>
      <c r="Z1018" t="s">
        <v>113</v>
      </c>
      <c r="AB1018" t="str">
        <f t="shared" si="47"/>
        <v>15130</v>
      </c>
    </row>
    <row r="1019" ht="14.25" spans="1:28">
      <c r="A1019" s="5" t="s">
        <v>28</v>
      </c>
      <c r="B1019" s="5" t="s">
        <v>697</v>
      </c>
      <c r="C1019" s="5">
        <v>2027</v>
      </c>
      <c r="D1019" s="5" t="s">
        <v>30</v>
      </c>
      <c r="E1019" s="9" t="s">
        <v>833</v>
      </c>
      <c r="F1019" s="9" t="s">
        <v>834</v>
      </c>
      <c r="G1019" s="9" t="s">
        <v>117</v>
      </c>
      <c r="H1019" s="9" t="s">
        <v>835</v>
      </c>
      <c r="I1019" s="9" t="s">
        <v>147</v>
      </c>
      <c r="J1019" s="9" t="s">
        <v>36</v>
      </c>
      <c r="K1019" s="9">
        <v>1790</v>
      </c>
      <c r="L1019" s="9"/>
      <c r="M1019" s="9"/>
      <c r="N1019" s="9"/>
      <c r="O1019" s="9" t="s">
        <v>113</v>
      </c>
      <c r="P1019" s="9" t="s">
        <v>113</v>
      </c>
      <c r="Q1019" s="9"/>
      <c r="R1019" s="10">
        <f t="shared" si="45"/>
        <v>0</v>
      </c>
      <c r="S1019" s="10">
        <f>SUMIFS([1]Sheet1!$T:$T,[1]Sheet1!$I:$I,E1019,[1]Sheet1!$C:$C,A1019)</f>
        <v>15</v>
      </c>
      <c r="T1019" s="10">
        <f t="shared" si="46"/>
        <v>-15</v>
      </c>
      <c r="U1019" s="9" t="s">
        <v>706</v>
      </c>
      <c r="V1019" t="s">
        <v>831</v>
      </c>
      <c r="W1019" t="s">
        <v>138</v>
      </c>
      <c r="X1019" t="s">
        <v>122</v>
      </c>
      <c r="Y1019" t="s">
        <v>836</v>
      </c>
      <c r="Z1019" t="s">
        <v>113</v>
      </c>
      <c r="AB1019" t="str">
        <f t="shared" si="47"/>
        <v>15133</v>
      </c>
    </row>
    <row r="1020" ht="14.25" spans="1:28">
      <c r="A1020" s="5" t="s">
        <v>28</v>
      </c>
      <c r="B1020" s="5" t="s">
        <v>697</v>
      </c>
      <c r="C1020" s="5">
        <v>2027</v>
      </c>
      <c r="D1020" s="5" t="s">
        <v>30</v>
      </c>
      <c r="E1020" s="9" t="s">
        <v>837</v>
      </c>
      <c r="F1020" s="9" t="s">
        <v>838</v>
      </c>
      <c r="G1020" s="9" t="s">
        <v>839</v>
      </c>
      <c r="H1020" s="9" t="s">
        <v>840</v>
      </c>
      <c r="I1020" s="9" t="s">
        <v>119</v>
      </c>
      <c r="J1020" s="9" t="s">
        <v>36</v>
      </c>
      <c r="K1020" s="9">
        <v>1790</v>
      </c>
      <c r="L1020" s="9"/>
      <c r="M1020" s="9"/>
      <c r="N1020" s="9"/>
      <c r="O1020" s="9" t="s">
        <v>113</v>
      </c>
      <c r="P1020" s="9" t="s">
        <v>113</v>
      </c>
      <c r="Q1020" s="9"/>
      <c r="R1020" s="10">
        <f t="shared" si="45"/>
        <v>0</v>
      </c>
      <c r="S1020" s="10">
        <f>SUMIFS([1]Sheet1!$T:$T,[1]Sheet1!$I:$I,E1020,[1]Sheet1!$C:$C,A1020)</f>
        <v>5</v>
      </c>
      <c r="T1020" s="10">
        <f t="shared" si="46"/>
        <v>-5</v>
      </c>
      <c r="U1020" s="9" t="s">
        <v>706</v>
      </c>
      <c r="V1020" t="s">
        <v>831</v>
      </c>
      <c r="W1020" t="s">
        <v>138</v>
      </c>
      <c r="X1020" t="s">
        <v>62</v>
      </c>
      <c r="Y1020" t="s">
        <v>841</v>
      </c>
      <c r="Z1020" t="s">
        <v>113</v>
      </c>
      <c r="AB1020" t="str">
        <f t="shared" si="47"/>
        <v>15136</v>
      </c>
    </row>
    <row r="1021" ht="14.25" spans="1:28">
      <c r="A1021" s="5" t="s">
        <v>28</v>
      </c>
      <c r="B1021" s="5" t="s">
        <v>697</v>
      </c>
      <c r="C1021" s="5">
        <v>2027</v>
      </c>
      <c r="D1021" s="5" t="s">
        <v>30</v>
      </c>
      <c r="E1021" s="9" t="s">
        <v>842</v>
      </c>
      <c r="F1021" s="9" t="s">
        <v>843</v>
      </c>
      <c r="G1021" s="9" t="s">
        <v>758</v>
      </c>
      <c r="H1021" s="9" t="s">
        <v>844</v>
      </c>
      <c r="I1021" s="9" t="s">
        <v>119</v>
      </c>
      <c r="J1021" s="9" t="s">
        <v>36</v>
      </c>
      <c r="K1021" s="9">
        <v>790</v>
      </c>
      <c r="L1021" s="9"/>
      <c r="M1021" s="9"/>
      <c r="N1021" s="9"/>
      <c r="O1021" s="9" t="s">
        <v>113</v>
      </c>
      <c r="P1021" s="9" t="s">
        <v>113</v>
      </c>
      <c r="Q1021" s="9"/>
      <c r="R1021" s="10">
        <f t="shared" si="45"/>
        <v>0</v>
      </c>
      <c r="S1021" s="10">
        <f>SUMIFS([1]Sheet1!$T:$T,[1]Sheet1!$I:$I,E1021,[1]Sheet1!$C:$C,A1021)</f>
        <v>0</v>
      </c>
      <c r="T1021" s="10">
        <f t="shared" si="46"/>
        <v>0</v>
      </c>
      <c r="U1021" s="9"/>
      <c r="Y1021" t="s">
        <v>827</v>
      </c>
      <c r="Z1021" t="s">
        <v>113</v>
      </c>
      <c r="AB1021" t="str">
        <f t="shared" si="47"/>
        <v>15141</v>
      </c>
    </row>
    <row r="1022" ht="14.25" spans="1:28">
      <c r="A1022" s="5" t="s">
        <v>28</v>
      </c>
      <c r="B1022" s="5" t="s">
        <v>697</v>
      </c>
      <c r="C1022" s="5">
        <v>2027</v>
      </c>
      <c r="D1022" s="5" t="s">
        <v>30</v>
      </c>
      <c r="E1022" s="9" t="s">
        <v>845</v>
      </c>
      <c r="F1022" s="9" t="s">
        <v>846</v>
      </c>
      <c r="G1022" s="9" t="s">
        <v>117</v>
      </c>
      <c r="H1022" s="9" t="s">
        <v>847</v>
      </c>
      <c r="I1022" s="9" t="s">
        <v>119</v>
      </c>
      <c r="J1022" s="9" t="s">
        <v>36</v>
      </c>
      <c r="K1022" s="9">
        <v>790</v>
      </c>
      <c r="L1022" s="9"/>
      <c r="M1022" s="9"/>
      <c r="N1022" s="9"/>
      <c r="O1022" s="9" t="s">
        <v>113</v>
      </c>
      <c r="P1022" s="9" t="s">
        <v>113</v>
      </c>
      <c r="Q1022" s="9"/>
      <c r="R1022" s="10">
        <f t="shared" si="45"/>
        <v>0</v>
      </c>
      <c r="S1022" s="10">
        <f>SUMIFS([1]Sheet1!$T:$T,[1]Sheet1!$I:$I,E1022,[1]Sheet1!$C:$C,A1022)</f>
        <v>0</v>
      </c>
      <c r="T1022" s="10">
        <f t="shared" si="46"/>
        <v>0</v>
      </c>
      <c r="U1022" s="9"/>
      <c r="X1022" t="s">
        <v>122</v>
      </c>
      <c r="Y1022" t="s">
        <v>832</v>
      </c>
      <c r="Z1022" t="s">
        <v>113</v>
      </c>
      <c r="AB1022" t="str">
        <f t="shared" si="47"/>
        <v>15160</v>
      </c>
    </row>
    <row r="1023" ht="14.25" spans="1:28">
      <c r="A1023" s="5" t="s">
        <v>28</v>
      </c>
      <c r="B1023" s="5" t="s">
        <v>697</v>
      </c>
      <c r="C1023" s="5">
        <v>2027</v>
      </c>
      <c r="D1023" s="5" t="s">
        <v>30</v>
      </c>
      <c r="E1023" s="9" t="s">
        <v>848</v>
      </c>
      <c r="F1023" s="9" t="s">
        <v>849</v>
      </c>
      <c r="G1023" s="9" t="s">
        <v>117</v>
      </c>
      <c r="H1023" s="9" t="s">
        <v>850</v>
      </c>
      <c r="I1023" s="9" t="s">
        <v>147</v>
      </c>
      <c r="J1023" s="9" t="s">
        <v>36</v>
      </c>
      <c r="K1023" s="9">
        <v>890</v>
      </c>
      <c r="L1023" s="9"/>
      <c r="M1023" s="9"/>
      <c r="N1023" s="9"/>
      <c r="O1023" s="9" t="s">
        <v>113</v>
      </c>
      <c r="P1023" s="9" t="s">
        <v>113</v>
      </c>
      <c r="Q1023" s="9"/>
      <c r="R1023" s="10">
        <f t="shared" si="45"/>
        <v>0</v>
      </c>
      <c r="S1023" s="10">
        <f>SUMIFS([1]Sheet1!$T:$T,[1]Sheet1!$I:$I,E1023,[1]Sheet1!$C:$C,A1023)</f>
        <v>0</v>
      </c>
      <c r="T1023" s="10">
        <f t="shared" si="46"/>
        <v>0</v>
      </c>
      <c r="U1023" s="9"/>
      <c r="X1023" t="s">
        <v>122</v>
      </c>
      <c r="Y1023" t="s">
        <v>851</v>
      </c>
      <c r="Z1023" t="s">
        <v>113</v>
      </c>
      <c r="AB1023" t="str">
        <f t="shared" si="47"/>
        <v>15170</v>
      </c>
    </row>
    <row r="1024" ht="14.25" spans="1:28">
      <c r="A1024" s="5" t="s">
        <v>28</v>
      </c>
      <c r="B1024" s="5" t="s">
        <v>697</v>
      </c>
      <c r="C1024" s="5">
        <v>2027</v>
      </c>
      <c r="D1024" s="5" t="s">
        <v>30</v>
      </c>
      <c r="E1024" s="9" t="s">
        <v>852</v>
      </c>
      <c r="F1024" s="9" t="s">
        <v>849</v>
      </c>
      <c r="G1024" s="9" t="s">
        <v>853</v>
      </c>
      <c r="H1024" s="9" t="s">
        <v>854</v>
      </c>
      <c r="I1024" s="9" t="s">
        <v>147</v>
      </c>
      <c r="J1024" s="9" t="s">
        <v>36</v>
      </c>
      <c r="K1024" s="9">
        <v>890</v>
      </c>
      <c r="L1024" s="9"/>
      <c r="M1024" s="9"/>
      <c r="N1024" s="9"/>
      <c r="O1024" s="9" t="s">
        <v>113</v>
      </c>
      <c r="P1024" s="9" t="s">
        <v>113</v>
      </c>
      <c r="Q1024" s="9"/>
      <c r="R1024" s="10">
        <f t="shared" si="45"/>
        <v>0</v>
      </c>
      <c r="S1024" s="10">
        <f>SUMIFS([1]Sheet1!$T:$T,[1]Sheet1!$I:$I,E1024,[1]Sheet1!$C:$C,A1024)</f>
        <v>0</v>
      </c>
      <c r="T1024" s="10">
        <f t="shared" si="46"/>
        <v>0</v>
      </c>
      <c r="U1024" s="9"/>
      <c r="Y1024" t="s">
        <v>851</v>
      </c>
      <c r="Z1024" t="s">
        <v>113</v>
      </c>
      <c r="AB1024" t="str">
        <f t="shared" si="47"/>
        <v>15170</v>
      </c>
    </row>
    <row r="1025" ht="14.25" spans="1:28">
      <c r="A1025" s="5" t="s">
        <v>28</v>
      </c>
      <c r="B1025" s="5" t="s">
        <v>697</v>
      </c>
      <c r="C1025" s="5">
        <v>2027</v>
      </c>
      <c r="D1025" s="5" t="s">
        <v>30</v>
      </c>
      <c r="E1025" s="9" t="s">
        <v>855</v>
      </c>
      <c r="F1025" s="9" t="s">
        <v>856</v>
      </c>
      <c r="G1025" s="9" t="s">
        <v>117</v>
      </c>
      <c r="H1025" s="9" t="s">
        <v>857</v>
      </c>
      <c r="I1025" s="9" t="s">
        <v>119</v>
      </c>
      <c r="J1025" s="9" t="s">
        <v>36</v>
      </c>
      <c r="K1025" s="9">
        <v>990</v>
      </c>
      <c r="L1025" s="9"/>
      <c r="M1025" s="9"/>
      <c r="N1025" s="9"/>
      <c r="O1025" s="9" t="s">
        <v>113</v>
      </c>
      <c r="P1025" s="9" t="s">
        <v>113</v>
      </c>
      <c r="Q1025" s="9"/>
      <c r="R1025" s="10">
        <f t="shared" si="45"/>
        <v>0</v>
      </c>
      <c r="S1025" s="10">
        <f>SUMIFS([1]Sheet1!$T:$T,[1]Sheet1!$I:$I,E1025,[1]Sheet1!$C:$C,A1025)</f>
        <v>0</v>
      </c>
      <c r="T1025" s="10">
        <f t="shared" si="46"/>
        <v>0</v>
      </c>
      <c r="U1025" s="9"/>
      <c r="X1025" t="s">
        <v>122</v>
      </c>
      <c r="Y1025" t="s">
        <v>851</v>
      </c>
      <c r="Z1025" t="s">
        <v>113</v>
      </c>
      <c r="AB1025" t="str">
        <f t="shared" si="47"/>
        <v>15248</v>
      </c>
    </row>
    <row r="1026" ht="14.25" spans="1:28">
      <c r="A1026" s="5" t="s">
        <v>28</v>
      </c>
      <c r="B1026" s="5" t="s">
        <v>697</v>
      </c>
      <c r="C1026" s="5">
        <v>2027</v>
      </c>
      <c r="D1026" s="5" t="s">
        <v>30</v>
      </c>
      <c r="E1026" s="9" t="s">
        <v>858</v>
      </c>
      <c r="F1026" s="9" t="s">
        <v>859</v>
      </c>
      <c r="G1026" s="9" t="s">
        <v>117</v>
      </c>
      <c r="H1026" s="9" t="s">
        <v>860</v>
      </c>
      <c r="I1026" s="9" t="s">
        <v>119</v>
      </c>
      <c r="J1026" s="9" t="s">
        <v>36</v>
      </c>
      <c r="K1026" s="9">
        <v>890</v>
      </c>
      <c r="L1026" s="9"/>
      <c r="M1026" s="9"/>
      <c r="N1026" s="9"/>
      <c r="O1026" s="9" t="s">
        <v>113</v>
      </c>
      <c r="P1026" s="9" t="s">
        <v>113</v>
      </c>
      <c r="Q1026" s="9"/>
      <c r="R1026" s="10">
        <f t="shared" ref="R1026:R1089" si="48">SUMIFS(Q:Q,E:E,E1026)</f>
        <v>0</v>
      </c>
      <c r="S1026" s="10">
        <f>SUMIFS([1]Sheet1!$T:$T,[1]Sheet1!$I:$I,E1026,[1]Sheet1!$C:$C,A1026)</f>
        <v>0</v>
      </c>
      <c r="T1026" s="10">
        <f t="shared" ref="T1026:T1089" si="49">R1026-S1026</f>
        <v>0</v>
      </c>
      <c r="U1026" s="9"/>
      <c r="X1026" t="s">
        <v>122</v>
      </c>
      <c r="Y1026" t="s">
        <v>836</v>
      </c>
      <c r="Z1026" t="s">
        <v>113</v>
      </c>
      <c r="AB1026" t="str">
        <f t="shared" si="47"/>
        <v>15254</v>
      </c>
    </row>
    <row r="1027" ht="14.25" spans="1:28">
      <c r="A1027" s="5" t="s">
        <v>28</v>
      </c>
      <c r="B1027" s="5" t="s">
        <v>697</v>
      </c>
      <c r="C1027" s="5">
        <v>2027</v>
      </c>
      <c r="D1027" s="5" t="s">
        <v>30</v>
      </c>
      <c r="E1027" s="9" t="s">
        <v>861</v>
      </c>
      <c r="F1027" s="9" t="s">
        <v>862</v>
      </c>
      <c r="G1027" s="9" t="s">
        <v>117</v>
      </c>
      <c r="H1027" s="9" t="s">
        <v>863</v>
      </c>
      <c r="I1027" s="9" t="s">
        <v>119</v>
      </c>
      <c r="J1027" s="9" t="s">
        <v>36</v>
      </c>
      <c r="K1027" s="9">
        <v>1390</v>
      </c>
      <c r="L1027" s="9"/>
      <c r="M1027" s="9"/>
      <c r="N1027" s="9"/>
      <c r="O1027" s="9" t="s">
        <v>113</v>
      </c>
      <c r="P1027" s="9" t="s">
        <v>113</v>
      </c>
      <c r="Q1027" s="9"/>
      <c r="R1027" s="10">
        <f t="shared" si="48"/>
        <v>0</v>
      </c>
      <c r="S1027" s="10">
        <f>SUMIFS([1]Sheet1!$T:$T,[1]Sheet1!$I:$I,E1027,[1]Sheet1!$C:$C,A1027)</f>
        <v>0</v>
      </c>
      <c r="T1027" s="10">
        <f t="shared" si="49"/>
        <v>0</v>
      </c>
      <c r="U1027" s="9"/>
      <c r="X1027" t="s">
        <v>122</v>
      </c>
      <c r="Y1027" t="s">
        <v>851</v>
      </c>
      <c r="Z1027" t="s">
        <v>113</v>
      </c>
      <c r="AB1027" t="str">
        <f t="shared" ref="AB1027:AB1090" si="50">MID(E1027,6,5)</f>
        <v>15258</v>
      </c>
    </row>
    <row r="1028" ht="14.25" spans="1:28">
      <c r="A1028" s="5" t="s">
        <v>28</v>
      </c>
      <c r="B1028" s="5" t="s">
        <v>697</v>
      </c>
      <c r="C1028" s="5">
        <v>2027</v>
      </c>
      <c r="D1028" s="5" t="s">
        <v>30</v>
      </c>
      <c r="E1028" s="9" t="s">
        <v>864</v>
      </c>
      <c r="F1028" s="9" t="s">
        <v>865</v>
      </c>
      <c r="G1028" s="9" t="s">
        <v>267</v>
      </c>
      <c r="H1028" s="9" t="s">
        <v>866</v>
      </c>
      <c r="I1028" s="9" t="s">
        <v>112</v>
      </c>
      <c r="J1028" s="9" t="s">
        <v>36</v>
      </c>
      <c r="K1028" s="9">
        <v>490</v>
      </c>
      <c r="L1028" s="9"/>
      <c r="M1028" s="9"/>
      <c r="N1028" s="9"/>
      <c r="O1028" s="9" t="s">
        <v>113</v>
      </c>
      <c r="P1028" s="9" t="s">
        <v>113</v>
      </c>
      <c r="Q1028" s="9"/>
      <c r="R1028" s="10">
        <f t="shared" si="48"/>
        <v>0</v>
      </c>
      <c r="S1028" s="10">
        <f>SUMIFS([1]Sheet1!$T:$T,[1]Sheet1!$I:$I,E1028,[1]Sheet1!$C:$C,A1028)</f>
        <v>0</v>
      </c>
      <c r="T1028" s="10">
        <f t="shared" si="49"/>
        <v>0</v>
      </c>
      <c r="U1028" s="9"/>
      <c r="Y1028" t="s">
        <v>867</v>
      </c>
      <c r="Z1028" t="s">
        <v>113</v>
      </c>
      <c r="AB1028" t="str">
        <f t="shared" si="50"/>
        <v>15302</v>
      </c>
    </row>
    <row r="1029" ht="14.25" spans="1:28">
      <c r="A1029" s="5" t="s">
        <v>28</v>
      </c>
      <c r="B1029" s="5" t="s">
        <v>697</v>
      </c>
      <c r="C1029" s="5">
        <v>2027</v>
      </c>
      <c r="D1029" s="5" t="s">
        <v>30</v>
      </c>
      <c r="E1029" s="9" t="s">
        <v>868</v>
      </c>
      <c r="F1029" s="9" t="s">
        <v>869</v>
      </c>
      <c r="G1029" s="9" t="s">
        <v>770</v>
      </c>
      <c r="H1029" s="9" t="s">
        <v>870</v>
      </c>
      <c r="I1029" s="9" t="s">
        <v>119</v>
      </c>
      <c r="J1029" s="9" t="s">
        <v>36</v>
      </c>
      <c r="K1029" s="9">
        <v>890</v>
      </c>
      <c r="L1029" s="9"/>
      <c r="M1029" s="9"/>
      <c r="N1029" s="9"/>
      <c r="O1029" s="9" t="s">
        <v>113</v>
      </c>
      <c r="P1029" s="9" t="s">
        <v>113</v>
      </c>
      <c r="Q1029" s="9"/>
      <c r="R1029" s="10">
        <f t="shared" si="48"/>
        <v>0</v>
      </c>
      <c r="S1029" s="10">
        <f>SUMIFS([1]Sheet1!$T:$T,[1]Sheet1!$I:$I,E1029,[1]Sheet1!$C:$C,A1029)</f>
        <v>0</v>
      </c>
      <c r="T1029" s="10">
        <f t="shared" si="49"/>
        <v>0</v>
      </c>
      <c r="U1029" s="9"/>
      <c r="Y1029" t="s">
        <v>851</v>
      </c>
      <c r="Z1029" t="s">
        <v>113</v>
      </c>
      <c r="AB1029" t="str">
        <f t="shared" si="50"/>
        <v>17709</v>
      </c>
    </row>
    <row r="1030" ht="14.25" spans="1:28">
      <c r="A1030" s="5" t="s">
        <v>28</v>
      </c>
      <c r="B1030" s="5" t="s">
        <v>697</v>
      </c>
      <c r="C1030" s="5">
        <v>2027</v>
      </c>
      <c r="D1030" s="5" t="s">
        <v>30</v>
      </c>
      <c r="E1030" s="9" t="s">
        <v>871</v>
      </c>
      <c r="F1030" s="9" t="s">
        <v>869</v>
      </c>
      <c r="G1030" s="9" t="s">
        <v>872</v>
      </c>
      <c r="H1030" s="9" t="s">
        <v>873</v>
      </c>
      <c r="I1030" s="9" t="s">
        <v>112</v>
      </c>
      <c r="J1030" s="9" t="s">
        <v>36</v>
      </c>
      <c r="K1030" s="9">
        <v>890</v>
      </c>
      <c r="L1030" s="9"/>
      <c r="M1030" s="9"/>
      <c r="N1030" s="9"/>
      <c r="O1030" s="9" t="s">
        <v>113</v>
      </c>
      <c r="P1030" s="9" t="s">
        <v>113</v>
      </c>
      <c r="Q1030" s="12"/>
      <c r="R1030" s="10">
        <f t="shared" si="48"/>
        <v>0</v>
      </c>
      <c r="S1030" s="10">
        <f>SUMIFS([1]Sheet1!$T:$T,[1]Sheet1!$I:$I,E1030,[1]Sheet1!$C:$C,A1030)</f>
        <v>0</v>
      </c>
      <c r="T1030" s="10">
        <f t="shared" si="49"/>
        <v>0</v>
      </c>
      <c r="U1030" s="9"/>
      <c r="Y1030" t="s">
        <v>851</v>
      </c>
      <c r="Z1030" t="s">
        <v>113</v>
      </c>
      <c r="AB1030" t="str">
        <f t="shared" si="50"/>
        <v>17709</v>
      </c>
    </row>
    <row r="1031" ht="14.25" spans="1:28">
      <c r="A1031" s="5" t="s">
        <v>28</v>
      </c>
      <c r="B1031" s="5" t="s">
        <v>697</v>
      </c>
      <c r="C1031" s="5">
        <v>2027</v>
      </c>
      <c r="D1031" s="5" t="s">
        <v>30</v>
      </c>
      <c r="E1031" s="9" t="s">
        <v>874</v>
      </c>
      <c r="F1031" s="9" t="s">
        <v>875</v>
      </c>
      <c r="G1031" s="9" t="s">
        <v>213</v>
      </c>
      <c r="H1031" s="9" t="s">
        <v>876</v>
      </c>
      <c r="I1031" s="9" t="s">
        <v>119</v>
      </c>
      <c r="J1031" s="9" t="s">
        <v>36</v>
      </c>
      <c r="K1031" s="9">
        <v>990</v>
      </c>
      <c r="L1031" s="9"/>
      <c r="M1031" s="9"/>
      <c r="N1031" s="9"/>
      <c r="O1031" s="9" t="s">
        <v>113</v>
      </c>
      <c r="P1031" s="9" t="s">
        <v>113</v>
      </c>
      <c r="Q1031" s="12"/>
      <c r="R1031" s="10">
        <f t="shared" si="48"/>
        <v>0</v>
      </c>
      <c r="S1031" s="10">
        <f>SUMIFS([1]Sheet1!$T:$T,[1]Sheet1!$I:$I,E1031,[1]Sheet1!$C:$C,A1031)</f>
        <v>0</v>
      </c>
      <c r="T1031" s="10">
        <f t="shared" si="49"/>
        <v>0</v>
      </c>
      <c r="U1031" s="9"/>
      <c r="Y1031" t="s">
        <v>851</v>
      </c>
      <c r="Z1031" t="s">
        <v>113</v>
      </c>
      <c r="AB1031" t="str">
        <f t="shared" si="50"/>
        <v>18164</v>
      </c>
    </row>
    <row r="1032" ht="14.25" spans="1:28">
      <c r="A1032" s="5" t="s">
        <v>28</v>
      </c>
      <c r="B1032" s="5" t="s">
        <v>697</v>
      </c>
      <c r="C1032" s="5">
        <v>2027</v>
      </c>
      <c r="D1032" s="5" t="s">
        <v>30</v>
      </c>
      <c r="E1032" s="9" t="s">
        <v>877</v>
      </c>
      <c r="F1032" s="9" t="s">
        <v>875</v>
      </c>
      <c r="G1032" s="9" t="s">
        <v>117</v>
      </c>
      <c r="H1032" s="9" t="s">
        <v>878</v>
      </c>
      <c r="I1032" s="9" t="s">
        <v>119</v>
      </c>
      <c r="J1032" s="9" t="s">
        <v>36</v>
      </c>
      <c r="K1032" s="9">
        <v>990</v>
      </c>
      <c r="L1032" s="9"/>
      <c r="M1032" s="9"/>
      <c r="N1032" s="9"/>
      <c r="O1032" s="9" t="s">
        <v>113</v>
      </c>
      <c r="P1032" s="9" t="s">
        <v>113</v>
      </c>
      <c r="Q1032" s="12"/>
      <c r="R1032" s="10">
        <f t="shared" si="48"/>
        <v>0</v>
      </c>
      <c r="S1032" s="10">
        <f>SUMIFS([1]Sheet1!$T:$T,[1]Sheet1!$I:$I,E1032,[1]Sheet1!$C:$C,A1032)</f>
        <v>0</v>
      </c>
      <c r="T1032" s="10">
        <f t="shared" si="49"/>
        <v>0</v>
      </c>
      <c r="U1032" s="9"/>
      <c r="X1032" t="s">
        <v>122</v>
      </c>
      <c r="Y1032" t="s">
        <v>851</v>
      </c>
      <c r="Z1032" t="s">
        <v>113</v>
      </c>
      <c r="AB1032" t="str">
        <f t="shared" si="50"/>
        <v>18164</v>
      </c>
    </row>
    <row r="1033" ht="14.25" spans="1:28">
      <c r="A1033" s="5" t="s">
        <v>28</v>
      </c>
      <c r="B1033" s="5" t="s">
        <v>697</v>
      </c>
      <c r="C1033" s="5">
        <v>2027</v>
      </c>
      <c r="D1033" s="5" t="s">
        <v>30</v>
      </c>
      <c r="E1033" s="9" t="s">
        <v>879</v>
      </c>
      <c r="F1033" s="9" t="s">
        <v>880</v>
      </c>
      <c r="G1033" s="9" t="s">
        <v>770</v>
      </c>
      <c r="H1033" s="9" t="s">
        <v>881</v>
      </c>
      <c r="I1033" s="9" t="s">
        <v>119</v>
      </c>
      <c r="J1033" s="9" t="s">
        <v>36</v>
      </c>
      <c r="K1033" s="9">
        <v>790</v>
      </c>
      <c r="L1033" s="9"/>
      <c r="M1033" s="9"/>
      <c r="N1033" s="9"/>
      <c r="O1033" s="9" t="s">
        <v>113</v>
      </c>
      <c r="P1033" s="9" t="s">
        <v>113</v>
      </c>
      <c r="Q1033" s="12"/>
      <c r="R1033" s="10">
        <f t="shared" si="48"/>
        <v>0</v>
      </c>
      <c r="S1033" s="10">
        <f>SUMIFS([1]Sheet1!$T:$T,[1]Sheet1!$I:$I,E1033,[1]Sheet1!$C:$C,A1033)</f>
        <v>10</v>
      </c>
      <c r="T1033" s="10">
        <f t="shared" si="49"/>
        <v>-10</v>
      </c>
      <c r="U1033" s="9" t="s">
        <v>706</v>
      </c>
      <c r="V1033" t="s">
        <v>831</v>
      </c>
      <c r="W1033" t="s">
        <v>178</v>
      </c>
      <c r="Y1033" t="s">
        <v>851</v>
      </c>
      <c r="Z1033" t="s">
        <v>113</v>
      </c>
      <c r="AB1033" t="str">
        <f t="shared" si="50"/>
        <v>18368</v>
      </c>
    </row>
    <row r="1034" ht="14.25" spans="1:28">
      <c r="A1034" s="5" t="s">
        <v>28</v>
      </c>
      <c r="B1034" s="5" t="s">
        <v>697</v>
      </c>
      <c r="C1034" s="5">
        <v>2027</v>
      </c>
      <c r="D1034" s="5" t="s">
        <v>30</v>
      </c>
      <c r="E1034" s="9" t="s">
        <v>882</v>
      </c>
      <c r="F1034" s="9" t="s">
        <v>880</v>
      </c>
      <c r="G1034" s="9" t="s">
        <v>872</v>
      </c>
      <c r="H1034" s="9" t="s">
        <v>883</v>
      </c>
      <c r="I1034" s="9" t="s">
        <v>119</v>
      </c>
      <c r="J1034" s="9" t="s">
        <v>36</v>
      </c>
      <c r="K1034" s="9">
        <v>790</v>
      </c>
      <c r="L1034" s="9"/>
      <c r="M1034" s="9"/>
      <c r="N1034" s="9"/>
      <c r="O1034" s="9" t="s">
        <v>113</v>
      </c>
      <c r="P1034" s="9" t="s">
        <v>113</v>
      </c>
      <c r="Q1034" s="12"/>
      <c r="R1034" s="10">
        <f t="shared" si="48"/>
        <v>0</v>
      </c>
      <c r="S1034" s="10">
        <f>SUMIFS([1]Sheet1!$T:$T,[1]Sheet1!$I:$I,E1034,[1]Sheet1!$C:$C,A1034)</f>
        <v>10</v>
      </c>
      <c r="T1034" s="10">
        <f t="shared" si="49"/>
        <v>-10</v>
      </c>
      <c r="U1034" s="9" t="s">
        <v>706</v>
      </c>
      <c r="V1034" t="s">
        <v>831</v>
      </c>
      <c r="W1034" t="s">
        <v>178</v>
      </c>
      <c r="Y1034" t="s">
        <v>851</v>
      </c>
      <c r="Z1034" t="s">
        <v>113</v>
      </c>
      <c r="AB1034" t="str">
        <f t="shared" si="50"/>
        <v>18368</v>
      </c>
    </row>
    <row r="1035" ht="14.25" spans="1:28">
      <c r="A1035" s="5" t="s">
        <v>28</v>
      </c>
      <c r="B1035" s="5" t="s">
        <v>697</v>
      </c>
      <c r="C1035" s="5">
        <v>2027</v>
      </c>
      <c r="D1035" s="5" t="s">
        <v>30</v>
      </c>
      <c r="E1035" s="9" t="s">
        <v>884</v>
      </c>
      <c r="F1035" s="9" t="s">
        <v>885</v>
      </c>
      <c r="G1035" s="9" t="s">
        <v>780</v>
      </c>
      <c r="H1035" s="9" t="s">
        <v>886</v>
      </c>
      <c r="I1035" s="9" t="s">
        <v>119</v>
      </c>
      <c r="J1035" s="9" t="s">
        <v>36</v>
      </c>
      <c r="K1035" s="9">
        <v>890</v>
      </c>
      <c r="L1035" s="9"/>
      <c r="M1035" s="9"/>
      <c r="N1035" s="9"/>
      <c r="O1035" s="9" t="s">
        <v>113</v>
      </c>
      <c r="P1035" s="9" t="s">
        <v>113</v>
      </c>
      <c r="Q1035" s="11"/>
      <c r="R1035" s="10">
        <f t="shared" si="48"/>
        <v>0</v>
      </c>
      <c r="S1035" s="10">
        <f>SUMIFS([1]Sheet1!$T:$T,[1]Sheet1!$I:$I,E1035,[1]Sheet1!$C:$C,A1035)</f>
        <v>0</v>
      </c>
      <c r="T1035" s="10">
        <f t="shared" si="49"/>
        <v>0</v>
      </c>
      <c r="U1035" s="9"/>
      <c r="X1035" t="s">
        <v>39</v>
      </c>
      <c r="Y1035" t="s">
        <v>851</v>
      </c>
      <c r="Z1035" t="s">
        <v>113</v>
      </c>
      <c r="AB1035" t="str">
        <f t="shared" si="50"/>
        <v>19025</v>
      </c>
    </row>
    <row r="1036" ht="14.25" spans="1:28">
      <c r="A1036" s="5" t="s">
        <v>28</v>
      </c>
      <c r="B1036" s="5" t="s">
        <v>697</v>
      </c>
      <c r="C1036" s="5">
        <v>2027</v>
      </c>
      <c r="D1036" s="5" t="s">
        <v>30</v>
      </c>
      <c r="E1036" s="9" t="s">
        <v>887</v>
      </c>
      <c r="F1036" s="9" t="s">
        <v>888</v>
      </c>
      <c r="G1036" s="9" t="s">
        <v>889</v>
      </c>
      <c r="H1036" s="9" t="s">
        <v>890</v>
      </c>
      <c r="I1036" s="9" t="s">
        <v>119</v>
      </c>
      <c r="J1036" s="9" t="s">
        <v>36</v>
      </c>
      <c r="K1036" s="9">
        <v>790</v>
      </c>
      <c r="L1036" s="9"/>
      <c r="M1036" s="9"/>
      <c r="N1036" s="9"/>
      <c r="O1036" s="9" t="s">
        <v>113</v>
      </c>
      <c r="P1036" s="9" t="s">
        <v>113</v>
      </c>
      <c r="Q1036" s="12"/>
      <c r="R1036" s="10">
        <f t="shared" si="48"/>
        <v>0</v>
      </c>
      <c r="S1036" s="10">
        <f>SUMIFS([1]Sheet1!$T:$T,[1]Sheet1!$I:$I,E1036,[1]Sheet1!$C:$C,A1036)</f>
        <v>20</v>
      </c>
      <c r="T1036" s="10">
        <f t="shared" si="49"/>
        <v>-20</v>
      </c>
      <c r="U1036" s="9" t="s">
        <v>706</v>
      </c>
      <c r="V1036" t="s">
        <v>891</v>
      </c>
      <c r="W1036" t="s">
        <v>178</v>
      </c>
      <c r="X1036" t="s">
        <v>892</v>
      </c>
      <c r="Y1036" t="s">
        <v>893</v>
      </c>
      <c r="Z1036" t="s">
        <v>113</v>
      </c>
      <c r="AB1036" t="str">
        <f t="shared" si="50"/>
        <v>19116</v>
      </c>
    </row>
    <row r="1037" ht="14.25" spans="1:28">
      <c r="A1037" s="5" t="s">
        <v>28</v>
      </c>
      <c r="B1037" s="5" t="s">
        <v>697</v>
      </c>
      <c r="C1037" s="5">
        <v>2027</v>
      </c>
      <c r="D1037" s="5" t="s">
        <v>30</v>
      </c>
      <c r="E1037" s="9" t="s">
        <v>894</v>
      </c>
      <c r="F1037" s="9" t="s">
        <v>895</v>
      </c>
      <c r="G1037" s="9" t="s">
        <v>780</v>
      </c>
      <c r="H1037" s="9" t="s">
        <v>896</v>
      </c>
      <c r="I1037" s="9" t="s">
        <v>147</v>
      </c>
      <c r="J1037" s="9" t="s">
        <v>36</v>
      </c>
      <c r="K1037" s="9">
        <v>790</v>
      </c>
      <c r="L1037" s="9"/>
      <c r="M1037" s="9"/>
      <c r="N1037" s="9"/>
      <c r="O1037" s="9" t="s">
        <v>113</v>
      </c>
      <c r="P1037" s="9" t="s">
        <v>113</v>
      </c>
      <c r="Q1037" s="12"/>
      <c r="R1037" s="10">
        <f t="shared" si="48"/>
        <v>0</v>
      </c>
      <c r="S1037" s="10">
        <f>SUMIFS([1]Sheet1!$T:$T,[1]Sheet1!$I:$I,E1037,[1]Sheet1!$C:$C,A1037)</f>
        <v>10</v>
      </c>
      <c r="T1037" s="10">
        <f t="shared" si="49"/>
        <v>-10</v>
      </c>
      <c r="U1037" s="9" t="s">
        <v>706</v>
      </c>
      <c r="V1037" t="s">
        <v>831</v>
      </c>
      <c r="W1037" t="s">
        <v>178</v>
      </c>
      <c r="X1037" t="s">
        <v>39</v>
      </c>
      <c r="Y1037" t="s">
        <v>851</v>
      </c>
      <c r="Z1037" t="s">
        <v>113</v>
      </c>
      <c r="AB1037" t="str">
        <f t="shared" si="50"/>
        <v>19328</v>
      </c>
    </row>
    <row r="1038" ht="14.25" spans="1:28">
      <c r="A1038" s="5" t="s">
        <v>28</v>
      </c>
      <c r="B1038" s="5" t="s">
        <v>697</v>
      </c>
      <c r="C1038" s="5">
        <v>2027</v>
      </c>
      <c r="D1038" s="5" t="s">
        <v>30</v>
      </c>
      <c r="E1038" s="9" t="s">
        <v>897</v>
      </c>
      <c r="F1038" s="9" t="s">
        <v>898</v>
      </c>
      <c r="G1038" s="9" t="s">
        <v>117</v>
      </c>
      <c r="H1038" s="9" t="s">
        <v>899</v>
      </c>
      <c r="I1038" s="9" t="s">
        <v>147</v>
      </c>
      <c r="J1038" s="9" t="s">
        <v>36</v>
      </c>
      <c r="K1038" s="9">
        <v>590</v>
      </c>
      <c r="L1038" s="9"/>
      <c r="M1038" s="9"/>
      <c r="N1038" s="9"/>
      <c r="O1038" s="9" t="s">
        <v>900</v>
      </c>
      <c r="P1038" s="9" t="s">
        <v>302</v>
      </c>
      <c r="Q1038" s="12"/>
      <c r="R1038" s="10">
        <f t="shared" si="48"/>
        <v>0</v>
      </c>
      <c r="S1038" s="10">
        <f>SUMIFS([1]Sheet1!$T:$T,[1]Sheet1!$I:$I,E1038,[1]Sheet1!$C:$C,A1038)</f>
        <v>0</v>
      </c>
      <c r="T1038" s="10">
        <f t="shared" si="49"/>
        <v>0</v>
      </c>
      <c r="U1038" s="9"/>
      <c r="X1038" t="s">
        <v>122</v>
      </c>
      <c r="Y1038" t="s">
        <v>791</v>
      </c>
      <c r="Z1038" t="s">
        <v>113</v>
      </c>
      <c r="AB1038" t="str">
        <f t="shared" si="50"/>
        <v>19610</v>
      </c>
    </row>
    <row r="1039" ht="14.25" spans="1:28">
      <c r="A1039" s="5" t="s">
        <v>28</v>
      </c>
      <c r="B1039" s="5" t="s">
        <v>697</v>
      </c>
      <c r="C1039" s="5">
        <v>2027</v>
      </c>
      <c r="D1039" s="5" t="s">
        <v>30</v>
      </c>
      <c r="E1039" s="9" t="s">
        <v>897</v>
      </c>
      <c r="F1039" s="9" t="s">
        <v>898</v>
      </c>
      <c r="G1039" s="9" t="s">
        <v>117</v>
      </c>
      <c r="H1039" s="9" t="s">
        <v>899</v>
      </c>
      <c r="I1039" s="9" t="s">
        <v>147</v>
      </c>
      <c r="J1039" s="9" t="s">
        <v>36</v>
      </c>
      <c r="K1039" s="9">
        <v>590</v>
      </c>
      <c r="L1039" s="9"/>
      <c r="M1039" s="9"/>
      <c r="N1039" s="9"/>
      <c r="O1039" s="9" t="s">
        <v>900</v>
      </c>
      <c r="P1039" s="9" t="s">
        <v>303</v>
      </c>
      <c r="Q1039" s="12"/>
      <c r="R1039" s="10"/>
      <c r="S1039" s="10"/>
      <c r="T1039" s="10"/>
      <c r="U1039" s="9"/>
      <c r="X1039" t="s">
        <v>122</v>
      </c>
      <c r="Y1039" t="s">
        <v>791</v>
      </c>
      <c r="Z1039" t="s">
        <v>113</v>
      </c>
      <c r="AB1039" t="str">
        <f t="shared" si="50"/>
        <v>19610</v>
      </c>
    </row>
    <row r="1040" ht="14.25" spans="1:28">
      <c r="A1040" s="5" t="s">
        <v>28</v>
      </c>
      <c r="B1040" s="5" t="s">
        <v>697</v>
      </c>
      <c r="C1040" s="5">
        <v>2027</v>
      </c>
      <c r="D1040" s="5" t="s">
        <v>30</v>
      </c>
      <c r="E1040" s="9" t="s">
        <v>897</v>
      </c>
      <c r="F1040" s="9" t="s">
        <v>898</v>
      </c>
      <c r="G1040" s="9" t="s">
        <v>117</v>
      </c>
      <c r="H1040" s="9" t="s">
        <v>899</v>
      </c>
      <c r="I1040" s="9" t="s">
        <v>147</v>
      </c>
      <c r="J1040" s="9" t="s">
        <v>36</v>
      </c>
      <c r="K1040" s="9">
        <v>590</v>
      </c>
      <c r="L1040" s="9"/>
      <c r="M1040" s="9"/>
      <c r="N1040" s="9"/>
      <c r="O1040" s="9" t="s">
        <v>900</v>
      </c>
      <c r="P1040" s="9" t="s">
        <v>121</v>
      </c>
      <c r="Q1040" s="12"/>
      <c r="R1040" s="10"/>
      <c r="S1040" s="10"/>
      <c r="T1040" s="10"/>
      <c r="U1040" s="9"/>
      <c r="X1040" t="s">
        <v>122</v>
      </c>
      <c r="Y1040" t="s">
        <v>791</v>
      </c>
      <c r="Z1040" t="s">
        <v>113</v>
      </c>
      <c r="AB1040" t="str">
        <f t="shared" si="50"/>
        <v>19610</v>
      </c>
    </row>
    <row r="1041" ht="14.25" spans="1:28">
      <c r="A1041" s="5" t="s">
        <v>28</v>
      </c>
      <c r="B1041" s="5" t="s">
        <v>697</v>
      </c>
      <c r="C1041" s="5">
        <v>2027</v>
      </c>
      <c r="D1041" s="5" t="s">
        <v>30</v>
      </c>
      <c r="E1041" s="9" t="s">
        <v>897</v>
      </c>
      <c r="F1041" s="9" t="s">
        <v>898</v>
      </c>
      <c r="G1041" s="9" t="s">
        <v>117</v>
      </c>
      <c r="H1041" s="9" t="s">
        <v>899</v>
      </c>
      <c r="I1041" s="9" t="s">
        <v>147</v>
      </c>
      <c r="J1041" s="9" t="s">
        <v>36</v>
      </c>
      <c r="K1041" s="9">
        <v>590</v>
      </c>
      <c r="L1041" s="9"/>
      <c r="M1041" s="9"/>
      <c r="N1041" s="9"/>
      <c r="O1041" s="9" t="s">
        <v>900</v>
      </c>
      <c r="P1041" s="9" t="s">
        <v>124</v>
      </c>
      <c r="Q1041" s="11"/>
      <c r="R1041" s="10"/>
      <c r="S1041" s="10"/>
      <c r="T1041" s="10"/>
      <c r="U1041" s="9"/>
      <c r="X1041" t="s">
        <v>122</v>
      </c>
      <c r="Y1041" t="s">
        <v>791</v>
      </c>
      <c r="Z1041" t="s">
        <v>113</v>
      </c>
      <c r="AB1041" t="str">
        <f t="shared" si="50"/>
        <v>19610</v>
      </c>
    </row>
    <row r="1042" ht="14.25" spans="1:28">
      <c r="A1042" s="5" t="s">
        <v>28</v>
      </c>
      <c r="B1042" s="5" t="s">
        <v>697</v>
      </c>
      <c r="C1042" s="5">
        <v>2027</v>
      </c>
      <c r="D1042" s="5" t="s">
        <v>30</v>
      </c>
      <c r="E1042" s="9" t="s">
        <v>897</v>
      </c>
      <c r="F1042" s="9" t="s">
        <v>898</v>
      </c>
      <c r="G1042" s="9" t="s">
        <v>117</v>
      </c>
      <c r="H1042" s="9" t="s">
        <v>899</v>
      </c>
      <c r="I1042" s="9" t="s">
        <v>147</v>
      </c>
      <c r="J1042" s="9" t="s">
        <v>36</v>
      </c>
      <c r="K1042" s="9">
        <v>590</v>
      </c>
      <c r="L1042" s="9"/>
      <c r="M1042" s="9"/>
      <c r="N1042" s="9"/>
      <c r="O1042" s="9" t="s">
        <v>900</v>
      </c>
      <c r="P1042" s="9" t="s">
        <v>125</v>
      </c>
      <c r="Q1042" s="9"/>
      <c r="R1042" s="10"/>
      <c r="S1042" s="10"/>
      <c r="T1042" s="10"/>
      <c r="U1042" s="9"/>
      <c r="X1042" t="s">
        <v>122</v>
      </c>
      <c r="Y1042" t="s">
        <v>791</v>
      </c>
      <c r="Z1042" t="s">
        <v>113</v>
      </c>
      <c r="AB1042" t="str">
        <f t="shared" si="50"/>
        <v>19610</v>
      </c>
    </row>
    <row r="1043" ht="14.25" spans="1:28">
      <c r="A1043" s="5" t="s">
        <v>28</v>
      </c>
      <c r="B1043" s="5" t="s">
        <v>697</v>
      </c>
      <c r="C1043" s="5">
        <v>2027</v>
      </c>
      <c r="D1043" s="5" t="s">
        <v>30</v>
      </c>
      <c r="E1043" s="9" t="s">
        <v>901</v>
      </c>
      <c r="F1043" s="9" t="s">
        <v>902</v>
      </c>
      <c r="G1043" s="9" t="s">
        <v>780</v>
      </c>
      <c r="H1043" s="9" t="s">
        <v>903</v>
      </c>
      <c r="I1043" s="9" t="s">
        <v>119</v>
      </c>
      <c r="J1043" s="9" t="s">
        <v>36</v>
      </c>
      <c r="K1043" s="9">
        <v>790</v>
      </c>
      <c r="L1043" s="9"/>
      <c r="M1043" s="9"/>
      <c r="N1043" s="9"/>
      <c r="O1043" s="9" t="s">
        <v>900</v>
      </c>
      <c r="P1043" s="9" t="s">
        <v>302</v>
      </c>
      <c r="Q1043" s="9"/>
      <c r="R1043" s="10">
        <f t="shared" si="48"/>
        <v>0</v>
      </c>
      <c r="S1043" s="10">
        <f>SUMIFS([1]Sheet1!$T:$T,[1]Sheet1!$I:$I,E1043,[1]Sheet1!$C:$C,A1043)</f>
        <v>0</v>
      </c>
      <c r="T1043" s="10">
        <f t="shared" si="49"/>
        <v>0</v>
      </c>
      <c r="U1043" s="9"/>
      <c r="X1043" t="s">
        <v>39</v>
      </c>
      <c r="Y1043" t="s">
        <v>904</v>
      </c>
      <c r="Z1043" t="s">
        <v>113</v>
      </c>
      <c r="AB1043" t="str">
        <f t="shared" si="50"/>
        <v>19622</v>
      </c>
    </row>
    <row r="1044" ht="14.25" spans="1:28">
      <c r="A1044" s="5" t="s">
        <v>28</v>
      </c>
      <c r="B1044" s="5" t="s">
        <v>697</v>
      </c>
      <c r="C1044" s="5">
        <v>2027</v>
      </c>
      <c r="D1044" s="5" t="s">
        <v>30</v>
      </c>
      <c r="E1044" s="9" t="s">
        <v>901</v>
      </c>
      <c r="F1044" s="9" t="s">
        <v>902</v>
      </c>
      <c r="G1044" s="9" t="s">
        <v>780</v>
      </c>
      <c r="H1044" s="9" t="s">
        <v>903</v>
      </c>
      <c r="I1044" s="9" t="s">
        <v>119</v>
      </c>
      <c r="J1044" s="9" t="s">
        <v>36</v>
      </c>
      <c r="K1044" s="9">
        <v>790</v>
      </c>
      <c r="L1044" s="9"/>
      <c r="M1044" s="9"/>
      <c r="N1044" s="9"/>
      <c r="O1044" s="9" t="s">
        <v>900</v>
      </c>
      <c r="P1044" s="9" t="s">
        <v>303</v>
      </c>
      <c r="Q1044" s="9"/>
      <c r="R1044" s="10"/>
      <c r="S1044" s="10"/>
      <c r="T1044" s="10"/>
      <c r="U1044" s="9"/>
      <c r="X1044" t="s">
        <v>39</v>
      </c>
      <c r="Y1044" t="s">
        <v>904</v>
      </c>
      <c r="Z1044" t="s">
        <v>113</v>
      </c>
      <c r="AB1044" t="str">
        <f t="shared" si="50"/>
        <v>19622</v>
      </c>
    </row>
    <row r="1045" ht="14.25" spans="1:28">
      <c r="A1045" s="5" t="s">
        <v>28</v>
      </c>
      <c r="B1045" s="5" t="s">
        <v>697</v>
      </c>
      <c r="C1045" s="5">
        <v>2027</v>
      </c>
      <c r="D1045" s="5" t="s">
        <v>30</v>
      </c>
      <c r="E1045" s="9" t="s">
        <v>901</v>
      </c>
      <c r="F1045" s="9" t="s">
        <v>902</v>
      </c>
      <c r="G1045" s="9" t="s">
        <v>780</v>
      </c>
      <c r="H1045" s="9" t="s">
        <v>903</v>
      </c>
      <c r="I1045" s="9" t="s">
        <v>119</v>
      </c>
      <c r="J1045" s="9" t="s">
        <v>36</v>
      </c>
      <c r="K1045" s="9">
        <v>790</v>
      </c>
      <c r="L1045" s="9"/>
      <c r="M1045" s="9"/>
      <c r="N1045" s="9"/>
      <c r="O1045" s="9" t="s">
        <v>900</v>
      </c>
      <c r="P1045" s="9" t="s">
        <v>121</v>
      </c>
      <c r="Q1045" s="9"/>
      <c r="R1045" s="10"/>
      <c r="S1045" s="10"/>
      <c r="T1045" s="10"/>
      <c r="U1045" s="9"/>
      <c r="X1045" t="s">
        <v>39</v>
      </c>
      <c r="Y1045" t="s">
        <v>904</v>
      </c>
      <c r="Z1045" t="s">
        <v>113</v>
      </c>
      <c r="AB1045" t="str">
        <f t="shared" si="50"/>
        <v>19622</v>
      </c>
    </row>
    <row r="1046" ht="14.25" spans="1:28">
      <c r="A1046" s="5" t="s">
        <v>28</v>
      </c>
      <c r="B1046" s="5" t="s">
        <v>697</v>
      </c>
      <c r="C1046" s="5">
        <v>2027</v>
      </c>
      <c r="D1046" s="5" t="s">
        <v>30</v>
      </c>
      <c r="E1046" s="9" t="s">
        <v>901</v>
      </c>
      <c r="F1046" s="9" t="s">
        <v>902</v>
      </c>
      <c r="G1046" s="9" t="s">
        <v>780</v>
      </c>
      <c r="H1046" s="9" t="s">
        <v>903</v>
      </c>
      <c r="I1046" s="9" t="s">
        <v>119</v>
      </c>
      <c r="J1046" s="9" t="s">
        <v>36</v>
      </c>
      <c r="K1046" s="9">
        <v>790</v>
      </c>
      <c r="L1046" s="9"/>
      <c r="M1046" s="9"/>
      <c r="N1046" s="9"/>
      <c r="O1046" s="9" t="s">
        <v>900</v>
      </c>
      <c r="P1046" s="9" t="s">
        <v>124</v>
      </c>
      <c r="Q1046" s="9"/>
      <c r="R1046" s="10"/>
      <c r="S1046" s="10"/>
      <c r="T1046" s="10"/>
      <c r="U1046" s="9"/>
      <c r="X1046" t="s">
        <v>39</v>
      </c>
      <c r="Y1046" t="s">
        <v>904</v>
      </c>
      <c r="Z1046" t="s">
        <v>113</v>
      </c>
      <c r="AB1046" t="str">
        <f t="shared" si="50"/>
        <v>19622</v>
      </c>
    </row>
    <row r="1047" ht="14.25" spans="1:28">
      <c r="A1047" s="5" t="s">
        <v>28</v>
      </c>
      <c r="B1047" s="5" t="s">
        <v>697</v>
      </c>
      <c r="C1047" s="5">
        <v>2027</v>
      </c>
      <c r="D1047" s="5" t="s">
        <v>30</v>
      </c>
      <c r="E1047" s="9" t="s">
        <v>901</v>
      </c>
      <c r="F1047" s="9" t="s">
        <v>902</v>
      </c>
      <c r="G1047" s="9" t="s">
        <v>780</v>
      </c>
      <c r="H1047" s="9" t="s">
        <v>903</v>
      </c>
      <c r="I1047" s="9" t="s">
        <v>119</v>
      </c>
      <c r="J1047" s="9" t="s">
        <v>36</v>
      </c>
      <c r="K1047" s="9">
        <v>790</v>
      </c>
      <c r="L1047" s="9"/>
      <c r="M1047" s="9"/>
      <c r="N1047" s="9"/>
      <c r="O1047" s="9" t="s">
        <v>900</v>
      </c>
      <c r="P1047" s="9" t="s">
        <v>125</v>
      </c>
      <c r="Q1047" s="9"/>
      <c r="R1047" s="10"/>
      <c r="S1047" s="10"/>
      <c r="T1047" s="10"/>
      <c r="U1047" s="9"/>
      <c r="X1047" t="s">
        <v>39</v>
      </c>
      <c r="Y1047" t="s">
        <v>904</v>
      </c>
      <c r="Z1047" t="s">
        <v>113</v>
      </c>
      <c r="AB1047" t="str">
        <f t="shared" si="50"/>
        <v>19622</v>
      </c>
    </row>
    <row r="1048" ht="14.25" spans="1:28">
      <c r="A1048" s="5" t="s">
        <v>28</v>
      </c>
      <c r="B1048" s="5" t="s">
        <v>697</v>
      </c>
      <c r="C1048" s="5">
        <v>2027</v>
      </c>
      <c r="D1048" s="5" t="s">
        <v>30</v>
      </c>
      <c r="E1048" s="9" t="s">
        <v>905</v>
      </c>
      <c r="F1048" s="9" t="s">
        <v>902</v>
      </c>
      <c r="G1048" s="9" t="s">
        <v>906</v>
      </c>
      <c r="H1048" s="9" t="s">
        <v>907</v>
      </c>
      <c r="I1048" s="9" t="s">
        <v>119</v>
      </c>
      <c r="J1048" s="9" t="s">
        <v>36</v>
      </c>
      <c r="K1048" s="9">
        <v>790</v>
      </c>
      <c r="L1048" s="9"/>
      <c r="M1048" s="9"/>
      <c r="N1048" s="9"/>
      <c r="O1048" s="9" t="s">
        <v>900</v>
      </c>
      <c r="P1048" s="9" t="s">
        <v>302</v>
      </c>
      <c r="Q1048" s="9"/>
      <c r="R1048" s="10">
        <f t="shared" si="48"/>
        <v>0</v>
      </c>
      <c r="S1048" s="10">
        <f>SUMIFS([1]Sheet1!$T:$T,[1]Sheet1!$I:$I,E1048,[1]Sheet1!$C:$C,A1048)</f>
        <v>0</v>
      </c>
      <c r="T1048" s="10">
        <f t="shared" si="49"/>
        <v>0</v>
      </c>
      <c r="U1048" s="9"/>
      <c r="X1048" t="s">
        <v>70</v>
      </c>
      <c r="Y1048" t="s">
        <v>904</v>
      </c>
      <c r="Z1048" t="s">
        <v>113</v>
      </c>
      <c r="AB1048" t="str">
        <f t="shared" si="50"/>
        <v>19622</v>
      </c>
    </row>
    <row r="1049" ht="14.25" spans="1:28">
      <c r="A1049" s="5" t="s">
        <v>28</v>
      </c>
      <c r="B1049" s="5" t="s">
        <v>697</v>
      </c>
      <c r="C1049" s="5">
        <v>2027</v>
      </c>
      <c r="D1049" s="5" t="s">
        <v>30</v>
      </c>
      <c r="E1049" s="9" t="s">
        <v>905</v>
      </c>
      <c r="F1049" s="9" t="s">
        <v>902</v>
      </c>
      <c r="G1049" s="9" t="s">
        <v>906</v>
      </c>
      <c r="H1049" s="9" t="s">
        <v>907</v>
      </c>
      <c r="I1049" s="9" t="s">
        <v>119</v>
      </c>
      <c r="J1049" s="9" t="s">
        <v>36</v>
      </c>
      <c r="K1049" s="9">
        <v>790</v>
      </c>
      <c r="L1049" s="9"/>
      <c r="M1049" s="9"/>
      <c r="N1049" s="9"/>
      <c r="O1049" s="9" t="s">
        <v>900</v>
      </c>
      <c r="P1049" s="9" t="s">
        <v>303</v>
      </c>
      <c r="Q1049" s="9"/>
      <c r="R1049" s="10"/>
      <c r="S1049" s="10"/>
      <c r="T1049" s="10"/>
      <c r="U1049" s="9"/>
      <c r="X1049" t="s">
        <v>70</v>
      </c>
      <c r="Y1049" t="s">
        <v>904</v>
      </c>
      <c r="Z1049" t="s">
        <v>113</v>
      </c>
      <c r="AB1049" t="str">
        <f t="shared" si="50"/>
        <v>19622</v>
      </c>
    </row>
    <row r="1050" ht="14.25" spans="1:28">
      <c r="A1050" s="5" t="s">
        <v>28</v>
      </c>
      <c r="B1050" s="5" t="s">
        <v>697</v>
      </c>
      <c r="C1050" s="5">
        <v>2027</v>
      </c>
      <c r="D1050" s="5" t="s">
        <v>30</v>
      </c>
      <c r="E1050" s="9" t="s">
        <v>905</v>
      </c>
      <c r="F1050" s="9" t="s">
        <v>902</v>
      </c>
      <c r="G1050" s="9" t="s">
        <v>906</v>
      </c>
      <c r="H1050" s="9" t="s">
        <v>907</v>
      </c>
      <c r="I1050" s="9" t="s">
        <v>119</v>
      </c>
      <c r="J1050" s="9" t="s">
        <v>36</v>
      </c>
      <c r="K1050" s="9">
        <v>790</v>
      </c>
      <c r="L1050" s="9"/>
      <c r="M1050" s="9"/>
      <c r="N1050" s="9"/>
      <c r="O1050" s="9" t="s">
        <v>900</v>
      </c>
      <c r="P1050" s="9" t="s">
        <v>121</v>
      </c>
      <c r="Q1050" s="9"/>
      <c r="R1050" s="10"/>
      <c r="S1050" s="10"/>
      <c r="T1050" s="10"/>
      <c r="U1050" s="9"/>
      <c r="X1050" t="s">
        <v>70</v>
      </c>
      <c r="Y1050" t="s">
        <v>904</v>
      </c>
      <c r="Z1050" t="s">
        <v>113</v>
      </c>
      <c r="AB1050" t="str">
        <f t="shared" si="50"/>
        <v>19622</v>
      </c>
    </row>
    <row r="1051" ht="14.25" spans="1:28">
      <c r="A1051" s="5" t="s">
        <v>28</v>
      </c>
      <c r="B1051" s="5" t="s">
        <v>697</v>
      </c>
      <c r="C1051" s="5">
        <v>2027</v>
      </c>
      <c r="D1051" s="5" t="s">
        <v>30</v>
      </c>
      <c r="E1051" s="9" t="s">
        <v>905</v>
      </c>
      <c r="F1051" s="9" t="s">
        <v>902</v>
      </c>
      <c r="G1051" s="9" t="s">
        <v>906</v>
      </c>
      <c r="H1051" s="9" t="s">
        <v>907</v>
      </c>
      <c r="I1051" s="9" t="s">
        <v>119</v>
      </c>
      <c r="J1051" s="9" t="s">
        <v>36</v>
      </c>
      <c r="K1051" s="9">
        <v>790</v>
      </c>
      <c r="L1051" s="9"/>
      <c r="M1051" s="9"/>
      <c r="N1051" s="9"/>
      <c r="O1051" s="9" t="s">
        <v>900</v>
      </c>
      <c r="P1051" s="9" t="s">
        <v>124</v>
      </c>
      <c r="Q1051" s="9"/>
      <c r="R1051" s="10"/>
      <c r="S1051" s="10"/>
      <c r="T1051" s="10"/>
      <c r="U1051" s="9"/>
      <c r="X1051" t="s">
        <v>70</v>
      </c>
      <c r="Y1051" t="s">
        <v>904</v>
      </c>
      <c r="Z1051" t="s">
        <v>113</v>
      </c>
      <c r="AB1051" t="str">
        <f t="shared" si="50"/>
        <v>19622</v>
      </c>
    </row>
    <row r="1052" ht="14.25" spans="1:28">
      <c r="A1052" s="5" t="s">
        <v>28</v>
      </c>
      <c r="B1052" s="5" t="s">
        <v>697</v>
      </c>
      <c r="C1052" s="5">
        <v>2027</v>
      </c>
      <c r="D1052" s="5" t="s">
        <v>30</v>
      </c>
      <c r="E1052" s="9" t="s">
        <v>905</v>
      </c>
      <c r="F1052" s="9" t="s">
        <v>902</v>
      </c>
      <c r="G1052" s="9" t="s">
        <v>906</v>
      </c>
      <c r="H1052" s="9" t="s">
        <v>907</v>
      </c>
      <c r="I1052" s="9" t="s">
        <v>119</v>
      </c>
      <c r="J1052" s="9" t="s">
        <v>36</v>
      </c>
      <c r="K1052" s="9">
        <v>790</v>
      </c>
      <c r="L1052" s="9"/>
      <c r="M1052" s="9"/>
      <c r="N1052" s="9"/>
      <c r="O1052" s="9" t="s">
        <v>900</v>
      </c>
      <c r="P1052" s="9" t="s">
        <v>125</v>
      </c>
      <c r="Q1052" s="9"/>
      <c r="R1052" s="10"/>
      <c r="S1052" s="10"/>
      <c r="T1052" s="10"/>
      <c r="U1052" s="9"/>
      <c r="X1052" t="s">
        <v>70</v>
      </c>
      <c r="Y1052" t="s">
        <v>904</v>
      </c>
      <c r="Z1052" t="s">
        <v>113</v>
      </c>
      <c r="AB1052" t="str">
        <f t="shared" si="50"/>
        <v>19622</v>
      </c>
    </row>
    <row r="1053" ht="14.25" spans="1:28">
      <c r="A1053" s="5" t="s">
        <v>28</v>
      </c>
      <c r="B1053" s="5" t="s">
        <v>697</v>
      </c>
      <c r="C1053" s="5">
        <v>2027</v>
      </c>
      <c r="D1053" s="5" t="s">
        <v>30</v>
      </c>
      <c r="E1053" s="9" t="s">
        <v>908</v>
      </c>
      <c r="F1053" s="9" t="s">
        <v>909</v>
      </c>
      <c r="G1053" s="9" t="s">
        <v>780</v>
      </c>
      <c r="H1053" s="9" t="s">
        <v>910</v>
      </c>
      <c r="I1053" s="9" t="s">
        <v>119</v>
      </c>
      <c r="J1053" s="9" t="s">
        <v>36</v>
      </c>
      <c r="K1053" s="9">
        <v>1590</v>
      </c>
      <c r="L1053" s="9"/>
      <c r="M1053" s="9"/>
      <c r="N1053" s="9"/>
      <c r="O1053" s="9" t="s">
        <v>113</v>
      </c>
      <c r="P1053" s="9" t="s">
        <v>113</v>
      </c>
      <c r="Q1053" s="9"/>
      <c r="R1053" s="10">
        <f t="shared" si="48"/>
        <v>0</v>
      </c>
      <c r="S1053" s="10">
        <f>SUMIFS([1]Sheet1!$T:$T,[1]Sheet1!$I:$I,E1053,[1]Sheet1!$C:$C,A1053)</f>
        <v>15</v>
      </c>
      <c r="T1053" s="10">
        <f t="shared" si="49"/>
        <v>-15</v>
      </c>
      <c r="U1053" s="9" t="s">
        <v>706</v>
      </c>
      <c r="V1053" t="s">
        <v>831</v>
      </c>
      <c r="W1053" t="s">
        <v>178</v>
      </c>
      <c r="X1053" t="s">
        <v>39</v>
      </c>
      <c r="Y1053" t="s">
        <v>911</v>
      </c>
      <c r="Z1053" t="s">
        <v>113</v>
      </c>
      <c r="AB1053" t="str">
        <f t="shared" si="50"/>
        <v>19698</v>
      </c>
    </row>
    <row r="1054" ht="14.25" spans="1:28">
      <c r="A1054" s="5" t="s">
        <v>28</v>
      </c>
      <c r="B1054" s="5" t="s">
        <v>697</v>
      </c>
      <c r="C1054" s="5">
        <v>2027</v>
      </c>
      <c r="D1054" s="5" t="s">
        <v>30</v>
      </c>
      <c r="E1054" s="9" t="s">
        <v>912</v>
      </c>
      <c r="F1054" s="9" t="s">
        <v>909</v>
      </c>
      <c r="G1054" s="9" t="s">
        <v>906</v>
      </c>
      <c r="H1054" s="9" t="s">
        <v>913</v>
      </c>
      <c r="I1054" s="9" t="s">
        <v>147</v>
      </c>
      <c r="J1054" s="9" t="s">
        <v>36</v>
      </c>
      <c r="K1054" s="9">
        <v>1590</v>
      </c>
      <c r="L1054" s="9"/>
      <c r="M1054" s="9"/>
      <c r="N1054" s="9"/>
      <c r="O1054" s="9" t="s">
        <v>113</v>
      </c>
      <c r="P1054" s="9" t="s">
        <v>113</v>
      </c>
      <c r="Q1054" s="9"/>
      <c r="R1054" s="10">
        <f t="shared" si="48"/>
        <v>0</v>
      </c>
      <c r="S1054" s="10">
        <f>SUMIFS([1]Sheet1!$T:$T,[1]Sheet1!$I:$I,E1054,[1]Sheet1!$C:$C,A1054)</f>
        <v>15</v>
      </c>
      <c r="T1054" s="10">
        <f t="shared" si="49"/>
        <v>-15</v>
      </c>
      <c r="U1054" s="9" t="s">
        <v>706</v>
      </c>
      <c r="V1054" t="s">
        <v>831</v>
      </c>
      <c r="W1054" t="s">
        <v>178</v>
      </c>
      <c r="X1054" t="s">
        <v>70</v>
      </c>
      <c r="Y1054" t="s">
        <v>911</v>
      </c>
      <c r="Z1054" t="s">
        <v>113</v>
      </c>
      <c r="AB1054" t="str">
        <f t="shared" si="50"/>
        <v>19698</v>
      </c>
    </row>
    <row r="1055" ht="14.25" spans="1:28">
      <c r="A1055" s="5" t="s">
        <v>28</v>
      </c>
      <c r="B1055" s="5" t="s">
        <v>697</v>
      </c>
      <c r="C1055" s="5">
        <v>2027</v>
      </c>
      <c r="D1055" s="5" t="s">
        <v>30</v>
      </c>
      <c r="E1055" s="9" t="s">
        <v>914</v>
      </c>
      <c r="F1055" s="9" t="s">
        <v>915</v>
      </c>
      <c r="G1055" s="9" t="s">
        <v>780</v>
      </c>
      <c r="H1055" s="9" t="s">
        <v>916</v>
      </c>
      <c r="I1055" s="9" t="s">
        <v>119</v>
      </c>
      <c r="J1055" s="9" t="s">
        <v>36</v>
      </c>
      <c r="K1055" s="9">
        <v>890</v>
      </c>
      <c r="L1055" s="9"/>
      <c r="M1055" s="9"/>
      <c r="N1055" s="9"/>
      <c r="O1055" s="9" t="s">
        <v>113</v>
      </c>
      <c r="P1055" s="9" t="s">
        <v>113</v>
      </c>
      <c r="Q1055" s="9"/>
      <c r="R1055" s="10">
        <f t="shared" si="48"/>
        <v>0</v>
      </c>
      <c r="S1055" s="10">
        <f>SUMIFS([1]Sheet1!$T:$T,[1]Sheet1!$I:$I,E1055,[1]Sheet1!$C:$C,A1055)</f>
        <v>10</v>
      </c>
      <c r="T1055" s="10">
        <f t="shared" si="49"/>
        <v>-10</v>
      </c>
      <c r="U1055" s="9" t="s">
        <v>706</v>
      </c>
      <c r="V1055" t="s">
        <v>831</v>
      </c>
      <c r="W1055" t="s">
        <v>178</v>
      </c>
      <c r="X1055" t="s">
        <v>39</v>
      </c>
      <c r="Y1055" t="s">
        <v>911</v>
      </c>
      <c r="Z1055" t="s">
        <v>113</v>
      </c>
      <c r="AB1055" t="str">
        <f t="shared" si="50"/>
        <v>19723</v>
      </c>
    </row>
    <row r="1056" ht="14.25" spans="1:28">
      <c r="A1056" s="5" t="s">
        <v>28</v>
      </c>
      <c r="B1056" s="5" t="s">
        <v>697</v>
      </c>
      <c r="C1056" s="5">
        <v>2027</v>
      </c>
      <c r="D1056" s="5" t="s">
        <v>30</v>
      </c>
      <c r="E1056" s="9" t="s">
        <v>917</v>
      </c>
      <c r="F1056" s="9" t="s">
        <v>918</v>
      </c>
      <c r="G1056" s="9" t="s">
        <v>839</v>
      </c>
      <c r="H1056" s="9" t="s">
        <v>919</v>
      </c>
      <c r="I1056" s="9" t="s">
        <v>147</v>
      </c>
      <c r="J1056" s="9" t="s">
        <v>36</v>
      </c>
      <c r="K1056" s="9">
        <v>890</v>
      </c>
      <c r="L1056" s="9"/>
      <c r="M1056" s="9"/>
      <c r="N1056" s="9"/>
      <c r="O1056" s="9" t="s">
        <v>113</v>
      </c>
      <c r="P1056" s="9" t="s">
        <v>113</v>
      </c>
      <c r="Q1056" s="9"/>
      <c r="R1056" s="10">
        <f t="shared" si="48"/>
        <v>0</v>
      </c>
      <c r="S1056" s="10">
        <f>SUMIFS([1]Sheet1!$T:$T,[1]Sheet1!$I:$I,E1056,[1]Sheet1!$C:$C,A1056)</f>
        <v>20</v>
      </c>
      <c r="T1056" s="10">
        <f t="shared" si="49"/>
        <v>-20</v>
      </c>
      <c r="U1056" s="9" t="s">
        <v>706</v>
      </c>
      <c r="V1056" t="s">
        <v>831</v>
      </c>
      <c r="W1056" t="s">
        <v>178</v>
      </c>
      <c r="X1056" t="s">
        <v>62</v>
      </c>
      <c r="Y1056" t="s">
        <v>920</v>
      </c>
      <c r="Z1056" t="s">
        <v>113</v>
      </c>
      <c r="AB1056" t="str">
        <f t="shared" si="50"/>
        <v>19727</v>
      </c>
    </row>
    <row r="1057" ht="14.25" spans="1:28">
      <c r="A1057" s="5" t="s">
        <v>28</v>
      </c>
      <c r="B1057" s="5" t="s">
        <v>697</v>
      </c>
      <c r="C1057" s="5">
        <v>2027</v>
      </c>
      <c r="D1057" s="5" t="s">
        <v>30</v>
      </c>
      <c r="E1057" s="9" t="s">
        <v>921</v>
      </c>
      <c r="F1057" s="9" t="s">
        <v>922</v>
      </c>
      <c r="G1057" s="9" t="s">
        <v>923</v>
      </c>
      <c r="H1057" s="9" t="s">
        <v>924</v>
      </c>
      <c r="I1057" s="9" t="s">
        <v>147</v>
      </c>
      <c r="J1057" s="9" t="s">
        <v>36</v>
      </c>
      <c r="K1057" s="9">
        <v>490</v>
      </c>
      <c r="L1057" s="9"/>
      <c r="M1057" s="9"/>
      <c r="N1057" s="9"/>
      <c r="O1057" s="9" t="s">
        <v>113</v>
      </c>
      <c r="P1057" s="9" t="s">
        <v>113</v>
      </c>
      <c r="Q1057" s="9"/>
      <c r="R1057" s="10">
        <f t="shared" si="48"/>
        <v>0</v>
      </c>
      <c r="S1057" s="10">
        <f>SUMIFS([1]Sheet1!$T:$T,[1]Sheet1!$I:$I,E1057,[1]Sheet1!$C:$C,A1057)</f>
        <v>0</v>
      </c>
      <c r="T1057" s="10">
        <f t="shared" si="49"/>
        <v>0</v>
      </c>
      <c r="U1057" s="9"/>
      <c r="X1057" t="s">
        <v>70</v>
      </c>
      <c r="Y1057" t="s">
        <v>132</v>
      </c>
      <c r="Z1057" t="s">
        <v>113</v>
      </c>
      <c r="AB1057" t="str">
        <f t="shared" si="50"/>
        <v>19740</v>
      </c>
    </row>
    <row r="1058" ht="14.25" spans="1:28">
      <c r="A1058" s="5" t="s">
        <v>28</v>
      </c>
      <c r="B1058" s="5" t="s">
        <v>697</v>
      </c>
      <c r="C1058" s="5">
        <v>2027</v>
      </c>
      <c r="D1058" s="5" t="s">
        <v>30</v>
      </c>
      <c r="E1058" s="9" t="s">
        <v>925</v>
      </c>
      <c r="F1058" s="9" t="s">
        <v>922</v>
      </c>
      <c r="G1058" s="9" t="s">
        <v>926</v>
      </c>
      <c r="H1058" s="9" t="s">
        <v>927</v>
      </c>
      <c r="I1058" s="9" t="s">
        <v>147</v>
      </c>
      <c r="J1058" s="9" t="s">
        <v>36</v>
      </c>
      <c r="K1058" s="9">
        <v>490</v>
      </c>
      <c r="L1058" s="9"/>
      <c r="M1058" s="9"/>
      <c r="N1058" s="9"/>
      <c r="O1058" s="9" t="s">
        <v>113</v>
      </c>
      <c r="P1058" s="9" t="s">
        <v>113</v>
      </c>
      <c r="Q1058" s="9"/>
      <c r="R1058" s="10">
        <f t="shared" si="48"/>
        <v>0</v>
      </c>
      <c r="S1058" s="10">
        <f>SUMIFS([1]Sheet1!$T:$T,[1]Sheet1!$I:$I,E1058,[1]Sheet1!$C:$C,A1058)</f>
        <v>0</v>
      </c>
      <c r="T1058" s="10">
        <f t="shared" si="49"/>
        <v>0</v>
      </c>
      <c r="U1058" s="9"/>
      <c r="X1058" t="s">
        <v>94</v>
      </c>
      <c r="Y1058" t="s">
        <v>132</v>
      </c>
      <c r="Z1058" t="s">
        <v>113</v>
      </c>
      <c r="AB1058" t="str">
        <f t="shared" si="50"/>
        <v>19740</v>
      </c>
    </row>
    <row r="1059" ht="14.25" spans="1:28">
      <c r="A1059" s="5" t="s">
        <v>28</v>
      </c>
      <c r="B1059" s="5" t="s">
        <v>697</v>
      </c>
      <c r="C1059" s="5">
        <v>2027</v>
      </c>
      <c r="D1059" s="5" t="s">
        <v>30</v>
      </c>
      <c r="E1059" s="9" t="s">
        <v>928</v>
      </c>
      <c r="F1059" s="9" t="s">
        <v>922</v>
      </c>
      <c r="G1059" s="9" t="s">
        <v>56</v>
      </c>
      <c r="H1059" s="9" t="s">
        <v>929</v>
      </c>
      <c r="I1059" s="9" t="s">
        <v>147</v>
      </c>
      <c r="J1059" s="9" t="s">
        <v>36</v>
      </c>
      <c r="K1059" s="9">
        <v>490</v>
      </c>
      <c r="L1059" s="9"/>
      <c r="M1059" s="9"/>
      <c r="N1059" s="9"/>
      <c r="O1059" s="9" t="s">
        <v>113</v>
      </c>
      <c r="P1059" s="9" t="s">
        <v>113</v>
      </c>
      <c r="Q1059" s="9"/>
      <c r="R1059" s="10">
        <f t="shared" si="48"/>
        <v>0</v>
      </c>
      <c r="S1059" s="10">
        <f>SUMIFS([1]Sheet1!$T:$T,[1]Sheet1!$I:$I,E1059,[1]Sheet1!$C:$C,A1059)</f>
        <v>0</v>
      </c>
      <c r="T1059" s="10">
        <f t="shared" si="49"/>
        <v>0</v>
      </c>
      <c r="U1059" s="9"/>
      <c r="X1059" t="s">
        <v>58</v>
      </c>
      <c r="Y1059" t="s">
        <v>132</v>
      </c>
      <c r="Z1059" t="s">
        <v>113</v>
      </c>
      <c r="AB1059" t="str">
        <f t="shared" si="50"/>
        <v>19740</v>
      </c>
    </row>
    <row r="1060" ht="14.25" spans="1:28">
      <c r="A1060" s="5" t="s">
        <v>28</v>
      </c>
      <c r="B1060" s="5" t="s">
        <v>697</v>
      </c>
      <c r="C1060" s="5">
        <v>2027</v>
      </c>
      <c r="D1060" s="5" t="s">
        <v>30</v>
      </c>
      <c r="E1060" s="9" t="s">
        <v>930</v>
      </c>
      <c r="F1060" s="9" t="s">
        <v>922</v>
      </c>
      <c r="G1060" s="9" t="s">
        <v>346</v>
      </c>
      <c r="H1060" s="9" t="s">
        <v>931</v>
      </c>
      <c r="I1060" s="9" t="s">
        <v>147</v>
      </c>
      <c r="J1060" s="9" t="s">
        <v>36</v>
      </c>
      <c r="K1060" s="9">
        <v>490</v>
      </c>
      <c r="L1060" s="9"/>
      <c r="M1060" s="9"/>
      <c r="N1060" s="9"/>
      <c r="O1060" s="9" t="s">
        <v>113</v>
      </c>
      <c r="P1060" s="9" t="s">
        <v>113</v>
      </c>
      <c r="Q1060" s="9"/>
      <c r="R1060" s="10">
        <f t="shared" si="48"/>
        <v>0</v>
      </c>
      <c r="S1060" s="10">
        <f>SUMIFS([1]Sheet1!$T:$T,[1]Sheet1!$I:$I,E1060,[1]Sheet1!$C:$C,A1060)</f>
        <v>0</v>
      </c>
      <c r="T1060" s="10">
        <f t="shared" si="49"/>
        <v>0</v>
      </c>
      <c r="U1060" s="9"/>
      <c r="X1060" t="s">
        <v>191</v>
      </c>
      <c r="Y1060" t="s">
        <v>132</v>
      </c>
      <c r="Z1060" t="s">
        <v>113</v>
      </c>
      <c r="AB1060" t="str">
        <f t="shared" si="50"/>
        <v>19740</v>
      </c>
    </row>
    <row r="1061" ht="14.25" spans="1:28">
      <c r="A1061" s="5" t="s">
        <v>28</v>
      </c>
      <c r="B1061" s="5" t="s">
        <v>697</v>
      </c>
      <c r="C1061" s="5">
        <v>2027</v>
      </c>
      <c r="D1061" s="5" t="s">
        <v>30</v>
      </c>
      <c r="E1061" s="9" t="s">
        <v>932</v>
      </c>
      <c r="F1061" s="9" t="s">
        <v>933</v>
      </c>
      <c r="G1061" s="9" t="s">
        <v>923</v>
      </c>
      <c r="H1061" s="9" t="s">
        <v>934</v>
      </c>
      <c r="I1061" s="9" t="s">
        <v>147</v>
      </c>
      <c r="J1061" s="9" t="s">
        <v>36</v>
      </c>
      <c r="K1061" s="9">
        <v>490</v>
      </c>
      <c r="L1061" s="9"/>
      <c r="M1061" s="9"/>
      <c r="N1061" s="9"/>
      <c r="O1061" s="9" t="s">
        <v>113</v>
      </c>
      <c r="P1061" s="9" t="s">
        <v>113</v>
      </c>
      <c r="Q1061" s="9"/>
      <c r="R1061" s="10">
        <f t="shared" si="48"/>
        <v>0</v>
      </c>
      <c r="S1061" s="10">
        <f>SUMIFS([1]Sheet1!$T:$T,[1]Sheet1!$I:$I,E1061,[1]Sheet1!$C:$C,A1061)</f>
        <v>100</v>
      </c>
      <c r="T1061" s="10">
        <f t="shared" si="49"/>
        <v>-100</v>
      </c>
      <c r="U1061" s="9" t="s">
        <v>706</v>
      </c>
      <c r="V1061" t="s">
        <v>756</v>
      </c>
      <c r="W1061" t="s">
        <v>178</v>
      </c>
      <c r="X1061" t="s">
        <v>70</v>
      </c>
      <c r="Y1061" t="s">
        <v>935</v>
      </c>
      <c r="Z1061" t="s">
        <v>113</v>
      </c>
      <c r="AB1061" t="str">
        <f t="shared" si="50"/>
        <v>19741</v>
      </c>
    </row>
    <row r="1062" ht="14.25" spans="1:28">
      <c r="A1062" s="5" t="s">
        <v>28</v>
      </c>
      <c r="B1062" s="5" t="s">
        <v>697</v>
      </c>
      <c r="C1062" s="5">
        <v>2027</v>
      </c>
      <c r="D1062" s="5" t="s">
        <v>30</v>
      </c>
      <c r="E1062" s="9" t="s">
        <v>936</v>
      </c>
      <c r="F1062" s="9" t="s">
        <v>933</v>
      </c>
      <c r="G1062" s="9" t="s">
        <v>926</v>
      </c>
      <c r="H1062" s="9" t="s">
        <v>937</v>
      </c>
      <c r="I1062" s="9" t="s">
        <v>119</v>
      </c>
      <c r="J1062" s="9" t="s">
        <v>36</v>
      </c>
      <c r="K1062" s="9">
        <v>490</v>
      </c>
      <c r="L1062" s="9"/>
      <c r="M1062" s="9"/>
      <c r="N1062" s="9"/>
      <c r="O1062" s="9" t="s">
        <v>113</v>
      </c>
      <c r="P1062" s="9" t="s">
        <v>113</v>
      </c>
      <c r="Q1062" s="9"/>
      <c r="R1062" s="10">
        <f t="shared" si="48"/>
        <v>0</v>
      </c>
      <c r="S1062" s="10">
        <f>SUMIFS([1]Sheet1!$T:$T,[1]Sheet1!$I:$I,E1062,[1]Sheet1!$C:$C,A1062)</f>
        <v>60</v>
      </c>
      <c r="T1062" s="10">
        <f t="shared" si="49"/>
        <v>-60</v>
      </c>
      <c r="U1062" s="9" t="s">
        <v>706</v>
      </c>
      <c r="V1062" t="s">
        <v>756</v>
      </c>
      <c r="W1062" t="s">
        <v>178</v>
      </c>
      <c r="X1062" t="s">
        <v>94</v>
      </c>
      <c r="Y1062" t="s">
        <v>935</v>
      </c>
      <c r="Z1062" t="s">
        <v>113</v>
      </c>
      <c r="AB1062" t="str">
        <f t="shared" si="50"/>
        <v>19741</v>
      </c>
    </row>
    <row r="1063" ht="14.25" spans="1:28">
      <c r="A1063" s="5" t="s">
        <v>28</v>
      </c>
      <c r="B1063" s="5" t="s">
        <v>697</v>
      </c>
      <c r="C1063" s="5">
        <v>2027</v>
      </c>
      <c r="D1063" s="5" t="s">
        <v>30</v>
      </c>
      <c r="E1063" s="9" t="s">
        <v>938</v>
      </c>
      <c r="F1063" s="9" t="s">
        <v>933</v>
      </c>
      <c r="G1063" s="9" t="s">
        <v>56</v>
      </c>
      <c r="H1063" s="9" t="s">
        <v>939</v>
      </c>
      <c r="I1063" s="9" t="s">
        <v>119</v>
      </c>
      <c r="J1063" s="9" t="s">
        <v>36</v>
      </c>
      <c r="K1063" s="9">
        <v>490</v>
      </c>
      <c r="L1063" s="9"/>
      <c r="M1063" s="9"/>
      <c r="N1063" s="9"/>
      <c r="O1063" s="9" t="s">
        <v>113</v>
      </c>
      <c r="P1063" s="9" t="s">
        <v>113</v>
      </c>
      <c r="Q1063" s="9"/>
      <c r="R1063" s="10">
        <f t="shared" si="48"/>
        <v>0</v>
      </c>
      <c r="S1063" s="10">
        <f>SUMIFS([1]Sheet1!$T:$T,[1]Sheet1!$I:$I,E1063,[1]Sheet1!$C:$C,A1063)</f>
        <v>60</v>
      </c>
      <c r="T1063" s="10">
        <f t="shared" si="49"/>
        <v>-60</v>
      </c>
      <c r="U1063" s="9" t="s">
        <v>706</v>
      </c>
      <c r="V1063" t="s">
        <v>756</v>
      </c>
      <c r="W1063" t="s">
        <v>178</v>
      </c>
      <c r="X1063" t="s">
        <v>58</v>
      </c>
      <c r="Y1063" t="s">
        <v>935</v>
      </c>
      <c r="Z1063" t="s">
        <v>113</v>
      </c>
      <c r="AB1063" t="str">
        <f t="shared" si="50"/>
        <v>19741</v>
      </c>
    </row>
    <row r="1064" ht="14.25" spans="1:28">
      <c r="A1064" s="5" t="s">
        <v>28</v>
      </c>
      <c r="B1064" s="5" t="s">
        <v>697</v>
      </c>
      <c r="C1064" s="5">
        <v>2027</v>
      </c>
      <c r="D1064" s="5" t="s">
        <v>30</v>
      </c>
      <c r="E1064" s="9" t="s">
        <v>940</v>
      </c>
      <c r="F1064" s="9" t="s">
        <v>941</v>
      </c>
      <c r="G1064" s="9" t="s">
        <v>839</v>
      </c>
      <c r="H1064" s="9" t="s">
        <v>942</v>
      </c>
      <c r="I1064" s="9" t="s">
        <v>119</v>
      </c>
      <c r="J1064" s="9" t="s">
        <v>36</v>
      </c>
      <c r="K1064" s="9">
        <v>790</v>
      </c>
      <c r="L1064" s="9"/>
      <c r="M1064" s="9"/>
      <c r="N1064" s="9"/>
      <c r="O1064" s="9" t="s">
        <v>113</v>
      </c>
      <c r="P1064" s="9" t="s">
        <v>113</v>
      </c>
      <c r="Q1064" s="9"/>
      <c r="R1064" s="10">
        <f t="shared" si="48"/>
        <v>0</v>
      </c>
      <c r="S1064" s="10">
        <f>SUMIFS([1]Sheet1!$T:$T,[1]Sheet1!$I:$I,E1064,[1]Sheet1!$C:$C,A1064)</f>
        <v>20</v>
      </c>
      <c r="T1064" s="10">
        <f t="shared" si="49"/>
        <v>-20</v>
      </c>
      <c r="U1064" s="9" t="s">
        <v>706</v>
      </c>
      <c r="V1064" t="s">
        <v>891</v>
      </c>
      <c r="W1064" t="s">
        <v>178</v>
      </c>
      <c r="X1064" t="s">
        <v>62</v>
      </c>
      <c r="Y1064" t="s">
        <v>893</v>
      </c>
      <c r="Z1064" t="s">
        <v>113</v>
      </c>
      <c r="AB1064" t="str">
        <f t="shared" si="50"/>
        <v>19745</v>
      </c>
    </row>
    <row r="1065" ht="14.25" spans="1:28">
      <c r="A1065" s="5" t="s">
        <v>28</v>
      </c>
      <c r="B1065" s="5" t="s">
        <v>697</v>
      </c>
      <c r="C1065" s="5">
        <v>2027</v>
      </c>
      <c r="D1065" s="5" t="s">
        <v>30</v>
      </c>
      <c r="E1065" s="9" t="s">
        <v>943</v>
      </c>
      <c r="F1065" s="9" t="s">
        <v>944</v>
      </c>
      <c r="G1065" s="9" t="s">
        <v>945</v>
      </c>
      <c r="H1065" s="9" t="s">
        <v>946</v>
      </c>
      <c r="I1065" s="9" t="s">
        <v>112</v>
      </c>
      <c r="J1065" s="9" t="s">
        <v>36</v>
      </c>
      <c r="K1065" s="9">
        <v>490</v>
      </c>
      <c r="L1065" s="9"/>
      <c r="M1065" s="9"/>
      <c r="N1065" s="9"/>
      <c r="O1065" s="9" t="s">
        <v>113</v>
      </c>
      <c r="P1065" s="9" t="s">
        <v>113</v>
      </c>
      <c r="Q1065" s="9"/>
      <c r="R1065" s="10">
        <f t="shared" si="48"/>
        <v>0</v>
      </c>
      <c r="S1065" s="10">
        <f>SUMIFS([1]Sheet1!$T:$T,[1]Sheet1!$I:$I,E1065,[1]Sheet1!$C:$C,A1065)</f>
        <v>0</v>
      </c>
      <c r="T1065" s="10">
        <f t="shared" si="49"/>
        <v>0</v>
      </c>
      <c r="U1065" s="9"/>
      <c r="X1065" t="s">
        <v>70</v>
      </c>
      <c r="Y1065" t="s">
        <v>114</v>
      </c>
      <c r="Z1065" t="s">
        <v>113</v>
      </c>
      <c r="AB1065" t="str">
        <f t="shared" si="50"/>
        <v>19747</v>
      </c>
    </row>
    <row r="1066" ht="14.25" spans="1:28">
      <c r="A1066" s="5" t="s">
        <v>28</v>
      </c>
      <c r="B1066" s="5" t="s">
        <v>697</v>
      </c>
      <c r="C1066" s="5">
        <v>2027</v>
      </c>
      <c r="D1066" s="5" t="s">
        <v>30</v>
      </c>
      <c r="E1066" s="9" t="s">
        <v>947</v>
      </c>
      <c r="F1066" s="9" t="s">
        <v>944</v>
      </c>
      <c r="G1066" s="9" t="s">
        <v>780</v>
      </c>
      <c r="H1066" s="9" t="s">
        <v>948</v>
      </c>
      <c r="I1066" s="9" t="s">
        <v>147</v>
      </c>
      <c r="J1066" s="9" t="s">
        <v>36</v>
      </c>
      <c r="K1066" s="9">
        <v>490</v>
      </c>
      <c r="L1066" s="9"/>
      <c r="M1066" s="9"/>
      <c r="N1066" s="9"/>
      <c r="O1066" s="9" t="s">
        <v>113</v>
      </c>
      <c r="P1066" s="9" t="s">
        <v>113</v>
      </c>
      <c r="Q1066" s="9"/>
      <c r="R1066" s="10">
        <f t="shared" si="48"/>
        <v>0</v>
      </c>
      <c r="S1066" s="10">
        <f>SUMIFS([1]Sheet1!$T:$T,[1]Sheet1!$I:$I,E1066,[1]Sheet1!$C:$C,A1066)</f>
        <v>0</v>
      </c>
      <c r="T1066" s="10">
        <f t="shared" si="49"/>
        <v>0</v>
      </c>
      <c r="U1066" s="9"/>
      <c r="X1066" t="s">
        <v>39</v>
      </c>
      <c r="Y1066" t="s">
        <v>114</v>
      </c>
      <c r="Z1066" t="s">
        <v>113</v>
      </c>
      <c r="AB1066" t="str">
        <f t="shared" si="50"/>
        <v>19747</v>
      </c>
    </row>
    <row r="1067" ht="14.25" spans="1:28">
      <c r="A1067" s="5" t="s">
        <v>28</v>
      </c>
      <c r="B1067" s="5" t="s">
        <v>697</v>
      </c>
      <c r="C1067" s="5">
        <v>2027</v>
      </c>
      <c r="D1067" s="5" t="s">
        <v>30</v>
      </c>
      <c r="E1067" s="9" t="s">
        <v>949</v>
      </c>
      <c r="F1067" s="9" t="s">
        <v>950</v>
      </c>
      <c r="G1067" s="9" t="s">
        <v>153</v>
      </c>
      <c r="H1067" s="9" t="s">
        <v>951</v>
      </c>
      <c r="I1067" s="9" t="s">
        <v>119</v>
      </c>
      <c r="J1067" s="9" t="s">
        <v>36</v>
      </c>
      <c r="K1067" s="9">
        <v>890</v>
      </c>
      <c r="L1067" s="9"/>
      <c r="M1067" s="9"/>
      <c r="N1067" s="9"/>
      <c r="O1067" s="9" t="s">
        <v>113</v>
      </c>
      <c r="P1067" s="9" t="s">
        <v>113</v>
      </c>
      <c r="Q1067" s="9"/>
      <c r="R1067" s="10">
        <f t="shared" si="48"/>
        <v>0</v>
      </c>
      <c r="S1067" s="10">
        <f>SUMIFS([1]Sheet1!$T:$T,[1]Sheet1!$I:$I,E1067,[1]Sheet1!$C:$C,A1067)</f>
        <v>15</v>
      </c>
      <c r="T1067" s="10">
        <f t="shared" si="49"/>
        <v>-15</v>
      </c>
      <c r="U1067" s="9" t="s">
        <v>706</v>
      </c>
      <c r="V1067" t="s">
        <v>891</v>
      </c>
      <c r="W1067" t="s">
        <v>178</v>
      </c>
      <c r="X1067" t="s">
        <v>39</v>
      </c>
      <c r="Y1067" t="s">
        <v>893</v>
      </c>
      <c r="Z1067" t="s">
        <v>113</v>
      </c>
      <c r="AB1067" t="str">
        <f t="shared" si="50"/>
        <v>19749</v>
      </c>
    </row>
    <row r="1068" ht="14.25" spans="1:28">
      <c r="A1068" s="5" t="s">
        <v>28</v>
      </c>
      <c r="B1068" s="5" t="s">
        <v>697</v>
      </c>
      <c r="C1068" s="5">
        <v>2027</v>
      </c>
      <c r="D1068" s="5" t="s">
        <v>30</v>
      </c>
      <c r="E1068" s="9" t="s">
        <v>952</v>
      </c>
      <c r="F1068" s="9" t="s">
        <v>953</v>
      </c>
      <c r="G1068" s="9" t="s">
        <v>770</v>
      </c>
      <c r="H1068" s="9" t="s">
        <v>954</v>
      </c>
      <c r="I1068" s="9" t="s">
        <v>147</v>
      </c>
      <c r="J1068" s="9" t="s">
        <v>36</v>
      </c>
      <c r="K1068" s="9">
        <v>290</v>
      </c>
      <c r="L1068" s="9"/>
      <c r="M1068" s="9"/>
      <c r="N1068" s="9"/>
      <c r="O1068" s="9" t="s">
        <v>113</v>
      </c>
      <c r="P1068" s="9" t="s">
        <v>113</v>
      </c>
      <c r="Q1068" s="9"/>
      <c r="R1068" s="10">
        <f t="shared" si="48"/>
        <v>0</v>
      </c>
      <c r="S1068" s="10">
        <f>SUMIFS([1]Sheet1!$T:$T,[1]Sheet1!$I:$I,E1068,[1]Sheet1!$C:$C,A1068)</f>
        <v>0</v>
      </c>
      <c r="T1068" s="10">
        <f t="shared" si="49"/>
        <v>0</v>
      </c>
      <c r="U1068" s="9"/>
      <c r="Y1068" t="s">
        <v>851</v>
      </c>
      <c r="Z1068" t="s">
        <v>113</v>
      </c>
      <c r="AB1068" t="str">
        <f t="shared" si="50"/>
        <v>19770</v>
      </c>
    </row>
    <row r="1069" ht="14.25" spans="1:28">
      <c r="A1069" s="5" t="s">
        <v>28</v>
      </c>
      <c r="B1069" s="5" t="s">
        <v>697</v>
      </c>
      <c r="C1069" s="5">
        <v>2027</v>
      </c>
      <c r="D1069" s="5" t="s">
        <v>30</v>
      </c>
      <c r="E1069" s="9" t="s">
        <v>955</v>
      </c>
      <c r="F1069" s="9" t="s">
        <v>953</v>
      </c>
      <c r="G1069" s="9" t="s">
        <v>872</v>
      </c>
      <c r="H1069" s="9" t="s">
        <v>956</v>
      </c>
      <c r="I1069" s="9" t="s">
        <v>147</v>
      </c>
      <c r="J1069" s="9" t="s">
        <v>36</v>
      </c>
      <c r="K1069" s="9">
        <v>290</v>
      </c>
      <c r="L1069" s="9"/>
      <c r="M1069" s="9"/>
      <c r="N1069" s="9"/>
      <c r="O1069" s="9" t="s">
        <v>113</v>
      </c>
      <c r="P1069" s="9" t="s">
        <v>113</v>
      </c>
      <c r="Q1069" s="9"/>
      <c r="R1069" s="10">
        <f t="shared" si="48"/>
        <v>0</v>
      </c>
      <c r="S1069" s="10">
        <f>SUMIFS([1]Sheet1!$T:$T,[1]Sheet1!$I:$I,E1069,[1]Sheet1!$C:$C,A1069)</f>
        <v>0</v>
      </c>
      <c r="T1069" s="10">
        <f t="shared" si="49"/>
        <v>0</v>
      </c>
      <c r="U1069" s="9"/>
      <c r="Y1069" t="s">
        <v>851</v>
      </c>
      <c r="Z1069" t="s">
        <v>113</v>
      </c>
      <c r="AB1069" t="str">
        <f t="shared" si="50"/>
        <v>19770</v>
      </c>
    </row>
    <row r="1070" ht="14.25" spans="1:28">
      <c r="A1070" s="5" t="s">
        <v>28</v>
      </c>
      <c r="B1070" s="5" t="s">
        <v>697</v>
      </c>
      <c r="C1070" s="5">
        <v>2027</v>
      </c>
      <c r="D1070" s="5" t="s">
        <v>30</v>
      </c>
      <c r="E1070" s="9" t="s">
        <v>957</v>
      </c>
      <c r="F1070" s="9" t="s">
        <v>958</v>
      </c>
      <c r="G1070" s="9" t="s">
        <v>189</v>
      </c>
      <c r="H1070" s="9" t="s">
        <v>959</v>
      </c>
      <c r="I1070" s="9" t="s">
        <v>119</v>
      </c>
      <c r="J1070" s="9" t="s">
        <v>36</v>
      </c>
      <c r="K1070" s="9">
        <v>1190</v>
      </c>
      <c r="L1070" s="9"/>
      <c r="M1070" s="9"/>
      <c r="N1070" s="9"/>
      <c r="O1070" s="9" t="s">
        <v>113</v>
      </c>
      <c r="P1070" s="9" t="s">
        <v>113</v>
      </c>
      <c r="Q1070" s="9"/>
      <c r="R1070" s="10">
        <f t="shared" si="48"/>
        <v>0</v>
      </c>
      <c r="S1070" s="10">
        <f>SUMIFS([1]Sheet1!$T:$T,[1]Sheet1!$I:$I,E1070,[1]Sheet1!$C:$C,A1070)</f>
        <v>0</v>
      </c>
      <c r="T1070" s="10">
        <f t="shared" si="49"/>
        <v>0</v>
      </c>
      <c r="U1070" s="9"/>
      <c r="X1070" t="s">
        <v>191</v>
      </c>
      <c r="Y1070" t="s">
        <v>841</v>
      </c>
      <c r="Z1070" t="s">
        <v>113</v>
      </c>
      <c r="AB1070" t="str">
        <f t="shared" si="50"/>
        <v>19837</v>
      </c>
    </row>
    <row r="1071" ht="14.25" spans="1:28">
      <c r="A1071" s="5" t="s">
        <v>28</v>
      </c>
      <c r="B1071" s="5" t="s">
        <v>697</v>
      </c>
      <c r="C1071" s="5">
        <v>2027</v>
      </c>
      <c r="D1071" s="5" t="s">
        <v>30</v>
      </c>
      <c r="E1071" s="9" t="s">
        <v>960</v>
      </c>
      <c r="F1071" s="9" t="s">
        <v>961</v>
      </c>
      <c r="G1071" s="9" t="s">
        <v>780</v>
      </c>
      <c r="H1071" s="9" t="s">
        <v>962</v>
      </c>
      <c r="I1071" s="9" t="s">
        <v>147</v>
      </c>
      <c r="J1071" s="9" t="s">
        <v>36</v>
      </c>
      <c r="K1071" s="9">
        <v>990</v>
      </c>
      <c r="L1071" s="9"/>
      <c r="M1071" s="9"/>
      <c r="N1071" s="9"/>
      <c r="O1071" s="9" t="s">
        <v>113</v>
      </c>
      <c r="P1071" s="9" t="s">
        <v>113</v>
      </c>
      <c r="Q1071" s="9"/>
      <c r="R1071" s="10">
        <f t="shared" si="48"/>
        <v>0</v>
      </c>
      <c r="S1071" s="10">
        <f>SUMIFS([1]Sheet1!$T:$T,[1]Sheet1!$I:$I,E1071,[1]Sheet1!$C:$C,A1071)</f>
        <v>0</v>
      </c>
      <c r="T1071" s="10">
        <f t="shared" si="49"/>
        <v>0</v>
      </c>
      <c r="U1071" s="9"/>
      <c r="X1071" t="s">
        <v>39</v>
      </c>
      <c r="Y1071" t="s">
        <v>911</v>
      </c>
      <c r="Z1071" t="s">
        <v>113</v>
      </c>
      <c r="AB1071" t="str">
        <f t="shared" si="50"/>
        <v>19866</v>
      </c>
    </row>
    <row r="1072" ht="14.25" spans="1:28">
      <c r="A1072" s="5" t="s">
        <v>28</v>
      </c>
      <c r="B1072" s="5" t="s">
        <v>697</v>
      </c>
      <c r="C1072" s="5">
        <v>2027</v>
      </c>
      <c r="D1072" s="5" t="s">
        <v>30</v>
      </c>
      <c r="E1072" s="9" t="s">
        <v>963</v>
      </c>
      <c r="F1072" s="9" t="s">
        <v>961</v>
      </c>
      <c r="G1072" s="9" t="s">
        <v>906</v>
      </c>
      <c r="H1072" s="9" t="s">
        <v>964</v>
      </c>
      <c r="I1072" s="9" t="s">
        <v>112</v>
      </c>
      <c r="J1072" s="9" t="s">
        <v>36</v>
      </c>
      <c r="K1072" s="9">
        <v>990</v>
      </c>
      <c r="L1072" s="9"/>
      <c r="M1072" s="9"/>
      <c r="N1072" s="9"/>
      <c r="O1072" s="9" t="s">
        <v>113</v>
      </c>
      <c r="P1072" s="9" t="s">
        <v>113</v>
      </c>
      <c r="Q1072" s="9"/>
      <c r="R1072" s="10">
        <f t="shared" si="48"/>
        <v>0</v>
      </c>
      <c r="S1072" s="10">
        <f>SUMIFS([1]Sheet1!$T:$T,[1]Sheet1!$I:$I,E1072,[1]Sheet1!$C:$C,A1072)</f>
        <v>0</v>
      </c>
      <c r="T1072" s="10">
        <f t="shared" si="49"/>
        <v>0</v>
      </c>
      <c r="U1072" s="9"/>
      <c r="X1072" t="s">
        <v>70</v>
      </c>
      <c r="Y1072" t="s">
        <v>911</v>
      </c>
      <c r="Z1072" t="s">
        <v>113</v>
      </c>
      <c r="AB1072" t="str">
        <f t="shared" si="50"/>
        <v>19866</v>
      </c>
    </row>
    <row r="1073" ht="14.25" spans="1:28">
      <c r="A1073" s="5" t="s">
        <v>28</v>
      </c>
      <c r="B1073" s="5" t="s">
        <v>697</v>
      </c>
      <c r="C1073" s="5">
        <v>2027</v>
      </c>
      <c r="D1073" s="5" t="s">
        <v>30</v>
      </c>
      <c r="E1073" s="9" t="s">
        <v>965</v>
      </c>
      <c r="F1073" s="9" t="s">
        <v>966</v>
      </c>
      <c r="G1073" s="9" t="s">
        <v>189</v>
      </c>
      <c r="H1073" s="9" t="s">
        <v>967</v>
      </c>
      <c r="I1073" s="9" t="s">
        <v>119</v>
      </c>
      <c r="J1073" s="9" t="s">
        <v>36</v>
      </c>
      <c r="K1073" s="9">
        <v>1390</v>
      </c>
      <c r="L1073" s="9"/>
      <c r="M1073" s="9"/>
      <c r="N1073" s="9"/>
      <c r="O1073" s="9" t="s">
        <v>113</v>
      </c>
      <c r="P1073" s="9" t="s">
        <v>113</v>
      </c>
      <c r="Q1073" s="9"/>
      <c r="R1073" s="10">
        <f t="shared" si="48"/>
        <v>0</v>
      </c>
      <c r="S1073" s="10">
        <f>SUMIFS([1]Sheet1!$T:$T,[1]Sheet1!$I:$I,E1073,[1]Sheet1!$C:$C,A1073)</f>
        <v>0</v>
      </c>
      <c r="T1073" s="10">
        <f t="shared" si="49"/>
        <v>0</v>
      </c>
      <c r="U1073" s="9"/>
      <c r="X1073" t="s">
        <v>191</v>
      </c>
      <c r="Y1073" t="s">
        <v>841</v>
      </c>
      <c r="Z1073" t="s">
        <v>113</v>
      </c>
      <c r="AB1073" t="str">
        <f t="shared" si="50"/>
        <v>19870</v>
      </c>
    </row>
    <row r="1074" ht="14.25" spans="1:28">
      <c r="A1074" s="5" t="s">
        <v>28</v>
      </c>
      <c r="B1074" s="5" t="s">
        <v>697</v>
      </c>
      <c r="C1074" s="5">
        <v>2027</v>
      </c>
      <c r="D1074" s="5" t="s">
        <v>30</v>
      </c>
      <c r="E1074" s="9" t="s">
        <v>968</v>
      </c>
      <c r="F1074" s="9" t="s">
        <v>969</v>
      </c>
      <c r="G1074" s="9" t="s">
        <v>970</v>
      </c>
      <c r="H1074" s="9" t="s">
        <v>971</v>
      </c>
      <c r="I1074" s="9" t="s">
        <v>112</v>
      </c>
      <c r="J1074" s="9" t="s">
        <v>36</v>
      </c>
      <c r="K1074" s="9">
        <v>390</v>
      </c>
      <c r="L1074" s="9"/>
      <c r="M1074" s="9"/>
      <c r="N1074" s="9"/>
      <c r="O1074" s="9" t="s">
        <v>113</v>
      </c>
      <c r="P1074" s="9" t="s">
        <v>113</v>
      </c>
      <c r="Q1074" s="11">
        <v>100</v>
      </c>
      <c r="R1074" s="10">
        <f t="shared" si="48"/>
        <v>100</v>
      </c>
      <c r="S1074" s="10">
        <f>SUMIFS([1]Sheet1!$T:$T,[1]Sheet1!$I:$I,E1074,[1]Sheet1!$C:$C,A1074)</f>
        <v>100</v>
      </c>
      <c r="T1074" s="10">
        <f t="shared" si="49"/>
        <v>0</v>
      </c>
      <c r="U1074" s="9" t="s">
        <v>706</v>
      </c>
      <c r="V1074" t="s">
        <v>756</v>
      </c>
      <c r="W1074" t="s">
        <v>138</v>
      </c>
      <c r="X1074" t="s">
        <v>122</v>
      </c>
      <c r="Y1074" t="s">
        <v>114</v>
      </c>
      <c r="Z1074" t="s">
        <v>113</v>
      </c>
      <c r="AB1074" t="str">
        <f t="shared" si="50"/>
        <v>95041</v>
      </c>
    </row>
    <row r="1075" ht="14.25" spans="1:28">
      <c r="A1075" s="5" t="s">
        <v>28</v>
      </c>
      <c r="B1075" s="5" t="s">
        <v>697</v>
      </c>
      <c r="C1075" s="5">
        <v>2027</v>
      </c>
      <c r="D1075" s="5" t="s">
        <v>30</v>
      </c>
      <c r="E1075" s="9" t="s">
        <v>972</v>
      </c>
      <c r="F1075" s="9" t="s">
        <v>969</v>
      </c>
      <c r="G1075" s="9" t="s">
        <v>125</v>
      </c>
      <c r="H1075" s="9" t="s">
        <v>973</v>
      </c>
      <c r="I1075" s="9" t="s">
        <v>112</v>
      </c>
      <c r="J1075" s="9" t="s">
        <v>36</v>
      </c>
      <c r="K1075" s="9">
        <v>390</v>
      </c>
      <c r="L1075" s="9"/>
      <c r="M1075" s="9"/>
      <c r="N1075" s="9"/>
      <c r="O1075" s="9" t="s">
        <v>113</v>
      </c>
      <c r="P1075" s="9" t="s">
        <v>113</v>
      </c>
      <c r="Q1075" s="9"/>
      <c r="R1075" s="10">
        <f t="shared" si="48"/>
        <v>0</v>
      </c>
      <c r="S1075" s="10">
        <f>SUMIFS([1]Sheet1!$T:$T,[1]Sheet1!$I:$I,E1075,[1]Sheet1!$C:$C,A1075)</f>
        <v>0</v>
      </c>
      <c r="T1075" s="10">
        <f t="shared" si="49"/>
        <v>0</v>
      </c>
      <c r="U1075" s="9"/>
      <c r="X1075" t="s">
        <v>62</v>
      </c>
      <c r="Y1075" t="s">
        <v>114</v>
      </c>
      <c r="Z1075" t="s">
        <v>113</v>
      </c>
      <c r="AB1075" t="str">
        <f t="shared" si="50"/>
        <v>95041</v>
      </c>
    </row>
    <row r="1076" ht="14.25" spans="1:28">
      <c r="A1076" s="5" t="s">
        <v>28</v>
      </c>
      <c r="B1076" s="5" t="s">
        <v>697</v>
      </c>
      <c r="C1076" s="5">
        <v>2027</v>
      </c>
      <c r="D1076" s="5" t="s">
        <v>30</v>
      </c>
      <c r="E1076" s="9" t="s">
        <v>974</v>
      </c>
      <c r="F1076" s="9" t="s">
        <v>969</v>
      </c>
      <c r="G1076" s="9" t="s">
        <v>975</v>
      </c>
      <c r="H1076" s="9" t="s">
        <v>976</v>
      </c>
      <c r="I1076" s="9" t="s">
        <v>112</v>
      </c>
      <c r="J1076" s="9" t="s">
        <v>36</v>
      </c>
      <c r="K1076" s="9">
        <v>390</v>
      </c>
      <c r="L1076" s="9"/>
      <c r="M1076" s="9"/>
      <c r="N1076" s="9"/>
      <c r="O1076" s="9" t="s">
        <v>113</v>
      </c>
      <c r="P1076" s="9" t="s">
        <v>113</v>
      </c>
      <c r="Q1076" s="11">
        <v>100</v>
      </c>
      <c r="R1076" s="10">
        <f t="shared" si="48"/>
        <v>100</v>
      </c>
      <c r="S1076" s="10">
        <f>SUMIFS([1]Sheet1!$T:$T,[1]Sheet1!$I:$I,E1076,[1]Sheet1!$C:$C,A1076)</f>
        <v>100</v>
      </c>
      <c r="T1076" s="10">
        <f t="shared" si="49"/>
        <v>0</v>
      </c>
      <c r="U1076" s="9" t="s">
        <v>706</v>
      </c>
      <c r="V1076" t="s">
        <v>756</v>
      </c>
      <c r="W1076" t="s">
        <v>138</v>
      </c>
      <c r="X1076" t="s">
        <v>122</v>
      </c>
      <c r="Y1076" t="s">
        <v>114</v>
      </c>
      <c r="Z1076" t="s">
        <v>113</v>
      </c>
      <c r="AB1076" t="str">
        <f t="shared" si="50"/>
        <v>95041</v>
      </c>
    </row>
    <row r="1077" ht="14.25" spans="1:28">
      <c r="A1077" s="5" t="s">
        <v>28</v>
      </c>
      <c r="B1077" s="5" t="s">
        <v>697</v>
      </c>
      <c r="C1077" s="5">
        <v>2027</v>
      </c>
      <c r="D1077" s="5" t="s">
        <v>30</v>
      </c>
      <c r="E1077" s="9" t="s">
        <v>977</v>
      </c>
      <c r="F1077" s="9" t="s">
        <v>978</v>
      </c>
      <c r="G1077" s="9" t="s">
        <v>979</v>
      </c>
      <c r="H1077" s="9" t="s">
        <v>980</v>
      </c>
      <c r="I1077" s="9" t="s">
        <v>119</v>
      </c>
      <c r="J1077" s="9" t="s">
        <v>36</v>
      </c>
      <c r="K1077" s="9">
        <v>990</v>
      </c>
      <c r="L1077" s="9"/>
      <c r="M1077" s="9"/>
      <c r="N1077" s="9"/>
      <c r="O1077" s="9" t="s">
        <v>201</v>
      </c>
      <c r="P1077" s="9" t="s">
        <v>79</v>
      </c>
      <c r="Q1077" s="9"/>
      <c r="R1077" s="10">
        <f t="shared" si="48"/>
        <v>0</v>
      </c>
      <c r="S1077" s="10">
        <f>SUMIFS([1]Sheet1!$T:$T,[1]Sheet1!$I:$I,E1077,[1]Sheet1!$C:$C,A1077)</f>
        <v>20</v>
      </c>
      <c r="T1077" s="10">
        <f t="shared" si="49"/>
        <v>-20</v>
      </c>
      <c r="U1077" s="9" t="s">
        <v>706</v>
      </c>
      <c r="V1077" t="s">
        <v>981</v>
      </c>
      <c r="W1077" t="s">
        <v>138</v>
      </c>
      <c r="Y1077" t="s">
        <v>982</v>
      </c>
      <c r="Z1077" t="s">
        <v>113</v>
      </c>
      <c r="AB1077" t="str">
        <f t="shared" si="50"/>
        <v>05367</v>
      </c>
    </row>
    <row r="1078" ht="14.25" spans="1:28">
      <c r="A1078" s="5" t="s">
        <v>28</v>
      </c>
      <c r="B1078" s="5" t="s">
        <v>697</v>
      </c>
      <c r="C1078" s="5">
        <v>2027</v>
      </c>
      <c r="D1078" s="5" t="s">
        <v>30</v>
      </c>
      <c r="E1078" s="9" t="s">
        <v>977</v>
      </c>
      <c r="F1078" s="9" t="s">
        <v>978</v>
      </c>
      <c r="G1078" s="9" t="s">
        <v>979</v>
      </c>
      <c r="H1078" s="9" t="s">
        <v>980</v>
      </c>
      <c r="I1078" s="9" t="s">
        <v>119</v>
      </c>
      <c r="J1078" s="9" t="s">
        <v>36</v>
      </c>
      <c r="K1078" s="9">
        <v>990</v>
      </c>
      <c r="L1078" s="9"/>
      <c r="M1078" s="9"/>
      <c r="N1078" s="9"/>
      <c r="O1078" s="9" t="s">
        <v>201</v>
      </c>
      <c r="P1078" s="9" t="s">
        <v>203</v>
      </c>
      <c r="Q1078" s="9"/>
      <c r="R1078" s="10"/>
      <c r="S1078" s="10"/>
      <c r="T1078" s="10"/>
      <c r="U1078" s="9" t="s">
        <v>706</v>
      </c>
      <c r="V1078" t="s">
        <v>981</v>
      </c>
      <c r="W1078" t="s">
        <v>138</v>
      </c>
      <c r="Y1078" t="s">
        <v>982</v>
      </c>
      <c r="Z1078" t="s">
        <v>113</v>
      </c>
      <c r="AB1078" t="str">
        <f t="shared" si="50"/>
        <v>05367</v>
      </c>
    </row>
    <row r="1079" ht="14.25" spans="1:28">
      <c r="A1079" s="5" t="s">
        <v>28</v>
      </c>
      <c r="B1079" s="5" t="s">
        <v>697</v>
      </c>
      <c r="C1079" s="5">
        <v>2027</v>
      </c>
      <c r="D1079" s="5" t="s">
        <v>30</v>
      </c>
      <c r="E1079" s="9" t="s">
        <v>977</v>
      </c>
      <c r="F1079" s="9" t="s">
        <v>978</v>
      </c>
      <c r="G1079" s="9" t="s">
        <v>979</v>
      </c>
      <c r="H1079" s="9" t="s">
        <v>980</v>
      </c>
      <c r="I1079" s="9" t="s">
        <v>119</v>
      </c>
      <c r="J1079" s="9" t="s">
        <v>36</v>
      </c>
      <c r="K1079" s="9">
        <v>990</v>
      </c>
      <c r="L1079" s="9"/>
      <c r="M1079" s="9"/>
      <c r="N1079" s="9"/>
      <c r="O1079" s="9" t="s">
        <v>201</v>
      </c>
      <c r="P1079" s="9" t="s">
        <v>204</v>
      </c>
      <c r="Q1079" s="9"/>
      <c r="R1079" s="10"/>
      <c r="S1079" s="10"/>
      <c r="T1079" s="10"/>
      <c r="U1079" s="9" t="s">
        <v>706</v>
      </c>
      <c r="V1079" t="s">
        <v>981</v>
      </c>
      <c r="W1079" t="s">
        <v>138</v>
      </c>
      <c r="Y1079" t="s">
        <v>982</v>
      </c>
      <c r="Z1079" t="s">
        <v>113</v>
      </c>
      <c r="AB1079" t="str">
        <f t="shared" si="50"/>
        <v>05367</v>
      </c>
    </row>
    <row r="1080" ht="14.25" spans="1:28">
      <c r="A1080" s="5" t="s">
        <v>28</v>
      </c>
      <c r="B1080" s="5" t="s">
        <v>697</v>
      </c>
      <c r="C1080" s="5">
        <v>2027</v>
      </c>
      <c r="D1080" s="5" t="s">
        <v>30</v>
      </c>
      <c r="E1080" s="9" t="s">
        <v>977</v>
      </c>
      <c r="F1080" s="9" t="s">
        <v>978</v>
      </c>
      <c r="G1080" s="9" t="s">
        <v>979</v>
      </c>
      <c r="H1080" s="9" t="s">
        <v>980</v>
      </c>
      <c r="I1080" s="9" t="s">
        <v>119</v>
      </c>
      <c r="J1080" s="9" t="s">
        <v>36</v>
      </c>
      <c r="K1080" s="9">
        <v>990</v>
      </c>
      <c r="L1080" s="9"/>
      <c r="M1080" s="9"/>
      <c r="N1080" s="9"/>
      <c r="O1080" s="9" t="s">
        <v>201</v>
      </c>
      <c r="P1080" s="9" t="s">
        <v>205</v>
      </c>
      <c r="Q1080" s="9"/>
      <c r="R1080" s="10"/>
      <c r="S1080" s="10"/>
      <c r="T1080" s="10"/>
      <c r="U1080" s="9" t="s">
        <v>706</v>
      </c>
      <c r="V1080" t="s">
        <v>981</v>
      </c>
      <c r="W1080" t="s">
        <v>138</v>
      </c>
      <c r="Y1080" t="s">
        <v>982</v>
      </c>
      <c r="Z1080" t="s">
        <v>113</v>
      </c>
      <c r="AB1080" t="str">
        <f t="shared" si="50"/>
        <v>05367</v>
      </c>
    </row>
    <row r="1081" ht="14.25" spans="1:28">
      <c r="A1081" s="5" t="s">
        <v>28</v>
      </c>
      <c r="B1081" s="5" t="s">
        <v>697</v>
      </c>
      <c r="C1081" s="5">
        <v>2027</v>
      </c>
      <c r="D1081" s="5" t="s">
        <v>30</v>
      </c>
      <c r="E1081" s="9" t="s">
        <v>977</v>
      </c>
      <c r="F1081" s="9" t="s">
        <v>978</v>
      </c>
      <c r="G1081" s="9" t="s">
        <v>979</v>
      </c>
      <c r="H1081" s="9" t="s">
        <v>980</v>
      </c>
      <c r="I1081" s="9" t="s">
        <v>119</v>
      </c>
      <c r="J1081" s="9" t="s">
        <v>36</v>
      </c>
      <c r="K1081" s="9">
        <v>990</v>
      </c>
      <c r="L1081" s="9"/>
      <c r="M1081" s="9"/>
      <c r="N1081" s="9"/>
      <c r="O1081" s="9" t="s">
        <v>201</v>
      </c>
      <c r="P1081" s="9" t="s">
        <v>206</v>
      </c>
      <c r="Q1081" s="9"/>
      <c r="R1081" s="10"/>
      <c r="S1081" s="10"/>
      <c r="T1081" s="10"/>
      <c r="U1081" s="9" t="s">
        <v>706</v>
      </c>
      <c r="V1081" t="s">
        <v>981</v>
      </c>
      <c r="W1081" t="s">
        <v>138</v>
      </c>
      <c r="Y1081" t="s">
        <v>982</v>
      </c>
      <c r="Z1081" t="s">
        <v>113</v>
      </c>
      <c r="AB1081" t="str">
        <f t="shared" si="50"/>
        <v>05367</v>
      </c>
    </row>
    <row r="1082" ht="14.25" spans="1:28">
      <c r="A1082" s="5" t="s">
        <v>28</v>
      </c>
      <c r="B1082" s="5" t="s">
        <v>697</v>
      </c>
      <c r="C1082" s="5">
        <v>2027</v>
      </c>
      <c r="D1082" s="5" t="s">
        <v>30</v>
      </c>
      <c r="E1082" s="9" t="s">
        <v>977</v>
      </c>
      <c r="F1082" s="9" t="s">
        <v>978</v>
      </c>
      <c r="G1082" s="9" t="s">
        <v>979</v>
      </c>
      <c r="H1082" s="9" t="s">
        <v>980</v>
      </c>
      <c r="I1082" s="9" t="s">
        <v>119</v>
      </c>
      <c r="J1082" s="9" t="s">
        <v>36</v>
      </c>
      <c r="K1082" s="9">
        <v>990</v>
      </c>
      <c r="L1082" s="9"/>
      <c r="M1082" s="9"/>
      <c r="N1082" s="9"/>
      <c r="O1082" s="9" t="s">
        <v>201</v>
      </c>
      <c r="P1082" s="9" t="s">
        <v>207</v>
      </c>
      <c r="Q1082" s="9"/>
      <c r="R1082" s="10"/>
      <c r="S1082" s="10"/>
      <c r="T1082" s="10"/>
      <c r="U1082" s="9" t="s">
        <v>706</v>
      </c>
      <c r="V1082" t="s">
        <v>981</v>
      </c>
      <c r="W1082" t="s">
        <v>138</v>
      </c>
      <c r="Y1082" t="s">
        <v>982</v>
      </c>
      <c r="Z1082" t="s">
        <v>113</v>
      </c>
      <c r="AB1082" t="str">
        <f t="shared" si="50"/>
        <v>05367</v>
      </c>
    </row>
    <row r="1083" ht="14.25" spans="1:28">
      <c r="A1083" s="5" t="s">
        <v>28</v>
      </c>
      <c r="B1083" s="5" t="s">
        <v>697</v>
      </c>
      <c r="C1083" s="5">
        <v>2027</v>
      </c>
      <c r="D1083" s="5" t="s">
        <v>30</v>
      </c>
      <c r="E1083" s="9" t="s">
        <v>977</v>
      </c>
      <c r="F1083" s="9" t="s">
        <v>978</v>
      </c>
      <c r="G1083" s="9" t="s">
        <v>979</v>
      </c>
      <c r="H1083" s="9" t="s">
        <v>980</v>
      </c>
      <c r="I1083" s="9" t="s">
        <v>119</v>
      </c>
      <c r="J1083" s="9" t="s">
        <v>36</v>
      </c>
      <c r="K1083" s="9">
        <v>990</v>
      </c>
      <c r="L1083" s="9"/>
      <c r="M1083" s="9"/>
      <c r="N1083" s="9"/>
      <c r="O1083" s="9" t="s">
        <v>201</v>
      </c>
      <c r="P1083" s="9" t="s">
        <v>208</v>
      </c>
      <c r="Q1083" s="9"/>
      <c r="R1083" s="10"/>
      <c r="S1083" s="10"/>
      <c r="T1083" s="10"/>
      <c r="U1083" s="9" t="s">
        <v>706</v>
      </c>
      <c r="V1083" t="s">
        <v>981</v>
      </c>
      <c r="W1083" t="s">
        <v>138</v>
      </c>
      <c r="Y1083" t="s">
        <v>982</v>
      </c>
      <c r="Z1083" t="s">
        <v>113</v>
      </c>
      <c r="AB1083" t="str">
        <f t="shared" si="50"/>
        <v>05367</v>
      </c>
    </row>
    <row r="1084" ht="14.25" spans="1:28">
      <c r="A1084" s="5" t="s">
        <v>28</v>
      </c>
      <c r="B1084" s="5" t="s">
        <v>697</v>
      </c>
      <c r="C1084" s="5">
        <v>2027</v>
      </c>
      <c r="D1084" s="5" t="s">
        <v>30</v>
      </c>
      <c r="E1084" s="9" t="s">
        <v>977</v>
      </c>
      <c r="F1084" s="9" t="s">
        <v>978</v>
      </c>
      <c r="G1084" s="9" t="s">
        <v>979</v>
      </c>
      <c r="H1084" s="9" t="s">
        <v>980</v>
      </c>
      <c r="I1084" s="9" t="s">
        <v>119</v>
      </c>
      <c r="J1084" s="9" t="s">
        <v>36</v>
      </c>
      <c r="K1084" s="9">
        <v>990</v>
      </c>
      <c r="L1084" s="9"/>
      <c r="M1084" s="9"/>
      <c r="N1084" s="9"/>
      <c r="O1084" s="9" t="s">
        <v>201</v>
      </c>
      <c r="P1084" s="9" t="s">
        <v>209</v>
      </c>
      <c r="Q1084" s="9"/>
      <c r="R1084" s="10"/>
      <c r="S1084" s="10"/>
      <c r="T1084" s="10"/>
      <c r="U1084" s="9" t="s">
        <v>706</v>
      </c>
      <c r="V1084" t="s">
        <v>981</v>
      </c>
      <c r="W1084" t="s">
        <v>138</v>
      </c>
      <c r="Y1084" t="s">
        <v>982</v>
      </c>
      <c r="Z1084" t="s">
        <v>113</v>
      </c>
      <c r="AB1084" t="str">
        <f t="shared" si="50"/>
        <v>05367</v>
      </c>
    </row>
    <row r="1085" ht="14.25" spans="1:28">
      <c r="A1085" s="5" t="s">
        <v>28</v>
      </c>
      <c r="B1085" s="5" t="s">
        <v>697</v>
      </c>
      <c r="C1085" s="5">
        <v>2027</v>
      </c>
      <c r="D1085" s="5" t="s">
        <v>30</v>
      </c>
      <c r="E1085" s="9" t="s">
        <v>977</v>
      </c>
      <c r="F1085" s="9" t="s">
        <v>978</v>
      </c>
      <c r="G1085" s="9" t="s">
        <v>979</v>
      </c>
      <c r="H1085" s="9" t="s">
        <v>980</v>
      </c>
      <c r="I1085" s="9" t="s">
        <v>119</v>
      </c>
      <c r="J1085" s="9" t="s">
        <v>36</v>
      </c>
      <c r="K1085" s="9">
        <v>990</v>
      </c>
      <c r="L1085" s="9"/>
      <c r="M1085" s="9"/>
      <c r="N1085" s="9"/>
      <c r="O1085" s="9" t="s">
        <v>201</v>
      </c>
      <c r="P1085" s="9" t="s">
        <v>210</v>
      </c>
      <c r="Q1085" s="9"/>
      <c r="R1085" s="10"/>
      <c r="S1085" s="10"/>
      <c r="T1085" s="10"/>
      <c r="U1085" s="9" t="s">
        <v>706</v>
      </c>
      <c r="V1085" t="s">
        <v>981</v>
      </c>
      <c r="W1085" t="s">
        <v>138</v>
      </c>
      <c r="Y1085" t="s">
        <v>982</v>
      </c>
      <c r="Z1085" t="s">
        <v>113</v>
      </c>
      <c r="AB1085" t="str">
        <f t="shared" si="50"/>
        <v>05367</v>
      </c>
    </row>
    <row r="1086" ht="14.25" spans="1:28">
      <c r="A1086" s="5" t="s">
        <v>28</v>
      </c>
      <c r="B1086" s="5" t="s">
        <v>697</v>
      </c>
      <c r="C1086" s="5">
        <v>2027</v>
      </c>
      <c r="D1086" s="5" t="s">
        <v>30</v>
      </c>
      <c r="E1086" s="9" t="s">
        <v>983</v>
      </c>
      <c r="F1086" s="9" t="s">
        <v>978</v>
      </c>
      <c r="G1086" s="9" t="s">
        <v>262</v>
      </c>
      <c r="H1086" s="9" t="s">
        <v>984</v>
      </c>
      <c r="I1086" s="9" t="s">
        <v>119</v>
      </c>
      <c r="J1086" s="9" t="s">
        <v>36</v>
      </c>
      <c r="K1086" s="9">
        <v>990</v>
      </c>
      <c r="L1086" s="9"/>
      <c r="M1086" s="9"/>
      <c r="N1086" s="9"/>
      <c r="O1086" s="9" t="s">
        <v>201</v>
      </c>
      <c r="P1086" s="9" t="s">
        <v>79</v>
      </c>
      <c r="Q1086" s="9"/>
      <c r="R1086" s="10">
        <f t="shared" si="48"/>
        <v>0</v>
      </c>
      <c r="S1086" s="10">
        <f>SUMIFS([1]Sheet1!$T:$T,[1]Sheet1!$I:$I,E1086,[1]Sheet1!$C:$C,A1086)</f>
        <v>0</v>
      </c>
      <c r="T1086" s="10">
        <f t="shared" si="49"/>
        <v>0</v>
      </c>
      <c r="U1086" s="9"/>
      <c r="Y1086" t="s">
        <v>982</v>
      </c>
      <c r="Z1086" t="s">
        <v>113</v>
      </c>
      <c r="AB1086" t="str">
        <f t="shared" si="50"/>
        <v>05367</v>
      </c>
    </row>
    <row r="1087" ht="14.25" spans="1:28">
      <c r="A1087" s="5" t="s">
        <v>28</v>
      </c>
      <c r="B1087" s="5" t="s">
        <v>697</v>
      </c>
      <c r="C1087" s="5">
        <v>2027</v>
      </c>
      <c r="D1087" s="5" t="s">
        <v>30</v>
      </c>
      <c r="E1087" s="9" t="s">
        <v>983</v>
      </c>
      <c r="F1087" s="9" t="s">
        <v>978</v>
      </c>
      <c r="G1087" s="9" t="s">
        <v>262</v>
      </c>
      <c r="H1087" s="9" t="s">
        <v>984</v>
      </c>
      <c r="I1087" s="9" t="s">
        <v>119</v>
      </c>
      <c r="J1087" s="9" t="s">
        <v>36</v>
      </c>
      <c r="K1087" s="9">
        <v>990</v>
      </c>
      <c r="L1087" s="9"/>
      <c r="M1087" s="9"/>
      <c r="N1087" s="9"/>
      <c r="O1087" s="9" t="s">
        <v>201</v>
      </c>
      <c r="P1087" s="9" t="s">
        <v>203</v>
      </c>
      <c r="Q1087" s="9"/>
      <c r="R1087" s="10"/>
      <c r="S1087" s="10"/>
      <c r="T1087" s="10"/>
      <c r="U1087" s="9"/>
      <c r="Y1087" t="s">
        <v>982</v>
      </c>
      <c r="Z1087" t="s">
        <v>113</v>
      </c>
      <c r="AB1087" t="str">
        <f t="shared" si="50"/>
        <v>05367</v>
      </c>
    </row>
    <row r="1088" ht="14.25" spans="1:28">
      <c r="A1088" s="5" t="s">
        <v>28</v>
      </c>
      <c r="B1088" s="5" t="s">
        <v>697</v>
      </c>
      <c r="C1088" s="5">
        <v>2027</v>
      </c>
      <c r="D1088" s="5" t="s">
        <v>30</v>
      </c>
      <c r="E1088" s="9" t="s">
        <v>983</v>
      </c>
      <c r="F1088" s="9" t="s">
        <v>978</v>
      </c>
      <c r="G1088" s="9" t="s">
        <v>262</v>
      </c>
      <c r="H1088" s="9" t="s">
        <v>984</v>
      </c>
      <c r="I1088" s="9" t="s">
        <v>119</v>
      </c>
      <c r="J1088" s="9" t="s">
        <v>36</v>
      </c>
      <c r="K1088" s="9">
        <v>990</v>
      </c>
      <c r="L1088" s="9"/>
      <c r="M1088" s="9"/>
      <c r="N1088" s="9"/>
      <c r="O1088" s="9" t="s">
        <v>201</v>
      </c>
      <c r="P1088" s="9" t="s">
        <v>204</v>
      </c>
      <c r="Q1088" s="9"/>
      <c r="R1088" s="10"/>
      <c r="S1088" s="10"/>
      <c r="T1088" s="10"/>
      <c r="U1088" s="9"/>
      <c r="Y1088" t="s">
        <v>982</v>
      </c>
      <c r="Z1088" t="s">
        <v>113</v>
      </c>
      <c r="AB1088" t="str">
        <f t="shared" si="50"/>
        <v>05367</v>
      </c>
    </row>
    <row r="1089" ht="14.25" spans="1:28">
      <c r="A1089" s="5" t="s">
        <v>28</v>
      </c>
      <c r="B1089" s="5" t="s">
        <v>697</v>
      </c>
      <c r="C1089" s="5">
        <v>2027</v>
      </c>
      <c r="D1089" s="5" t="s">
        <v>30</v>
      </c>
      <c r="E1089" s="9" t="s">
        <v>983</v>
      </c>
      <c r="F1089" s="9" t="s">
        <v>978</v>
      </c>
      <c r="G1089" s="9" t="s">
        <v>262</v>
      </c>
      <c r="H1089" s="9" t="s">
        <v>984</v>
      </c>
      <c r="I1089" s="9" t="s">
        <v>119</v>
      </c>
      <c r="J1089" s="9" t="s">
        <v>36</v>
      </c>
      <c r="K1089" s="9">
        <v>990</v>
      </c>
      <c r="L1089" s="9"/>
      <c r="M1089" s="9"/>
      <c r="N1089" s="9"/>
      <c r="O1089" s="9" t="s">
        <v>201</v>
      </c>
      <c r="P1089" s="9" t="s">
        <v>205</v>
      </c>
      <c r="Q1089" s="9"/>
      <c r="R1089" s="10"/>
      <c r="S1089" s="10"/>
      <c r="T1089" s="10"/>
      <c r="U1089" s="9"/>
      <c r="Y1089" t="s">
        <v>982</v>
      </c>
      <c r="Z1089" t="s">
        <v>113</v>
      </c>
      <c r="AB1089" t="str">
        <f t="shared" si="50"/>
        <v>05367</v>
      </c>
    </row>
    <row r="1090" ht="14.25" spans="1:28">
      <c r="A1090" s="5" t="s">
        <v>28</v>
      </c>
      <c r="B1090" s="5" t="s">
        <v>697</v>
      </c>
      <c r="C1090" s="5">
        <v>2027</v>
      </c>
      <c r="D1090" s="5" t="s">
        <v>30</v>
      </c>
      <c r="E1090" s="9" t="s">
        <v>983</v>
      </c>
      <c r="F1090" s="9" t="s">
        <v>978</v>
      </c>
      <c r="G1090" s="9" t="s">
        <v>262</v>
      </c>
      <c r="H1090" s="9" t="s">
        <v>984</v>
      </c>
      <c r="I1090" s="9" t="s">
        <v>119</v>
      </c>
      <c r="J1090" s="9" t="s">
        <v>36</v>
      </c>
      <c r="K1090" s="9">
        <v>990</v>
      </c>
      <c r="L1090" s="9"/>
      <c r="M1090" s="9"/>
      <c r="N1090" s="9"/>
      <c r="O1090" s="9" t="s">
        <v>201</v>
      </c>
      <c r="P1090" s="9" t="s">
        <v>206</v>
      </c>
      <c r="Q1090" s="9"/>
      <c r="R1090" s="10"/>
      <c r="S1090" s="10"/>
      <c r="T1090" s="10"/>
      <c r="U1090" s="9"/>
      <c r="Y1090" t="s">
        <v>982</v>
      </c>
      <c r="Z1090" t="s">
        <v>113</v>
      </c>
      <c r="AB1090" t="str">
        <f t="shared" si="50"/>
        <v>05367</v>
      </c>
    </row>
    <row r="1091" ht="14.25" spans="1:28">
      <c r="A1091" s="5" t="s">
        <v>28</v>
      </c>
      <c r="B1091" s="5" t="s">
        <v>697</v>
      </c>
      <c r="C1091" s="5">
        <v>2027</v>
      </c>
      <c r="D1091" s="5" t="s">
        <v>30</v>
      </c>
      <c r="E1091" s="9" t="s">
        <v>983</v>
      </c>
      <c r="F1091" s="9" t="s">
        <v>978</v>
      </c>
      <c r="G1091" s="9" t="s">
        <v>262</v>
      </c>
      <c r="H1091" s="9" t="s">
        <v>984</v>
      </c>
      <c r="I1091" s="9" t="s">
        <v>119</v>
      </c>
      <c r="J1091" s="9" t="s">
        <v>36</v>
      </c>
      <c r="K1091" s="9">
        <v>990</v>
      </c>
      <c r="L1091" s="9"/>
      <c r="M1091" s="9"/>
      <c r="N1091" s="9"/>
      <c r="O1091" s="9" t="s">
        <v>201</v>
      </c>
      <c r="P1091" s="9" t="s">
        <v>207</v>
      </c>
      <c r="Q1091" s="9"/>
      <c r="R1091" s="10"/>
      <c r="S1091" s="10"/>
      <c r="T1091" s="10"/>
      <c r="U1091" s="9"/>
      <c r="Y1091" t="s">
        <v>982</v>
      </c>
      <c r="Z1091" t="s">
        <v>113</v>
      </c>
      <c r="AB1091" t="str">
        <f t="shared" ref="AB1091:AB1154" si="51">MID(E1091,6,5)</f>
        <v>05367</v>
      </c>
    </row>
    <row r="1092" ht="14.25" spans="1:28">
      <c r="A1092" s="5" t="s">
        <v>28</v>
      </c>
      <c r="B1092" s="5" t="s">
        <v>697</v>
      </c>
      <c r="C1092" s="5">
        <v>2027</v>
      </c>
      <c r="D1092" s="5" t="s">
        <v>30</v>
      </c>
      <c r="E1092" s="9" t="s">
        <v>983</v>
      </c>
      <c r="F1092" s="9" t="s">
        <v>978</v>
      </c>
      <c r="G1092" s="9" t="s">
        <v>262</v>
      </c>
      <c r="H1092" s="9" t="s">
        <v>984</v>
      </c>
      <c r="I1092" s="9" t="s">
        <v>119</v>
      </c>
      <c r="J1092" s="9" t="s">
        <v>36</v>
      </c>
      <c r="K1092" s="9">
        <v>990</v>
      </c>
      <c r="L1092" s="9"/>
      <c r="M1092" s="9"/>
      <c r="N1092" s="9"/>
      <c r="O1092" s="9" t="s">
        <v>201</v>
      </c>
      <c r="P1092" s="9" t="s">
        <v>208</v>
      </c>
      <c r="Q1092" s="9"/>
      <c r="R1092" s="10"/>
      <c r="S1092" s="10"/>
      <c r="T1092" s="10"/>
      <c r="U1092" s="9"/>
      <c r="Y1092" t="s">
        <v>982</v>
      </c>
      <c r="Z1092" t="s">
        <v>113</v>
      </c>
      <c r="AB1092" t="str">
        <f t="shared" si="51"/>
        <v>05367</v>
      </c>
    </row>
    <row r="1093" ht="14.25" spans="1:28">
      <c r="A1093" s="5" t="s">
        <v>28</v>
      </c>
      <c r="B1093" s="5" t="s">
        <v>697</v>
      </c>
      <c r="C1093" s="5">
        <v>2027</v>
      </c>
      <c r="D1093" s="5" t="s">
        <v>30</v>
      </c>
      <c r="E1093" s="9" t="s">
        <v>983</v>
      </c>
      <c r="F1093" s="9" t="s">
        <v>978</v>
      </c>
      <c r="G1093" s="9" t="s">
        <v>262</v>
      </c>
      <c r="H1093" s="9" t="s">
        <v>984</v>
      </c>
      <c r="I1093" s="9" t="s">
        <v>119</v>
      </c>
      <c r="J1093" s="9" t="s">
        <v>36</v>
      </c>
      <c r="K1093" s="9">
        <v>990</v>
      </c>
      <c r="L1093" s="9"/>
      <c r="M1093" s="9"/>
      <c r="N1093" s="9"/>
      <c r="O1093" s="9" t="s">
        <v>201</v>
      </c>
      <c r="P1093" s="9" t="s">
        <v>209</v>
      </c>
      <c r="Q1093" s="9"/>
      <c r="R1093" s="10"/>
      <c r="S1093" s="10"/>
      <c r="T1093" s="10"/>
      <c r="U1093" s="9"/>
      <c r="Y1093" t="s">
        <v>982</v>
      </c>
      <c r="Z1093" t="s">
        <v>113</v>
      </c>
      <c r="AB1093" t="str">
        <f t="shared" si="51"/>
        <v>05367</v>
      </c>
    </row>
    <row r="1094" ht="14.25" spans="1:28">
      <c r="A1094" s="5" t="s">
        <v>28</v>
      </c>
      <c r="B1094" s="5" t="s">
        <v>697</v>
      </c>
      <c r="C1094" s="5">
        <v>2027</v>
      </c>
      <c r="D1094" s="5" t="s">
        <v>30</v>
      </c>
      <c r="E1094" s="9" t="s">
        <v>983</v>
      </c>
      <c r="F1094" s="9" t="s">
        <v>978</v>
      </c>
      <c r="G1094" s="9" t="s">
        <v>262</v>
      </c>
      <c r="H1094" s="9" t="s">
        <v>984</v>
      </c>
      <c r="I1094" s="9" t="s">
        <v>119</v>
      </c>
      <c r="J1094" s="9" t="s">
        <v>36</v>
      </c>
      <c r="K1094" s="9">
        <v>990</v>
      </c>
      <c r="L1094" s="9"/>
      <c r="M1094" s="9"/>
      <c r="N1094" s="9"/>
      <c r="O1094" s="9" t="s">
        <v>201</v>
      </c>
      <c r="P1094" s="9" t="s">
        <v>210</v>
      </c>
      <c r="Q1094" s="9"/>
      <c r="R1094" s="10"/>
      <c r="S1094" s="10"/>
      <c r="T1094" s="10"/>
      <c r="U1094" s="9"/>
      <c r="Y1094" t="s">
        <v>982</v>
      </c>
      <c r="Z1094" t="s">
        <v>113</v>
      </c>
      <c r="AB1094" t="str">
        <f t="shared" si="51"/>
        <v>05367</v>
      </c>
    </row>
    <row r="1095" ht="14.25" spans="1:28">
      <c r="A1095" s="5" t="s">
        <v>28</v>
      </c>
      <c r="B1095" s="5" t="s">
        <v>697</v>
      </c>
      <c r="C1095" s="5">
        <v>2027</v>
      </c>
      <c r="D1095" s="5" t="s">
        <v>30</v>
      </c>
      <c r="E1095" s="9" t="s">
        <v>985</v>
      </c>
      <c r="F1095" s="9" t="s">
        <v>978</v>
      </c>
      <c r="G1095" s="9" t="s">
        <v>100</v>
      </c>
      <c r="H1095" s="9" t="s">
        <v>986</v>
      </c>
      <c r="I1095" s="9" t="s">
        <v>119</v>
      </c>
      <c r="J1095" s="9" t="s">
        <v>36</v>
      </c>
      <c r="K1095" s="9">
        <v>990</v>
      </c>
      <c r="L1095" s="9"/>
      <c r="M1095" s="9"/>
      <c r="N1095" s="9"/>
      <c r="O1095" s="9" t="s">
        <v>201</v>
      </c>
      <c r="P1095" s="9" t="s">
        <v>79</v>
      </c>
      <c r="Q1095" s="9"/>
      <c r="R1095" s="10">
        <f t="shared" ref="R1090:R1153" si="52">SUMIFS(Q:Q,E:E,E1095)</f>
        <v>0</v>
      </c>
      <c r="S1095" s="10">
        <f>SUMIFS([1]Sheet1!$T:$T,[1]Sheet1!$I:$I,E1095,[1]Sheet1!$C:$C,A1095)</f>
        <v>0</v>
      </c>
      <c r="T1095" s="10">
        <f t="shared" ref="T1090:T1153" si="53">R1095-S1095</f>
        <v>0</v>
      </c>
      <c r="U1095" s="9"/>
      <c r="X1095" t="s">
        <v>102</v>
      </c>
      <c r="Y1095" t="s">
        <v>982</v>
      </c>
      <c r="Z1095" t="s">
        <v>113</v>
      </c>
      <c r="AB1095" t="str">
        <f t="shared" si="51"/>
        <v>05367</v>
      </c>
    </row>
    <row r="1096" ht="14.25" spans="1:28">
      <c r="A1096" s="5" t="s">
        <v>28</v>
      </c>
      <c r="B1096" s="5" t="s">
        <v>697</v>
      </c>
      <c r="C1096" s="5">
        <v>2027</v>
      </c>
      <c r="D1096" s="5" t="s">
        <v>30</v>
      </c>
      <c r="E1096" s="9" t="s">
        <v>985</v>
      </c>
      <c r="F1096" s="9" t="s">
        <v>978</v>
      </c>
      <c r="G1096" s="9" t="s">
        <v>100</v>
      </c>
      <c r="H1096" s="9" t="s">
        <v>986</v>
      </c>
      <c r="I1096" s="9" t="s">
        <v>119</v>
      </c>
      <c r="J1096" s="9" t="s">
        <v>36</v>
      </c>
      <c r="K1096" s="9">
        <v>990</v>
      </c>
      <c r="L1096" s="9"/>
      <c r="M1096" s="9"/>
      <c r="N1096" s="9"/>
      <c r="O1096" s="9" t="s">
        <v>201</v>
      </c>
      <c r="P1096" s="9" t="s">
        <v>203</v>
      </c>
      <c r="Q1096" s="9"/>
      <c r="R1096" s="10"/>
      <c r="S1096" s="10"/>
      <c r="T1096" s="10"/>
      <c r="U1096" s="9"/>
      <c r="X1096" t="s">
        <v>102</v>
      </c>
      <c r="Y1096" t="s">
        <v>982</v>
      </c>
      <c r="Z1096" t="s">
        <v>113</v>
      </c>
      <c r="AB1096" t="str">
        <f t="shared" si="51"/>
        <v>05367</v>
      </c>
    </row>
    <row r="1097" ht="14.25" spans="1:28">
      <c r="A1097" s="5" t="s">
        <v>28</v>
      </c>
      <c r="B1097" s="5" t="s">
        <v>697</v>
      </c>
      <c r="C1097" s="5">
        <v>2027</v>
      </c>
      <c r="D1097" s="5" t="s">
        <v>30</v>
      </c>
      <c r="E1097" s="9" t="s">
        <v>985</v>
      </c>
      <c r="F1097" s="9" t="s">
        <v>978</v>
      </c>
      <c r="G1097" s="9" t="s">
        <v>100</v>
      </c>
      <c r="H1097" s="9" t="s">
        <v>986</v>
      </c>
      <c r="I1097" s="9" t="s">
        <v>119</v>
      </c>
      <c r="J1097" s="9" t="s">
        <v>36</v>
      </c>
      <c r="K1097" s="9">
        <v>990</v>
      </c>
      <c r="L1097" s="9"/>
      <c r="M1097" s="9"/>
      <c r="N1097" s="9"/>
      <c r="O1097" s="9" t="s">
        <v>201</v>
      </c>
      <c r="P1097" s="9" t="s">
        <v>204</v>
      </c>
      <c r="Q1097" s="9"/>
      <c r="R1097" s="10"/>
      <c r="S1097" s="10"/>
      <c r="T1097" s="10"/>
      <c r="U1097" s="9"/>
      <c r="X1097" t="s">
        <v>102</v>
      </c>
      <c r="Y1097" t="s">
        <v>982</v>
      </c>
      <c r="Z1097" t="s">
        <v>113</v>
      </c>
      <c r="AB1097" t="str">
        <f t="shared" si="51"/>
        <v>05367</v>
      </c>
    </row>
    <row r="1098" ht="14.25" spans="1:28">
      <c r="A1098" s="5" t="s">
        <v>28</v>
      </c>
      <c r="B1098" s="5" t="s">
        <v>697</v>
      </c>
      <c r="C1098" s="5">
        <v>2027</v>
      </c>
      <c r="D1098" s="5" t="s">
        <v>30</v>
      </c>
      <c r="E1098" s="9" t="s">
        <v>985</v>
      </c>
      <c r="F1098" s="9" t="s">
        <v>978</v>
      </c>
      <c r="G1098" s="9" t="s">
        <v>100</v>
      </c>
      <c r="H1098" s="9" t="s">
        <v>986</v>
      </c>
      <c r="I1098" s="9" t="s">
        <v>119</v>
      </c>
      <c r="J1098" s="9" t="s">
        <v>36</v>
      </c>
      <c r="K1098" s="9">
        <v>990</v>
      </c>
      <c r="L1098" s="9"/>
      <c r="M1098" s="9"/>
      <c r="N1098" s="9"/>
      <c r="O1098" s="9" t="s">
        <v>201</v>
      </c>
      <c r="P1098" s="9" t="s">
        <v>205</v>
      </c>
      <c r="Q1098" s="9"/>
      <c r="R1098" s="10"/>
      <c r="S1098" s="10"/>
      <c r="T1098" s="10"/>
      <c r="U1098" s="9"/>
      <c r="X1098" t="s">
        <v>102</v>
      </c>
      <c r="Y1098" t="s">
        <v>982</v>
      </c>
      <c r="Z1098" t="s">
        <v>113</v>
      </c>
      <c r="AB1098" t="str">
        <f t="shared" si="51"/>
        <v>05367</v>
      </c>
    </row>
    <row r="1099" ht="14.25" spans="1:28">
      <c r="A1099" s="5" t="s">
        <v>28</v>
      </c>
      <c r="B1099" s="5" t="s">
        <v>697</v>
      </c>
      <c r="C1099" s="5">
        <v>2027</v>
      </c>
      <c r="D1099" s="5" t="s">
        <v>30</v>
      </c>
      <c r="E1099" s="9" t="s">
        <v>985</v>
      </c>
      <c r="F1099" s="9" t="s">
        <v>978</v>
      </c>
      <c r="G1099" s="9" t="s">
        <v>100</v>
      </c>
      <c r="H1099" s="9" t="s">
        <v>986</v>
      </c>
      <c r="I1099" s="9" t="s">
        <v>119</v>
      </c>
      <c r="J1099" s="9" t="s">
        <v>36</v>
      </c>
      <c r="K1099" s="9">
        <v>990</v>
      </c>
      <c r="L1099" s="9"/>
      <c r="M1099" s="9"/>
      <c r="N1099" s="9"/>
      <c r="O1099" s="9" t="s">
        <v>201</v>
      </c>
      <c r="P1099" s="9" t="s">
        <v>206</v>
      </c>
      <c r="Q1099" s="9"/>
      <c r="R1099" s="10"/>
      <c r="S1099" s="10"/>
      <c r="T1099" s="10"/>
      <c r="U1099" s="9"/>
      <c r="X1099" t="s">
        <v>102</v>
      </c>
      <c r="Y1099" t="s">
        <v>982</v>
      </c>
      <c r="Z1099" t="s">
        <v>113</v>
      </c>
      <c r="AB1099" t="str">
        <f t="shared" si="51"/>
        <v>05367</v>
      </c>
    </row>
    <row r="1100" ht="14.25" spans="1:28">
      <c r="A1100" s="5" t="s">
        <v>28</v>
      </c>
      <c r="B1100" s="5" t="s">
        <v>697</v>
      </c>
      <c r="C1100" s="5">
        <v>2027</v>
      </c>
      <c r="D1100" s="5" t="s">
        <v>30</v>
      </c>
      <c r="E1100" s="9" t="s">
        <v>985</v>
      </c>
      <c r="F1100" s="9" t="s">
        <v>978</v>
      </c>
      <c r="G1100" s="9" t="s">
        <v>100</v>
      </c>
      <c r="H1100" s="9" t="s">
        <v>986</v>
      </c>
      <c r="I1100" s="9" t="s">
        <v>119</v>
      </c>
      <c r="J1100" s="9" t="s">
        <v>36</v>
      </c>
      <c r="K1100" s="9">
        <v>990</v>
      </c>
      <c r="L1100" s="9"/>
      <c r="M1100" s="9"/>
      <c r="N1100" s="9"/>
      <c r="O1100" s="9" t="s">
        <v>201</v>
      </c>
      <c r="P1100" s="9" t="s">
        <v>207</v>
      </c>
      <c r="Q1100" s="9"/>
      <c r="R1100" s="10"/>
      <c r="S1100" s="10"/>
      <c r="T1100" s="10"/>
      <c r="U1100" s="9"/>
      <c r="X1100" t="s">
        <v>102</v>
      </c>
      <c r="Y1100" t="s">
        <v>982</v>
      </c>
      <c r="Z1100" t="s">
        <v>113</v>
      </c>
      <c r="AB1100" t="str">
        <f t="shared" si="51"/>
        <v>05367</v>
      </c>
    </row>
    <row r="1101" ht="14.25" spans="1:28">
      <c r="A1101" s="5" t="s">
        <v>28</v>
      </c>
      <c r="B1101" s="5" t="s">
        <v>697</v>
      </c>
      <c r="C1101" s="5">
        <v>2027</v>
      </c>
      <c r="D1101" s="5" t="s">
        <v>30</v>
      </c>
      <c r="E1101" s="9" t="s">
        <v>985</v>
      </c>
      <c r="F1101" s="9" t="s">
        <v>978</v>
      </c>
      <c r="G1101" s="9" t="s">
        <v>100</v>
      </c>
      <c r="H1101" s="9" t="s">
        <v>986</v>
      </c>
      <c r="I1101" s="9" t="s">
        <v>119</v>
      </c>
      <c r="J1101" s="9" t="s">
        <v>36</v>
      </c>
      <c r="K1101" s="9">
        <v>990</v>
      </c>
      <c r="L1101" s="9"/>
      <c r="M1101" s="9"/>
      <c r="N1101" s="9"/>
      <c r="O1101" s="9" t="s">
        <v>201</v>
      </c>
      <c r="P1101" s="9" t="s">
        <v>208</v>
      </c>
      <c r="Q1101" s="9"/>
      <c r="R1101" s="10"/>
      <c r="S1101" s="10"/>
      <c r="T1101" s="10"/>
      <c r="U1101" s="9"/>
      <c r="X1101" t="s">
        <v>102</v>
      </c>
      <c r="Y1101" t="s">
        <v>982</v>
      </c>
      <c r="Z1101" t="s">
        <v>113</v>
      </c>
      <c r="AB1101" t="str">
        <f t="shared" si="51"/>
        <v>05367</v>
      </c>
    </row>
    <row r="1102" ht="14.25" spans="1:28">
      <c r="A1102" s="5" t="s">
        <v>28</v>
      </c>
      <c r="B1102" s="5" t="s">
        <v>697</v>
      </c>
      <c r="C1102" s="5">
        <v>2027</v>
      </c>
      <c r="D1102" s="5" t="s">
        <v>30</v>
      </c>
      <c r="E1102" s="9" t="s">
        <v>985</v>
      </c>
      <c r="F1102" s="9" t="s">
        <v>978</v>
      </c>
      <c r="G1102" s="9" t="s">
        <v>100</v>
      </c>
      <c r="H1102" s="9" t="s">
        <v>986</v>
      </c>
      <c r="I1102" s="9" t="s">
        <v>119</v>
      </c>
      <c r="J1102" s="9" t="s">
        <v>36</v>
      </c>
      <c r="K1102" s="9">
        <v>990</v>
      </c>
      <c r="L1102" s="9"/>
      <c r="M1102" s="9"/>
      <c r="N1102" s="9"/>
      <c r="O1102" s="9" t="s">
        <v>201</v>
      </c>
      <c r="P1102" s="9" t="s">
        <v>209</v>
      </c>
      <c r="Q1102" s="9"/>
      <c r="R1102" s="10"/>
      <c r="S1102" s="10"/>
      <c r="T1102" s="10"/>
      <c r="U1102" s="9"/>
      <c r="X1102" t="s">
        <v>102</v>
      </c>
      <c r="Y1102" t="s">
        <v>982</v>
      </c>
      <c r="Z1102" t="s">
        <v>113</v>
      </c>
      <c r="AB1102" t="str">
        <f t="shared" si="51"/>
        <v>05367</v>
      </c>
    </row>
    <row r="1103" ht="14.25" spans="1:28">
      <c r="A1103" s="5" t="s">
        <v>28</v>
      </c>
      <c r="B1103" s="5" t="s">
        <v>697</v>
      </c>
      <c r="C1103" s="5">
        <v>2027</v>
      </c>
      <c r="D1103" s="5" t="s">
        <v>30</v>
      </c>
      <c r="E1103" s="9" t="s">
        <v>985</v>
      </c>
      <c r="F1103" s="9" t="s">
        <v>978</v>
      </c>
      <c r="G1103" s="9" t="s">
        <v>100</v>
      </c>
      <c r="H1103" s="9" t="s">
        <v>986</v>
      </c>
      <c r="I1103" s="9" t="s">
        <v>119</v>
      </c>
      <c r="J1103" s="9" t="s">
        <v>36</v>
      </c>
      <c r="K1103" s="9">
        <v>990</v>
      </c>
      <c r="L1103" s="9"/>
      <c r="M1103" s="9"/>
      <c r="N1103" s="9"/>
      <c r="O1103" s="9" t="s">
        <v>201</v>
      </c>
      <c r="P1103" s="9" t="s">
        <v>210</v>
      </c>
      <c r="Q1103" s="9"/>
      <c r="R1103" s="10"/>
      <c r="S1103" s="10"/>
      <c r="T1103" s="10"/>
      <c r="U1103" s="9"/>
      <c r="X1103" t="s">
        <v>102</v>
      </c>
      <c r="Y1103" t="s">
        <v>982</v>
      </c>
      <c r="Z1103" t="s">
        <v>113</v>
      </c>
      <c r="AB1103" t="str">
        <f t="shared" si="51"/>
        <v>05367</v>
      </c>
    </row>
    <row r="1104" ht="14.25" spans="1:28">
      <c r="A1104" s="5" t="s">
        <v>28</v>
      </c>
      <c r="B1104" s="5" t="s">
        <v>697</v>
      </c>
      <c r="C1104" s="5">
        <v>2027</v>
      </c>
      <c r="D1104" s="5" t="s">
        <v>30</v>
      </c>
      <c r="E1104" s="9" t="s">
        <v>987</v>
      </c>
      <c r="F1104" s="9" t="s">
        <v>988</v>
      </c>
      <c r="G1104" s="9" t="s">
        <v>100</v>
      </c>
      <c r="H1104" s="9" t="s">
        <v>989</v>
      </c>
      <c r="I1104" s="9" t="s">
        <v>147</v>
      </c>
      <c r="J1104" s="9" t="s">
        <v>36</v>
      </c>
      <c r="K1104" s="9">
        <v>1190</v>
      </c>
      <c r="L1104" s="9"/>
      <c r="M1104" s="9"/>
      <c r="N1104" s="9"/>
      <c r="O1104" s="9" t="s">
        <v>990</v>
      </c>
      <c r="P1104" s="9" t="s">
        <v>79</v>
      </c>
      <c r="Q1104" s="9"/>
      <c r="R1104" s="10">
        <f t="shared" si="52"/>
        <v>0</v>
      </c>
      <c r="S1104" s="10">
        <f>SUMIFS([1]Sheet1!$T:$T,[1]Sheet1!$I:$I,E1104,[1]Sheet1!$C:$C,A1104)</f>
        <v>0</v>
      </c>
      <c r="T1104" s="10">
        <f t="shared" si="53"/>
        <v>0</v>
      </c>
      <c r="U1104" s="9"/>
      <c r="X1104" t="s">
        <v>102</v>
      </c>
      <c r="Y1104" t="s">
        <v>202</v>
      </c>
      <c r="Z1104" t="s">
        <v>113</v>
      </c>
      <c r="AB1104" t="str">
        <f t="shared" si="51"/>
        <v>05909</v>
      </c>
    </row>
    <row r="1105" ht="14.25" spans="1:28">
      <c r="A1105" s="5" t="s">
        <v>28</v>
      </c>
      <c r="B1105" s="5" t="s">
        <v>697</v>
      </c>
      <c r="C1105" s="5">
        <v>2027</v>
      </c>
      <c r="D1105" s="5" t="s">
        <v>30</v>
      </c>
      <c r="E1105" s="9" t="s">
        <v>987</v>
      </c>
      <c r="F1105" s="9" t="s">
        <v>988</v>
      </c>
      <c r="G1105" s="9" t="s">
        <v>100</v>
      </c>
      <c r="H1105" s="9" t="s">
        <v>989</v>
      </c>
      <c r="I1105" s="9" t="s">
        <v>147</v>
      </c>
      <c r="J1105" s="9" t="s">
        <v>36</v>
      </c>
      <c r="K1105" s="9">
        <v>1190</v>
      </c>
      <c r="L1105" s="9"/>
      <c r="M1105" s="9"/>
      <c r="N1105" s="9"/>
      <c r="O1105" s="9" t="s">
        <v>990</v>
      </c>
      <c r="P1105" s="9" t="s">
        <v>203</v>
      </c>
      <c r="Q1105" s="9"/>
      <c r="R1105" s="10"/>
      <c r="S1105" s="10"/>
      <c r="T1105" s="10"/>
      <c r="U1105" s="9"/>
      <c r="X1105" t="s">
        <v>102</v>
      </c>
      <c r="Y1105" t="s">
        <v>202</v>
      </c>
      <c r="Z1105" t="s">
        <v>113</v>
      </c>
      <c r="AB1105" t="str">
        <f t="shared" si="51"/>
        <v>05909</v>
      </c>
    </row>
    <row r="1106" ht="14.25" spans="1:28">
      <c r="A1106" s="5" t="s">
        <v>28</v>
      </c>
      <c r="B1106" s="5" t="s">
        <v>697</v>
      </c>
      <c r="C1106" s="5">
        <v>2027</v>
      </c>
      <c r="D1106" s="5" t="s">
        <v>30</v>
      </c>
      <c r="E1106" s="9" t="s">
        <v>987</v>
      </c>
      <c r="F1106" s="9" t="s">
        <v>988</v>
      </c>
      <c r="G1106" s="9" t="s">
        <v>100</v>
      </c>
      <c r="H1106" s="9" t="s">
        <v>989</v>
      </c>
      <c r="I1106" s="9" t="s">
        <v>147</v>
      </c>
      <c r="J1106" s="9" t="s">
        <v>36</v>
      </c>
      <c r="K1106" s="9">
        <v>1190</v>
      </c>
      <c r="L1106" s="9"/>
      <c r="M1106" s="9"/>
      <c r="N1106" s="9"/>
      <c r="O1106" s="9" t="s">
        <v>990</v>
      </c>
      <c r="P1106" s="9" t="s">
        <v>204</v>
      </c>
      <c r="Q1106" s="9"/>
      <c r="R1106" s="10"/>
      <c r="S1106" s="10"/>
      <c r="T1106" s="10"/>
      <c r="U1106" s="9"/>
      <c r="X1106" t="s">
        <v>102</v>
      </c>
      <c r="Y1106" t="s">
        <v>202</v>
      </c>
      <c r="Z1106" t="s">
        <v>113</v>
      </c>
      <c r="AB1106" t="str">
        <f t="shared" si="51"/>
        <v>05909</v>
      </c>
    </row>
    <row r="1107" ht="14.25" spans="1:28">
      <c r="A1107" s="5" t="s">
        <v>28</v>
      </c>
      <c r="B1107" s="5" t="s">
        <v>697</v>
      </c>
      <c r="C1107" s="5">
        <v>2027</v>
      </c>
      <c r="D1107" s="5" t="s">
        <v>30</v>
      </c>
      <c r="E1107" s="9" t="s">
        <v>987</v>
      </c>
      <c r="F1107" s="9" t="s">
        <v>988</v>
      </c>
      <c r="G1107" s="9" t="s">
        <v>100</v>
      </c>
      <c r="H1107" s="9" t="s">
        <v>989</v>
      </c>
      <c r="I1107" s="9" t="s">
        <v>147</v>
      </c>
      <c r="J1107" s="9" t="s">
        <v>36</v>
      </c>
      <c r="K1107" s="9">
        <v>1190</v>
      </c>
      <c r="L1107" s="9"/>
      <c r="M1107" s="9"/>
      <c r="N1107" s="9"/>
      <c r="O1107" s="9" t="s">
        <v>990</v>
      </c>
      <c r="P1107" s="9" t="s">
        <v>205</v>
      </c>
      <c r="Q1107" s="9"/>
      <c r="R1107" s="10"/>
      <c r="S1107" s="10"/>
      <c r="T1107" s="10"/>
      <c r="U1107" s="9"/>
      <c r="X1107" t="s">
        <v>102</v>
      </c>
      <c r="Y1107" t="s">
        <v>202</v>
      </c>
      <c r="Z1107" t="s">
        <v>113</v>
      </c>
      <c r="AB1107" t="str">
        <f t="shared" si="51"/>
        <v>05909</v>
      </c>
    </row>
    <row r="1108" ht="14.25" spans="1:28">
      <c r="A1108" s="5" t="s">
        <v>28</v>
      </c>
      <c r="B1108" s="5" t="s">
        <v>697</v>
      </c>
      <c r="C1108" s="5">
        <v>2027</v>
      </c>
      <c r="D1108" s="5" t="s">
        <v>30</v>
      </c>
      <c r="E1108" s="9" t="s">
        <v>987</v>
      </c>
      <c r="F1108" s="9" t="s">
        <v>988</v>
      </c>
      <c r="G1108" s="9" t="s">
        <v>100</v>
      </c>
      <c r="H1108" s="9" t="s">
        <v>989</v>
      </c>
      <c r="I1108" s="9" t="s">
        <v>147</v>
      </c>
      <c r="J1108" s="9" t="s">
        <v>36</v>
      </c>
      <c r="K1108" s="9">
        <v>1190</v>
      </c>
      <c r="L1108" s="9"/>
      <c r="M1108" s="9"/>
      <c r="N1108" s="9"/>
      <c r="O1108" s="9" t="s">
        <v>990</v>
      </c>
      <c r="P1108" s="9" t="s">
        <v>206</v>
      </c>
      <c r="Q1108" s="9"/>
      <c r="R1108" s="10"/>
      <c r="S1108" s="10"/>
      <c r="T1108" s="10"/>
      <c r="U1108" s="9"/>
      <c r="X1108" t="s">
        <v>102</v>
      </c>
      <c r="Y1108" t="s">
        <v>202</v>
      </c>
      <c r="Z1108" t="s">
        <v>113</v>
      </c>
      <c r="AB1108" t="str">
        <f t="shared" si="51"/>
        <v>05909</v>
      </c>
    </row>
    <row r="1109" ht="14.25" spans="1:28">
      <c r="A1109" s="5" t="s">
        <v>28</v>
      </c>
      <c r="B1109" s="5" t="s">
        <v>697</v>
      </c>
      <c r="C1109" s="5">
        <v>2027</v>
      </c>
      <c r="D1109" s="5" t="s">
        <v>30</v>
      </c>
      <c r="E1109" s="9" t="s">
        <v>987</v>
      </c>
      <c r="F1109" s="9" t="s">
        <v>988</v>
      </c>
      <c r="G1109" s="9" t="s">
        <v>100</v>
      </c>
      <c r="H1109" s="9" t="s">
        <v>989</v>
      </c>
      <c r="I1109" s="9" t="s">
        <v>147</v>
      </c>
      <c r="J1109" s="9" t="s">
        <v>36</v>
      </c>
      <c r="K1109" s="9">
        <v>1190</v>
      </c>
      <c r="L1109" s="9"/>
      <c r="M1109" s="9"/>
      <c r="N1109" s="9"/>
      <c r="O1109" s="9" t="s">
        <v>990</v>
      </c>
      <c r="P1109" s="9" t="s">
        <v>207</v>
      </c>
      <c r="Q1109" s="9"/>
      <c r="R1109" s="10"/>
      <c r="S1109" s="10"/>
      <c r="T1109" s="10"/>
      <c r="U1109" s="9"/>
      <c r="X1109" t="s">
        <v>102</v>
      </c>
      <c r="Y1109" t="s">
        <v>202</v>
      </c>
      <c r="Z1109" t="s">
        <v>113</v>
      </c>
      <c r="AB1109" t="str">
        <f t="shared" si="51"/>
        <v>05909</v>
      </c>
    </row>
    <row r="1110" ht="14.25" spans="1:28">
      <c r="A1110" s="5" t="s">
        <v>28</v>
      </c>
      <c r="B1110" s="5" t="s">
        <v>697</v>
      </c>
      <c r="C1110" s="5">
        <v>2027</v>
      </c>
      <c r="D1110" s="5" t="s">
        <v>30</v>
      </c>
      <c r="E1110" s="9" t="s">
        <v>987</v>
      </c>
      <c r="F1110" s="9" t="s">
        <v>988</v>
      </c>
      <c r="G1110" s="9" t="s">
        <v>100</v>
      </c>
      <c r="H1110" s="9" t="s">
        <v>989</v>
      </c>
      <c r="I1110" s="9" t="s">
        <v>147</v>
      </c>
      <c r="J1110" s="9" t="s">
        <v>36</v>
      </c>
      <c r="K1110" s="9">
        <v>1190</v>
      </c>
      <c r="L1110" s="9"/>
      <c r="M1110" s="9"/>
      <c r="N1110" s="9"/>
      <c r="O1110" s="9" t="s">
        <v>990</v>
      </c>
      <c r="P1110" s="9" t="s">
        <v>208</v>
      </c>
      <c r="Q1110" s="9"/>
      <c r="R1110" s="10"/>
      <c r="S1110" s="10"/>
      <c r="T1110" s="10"/>
      <c r="U1110" s="9"/>
      <c r="X1110" t="s">
        <v>102</v>
      </c>
      <c r="Y1110" t="s">
        <v>202</v>
      </c>
      <c r="Z1110" t="s">
        <v>113</v>
      </c>
      <c r="AB1110" t="str">
        <f t="shared" si="51"/>
        <v>05909</v>
      </c>
    </row>
    <row r="1111" ht="14.25" spans="1:28">
      <c r="A1111" s="5" t="s">
        <v>28</v>
      </c>
      <c r="B1111" s="5" t="s">
        <v>697</v>
      </c>
      <c r="C1111" s="5">
        <v>2027</v>
      </c>
      <c r="D1111" s="5" t="s">
        <v>30</v>
      </c>
      <c r="E1111" s="9" t="s">
        <v>991</v>
      </c>
      <c r="F1111" s="9" t="s">
        <v>988</v>
      </c>
      <c r="G1111" s="9" t="s">
        <v>159</v>
      </c>
      <c r="H1111" s="9" t="s">
        <v>992</v>
      </c>
      <c r="I1111" s="9" t="s">
        <v>147</v>
      </c>
      <c r="J1111" s="9" t="s">
        <v>36</v>
      </c>
      <c r="K1111" s="9">
        <v>1190</v>
      </c>
      <c r="L1111" s="9"/>
      <c r="M1111" s="9"/>
      <c r="N1111" s="9"/>
      <c r="O1111" s="9" t="s">
        <v>990</v>
      </c>
      <c r="P1111" s="9" t="s">
        <v>79</v>
      </c>
      <c r="Q1111" s="9"/>
      <c r="R1111" s="10">
        <f t="shared" si="52"/>
        <v>0</v>
      </c>
      <c r="S1111" s="10">
        <f>SUMIFS([1]Sheet1!$T:$T,[1]Sheet1!$I:$I,E1111,[1]Sheet1!$C:$C,A1111)</f>
        <v>0</v>
      </c>
      <c r="T1111" s="10">
        <f t="shared" si="53"/>
        <v>0</v>
      </c>
      <c r="U1111" s="9"/>
      <c r="X1111" t="s">
        <v>62</v>
      </c>
      <c r="Y1111" t="s">
        <v>202</v>
      </c>
      <c r="Z1111" t="s">
        <v>113</v>
      </c>
      <c r="AB1111" t="str">
        <f t="shared" si="51"/>
        <v>05909</v>
      </c>
    </row>
    <row r="1112" ht="14.25" spans="1:28">
      <c r="A1112" s="5" t="s">
        <v>28</v>
      </c>
      <c r="B1112" s="5" t="s">
        <v>697</v>
      </c>
      <c r="C1112" s="5">
        <v>2027</v>
      </c>
      <c r="D1112" s="5" t="s">
        <v>30</v>
      </c>
      <c r="E1112" s="9" t="s">
        <v>991</v>
      </c>
      <c r="F1112" s="9" t="s">
        <v>988</v>
      </c>
      <c r="G1112" s="9" t="s">
        <v>159</v>
      </c>
      <c r="H1112" s="9" t="s">
        <v>992</v>
      </c>
      <c r="I1112" s="9" t="s">
        <v>147</v>
      </c>
      <c r="J1112" s="9" t="s">
        <v>36</v>
      </c>
      <c r="K1112" s="9">
        <v>1190</v>
      </c>
      <c r="L1112" s="9"/>
      <c r="M1112" s="9"/>
      <c r="N1112" s="9"/>
      <c r="O1112" s="9" t="s">
        <v>990</v>
      </c>
      <c r="P1112" s="9" t="s">
        <v>203</v>
      </c>
      <c r="Q1112" s="9"/>
      <c r="R1112" s="10"/>
      <c r="S1112" s="10"/>
      <c r="T1112" s="10"/>
      <c r="U1112" s="9"/>
      <c r="X1112" t="s">
        <v>62</v>
      </c>
      <c r="Y1112" t="s">
        <v>202</v>
      </c>
      <c r="Z1112" t="s">
        <v>113</v>
      </c>
      <c r="AB1112" t="str">
        <f t="shared" si="51"/>
        <v>05909</v>
      </c>
    </row>
    <row r="1113" ht="14.25" spans="1:28">
      <c r="A1113" s="5" t="s">
        <v>28</v>
      </c>
      <c r="B1113" s="5" t="s">
        <v>697</v>
      </c>
      <c r="C1113" s="5">
        <v>2027</v>
      </c>
      <c r="D1113" s="5" t="s">
        <v>30</v>
      </c>
      <c r="E1113" s="9" t="s">
        <v>991</v>
      </c>
      <c r="F1113" s="9" t="s">
        <v>988</v>
      </c>
      <c r="G1113" s="9" t="s">
        <v>159</v>
      </c>
      <c r="H1113" s="9" t="s">
        <v>992</v>
      </c>
      <c r="I1113" s="9" t="s">
        <v>147</v>
      </c>
      <c r="J1113" s="9" t="s">
        <v>36</v>
      </c>
      <c r="K1113" s="9">
        <v>1190</v>
      </c>
      <c r="L1113" s="9"/>
      <c r="M1113" s="9"/>
      <c r="N1113" s="9"/>
      <c r="O1113" s="9" t="s">
        <v>990</v>
      </c>
      <c r="P1113" s="9" t="s">
        <v>204</v>
      </c>
      <c r="Q1113" s="9"/>
      <c r="R1113" s="10"/>
      <c r="S1113" s="10"/>
      <c r="T1113" s="10"/>
      <c r="U1113" s="9"/>
      <c r="X1113" t="s">
        <v>62</v>
      </c>
      <c r="Y1113" t="s">
        <v>202</v>
      </c>
      <c r="Z1113" t="s">
        <v>113</v>
      </c>
      <c r="AB1113" t="str">
        <f t="shared" si="51"/>
        <v>05909</v>
      </c>
    </row>
    <row r="1114" ht="14.25" spans="1:28">
      <c r="A1114" s="5" t="s">
        <v>28</v>
      </c>
      <c r="B1114" s="5" t="s">
        <v>697</v>
      </c>
      <c r="C1114" s="5">
        <v>2027</v>
      </c>
      <c r="D1114" s="5" t="s">
        <v>30</v>
      </c>
      <c r="E1114" s="9" t="s">
        <v>991</v>
      </c>
      <c r="F1114" s="9" t="s">
        <v>988</v>
      </c>
      <c r="G1114" s="9" t="s">
        <v>159</v>
      </c>
      <c r="H1114" s="9" t="s">
        <v>992</v>
      </c>
      <c r="I1114" s="9" t="s">
        <v>147</v>
      </c>
      <c r="J1114" s="9" t="s">
        <v>36</v>
      </c>
      <c r="K1114" s="9">
        <v>1190</v>
      </c>
      <c r="L1114" s="9"/>
      <c r="M1114" s="9"/>
      <c r="N1114" s="9"/>
      <c r="O1114" s="9" t="s">
        <v>990</v>
      </c>
      <c r="P1114" s="9" t="s">
        <v>205</v>
      </c>
      <c r="Q1114" s="9"/>
      <c r="R1114" s="10"/>
      <c r="S1114" s="10"/>
      <c r="T1114" s="10"/>
      <c r="U1114" s="9"/>
      <c r="X1114" t="s">
        <v>62</v>
      </c>
      <c r="Y1114" t="s">
        <v>202</v>
      </c>
      <c r="Z1114" t="s">
        <v>113</v>
      </c>
      <c r="AB1114" t="str">
        <f t="shared" si="51"/>
        <v>05909</v>
      </c>
    </row>
    <row r="1115" ht="14.25" spans="1:28">
      <c r="A1115" s="5" t="s">
        <v>28</v>
      </c>
      <c r="B1115" s="5" t="s">
        <v>697</v>
      </c>
      <c r="C1115" s="5">
        <v>2027</v>
      </c>
      <c r="D1115" s="5" t="s">
        <v>30</v>
      </c>
      <c r="E1115" s="9" t="s">
        <v>991</v>
      </c>
      <c r="F1115" s="9" t="s">
        <v>988</v>
      </c>
      <c r="G1115" s="9" t="s">
        <v>159</v>
      </c>
      <c r="H1115" s="9" t="s">
        <v>992</v>
      </c>
      <c r="I1115" s="9" t="s">
        <v>147</v>
      </c>
      <c r="J1115" s="9" t="s">
        <v>36</v>
      </c>
      <c r="K1115" s="9">
        <v>1190</v>
      </c>
      <c r="L1115" s="9"/>
      <c r="M1115" s="9"/>
      <c r="N1115" s="9"/>
      <c r="O1115" s="9" t="s">
        <v>990</v>
      </c>
      <c r="P1115" s="9" t="s">
        <v>206</v>
      </c>
      <c r="Q1115" s="9"/>
      <c r="R1115" s="10"/>
      <c r="S1115" s="10"/>
      <c r="T1115" s="10"/>
      <c r="U1115" s="9"/>
      <c r="X1115" t="s">
        <v>62</v>
      </c>
      <c r="Y1115" t="s">
        <v>202</v>
      </c>
      <c r="Z1115" t="s">
        <v>113</v>
      </c>
      <c r="AB1115" t="str">
        <f t="shared" si="51"/>
        <v>05909</v>
      </c>
    </row>
    <row r="1116" ht="14.25" spans="1:28">
      <c r="A1116" s="5" t="s">
        <v>28</v>
      </c>
      <c r="B1116" s="5" t="s">
        <v>697</v>
      </c>
      <c r="C1116" s="5">
        <v>2027</v>
      </c>
      <c r="D1116" s="5" t="s">
        <v>30</v>
      </c>
      <c r="E1116" s="9" t="s">
        <v>991</v>
      </c>
      <c r="F1116" s="9" t="s">
        <v>988</v>
      </c>
      <c r="G1116" s="9" t="s">
        <v>159</v>
      </c>
      <c r="H1116" s="9" t="s">
        <v>992</v>
      </c>
      <c r="I1116" s="9" t="s">
        <v>147</v>
      </c>
      <c r="J1116" s="9" t="s">
        <v>36</v>
      </c>
      <c r="K1116" s="9">
        <v>1190</v>
      </c>
      <c r="L1116" s="9"/>
      <c r="M1116" s="9"/>
      <c r="N1116" s="9"/>
      <c r="O1116" s="9" t="s">
        <v>990</v>
      </c>
      <c r="P1116" s="9" t="s">
        <v>207</v>
      </c>
      <c r="Q1116" s="9"/>
      <c r="R1116" s="10"/>
      <c r="S1116" s="10"/>
      <c r="T1116" s="10"/>
      <c r="U1116" s="9"/>
      <c r="X1116" t="s">
        <v>62</v>
      </c>
      <c r="Y1116" t="s">
        <v>202</v>
      </c>
      <c r="Z1116" t="s">
        <v>113</v>
      </c>
      <c r="AB1116" t="str">
        <f t="shared" si="51"/>
        <v>05909</v>
      </c>
    </row>
    <row r="1117" ht="14.25" spans="1:28">
      <c r="A1117" s="5" t="s">
        <v>28</v>
      </c>
      <c r="B1117" s="5" t="s">
        <v>697</v>
      </c>
      <c r="C1117" s="5">
        <v>2027</v>
      </c>
      <c r="D1117" s="5" t="s">
        <v>30</v>
      </c>
      <c r="E1117" s="9" t="s">
        <v>991</v>
      </c>
      <c r="F1117" s="9" t="s">
        <v>988</v>
      </c>
      <c r="G1117" s="9" t="s">
        <v>159</v>
      </c>
      <c r="H1117" s="9" t="s">
        <v>992</v>
      </c>
      <c r="I1117" s="9" t="s">
        <v>147</v>
      </c>
      <c r="J1117" s="9" t="s">
        <v>36</v>
      </c>
      <c r="K1117" s="9">
        <v>1190</v>
      </c>
      <c r="L1117" s="9"/>
      <c r="M1117" s="9"/>
      <c r="N1117" s="9"/>
      <c r="O1117" s="9" t="s">
        <v>990</v>
      </c>
      <c r="P1117" s="9" t="s">
        <v>208</v>
      </c>
      <c r="Q1117" s="9"/>
      <c r="R1117" s="10"/>
      <c r="S1117" s="10"/>
      <c r="T1117" s="10"/>
      <c r="U1117" s="9"/>
      <c r="X1117" t="s">
        <v>62</v>
      </c>
      <c r="Y1117" t="s">
        <v>202</v>
      </c>
      <c r="Z1117" t="s">
        <v>113</v>
      </c>
      <c r="AB1117" t="str">
        <f t="shared" si="51"/>
        <v>05909</v>
      </c>
    </row>
    <row r="1118" ht="14.25" spans="1:28">
      <c r="A1118" s="5" t="s">
        <v>28</v>
      </c>
      <c r="B1118" s="5" t="s">
        <v>697</v>
      </c>
      <c r="C1118" s="5">
        <v>2027</v>
      </c>
      <c r="D1118" s="5" t="s">
        <v>30</v>
      </c>
      <c r="E1118" s="9" t="s">
        <v>993</v>
      </c>
      <c r="F1118" s="9" t="s">
        <v>994</v>
      </c>
      <c r="G1118" s="9" t="s">
        <v>100</v>
      </c>
      <c r="H1118" s="9" t="s">
        <v>995</v>
      </c>
      <c r="I1118" s="9" t="s">
        <v>147</v>
      </c>
      <c r="J1118" s="9" t="s">
        <v>36</v>
      </c>
      <c r="K1118" s="9">
        <v>990</v>
      </c>
      <c r="L1118" s="9"/>
      <c r="M1118" s="9"/>
      <c r="N1118" s="9"/>
      <c r="O1118" s="9" t="s">
        <v>990</v>
      </c>
      <c r="P1118" s="9" t="s">
        <v>79</v>
      </c>
      <c r="Q1118" s="9"/>
      <c r="R1118" s="10">
        <f t="shared" si="52"/>
        <v>0</v>
      </c>
      <c r="S1118" s="10">
        <f>SUMIFS([1]Sheet1!$T:$T,[1]Sheet1!$I:$I,E1118,[1]Sheet1!$C:$C,A1118)</f>
        <v>0</v>
      </c>
      <c r="T1118" s="10">
        <f t="shared" si="53"/>
        <v>0</v>
      </c>
      <c r="U1118" s="9"/>
      <c r="X1118" t="s">
        <v>102</v>
      </c>
      <c r="Y1118" t="s">
        <v>982</v>
      </c>
      <c r="Z1118" t="s">
        <v>113</v>
      </c>
      <c r="AB1118" t="str">
        <f t="shared" si="51"/>
        <v>06180</v>
      </c>
    </row>
    <row r="1119" ht="14.25" spans="1:28">
      <c r="A1119" s="5" t="s">
        <v>28</v>
      </c>
      <c r="B1119" s="5" t="s">
        <v>697</v>
      </c>
      <c r="C1119" s="5">
        <v>2027</v>
      </c>
      <c r="D1119" s="5" t="s">
        <v>30</v>
      </c>
      <c r="E1119" s="9" t="s">
        <v>993</v>
      </c>
      <c r="F1119" s="9" t="s">
        <v>994</v>
      </c>
      <c r="G1119" s="9" t="s">
        <v>100</v>
      </c>
      <c r="H1119" s="9" t="s">
        <v>995</v>
      </c>
      <c r="I1119" s="9" t="s">
        <v>147</v>
      </c>
      <c r="J1119" s="9" t="s">
        <v>36</v>
      </c>
      <c r="K1119" s="9">
        <v>990</v>
      </c>
      <c r="L1119" s="9"/>
      <c r="M1119" s="9"/>
      <c r="N1119" s="9"/>
      <c r="O1119" s="9" t="s">
        <v>990</v>
      </c>
      <c r="P1119" s="9" t="s">
        <v>203</v>
      </c>
      <c r="Q1119" s="9"/>
      <c r="R1119" s="10"/>
      <c r="S1119" s="10"/>
      <c r="T1119" s="10"/>
      <c r="U1119" s="9"/>
      <c r="X1119" t="s">
        <v>102</v>
      </c>
      <c r="Y1119" t="s">
        <v>982</v>
      </c>
      <c r="Z1119" t="s">
        <v>113</v>
      </c>
      <c r="AB1119" t="str">
        <f t="shared" si="51"/>
        <v>06180</v>
      </c>
    </row>
    <row r="1120" ht="14.25" spans="1:28">
      <c r="A1120" s="5" t="s">
        <v>28</v>
      </c>
      <c r="B1120" s="5" t="s">
        <v>697</v>
      </c>
      <c r="C1120" s="5">
        <v>2027</v>
      </c>
      <c r="D1120" s="5" t="s">
        <v>30</v>
      </c>
      <c r="E1120" s="9" t="s">
        <v>993</v>
      </c>
      <c r="F1120" s="9" t="s">
        <v>994</v>
      </c>
      <c r="G1120" s="9" t="s">
        <v>100</v>
      </c>
      <c r="H1120" s="9" t="s">
        <v>995</v>
      </c>
      <c r="I1120" s="9" t="s">
        <v>147</v>
      </c>
      <c r="J1120" s="9" t="s">
        <v>36</v>
      </c>
      <c r="K1120" s="9">
        <v>990</v>
      </c>
      <c r="L1120" s="9"/>
      <c r="M1120" s="9"/>
      <c r="N1120" s="9"/>
      <c r="O1120" s="9" t="s">
        <v>990</v>
      </c>
      <c r="P1120" s="9" t="s">
        <v>204</v>
      </c>
      <c r="Q1120" s="9"/>
      <c r="R1120" s="10"/>
      <c r="S1120" s="10"/>
      <c r="T1120" s="10"/>
      <c r="U1120" s="9"/>
      <c r="X1120" t="s">
        <v>102</v>
      </c>
      <c r="Y1120" t="s">
        <v>982</v>
      </c>
      <c r="Z1120" t="s">
        <v>113</v>
      </c>
      <c r="AB1120" t="str">
        <f t="shared" si="51"/>
        <v>06180</v>
      </c>
    </row>
    <row r="1121" ht="14.25" spans="1:28">
      <c r="A1121" s="5" t="s">
        <v>28</v>
      </c>
      <c r="B1121" s="5" t="s">
        <v>697</v>
      </c>
      <c r="C1121" s="5">
        <v>2027</v>
      </c>
      <c r="D1121" s="5" t="s">
        <v>30</v>
      </c>
      <c r="E1121" s="9" t="s">
        <v>993</v>
      </c>
      <c r="F1121" s="9" t="s">
        <v>994</v>
      </c>
      <c r="G1121" s="9" t="s">
        <v>100</v>
      </c>
      <c r="H1121" s="9" t="s">
        <v>995</v>
      </c>
      <c r="I1121" s="9" t="s">
        <v>147</v>
      </c>
      <c r="J1121" s="9" t="s">
        <v>36</v>
      </c>
      <c r="K1121" s="9">
        <v>990</v>
      </c>
      <c r="L1121" s="9"/>
      <c r="M1121" s="9"/>
      <c r="N1121" s="9"/>
      <c r="O1121" s="9" t="s">
        <v>990</v>
      </c>
      <c r="P1121" s="9" t="s">
        <v>205</v>
      </c>
      <c r="Q1121" s="9"/>
      <c r="R1121" s="10"/>
      <c r="S1121" s="10"/>
      <c r="T1121" s="10"/>
      <c r="U1121" s="9"/>
      <c r="X1121" t="s">
        <v>102</v>
      </c>
      <c r="Y1121" t="s">
        <v>982</v>
      </c>
      <c r="Z1121" t="s">
        <v>113</v>
      </c>
      <c r="AB1121" t="str">
        <f t="shared" si="51"/>
        <v>06180</v>
      </c>
    </row>
    <row r="1122" ht="14.25" spans="1:28">
      <c r="A1122" s="5" t="s">
        <v>28</v>
      </c>
      <c r="B1122" s="5" t="s">
        <v>697</v>
      </c>
      <c r="C1122" s="5">
        <v>2027</v>
      </c>
      <c r="D1122" s="5" t="s">
        <v>30</v>
      </c>
      <c r="E1122" s="9" t="s">
        <v>993</v>
      </c>
      <c r="F1122" s="9" t="s">
        <v>994</v>
      </c>
      <c r="G1122" s="9" t="s">
        <v>100</v>
      </c>
      <c r="H1122" s="9" t="s">
        <v>995</v>
      </c>
      <c r="I1122" s="9" t="s">
        <v>147</v>
      </c>
      <c r="J1122" s="9" t="s">
        <v>36</v>
      </c>
      <c r="K1122" s="9">
        <v>990</v>
      </c>
      <c r="L1122" s="9"/>
      <c r="M1122" s="9"/>
      <c r="N1122" s="9"/>
      <c r="O1122" s="9" t="s">
        <v>990</v>
      </c>
      <c r="P1122" s="9" t="s">
        <v>206</v>
      </c>
      <c r="Q1122" s="9"/>
      <c r="R1122" s="10"/>
      <c r="S1122" s="10"/>
      <c r="T1122" s="10"/>
      <c r="U1122" s="9"/>
      <c r="X1122" t="s">
        <v>102</v>
      </c>
      <c r="Y1122" t="s">
        <v>982</v>
      </c>
      <c r="Z1122" t="s">
        <v>113</v>
      </c>
      <c r="AB1122" t="str">
        <f t="shared" si="51"/>
        <v>06180</v>
      </c>
    </row>
    <row r="1123" ht="14.25" spans="1:28">
      <c r="A1123" s="5" t="s">
        <v>28</v>
      </c>
      <c r="B1123" s="5" t="s">
        <v>697</v>
      </c>
      <c r="C1123" s="5">
        <v>2027</v>
      </c>
      <c r="D1123" s="5" t="s">
        <v>30</v>
      </c>
      <c r="E1123" s="9" t="s">
        <v>993</v>
      </c>
      <c r="F1123" s="9" t="s">
        <v>994</v>
      </c>
      <c r="G1123" s="9" t="s">
        <v>100</v>
      </c>
      <c r="H1123" s="9" t="s">
        <v>995</v>
      </c>
      <c r="I1123" s="9" t="s">
        <v>147</v>
      </c>
      <c r="J1123" s="9" t="s">
        <v>36</v>
      </c>
      <c r="K1123" s="9">
        <v>990</v>
      </c>
      <c r="L1123" s="9"/>
      <c r="M1123" s="9"/>
      <c r="N1123" s="9"/>
      <c r="O1123" s="9" t="s">
        <v>990</v>
      </c>
      <c r="P1123" s="9" t="s">
        <v>207</v>
      </c>
      <c r="Q1123" s="9"/>
      <c r="R1123" s="10"/>
      <c r="S1123" s="10"/>
      <c r="T1123" s="10"/>
      <c r="U1123" s="9"/>
      <c r="X1123" t="s">
        <v>102</v>
      </c>
      <c r="Y1123" t="s">
        <v>982</v>
      </c>
      <c r="Z1123" t="s">
        <v>113</v>
      </c>
      <c r="AB1123" t="str">
        <f t="shared" si="51"/>
        <v>06180</v>
      </c>
    </row>
    <row r="1124" ht="14.25" spans="1:28">
      <c r="A1124" s="5" t="s">
        <v>28</v>
      </c>
      <c r="B1124" s="5" t="s">
        <v>697</v>
      </c>
      <c r="C1124" s="5">
        <v>2027</v>
      </c>
      <c r="D1124" s="5" t="s">
        <v>30</v>
      </c>
      <c r="E1124" s="9" t="s">
        <v>993</v>
      </c>
      <c r="F1124" s="9" t="s">
        <v>994</v>
      </c>
      <c r="G1124" s="9" t="s">
        <v>100</v>
      </c>
      <c r="H1124" s="9" t="s">
        <v>995</v>
      </c>
      <c r="I1124" s="9" t="s">
        <v>147</v>
      </c>
      <c r="J1124" s="9" t="s">
        <v>36</v>
      </c>
      <c r="K1124" s="9">
        <v>990</v>
      </c>
      <c r="L1124" s="9"/>
      <c r="M1124" s="9"/>
      <c r="N1124" s="9"/>
      <c r="O1124" s="9" t="s">
        <v>990</v>
      </c>
      <c r="P1124" s="9" t="s">
        <v>208</v>
      </c>
      <c r="Q1124" s="9"/>
      <c r="R1124" s="10"/>
      <c r="S1124" s="10"/>
      <c r="T1124" s="10"/>
      <c r="U1124" s="9"/>
      <c r="X1124" t="s">
        <v>102</v>
      </c>
      <c r="Y1124" t="s">
        <v>982</v>
      </c>
      <c r="Z1124" t="s">
        <v>113</v>
      </c>
      <c r="AB1124" t="str">
        <f t="shared" si="51"/>
        <v>06180</v>
      </c>
    </row>
    <row r="1125" ht="14.25" spans="1:28">
      <c r="A1125" s="5" t="s">
        <v>28</v>
      </c>
      <c r="B1125" s="5" t="s">
        <v>697</v>
      </c>
      <c r="C1125" s="5">
        <v>2027</v>
      </c>
      <c r="D1125" s="5" t="s">
        <v>30</v>
      </c>
      <c r="E1125" s="9" t="s">
        <v>996</v>
      </c>
      <c r="F1125" s="9" t="s">
        <v>994</v>
      </c>
      <c r="G1125" s="9" t="s">
        <v>159</v>
      </c>
      <c r="H1125" s="9" t="s">
        <v>997</v>
      </c>
      <c r="I1125" s="9" t="s">
        <v>147</v>
      </c>
      <c r="J1125" s="9" t="s">
        <v>36</v>
      </c>
      <c r="K1125" s="9">
        <v>990</v>
      </c>
      <c r="L1125" s="9"/>
      <c r="M1125" s="9"/>
      <c r="N1125" s="9"/>
      <c r="O1125" s="9" t="s">
        <v>990</v>
      </c>
      <c r="P1125" s="9" t="s">
        <v>79</v>
      </c>
      <c r="Q1125" s="9"/>
      <c r="R1125" s="10">
        <f t="shared" si="52"/>
        <v>0</v>
      </c>
      <c r="S1125" s="10">
        <f>SUMIFS([1]Sheet1!$T:$T,[1]Sheet1!$I:$I,E1125,[1]Sheet1!$C:$C,A1125)</f>
        <v>0</v>
      </c>
      <c r="T1125" s="10">
        <f t="shared" si="53"/>
        <v>0</v>
      </c>
      <c r="U1125" s="9"/>
      <c r="X1125" t="s">
        <v>62</v>
      </c>
      <c r="Y1125" t="s">
        <v>982</v>
      </c>
      <c r="Z1125" t="s">
        <v>113</v>
      </c>
      <c r="AB1125" t="str">
        <f t="shared" si="51"/>
        <v>06180</v>
      </c>
    </row>
    <row r="1126" ht="14.25" spans="1:28">
      <c r="A1126" s="5" t="s">
        <v>28</v>
      </c>
      <c r="B1126" s="5" t="s">
        <v>697</v>
      </c>
      <c r="C1126" s="5">
        <v>2027</v>
      </c>
      <c r="D1126" s="5" t="s">
        <v>30</v>
      </c>
      <c r="E1126" s="9" t="s">
        <v>996</v>
      </c>
      <c r="F1126" s="9" t="s">
        <v>994</v>
      </c>
      <c r="G1126" s="9" t="s">
        <v>159</v>
      </c>
      <c r="H1126" s="9" t="s">
        <v>997</v>
      </c>
      <c r="I1126" s="9" t="s">
        <v>147</v>
      </c>
      <c r="J1126" s="9" t="s">
        <v>36</v>
      </c>
      <c r="K1126" s="9">
        <v>990</v>
      </c>
      <c r="L1126" s="9"/>
      <c r="M1126" s="9"/>
      <c r="N1126" s="9"/>
      <c r="O1126" s="9" t="s">
        <v>990</v>
      </c>
      <c r="P1126" s="9" t="s">
        <v>203</v>
      </c>
      <c r="Q1126" s="9"/>
      <c r="R1126" s="10"/>
      <c r="S1126" s="10"/>
      <c r="T1126" s="10"/>
      <c r="U1126" s="9"/>
      <c r="X1126" t="s">
        <v>62</v>
      </c>
      <c r="Y1126" t="s">
        <v>982</v>
      </c>
      <c r="Z1126" t="s">
        <v>113</v>
      </c>
      <c r="AB1126" t="str">
        <f t="shared" si="51"/>
        <v>06180</v>
      </c>
    </row>
    <row r="1127" ht="14.25" spans="1:28">
      <c r="A1127" s="5" t="s">
        <v>28</v>
      </c>
      <c r="B1127" s="5" t="s">
        <v>697</v>
      </c>
      <c r="C1127" s="5">
        <v>2027</v>
      </c>
      <c r="D1127" s="5" t="s">
        <v>30</v>
      </c>
      <c r="E1127" s="9" t="s">
        <v>996</v>
      </c>
      <c r="F1127" s="9" t="s">
        <v>994</v>
      </c>
      <c r="G1127" s="9" t="s">
        <v>159</v>
      </c>
      <c r="H1127" s="9" t="s">
        <v>997</v>
      </c>
      <c r="I1127" s="9" t="s">
        <v>147</v>
      </c>
      <c r="J1127" s="9" t="s">
        <v>36</v>
      </c>
      <c r="K1127" s="9">
        <v>990</v>
      </c>
      <c r="L1127" s="9"/>
      <c r="M1127" s="9"/>
      <c r="N1127" s="9"/>
      <c r="O1127" s="9" t="s">
        <v>990</v>
      </c>
      <c r="P1127" s="9" t="s">
        <v>204</v>
      </c>
      <c r="Q1127" s="9"/>
      <c r="R1127" s="10"/>
      <c r="S1127" s="10"/>
      <c r="T1127" s="10"/>
      <c r="U1127" s="9"/>
      <c r="X1127" t="s">
        <v>62</v>
      </c>
      <c r="Y1127" t="s">
        <v>982</v>
      </c>
      <c r="Z1127" t="s">
        <v>113</v>
      </c>
      <c r="AB1127" t="str">
        <f t="shared" si="51"/>
        <v>06180</v>
      </c>
    </row>
    <row r="1128" ht="14.25" spans="1:28">
      <c r="A1128" s="5" t="s">
        <v>28</v>
      </c>
      <c r="B1128" s="5" t="s">
        <v>697</v>
      </c>
      <c r="C1128" s="5">
        <v>2027</v>
      </c>
      <c r="D1128" s="5" t="s">
        <v>30</v>
      </c>
      <c r="E1128" s="9" t="s">
        <v>996</v>
      </c>
      <c r="F1128" s="9" t="s">
        <v>994</v>
      </c>
      <c r="G1128" s="9" t="s">
        <v>159</v>
      </c>
      <c r="H1128" s="9" t="s">
        <v>997</v>
      </c>
      <c r="I1128" s="9" t="s">
        <v>147</v>
      </c>
      <c r="J1128" s="9" t="s">
        <v>36</v>
      </c>
      <c r="K1128" s="9">
        <v>990</v>
      </c>
      <c r="L1128" s="9"/>
      <c r="M1128" s="9"/>
      <c r="N1128" s="9"/>
      <c r="O1128" s="9" t="s">
        <v>990</v>
      </c>
      <c r="P1128" s="9" t="s">
        <v>205</v>
      </c>
      <c r="Q1128" s="9"/>
      <c r="R1128" s="10"/>
      <c r="S1128" s="10"/>
      <c r="T1128" s="10"/>
      <c r="U1128" s="9"/>
      <c r="X1128" t="s">
        <v>62</v>
      </c>
      <c r="Y1128" t="s">
        <v>982</v>
      </c>
      <c r="Z1128" t="s">
        <v>113</v>
      </c>
      <c r="AB1128" t="str">
        <f t="shared" si="51"/>
        <v>06180</v>
      </c>
    </row>
    <row r="1129" ht="14.25" spans="1:28">
      <c r="A1129" s="5" t="s">
        <v>28</v>
      </c>
      <c r="B1129" s="5" t="s">
        <v>697</v>
      </c>
      <c r="C1129" s="5">
        <v>2027</v>
      </c>
      <c r="D1129" s="5" t="s">
        <v>30</v>
      </c>
      <c r="E1129" s="9" t="s">
        <v>996</v>
      </c>
      <c r="F1129" s="9" t="s">
        <v>994</v>
      </c>
      <c r="G1129" s="9" t="s">
        <v>159</v>
      </c>
      <c r="H1129" s="9" t="s">
        <v>997</v>
      </c>
      <c r="I1129" s="9" t="s">
        <v>147</v>
      </c>
      <c r="J1129" s="9" t="s">
        <v>36</v>
      </c>
      <c r="K1129" s="9">
        <v>990</v>
      </c>
      <c r="L1129" s="9"/>
      <c r="M1129" s="9"/>
      <c r="N1129" s="9"/>
      <c r="O1129" s="9" t="s">
        <v>990</v>
      </c>
      <c r="P1129" s="9" t="s">
        <v>206</v>
      </c>
      <c r="Q1129" s="9"/>
      <c r="R1129" s="10"/>
      <c r="S1129" s="10"/>
      <c r="T1129" s="10"/>
      <c r="U1129" s="9"/>
      <c r="X1129" t="s">
        <v>62</v>
      </c>
      <c r="Y1129" t="s">
        <v>982</v>
      </c>
      <c r="Z1129" t="s">
        <v>113</v>
      </c>
      <c r="AB1129" t="str">
        <f t="shared" si="51"/>
        <v>06180</v>
      </c>
    </row>
    <row r="1130" ht="14.25" spans="1:28">
      <c r="A1130" s="5" t="s">
        <v>28</v>
      </c>
      <c r="B1130" s="5" t="s">
        <v>697</v>
      </c>
      <c r="C1130" s="5">
        <v>2027</v>
      </c>
      <c r="D1130" s="5" t="s">
        <v>30</v>
      </c>
      <c r="E1130" s="9" t="s">
        <v>996</v>
      </c>
      <c r="F1130" s="9" t="s">
        <v>994</v>
      </c>
      <c r="G1130" s="9" t="s">
        <v>159</v>
      </c>
      <c r="H1130" s="9" t="s">
        <v>997</v>
      </c>
      <c r="I1130" s="9" t="s">
        <v>147</v>
      </c>
      <c r="J1130" s="9" t="s">
        <v>36</v>
      </c>
      <c r="K1130" s="9">
        <v>990</v>
      </c>
      <c r="L1130" s="9"/>
      <c r="M1130" s="9"/>
      <c r="N1130" s="9"/>
      <c r="O1130" s="9" t="s">
        <v>990</v>
      </c>
      <c r="P1130" s="9" t="s">
        <v>207</v>
      </c>
      <c r="Q1130" s="9"/>
      <c r="R1130" s="10"/>
      <c r="S1130" s="10"/>
      <c r="T1130" s="10"/>
      <c r="U1130" s="9"/>
      <c r="X1130" t="s">
        <v>62</v>
      </c>
      <c r="Y1130" t="s">
        <v>982</v>
      </c>
      <c r="Z1130" t="s">
        <v>113</v>
      </c>
      <c r="AB1130" t="str">
        <f t="shared" si="51"/>
        <v>06180</v>
      </c>
    </row>
    <row r="1131" ht="14.25" spans="1:28">
      <c r="A1131" s="5" t="s">
        <v>28</v>
      </c>
      <c r="B1131" s="5" t="s">
        <v>697</v>
      </c>
      <c r="C1131" s="5">
        <v>2027</v>
      </c>
      <c r="D1131" s="5" t="s">
        <v>30</v>
      </c>
      <c r="E1131" s="9" t="s">
        <v>996</v>
      </c>
      <c r="F1131" s="9" t="s">
        <v>994</v>
      </c>
      <c r="G1131" s="9" t="s">
        <v>159</v>
      </c>
      <c r="H1131" s="9" t="s">
        <v>997</v>
      </c>
      <c r="I1131" s="9" t="s">
        <v>147</v>
      </c>
      <c r="J1131" s="9" t="s">
        <v>36</v>
      </c>
      <c r="K1131" s="9">
        <v>990</v>
      </c>
      <c r="L1131" s="9"/>
      <c r="M1131" s="9"/>
      <c r="N1131" s="9"/>
      <c r="O1131" s="9" t="s">
        <v>990</v>
      </c>
      <c r="P1131" s="9" t="s">
        <v>208</v>
      </c>
      <c r="Q1131" s="9"/>
      <c r="R1131" s="10"/>
      <c r="S1131" s="10"/>
      <c r="T1131" s="10"/>
      <c r="U1131" s="9"/>
      <c r="X1131" t="s">
        <v>62</v>
      </c>
      <c r="Y1131" t="s">
        <v>982</v>
      </c>
      <c r="Z1131" t="s">
        <v>113</v>
      </c>
      <c r="AB1131" t="str">
        <f t="shared" si="51"/>
        <v>06180</v>
      </c>
    </row>
    <row r="1132" ht="14.25" spans="1:28">
      <c r="A1132" s="5" t="s">
        <v>28</v>
      </c>
      <c r="B1132" s="5" t="s">
        <v>697</v>
      </c>
      <c r="C1132" s="5">
        <v>2027</v>
      </c>
      <c r="D1132" s="5" t="s">
        <v>30</v>
      </c>
      <c r="E1132" s="9" t="s">
        <v>998</v>
      </c>
      <c r="F1132" s="9" t="s">
        <v>999</v>
      </c>
      <c r="G1132" s="9" t="s">
        <v>1000</v>
      </c>
      <c r="H1132" s="9" t="s">
        <v>1001</v>
      </c>
      <c r="I1132" s="9" t="s">
        <v>119</v>
      </c>
      <c r="J1132" s="9" t="s">
        <v>36</v>
      </c>
      <c r="K1132" s="9">
        <v>990</v>
      </c>
      <c r="L1132" s="9"/>
      <c r="M1132" s="9"/>
      <c r="N1132" s="9"/>
      <c r="O1132" s="9" t="s">
        <v>201</v>
      </c>
      <c r="P1132" s="9" t="s">
        <v>79</v>
      </c>
      <c r="Q1132" s="9"/>
      <c r="R1132" s="10">
        <f t="shared" si="52"/>
        <v>0</v>
      </c>
      <c r="S1132" s="10">
        <f>SUMIFS([1]Sheet1!$T:$T,[1]Sheet1!$I:$I,E1132,[1]Sheet1!$C:$C,A1132)</f>
        <v>0</v>
      </c>
      <c r="T1132" s="10">
        <f t="shared" si="53"/>
        <v>0</v>
      </c>
      <c r="U1132" s="9"/>
      <c r="X1132" t="s">
        <v>102</v>
      </c>
      <c r="Y1132" t="s">
        <v>982</v>
      </c>
      <c r="Z1132" t="s">
        <v>113</v>
      </c>
      <c r="AB1132" t="str">
        <f t="shared" si="51"/>
        <v>06208</v>
      </c>
    </row>
    <row r="1133" ht="14.25" spans="1:28">
      <c r="A1133" s="5" t="s">
        <v>28</v>
      </c>
      <c r="B1133" s="5" t="s">
        <v>697</v>
      </c>
      <c r="C1133" s="5">
        <v>2027</v>
      </c>
      <c r="D1133" s="5" t="s">
        <v>30</v>
      </c>
      <c r="E1133" s="9" t="s">
        <v>998</v>
      </c>
      <c r="F1133" s="9" t="s">
        <v>999</v>
      </c>
      <c r="G1133" s="9" t="s">
        <v>1000</v>
      </c>
      <c r="H1133" s="9" t="s">
        <v>1001</v>
      </c>
      <c r="I1133" s="9" t="s">
        <v>119</v>
      </c>
      <c r="J1133" s="9" t="s">
        <v>36</v>
      </c>
      <c r="K1133" s="9">
        <v>990</v>
      </c>
      <c r="L1133" s="9"/>
      <c r="M1133" s="9"/>
      <c r="N1133" s="9"/>
      <c r="O1133" s="9" t="s">
        <v>201</v>
      </c>
      <c r="P1133" s="9" t="s">
        <v>203</v>
      </c>
      <c r="Q1133" s="9"/>
      <c r="R1133" s="10"/>
      <c r="S1133" s="10"/>
      <c r="T1133" s="10"/>
      <c r="U1133" s="9"/>
      <c r="X1133" t="s">
        <v>102</v>
      </c>
      <c r="Y1133" t="s">
        <v>982</v>
      </c>
      <c r="Z1133" t="s">
        <v>113</v>
      </c>
      <c r="AB1133" t="str">
        <f t="shared" si="51"/>
        <v>06208</v>
      </c>
    </row>
    <row r="1134" ht="14.25" spans="1:28">
      <c r="A1134" s="5" t="s">
        <v>28</v>
      </c>
      <c r="B1134" s="5" t="s">
        <v>697</v>
      </c>
      <c r="C1134" s="5">
        <v>2027</v>
      </c>
      <c r="D1134" s="5" t="s">
        <v>30</v>
      </c>
      <c r="E1134" s="9" t="s">
        <v>998</v>
      </c>
      <c r="F1134" s="9" t="s">
        <v>999</v>
      </c>
      <c r="G1134" s="9" t="s">
        <v>1000</v>
      </c>
      <c r="H1134" s="9" t="s">
        <v>1001</v>
      </c>
      <c r="I1134" s="9" t="s">
        <v>119</v>
      </c>
      <c r="J1134" s="9" t="s">
        <v>36</v>
      </c>
      <c r="K1134" s="9">
        <v>990</v>
      </c>
      <c r="L1134" s="9"/>
      <c r="M1134" s="9"/>
      <c r="N1134" s="9"/>
      <c r="O1134" s="9" t="s">
        <v>201</v>
      </c>
      <c r="P1134" s="9" t="s">
        <v>204</v>
      </c>
      <c r="Q1134" s="9"/>
      <c r="R1134" s="10"/>
      <c r="S1134" s="10"/>
      <c r="T1134" s="10"/>
      <c r="U1134" s="9"/>
      <c r="X1134" t="s">
        <v>102</v>
      </c>
      <c r="Y1134" t="s">
        <v>982</v>
      </c>
      <c r="Z1134" t="s">
        <v>113</v>
      </c>
      <c r="AB1134" t="str">
        <f t="shared" si="51"/>
        <v>06208</v>
      </c>
    </row>
    <row r="1135" ht="14.25" spans="1:28">
      <c r="A1135" s="5" t="s">
        <v>28</v>
      </c>
      <c r="B1135" s="5" t="s">
        <v>697</v>
      </c>
      <c r="C1135" s="5">
        <v>2027</v>
      </c>
      <c r="D1135" s="5" t="s">
        <v>30</v>
      </c>
      <c r="E1135" s="9" t="s">
        <v>998</v>
      </c>
      <c r="F1135" s="9" t="s">
        <v>999</v>
      </c>
      <c r="G1135" s="9" t="s">
        <v>1000</v>
      </c>
      <c r="H1135" s="9" t="s">
        <v>1001</v>
      </c>
      <c r="I1135" s="9" t="s">
        <v>119</v>
      </c>
      <c r="J1135" s="9" t="s">
        <v>36</v>
      </c>
      <c r="K1135" s="9">
        <v>990</v>
      </c>
      <c r="L1135" s="9"/>
      <c r="M1135" s="9"/>
      <c r="N1135" s="9"/>
      <c r="O1135" s="9" t="s">
        <v>201</v>
      </c>
      <c r="P1135" s="9" t="s">
        <v>205</v>
      </c>
      <c r="Q1135" s="9"/>
      <c r="R1135" s="10"/>
      <c r="S1135" s="10"/>
      <c r="T1135" s="10"/>
      <c r="U1135" s="9"/>
      <c r="X1135" t="s">
        <v>102</v>
      </c>
      <c r="Y1135" t="s">
        <v>982</v>
      </c>
      <c r="Z1135" t="s">
        <v>113</v>
      </c>
      <c r="AB1135" t="str">
        <f t="shared" si="51"/>
        <v>06208</v>
      </c>
    </row>
    <row r="1136" ht="14.25" spans="1:28">
      <c r="A1136" s="5" t="s">
        <v>28</v>
      </c>
      <c r="B1136" s="5" t="s">
        <v>697</v>
      </c>
      <c r="C1136" s="5">
        <v>2027</v>
      </c>
      <c r="D1136" s="5" t="s">
        <v>30</v>
      </c>
      <c r="E1136" s="9" t="s">
        <v>998</v>
      </c>
      <c r="F1136" s="9" t="s">
        <v>999</v>
      </c>
      <c r="G1136" s="9" t="s">
        <v>1000</v>
      </c>
      <c r="H1136" s="9" t="s">
        <v>1001</v>
      </c>
      <c r="I1136" s="9" t="s">
        <v>119</v>
      </c>
      <c r="J1136" s="9" t="s">
        <v>36</v>
      </c>
      <c r="K1136" s="9">
        <v>990</v>
      </c>
      <c r="L1136" s="9"/>
      <c r="M1136" s="9"/>
      <c r="N1136" s="9"/>
      <c r="O1136" s="9" t="s">
        <v>201</v>
      </c>
      <c r="P1136" s="9" t="s">
        <v>206</v>
      </c>
      <c r="Q1136" s="9"/>
      <c r="R1136" s="10"/>
      <c r="S1136" s="10"/>
      <c r="T1136" s="10"/>
      <c r="U1136" s="9"/>
      <c r="X1136" t="s">
        <v>102</v>
      </c>
      <c r="Y1136" t="s">
        <v>982</v>
      </c>
      <c r="Z1136" t="s">
        <v>113</v>
      </c>
      <c r="AB1136" t="str">
        <f t="shared" si="51"/>
        <v>06208</v>
      </c>
    </row>
    <row r="1137" ht="14.25" spans="1:28">
      <c r="A1137" s="5" t="s">
        <v>28</v>
      </c>
      <c r="B1137" s="5" t="s">
        <v>697</v>
      </c>
      <c r="C1137" s="5">
        <v>2027</v>
      </c>
      <c r="D1137" s="5" t="s">
        <v>30</v>
      </c>
      <c r="E1137" s="9" t="s">
        <v>998</v>
      </c>
      <c r="F1137" s="9" t="s">
        <v>999</v>
      </c>
      <c r="G1137" s="9" t="s">
        <v>1000</v>
      </c>
      <c r="H1137" s="9" t="s">
        <v>1001</v>
      </c>
      <c r="I1137" s="9" t="s">
        <v>119</v>
      </c>
      <c r="J1137" s="9" t="s">
        <v>36</v>
      </c>
      <c r="K1137" s="9">
        <v>990</v>
      </c>
      <c r="L1137" s="9"/>
      <c r="M1137" s="9"/>
      <c r="N1137" s="9"/>
      <c r="O1137" s="9" t="s">
        <v>201</v>
      </c>
      <c r="P1137" s="9" t="s">
        <v>207</v>
      </c>
      <c r="Q1137" s="9"/>
      <c r="R1137" s="10"/>
      <c r="S1137" s="10"/>
      <c r="T1137" s="10"/>
      <c r="U1137" s="9"/>
      <c r="X1137" t="s">
        <v>102</v>
      </c>
      <c r="Y1137" t="s">
        <v>982</v>
      </c>
      <c r="Z1137" t="s">
        <v>113</v>
      </c>
      <c r="AB1137" t="str">
        <f t="shared" si="51"/>
        <v>06208</v>
      </c>
    </row>
    <row r="1138" ht="14.25" spans="1:28">
      <c r="A1138" s="5" t="s">
        <v>28</v>
      </c>
      <c r="B1138" s="5" t="s">
        <v>697</v>
      </c>
      <c r="C1138" s="5">
        <v>2027</v>
      </c>
      <c r="D1138" s="5" t="s">
        <v>30</v>
      </c>
      <c r="E1138" s="9" t="s">
        <v>998</v>
      </c>
      <c r="F1138" s="9" t="s">
        <v>999</v>
      </c>
      <c r="G1138" s="9" t="s">
        <v>1000</v>
      </c>
      <c r="H1138" s="9" t="s">
        <v>1001</v>
      </c>
      <c r="I1138" s="9" t="s">
        <v>119</v>
      </c>
      <c r="J1138" s="9" t="s">
        <v>36</v>
      </c>
      <c r="K1138" s="9">
        <v>990</v>
      </c>
      <c r="L1138" s="9"/>
      <c r="M1138" s="9"/>
      <c r="N1138" s="9"/>
      <c r="O1138" s="9" t="s">
        <v>201</v>
      </c>
      <c r="P1138" s="9" t="s">
        <v>208</v>
      </c>
      <c r="Q1138" s="9"/>
      <c r="R1138" s="10"/>
      <c r="S1138" s="10"/>
      <c r="T1138" s="10"/>
      <c r="U1138" s="9"/>
      <c r="X1138" t="s">
        <v>102</v>
      </c>
      <c r="Y1138" t="s">
        <v>982</v>
      </c>
      <c r="Z1138" t="s">
        <v>113</v>
      </c>
      <c r="AB1138" t="str">
        <f t="shared" si="51"/>
        <v>06208</v>
      </c>
    </row>
    <row r="1139" ht="14.25" spans="1:28">
      <c r="A1139" s="5" t="s">
        <v>28</v>
      </c>
      <c r="B1139" s="5" t="s">
        <v>697</v>
      </c>
      <c r="C1139" s="5">
        <v>2027</v>
      </c>
      <c r="D1139" s="5" t="s">
        <v>30</v>
      </c>
      <c r="E1139" s="9" t="s">
        <v>998</v>
      </c>
      <c r="F1139" s="9" t="s">
        <v>999</v>
      </c>
      <c r="G1139" s="9" t="s">
        <v>1000</v>
      </c>
      <c r="H1139" s="9" t="s">
        <v>1001</v>
      </c>
      <c r="I1139" s="9" t="s">
        <v>119</v>
      </c>
      <c r="J1139" s="9" t="s">
        <v>36</v>
      </c>
      <c r="K1139" s="9">
        <v>990</v>
      </c>
      <c r="L1139" s="9"/>
      <c r="M1139" s="9"/>
      <c r="N1139" s="9"/>
      <c r="O1139" s="9" t="s">
        <v>201</v>
      </c>
      <c r="P1139" s="9" t="s">
        <v>209</v>
      </c>
      <c r="Q1139" s="9"/>
      <c r="R1139" s="10"/>
      <c r="S1139" s="10"/>
      <c r="T1139" s="10"/>
      <c r="U1139" s="9"/>
      <c r="X1139" t="s">
        <v>102</v>
      </c>
      <c r="Y1139" t="s">
        <v>982</v>
      </c>
      <c r="Z1139" t="s">
        <v>113</v>
      </c>
      <c r="AB1139" t="str">
        <f t="shared" si="51"/>
        <v>06208</v>
      </c>
    </row>
    <row r="1140" ht="14.25" spans="1:28">
      <c r="A1140" s="5" t="s">
        <v>28</v>
      </c>
      <c r="B1140" s="5" t="s">
        <v>697</v>
      </c>
      <c r="C1140" s="5">
        <v>2027</v>
      </c>
      <c r="D1140" s="5" t="s">
        <v>30</v>
      </c>
      <c r="E1140" s="9" t="s">
        <v>998</v>
      </c>
      <c r="F1140" s="9" t="s">
        <v>999</v>
      </c>
      <c r="G1140" s="9" t="s">
        <v>1000</v>
      </c>
      <c r="H1140" s="9" t="s">
        <v>1001</v>
      </c>
      <c r="I1140" s="9" t="s">
        <v>119</v>
      </c>
      <c r="J1140" s="9" t="s">
        <v>36</v>
      </c>
      <c r="K1140" s="9">
        <v>990</v>
      </c>
      <c r="L1140" s="9"/>
      <c r="M1140" s="9"/>
      <c r="N1140" s="9"/>
      <c r="O1140" s="9" t="s">
        <v>201</v>
      </c>
      <c r="P1140" s="9" t="s">
        <v>210</v>
      </c>
      <c r="Q1140" s="9"/>
      <c r="R1140" s="10"/>
      <c r="S1140" s="10"/>
      <c r="T1140" s="10"/>
      <c r="U1140" s="9"/>
      <c r="X1140" t="s">
        <v>102</v>
      </c>
      <c r="Y1140" t="s">
        <v>982</v>
      </c>
      <c r="Z1140" t="s">
        <v>113</v>
      </c>
      <c r="AB1140" t="str">
        <f t="shared" si="51"/>
        <v>06208</v>
      </c>
    </row>
    <row r="1141" ht="14.25" spans="1:28">
      <c r="A1141" s="5" t="s">
        <v>28</v>
      </c>
      <c r="B1141" s="5" t="s">
        <v>697</v>
      </c>
      <c r="C1141" s="5">
        <v>2027</v>
      </c>
      <c r="D1141" s="5" t="s">
        <v>30</v>
      </c>
      <c r="E1141" s="9" t="s">
        <v>1002</v>
      </c>
      <c r="F1141" s="9" t="s">
        <v>999</v>
      </c>
      <c r="G1141" s="9" t="s">
        <v>1003</v>
      </c>
      <c r="H1141" s="9" t="s">
        <v>1004</v>
      </c>
      <c r="I1141" s="9" t="s">
        <v>119</v>
      </c>
      <c r="J1141" s="9" t="s">
        <v>36</v>
      </c>
      <c r="K1141" s="9">
        <v>990</v>
      </c>
      <c r="L1141" s="9"/>
      <c r="M1141" s="9"/>
      <c r="N1141" s="9"/>
      <c r="O1141" s="9" t="s">
        <v>201</v>
      </c>
      <c r="P1141" s="9" t="s">
        <v>79</v>
      </c>
      <c r="Q1141" s="9"/>
      <c r="R1141" s="10">
        <f t="shared" si="52"/>
        <v>0</v>
      </c>
      <c r="S1141" s="10">
        <f>SUMIFS([1]Sheet1!$T:$T,[1]Sheet1!$I:$I,E1141,[1]Sheet1!$C:$C,A1141)</f>
        <v>0</v>
      </c>
      <c r="T1141" s="10">
        <f t="shared" si="53"/>
        <v>0</v>
      </c>
      <c r="U1141" s="9"/>
      <c r="Y1141" t="s">
        <v>982</v>
      </c>
      <c r="Z1141" t="s">
        <v>113</v>
      </c>
      <c r="AB1141" t="str">
        <f t="shared" si="51"/>
        <v>06208</v>
      </c>
    </row>
    <row r="1142" ht="14.25" spans="1:28">
      <c r="A1142" s="5" t="s">
        <v>28</v>
      </c>
      <c r="B1142" s="5" t="s">
        <v>697</v>
      </c>
      <c r="C1142" s="5">
        <v>2027</v>
      </c>
      <c r="D1142" s="5" t="s">
        <v>30</v>
      </c>
      <c r="E1142" s="9" t="s">
        <v>1002</v>
      </c>
      <c r="F1142" s="9" t="s">
        <v>999</v>
      </c>
      <c r="G1142" s="9" t="s">
        <v>1003</v>
      </c>
      <c r="H1142" s="9" t="s">
        <v>1004</v>
      </c>
      <c r="I1142" s="9" t="s">
        <v>119</v>
      </c>
      <c r="J1142" s="9" t="s">
        <v>36</v>
      </c>
      <c r="K1142" s="9">
        <v>990</v>
      </c>
      <c r="L1142" s="9"/>
      <c r="M1142" s="9"/>
      <c r="N1142" s="9"/>
      <c r="O1142" s="9" t="s">
        <v>201</v>
      </c>
      <c r="P1142" s="9" t="s">
        <v>203</v>
      </c>
      <c r="Q1142" s="9"/>
      <c r="R1142" s="10"/>
      <c r="S1142" s="10"/>
      <c r="T1142" s="10"/>
      <c r="U1142" s="9"/>
      <c r="Y1142" t="s">
        <v>982</v>
      </c>
      <c r="Z1142" t="s">
        <v>113</v>
      </c>
      <c r="AB1142" t="str">
        <f t="shared" si="51"/>
        <v>06208</v>
      </c>
    </row>
    <row r="1143" ht="14.25" spans="1:28">
      <c r="A1143" s="5" t="s">
        <v>28</v>
      </c>
      <c r="B1143" s="5" t="s">
        <v>697</v>
      </c>
      <c r="C1143" s="5">
        <v>2027</v>
      </c>
      <c r="D1143" s="5" t="s">
        <v>30</v>
      </c>
      <c r="E1143" s="9" t="s">
        <v>1002</v>
      </c>
      <c r="F1143" s="9" t="s">
        <v>999</v>
      </c>
      <c r="G1143" s="9" t="s">
        <v>1003</v>
      </c>
      <c r="H1143" s="9" t="s">
        <v>1004</v>
      </c>
      <c r="I1143" s="9" t="s">
        <v>119</v>
      </c>
      <c r="J1143" s="9" t="s">
        <v>36</v>
      </c>
      <c r="K1143" s="9">
        <v>990</v>
      </c>
      <c r="L1143" s="9"/>
      <c r="M1143" s="9"/>
      <c r="N1143" s="9"/>
      <c r="O1143" s="9" t="s">
        <v>201</v>
      </c>
      <c r="P1143" s="9" t="s">
        <v>204</v>
      </c>
      <c r="Q1143" s="9"/>
      <c r="R1143" s="10"/>
      <c r="S1143" s="10"/>
      <c r="T1143" s="10"/>
      <c r="U1143" s="9"/>
      <c r="Y1143" t="s">
        <v>982</v>
      </c>
      <c r="Z1143" t="s">
        <v>113</v>
      </c>
      <c r="AB1143" t="str">
        <f t="shared" si="51"/>
        <v>06208</v>
      </c>
    </row>
    <row r="1144" ht="14.25" spans="1:28">
      <c r="A1144" s="5" t="s">
        <v>28</v>
      </c>
      <c r="B1144" s="5" t="s">
        <v>697</v>
      </c>
      <c r="C1144" s="5">
        <v>2027</v>
      </c>
      <c r="D1144" s="5" t="s">
        <v>30</v>
      </c>
      <c r="E1144" s="9" t="s">
        <v>1002</v>
      </c>
      <c r="F1144" s="9" t="s">
        <v>999</v>
      </c>
      <c r="G1144" s="9" t="s">
        <v>1003</v>
      </c>
      <c r="H1144" s="9" t="s">
        <v>1004</v>
      </c>
      <c r="I1144" s="9" t="s">
        <v>119</v>
      </c>
      <c r="J1144" s="9" t="s">
        <v>36</v>
      </c>
      <c r="K1144" s="9">
        <v>990</v>
      </c>
      <c r="L1144" s="9"/>
      <c r="M1144" s="9"/>
      <c r="N1144" s="9"/>
      <c r="O1144" s="9" t="s">
        <v>201</v>
      </c>
      <c r="P1144" s="9" t="s">
        <v>205</v>
      </c>
      <c r="Q1144" s="9"/>
      <c r="R1144" s="10"/>
      <c r="S1144" s="10"/>
      <c r="T1144" s="10"/>
      <c r="U1144" s="9"/>
      <c r="Y1144" t="s">
        <v>982</v>
      </c>
      <c r="Z1144" t="s">
        <v>113</v>
      </c>
      <c r="AB1144" t="str">
        <f t="shared" si="51"/>
        <v>06208</v>
      </c>
    </row>
    <row r="1145" ht="14.25" spans="1:28">
      <c r="A1145" s="5" t="s">
        <v>28</v>
      </c>
      <c r="B1145" s="5" t="s">
        <v>697</v>
      </c>
      <c r="C1145" s="5">
        <v>2027</v>
      </c>
      <c r="D1145" s="5" t="s">
        <v>30</v>
      </c>
      <c r="E1145" s="9" t="s">
        <v>1002</v>
      </c>
      <c r="F1145" s="9" t="s">
        <v>999</v>
      </c>
      <c r="G1145" s="9" t="s">
        <v>1003</v>
      </c>
      <c r="H1145" s="9" t="s">
        <v>1004</v>
      </c>
      <c r="I1145" s="9" t="s">
        <v>119</v>
      </c>
      <c r="J1145" s="9" t="s">
        <v>36</v>
      </c>
      <c r="K1145" s="9">
        <v>990</v>
      </c>
      <c r="L1145" s="9"/>
      <c r="M1145" s="9"/>
      <c r="N1145" s="9"/>
      <c r="O1145" s="9" t="s">
        <v>201</v>
      </c>
      <c r="P1145" s="9" t="s">
        <v>206</v>
      </c>
      <c r="Q1145" s="9"/>
      <c r="R1145" s="10"/>
      <c r="S1145" s="10"/>
      <c r="T1145" s="10"/>
      <c r="U1145" s="9"/>
      <c r="Y1145" t="s">
        <v>982</v>
      </c>
      <c r="Z1145" t="s">
        <v>113</v>
      </c>
      <c r="AB1145" t="str">
        <f t="shared" si="51"/>
        <v>06208</v>
      </c>
    </row>
    <row r="1146" ht="14.25" spans="1:28">
      <c r="A1146" s="5" t="s">
        <v>28</v>
      </c>
      <c r="B1146" s="5" t="s">
        <v>697</v>
      </c>
      <c r="C1146" s="5">
        <v>2027</v>
      </c>
      <c r="D1146" s="5" t="s">
        <v>30</v>
      </c>
      <c r="E1146" s="9" t="s">
        <v>1002</v>
      </c>
      <c r="F1146" s="9" t="s">
        <v>999</v>
      </c>
      <c r="G1146" s="9" t="s">
        <v>1003</v>
      </c>
      <c r="H1146" s="9" t="s">
        <v>1004</v>
      </c>
      <c r="I1146" s="9" t="s">
        <v>119</v>
      </c>
      <c r="J1146" s="9" t="s">
        <v>36</v>
      </c>
      <c r="K1146" s="9">
        <v>990</v>
      </c>
      <c r="L1146" s="9"/>
      <c r="M1146" s="9"/>
      <c r="N1146" s="9"/>
      <c r="O1146" s="9" t="s">
        <v>201</v>
      </c>
      <c r="P1146" s="9" t="s">
        <v>207</v>
      </c>
      <c r="Q1146" s="9"/>
      <c r="R1146" s="10"/>
      <c r="S1146" s="10"/>
      <c r="T1146" s="10"/>
      <c r="U1146" s="9"/>
      <c r="Y1146" t="s">
        <v>982</v>
      </c>
      <c r="Z1146" t="s">
        <v>113</v>
      </c>
      <c r="AB1146" t="str">
        <f t="shared" si="51"/>
        <v>06208</v>
      </c>
    </row>
    <row r="1147" ht="14.25" spans="1:28">
      <c r="A1147" s="5" t="s">
        <v>28</v>
      </c>
      <c r="B1147" s="5" t="s">
        <v>697</v>
      </c>
      <c r="C1147" s="5">
        <v>2027</v>
      </c>
      <c r="D1147" s="5" t="s">
        <v>30</v>
      </c>
      <c r="E1147" s="9" t="s">
        <v>1002</v>
      </c>
      <c r="F1147" s="9" t="s">
        <v>999</v>
      </c>
      <c r="G1147" s="9" t="s">
        <v>1003</v>
      </c>
      <c r="H1147" s="9" t="s">
        <v>1004</v>
      </c>
      <c r="I1147" s="9" t="s">
        <v>119</v>
      </c>
      <c r="J1147" s="9" t="s">
        <v>36</v>
      </c>
      <c r="K1147" s="9">
        <v>990</v>
      </c>
      <c r="L1147" s="9"/>
      <c r="M1147" s="9"/>
      <c r="N1147" s="9"/>
      <c r="O1147" s="9" t="s">
        <v>201</v>
      </c>
      <c r="P1147" s="9" t="s">
        <v>208</v>
      </c>
      <c r="Q1147" s="9"/>
      <c r="R1147" s="10"/>
      <c r="S1147" s="10"/>
      <c r="T1147" s="10"/>
      <c r="U1147" s="9"/>
      <c r="Y1147" t="s">
        <v>982</v>
      </c>
      <c r="Z1147" t="s">
        <v>113</v>
      </c>
      <c r="AB1147" t="str">
        <f t="shared" si="51"/>
        <v>06208</v>
      </c>
    </row>
    <row r="1148" ht="14.25" spans="1:28">
      <c r="A1148" s="5" t="s">
        <v>28</v>
      </c>
      <c r="B1148" s="5" t="s">
        <v>697</v>
      </c>
      <c r="C1148" s="5">
        <v>2027</v>
      </c>
      <c r="D1148" s="5" t="s">
        <v>30</v>
      </c>
      <c r="E1148" s="9" t="s">
        <v>1002</v>
      </c>
      <c r="F1148" s="9" t="s">
        <v>999</v>
      </c>
      <c r="G1148" s="9" t="s">
        <v>1003</v>
      </c>
      <c r="H1148" s="9" t="s">
        <v>1004</v>
      </c>
      <c r="I1148" s="9" t="s">
        <v>119</v>
      </c>
      <c r="J1148" s="9" t="s">
        <v>36</v>
      </c>
      <c r="K1148" s="9">
        <v>990</v>
      </c>
      <c r="L1148" s="9"/>
      <c r="M1148" s="9"/>
      <c r="N1148" s="9"/>
      <c r="O1148" s="9" t="s">
        <v>201</v>
      </c>
      <c r="P1148" s="9" t="s">
        <v>209</v>
      </c>
      <c r="Q1148" s="9"/>
      <c r="R1148" s="10"/>
      <c r="S1148" s="10"/>
      <c r="T1148" s="10"/>
      <c r="U1148" s="9"/>
      <c r="Y1148" t="s">
        <v>982</v>
      </c>
      <c r="Z1148" t="s">
        <v>113</v>
      </c>
      <c r="AB1148" t="str">
        <f t="shared" si="51"/>
        <v>06208</v>
      </c>
    </row>
    <row r="1149" ht="14.25" spans="1:28">
      <c r="A1149" s="5" t="s">
        <v>28</v>
      </c>
      <c r="B1149" s="5" t="s">
        <v>697</v>
      </c>
      <c r="C1149" s="5">
        <v>2027</v>
      </c>
      <c r="D1149" s="5" t="s">
        <v>30</v>
      </c>
      <c r="E1149" s="9" t="s">
        <v>1002</v>
      </c>
      <c r="F1149" s="9" t="s">
        <v>999</v>
      </c>
      <c r="G1149" s="9" t="s">
        <v>1003</v>
      </c>
      <c r="H1149" s="9" t="s">
        <v>1004</v>
      </c>
      <c r="I1149" s="9" t="s">
        <v>119</v>
      </c>
      <c r="J1149" s="9" t="s">
        <v>36</v>
      </c>
      <c r="K1149" s="9">
        <v>990</v>
      </c>
      <c r="L1149" s="9"/>
      <c r="M1149" s="9"/>
      <c r="N1149" s="9"/>
      <c r="O1149" s="9" t="s">
        <v>201</v>
      </c>
      <c r="P1149" s="9" t="s">
        <v>210</v>
      </c>
      <c r="Q1149" s="9"/>
      <c r="R1149" s="10"/>
      <c r="S1149" s="10"/>
      <c r="T1149" s="10"/>
      <c r="U1149" s="9"/>
      <c r="Y1149" t="s">
        <v>982</v>
      </c>
      <c r="Z1149" t="s">
        <v>113</v>
      </c>
      <c r="AB1149" t="str">
        <f t="shared" si="51"/>
        <v>06208</v>
      </c>
    </row>
    <row r="1150" ht="14.25" spans="1:28">
      <c r="A1150" s="5" t="s">
        <v>28</v>
      </c>
      <c r="B1150" s="5" t="s">
        <v>697</v>
      </c>
      <c r="C1150" s="5">
        <v>2027</v>
      </c>
      <c r="D1150" s="5" t="s">
        <v>30</v>
      </c>
      <c r="E1150" s="9" t="s">
        <v>1005</v>
      </c>
      <c r="F1150" s="9" t="s">
        <v>199</v>
      </c>
      <c r="G1150" s="9" t="s">
        <v>1006</v>
      </c>
      <c r="H1150" s="9" t="s">
        <v>1007</v>
      </c>
      <c r="I1150" s="9" t="s">
        <v>119</v>
      </c>
      <c r="J1150" s="9" t="s">
        <v>36</v>
      </c>
      <c r="K1150" s="9">
        <v>890</v>
      </c>
      <c r="L1150" s="9"/>
      <c r="M1150" s="9"/>
      <c r="N1150" s="9"/>
      <c r="O1150" s="9" t="s">
        <v>201</v>
      </c>
      <c r="P1150" s="9" t="s">
        <v>79</v>
      </c>
      <c r="Q1150" s="9"/>
      <c r="R1150" s="10">
        <f t="shared" si="52"/>
        <v>0</v>
      </c>
      <c r="S1150" s="10">
        <f>SUMIFS([1]Sheet1!$T:$T,[1]Sheet1!$I:$I,E1150,[1]Sheet1!$C:$C,A1150)</f>
        <v>0</v>
      </c>
      <c r="T1150" s="10">
        <f t="shared" si="53"/>
        <v>0</v>
      </c>
      <c r="U1150" s="9"/>
      <c r="Y1150" t="s">
        <v>202</v>
      </c>
      <c r="Z1150" t="s">
        <v>113</v>
      </c>
      <c r="AB1150" t="str">
        <f t="shared" si="51"/>
        <v>06412</v>
      </c>
    </row>
    <row r="1151" ht="14.25" spans="1:28">
      <c r="A1151" s="5" t="s">
        <v>28</v>
      </c>
      <c r="B1151" s="5" t="s">
        <v>697</v>
      </c>
      <c r="C1151" s="5">
        <v>2027</v>
      </c>
      <c r="D1151" s="5" t="s">
        <v>30</v>
      </c>
      <c r="E1151" s="9" t="s">
        <v>1005</v>
      </c>
      <c r="F1151" s="9" t="s">
        <v>199</v>
      </c>
      <c r="G1151" s="9" t="s">
        <v>1006</v>
      </c>
      <c r="H1151" s="9" t="s">
        <v>1007</v>
      </c>
      <c r="I1151" s="9" t="s">
        <v>119</v>
      </c>
      <c r="J1151" s="9" t="s">
        <v>36</v>
      </c>
      <c r="K1151" s="9">
        <v>890</v>
      </c>
      <c r="L1151" s="9"/>
      <c r="M1151" s="9"/>
      <c r="N1151" s="9"/>
      <c r="O1151" s="9" t="s">
        <v>201</v>
      </c>
      <c r="P1151" s="9" t="s">
        <v>203</v>
      </c>
      <c r="Q1151" s="9"/>
      <c r="R1151" s="10"/>
      <c r="S1151" s="10"/>
      <c r="T1151" s="10"/>
      <c r="U1151" s="9"/>
      <c r="Y1151" t="s">
        <v>202</v>
      </c>
      <c r="Z1151" t="s">
        <v>113</v>
      </c>
      <c r="AB1151" t="str">
        <f t="shared" si="51"/>
        <v>06412</v>
      </c>
    </row>
    <row r="1152" ht="14.25" spans="1:28">
      <c r="A1152" s="5" t="s">
        <v>28</v>
      </c>
      <c r="B1152" s="5" t="s">
        <v>697</v>
      </c>
      <c r="C1152" s="5">
        <v>2027</v>
      </c>
      <c r="D1152" s="5" t="s">
        <v>30</v>
      </c>
      <c r="E1152" s="9" t="s">
        <v>1005</v>
      </c>
      <c r="F1152" s="9" t="s">
        <v>199</v>
      </c>
      <c r="G1152" s="9" t="s">
        <v>1006</v>
      </c>
      <c r="H1152" s="9" t="s">
        <v>1007</v>
      </c>
      <c r="I1152" s="9" t="s">
        <v>119</v>
      </c>
      <c r="J1152" s="9" t="s">
        <v>36</v>
      </c>
      <c r="K1152" s="9">
        <v>890</v>
      </c>
      <c r="L1152" s="9"/>
      <c r="M1152" s="9"/>
      <c r="N1152" s="9"/>
      <c r="O1152" s="9" t="s">
        <v>201</v>
      </c>
      <c r="P1152" s="9" t="s">
        <v>204</v>
      </c>
      <c r="Q1152" s="9"/>
      <c r="R1152" s="10"/>
      <c r="S1152" s="10"/>
      <c r="T1152" s="10"/>
      <c r="U1152" s="9"/>
      <c r="Y1152" t="s">
        <v>202</v>
      </c>
      <c r="Z1152" t="s">
        <v>113</v>
      </c>
      <c r="AB1152" t="str">
        <f t="shared" si="51"/>
        <v>06412</v>
      </c>
    </row>
    <row r="1153" ht="14.25" spans="1:28">
      <c r="A1153" s="5" t="s">
        <v>28</v>
      </c>
      <c r="B1153" s="5" t="s">
        <v>697</v>
      </c>
      <c r="C1153" s="5">
        <v>2027</v>
      </c>
      <c r="D1153" s="5" t="s">
        <v>30</v>
      </c>
      <c r="E1153" s="9" t="s">
        <v>1005</v>
      </c>
      <c r="F1153" s="9" t="s">
        <v>199</v>
      </c>
      <c r="G1153" s="9" t="s">
        <v>1006</v>
      </c>
      <c r="H1153" s="9" t="s">
        <v>1007</v>
      </c>
      <c r="I1153" s="9" t="s">
        <v>119</v>
      </c>
      <c r="J1153" s="9" t="s">
        <v>36</v>
      </c>
      <c r="K1153" s="9">
        <v>890</v>
      </c>
      <c r="L1153" s="9"/>
      <c r="M1153" s="9"/>
      <c r="N1153" s="9"/>
      <c r="O1153" s="9" t="s">
        <v>201</v>
      </c>
      <c r="P1153" s="9" t="s">
        <v>205</v>
      </c>
      <c r="Q1153" s="9"/>
      <c r="R1153" s="10"/>
      <c r="S1153" s="10"/>
      <c r="T1153" s="10"/>
      <c r="U1153" s="9"/>
      <c r="Y1153" t="s">
        <v>202</v>
      </c>
      <c r="Z1153" t="s">
        <v>113</v>
      </c>
      <c r="AB1153" t="str">
        <f t="shared" si="51"/>
        <v>06412</v>
      </c>
    </row>
    <row r="1154" ht="14.25" spans="1:28">
      <c r="A1154" s="5" t="s">
        <v>28</v>
      </c>
      <c r="B1154" s="5" t="s">
        <v>697</v>
      </c>
      <c r="C1154" s="5">
        <v>2027</v>
      </c>
      <c r="D1154" s="5" t="s">
        <v>30</v>
      </c>
      <c r="E1154" s="9" t="s">
        <v>1005</v>
      </c>
      <c r="F1154" s="9" t="s">
        <v>199</v>
      </c>
      <c r="G1154" s="9" t="s">
        <v>1006</v>
      </c>
      <c r="H1154" s="9" t="s">
        <v>1007</v>
      </c>
      <c r="I1154" s="9" t="s">
        <v>119</v>
      </c>
      <c r="J1154" s="9" t="s">
        <v>36</v>
      </c>
      <c r="K1154" s="9">
        <v>890</v>
      </c>
      <c r="L1154" s="9"/>
      <c r="M1154" s="9"/>
      <c r="N1154" s="9"/>
      <c r="O1154" s="9" t="s">
        <v>201</v>
      </c>
      <c r="P1154" s="9" t="s">
        <v>206</v>
      </c>
      <c r="Q1154" s="9"/>
      <c r="R1154" s="10"/>
      <c r="S1154" s="10"/>
      <c r="T1154" s="10"/>
      <c r="U1154" s="9"/>
      <c r="Y1154" t="s">
        <v>202</v>
      </c>
      <c r="Z1154" t="s">
        <v>113</v>
      </c>
      <c r="AB1154" t="str">
        <f t="shared" si="51"/>
        <v>06412</v>
      </c>
    </row>
    <row r="1155" ht="14.25" spans="1:28">
      <c r="A1155" s="5" t="s">
        <v>28</v>
      </c>
      <c r="B1155" s="5" t="s">
        <v>697</v>
      </c>
      <c r="C1155" s="5">
        <v>2027</v>
      </c>
      <c r="D1155" s="5" t="s">
        <v>30</v>
      </c>
      <c r="E1155" s="9" t="s">
        <v>1005</v>
      </c>
      <c r="F1155" s="9" t="s">
        <v>199</v>
      </c>
      <c r="G1155" s="9" t="s">
        <v>1006</v>
      </c>
      <c r="H1155" s="9" t="s">
        <v>1007</v>
      </c>
      <c r="I1155" s="9" t="s">
        <v>119</v>
      </c>
      <c r="J1155" s="9" t="s">
        <v>36</v>
      </c>
      <c r="K1155" s="9">
        <v>890</v>
      </c>
      <c r="L1155" s="9"/>
      <c r="M1155" s="9"/>
      <c r="N1155" s="9"/>
      <c r="O1155" s="9" t="s">
        <v>201</v>
      </c>
      <c r="P1155" s="9" t="s">
        <v>207</v>
      </c>
      <c r="Q1155" s="9"/>
      <c r="R1155" s="10"/>
      <c r="S1155" s="10"/>
      <c r="T1155" s="10"/>
      <c r="U1155" s="9"/>
      <c r="Y1155" t="s">
        <v>202</v>
      </c>
      <c r="Z1155" t="s">
        <v>113</v>
      </c>
      <c r="AB1155" t="str">
        <f t="shared" ref="AB1155:AB1218" si="54">MID(E1155,6,5)</f>
        <v>06412</v>
      </c>
    </row>
    <row r="1156" ht="14.25" spans="1:28">
      <c r="A1156" s="5" t="s">
        <v>28</v>
      </c>
      <c r="B1156" s="5" t="s">
        <v>697</v>
      </c>
      <c r="C1156" s="5">
        <v>2027</v>
      </c>
      <c r="D1156" s="5" t="s">
        <v>30</v>
      </c>
      <c r="E1156" s="9" t="s">
        <v>1005</v>
      </c>
      <c r="F1156" s="9" t="s">
        <v>199</v>
      </c>
      <c r="G1156" s="9" t="s">
        <v>1006</v>
      </c>
      <c r="H1156" s="9" t="s">
        <v>1007</v>
      </c>
      <c r="I1156" s="9" t="s">
        <v>119</v>
      </c>
      <c r="J1156" s="9" t="s">
        <v>36</v>
      </c>
      <c r="K1156" s="9">
        <v>890</v>
      </c>
      <c r="L1156" s="9"/>
      <c r="M1156" s="9"/>
      <c r="N1156" s="9"/>
      <c r="O1156" s="9" t="s">
        <v>201</v>
      </c>
      <c r="P1156" s="9" t="s">
        <v>208</v>
      </c>
      <c r="Q1156" s="9"/>
      <c r="R1156" s="10"/>
      <c r="S1156" s="10"/>
      <c r="T1156" s="10"/>
      <c r="U1156" s="9"/>
      <c r="Y1156" t="s">
        <v>202</v>
      </c>
      <c r="Z1156" t="s">
        <v>113</v>
      </c>
      <c r="AB1156" t="str">
        <f t="shared" si="54"/>
        <v>06412</v>
      </c>
    </row>
    <row r="1157" ht="14.25" spans="1:28">
      <c r="A1157" s="5" t="s">
        <v>28</v>
      </c>
      <c r="B1157" s="5" t="s">
        <v>697</v>
      </c>
      <c r="C1157" s="5">
        <v>2027</v>
      </c>
      <c r="D1157" s="5" t="s">
        <v>30</v>
      </c>
      <c r="E1157" s="9" t="s">
        <v>1005</v>
      </c>
      <c r="F1157" s="9" t="s">
        <v>199</v>
      </c>
      <c r="G1157" s="9" t="s">
        <v>1006</v>
      </c>
      <c r="H1157" s="9" t="s">
        <v>1007</v>
      </c>
      <c r="I1157" s="9" t="s">
        <v>119</v>
      </c>
      <c r="J1157" s="9" t="s">
        <v>36</v>
      </c>
      <c r="K1157" s="9">
        <v>890</v>
      </c>
      <c r="L1157" s="9"/>
      <c r="M1157" s="9"/>
      <c r="N1157" s="9"/>
      <c r="O1157" s="9" t="s">
        <v>201</v>
      </c>
      <c r="P1157" s="9" t="s">
        <v>209</v>
      </c>
      <c r="Q1157" s="9"/>
      <c r="R1157" s="10"/>
      <c r="S1157" s="10"/>
      <c r="T1157" s="10"/>
      <c r="U1157" s="9"/>
      <c r="Y1157" t="s">
        <v>202</v>
      </c>
      <c r="Z1157" t="s">
        <v>113</v>
      </c>
      <c r="AB1157" t="str">
        <f t="shared" si="54"/>
        <v>06412</v>
      </c>
    </row>
    <row r="1158" ht="14.25" spans="1:28">
      <c r="A1158" s="5" t="s">
        <v>28</v>
      </c>
      <c r="B1158" s="5" t="s">
        <v>697</v>
      </c>
      <c r="C1158" s="5">
        <v>2027</v>
      </c>
      <c r="D1158" s="5" t="s">
        <v>30</v>
      </c>
      <c r="E1158" s="9" t="s">
        <v>1005</v>
      </c>
      <c r="F1158" s="9" t="s">
        <v>199</v>
      </c>
      <c r="G1158" s="9" t="s">
        <v>1006</v>
      </c>
      <c r="H1158" s="9" t="s">
        <v>1007</v>
      </c>
      <c r="I1158" s="9" t="s">
        <v>119</v>
      </c>
      <c r="J1158" s="9" t="s">
        <v>36</v>
      </c>
      <c r="K1158" s="9">
        <v>890</v>
      </c>
      <c r="L1158" s="9"/>
      <c r="M1158" s="9"/>
      <c r="N1158" s="9"/>
      <c r="O1158" s="9" t="s">
        <v>201</v>
      </c>
      <c r="P1158" s="9" t="s">
        <v>210</v>
      </c>
      <c r="Q1158" s="9"/>
      <c r="R1158" s="10"/>
      <c r="S1158" s="10"/>
      <c r="T1158" s="10"/>
      <c r="U1158" s="9"/>
      <c r="Y1158" t="s">
        <v>202</v>
      </c>
      <c r="Z1158" t="s">
        <v>113</v>
      </c>
      <c r="AB1158" t="str">
        <f t="shared" si="54"/>
        <v>06412</v>
      </c>
    </row>
    <row r="1159" ht="14.25" spans="1:28">
      <c r="A1159" s="5" t="s">
        <v>28</v>
      </c>
      <c r="B1159" s="5" t="s">
        <v>697</v>
      </c>
      <c r="C1159" s="5">
        <v>2027</v>
      </c>
      <c r="D1159" s="5" t="s">
        <v>30</v>
      </c>
      <c r="E1159" s="9" t="s">
        <v>1008</v>
      </c>
      <c r="F1159" s="9" t="s">
        <v>199</v>
      </c>
      <c r="G1159" s="9" t="s">
        <v>100</v>
      </c>
      <c r="H1159" s="9" t="s">
        <v>1009</v>
      </c>
      <c r="I1159" s="9" t="s">
        <v>119</v>
      </c>
      <c r="J1159" s="9" t="s">
        <v>36</v>
      </c>
      <c r="K1159" s="9">
        <v>890</v>
      </c>
      <c r="L1159" s="9"/>
      <c r="M1159" s="9"/>
      <c r="N1159" s="9"/>
      <c r="O1159" s="9" t="s">
        <v>201</v>
      </c>
      <c r="P1159" s="9" t="s">
        <v>79</v>
      </c>
      <c r="Q1159" s="9"/>
      <c r="R1159" s="10">
        <f t="shared" ref="R1154:R1217" si="55">SUMIFS(Q:Q,E:E,E1159)</f>
        <v>0</v>
      </c>
      <c r="S1159" s="10">
        <f>SUMIFS([1]Sheet1!$T:$T,[1]Sheet1!$I:$I,E1159,[1]Sheet1!$C:$C,A1159)</f>
        <v>0</v>
      </c>
      <c r="T1159" s="10">
        <f t="shared" ref="T1154:T1217" si="56">R1159-S1159</f>
        <v>0</v>
      </c>
      <c r="U1159" s="9"/>
      <c r="X1159" t="s">
        <v>102</v>
      </c>
      <c r="Y1159" t="s">
        <v>202</v>
      </c>
      <c r="Z1159" t="s">
        <v>113</v>
      </c>
      <c r="AB1159" t="str">
        <f t="shared" si="54"/>
        <v>06412</v>
      </c>
    </row>
    <row r="1160" ht="14.25" spans="1:28">
      <c r="A1160" s="5" t="s">
        <v>28</v>
      </c>
      <c r="B1160" s="5" t="s">
        <v>697</v>
      </c>
      <c r="C1160" s="5">
        <v>2027</v>
      </c>
      <c r="D1160" s="5" t="s">
        <v>30</v>
      </c>
      <c r="E1160" s="9" t="s">
        <v>1008</v>
      </c>
      <c r="F1160" s="9" t="s">
        <v>199</v>
      </c>
      <c r="G1160" s="9" t="s">
        <v>100</v>
      </c>
      <c r="H1160" s="9" t="s">
        <v>1009</v>
      </c>
      <c r="I1160" s="9" t="s">
        <v>119</v>
      </c>
      <c r="J1160" s="9" t="s">
        <v>36</v>
      </c>
      <c r="K1160" s="9">
        <v>890</v>
      </c>
      <c r="L1160" s="9"/>
      <c r="M1160" s="9"/>
      <c r="N1160" s="9"/>
      <c r="O1160" s="9" t="s">
        <v>201</v>
      </c>
      <c r="P1160" s="9" t="s">
        <v>203</v>
      </c>
      <c r="Q1160" s="9"/>
      <c r="R1160" s="10"/>
      <c r="S1160" s="10"/>
      <c r="T1160" s="10"/>
      <c r="U1160" s="9"/>
      <c r="X1160" t="s">
        <v>102</v>
      </c>
      <c r="Y1160" t="s">
        <v>202</v>
      </c>
      <c r="Z1160" t="s">
        <v>113</v>
      </c>
      <c r="AB1160" t="str">
        <f t="shared" si="54"/>
        <v>06412</v>
      </c>
    </row>
    <row r="1161" ht="14.25" spans="1:28">
      <c r="A1161" s="5" t="s">
        <v>28</v>
      </c>
      <c r="B1161" s="5" t="s">
        <v>697</v>
      </c>
      <c r="C1161" s="5">
        <v>2027</v>
      </c>
      <c r="D1161" s="5" t="s">
        <v>30</v>
      </c>
      <c r="E1161" s="9" t="s">
        <v>1008</v>
      </c>
      <c r="F1161" s="9" t="s">
        <v>199</v>
      </c>
      <c r="G1161" s="9" t="s">
        <v>100</v>
      </c>
      <c r="H1161" s="9" t="s">
        <v>1009</v>
      </c>
      <c r="I1161" s="9" t="s">
        <v>119</v>
      </c>
      <c r="J1161" s="9" t="s">
        <v>36</v>
      </c>
      <c r="K1161" s="9">
        <v>890</v>
      </c>
      <c r="L1161" s="9"/>
      <c r="M1161" s="9"/>
      <c r="N1161" s="9"/>
      <c r="O1161" s="9" t="s">
        <v>201</v>
      </c>
      <c r="P1161" s="9" t="s">
        <v>204</v>
      </c>
      <c r="Q1161" s="9"/>
      <c r="R1161" s="10"/>
      <c r="S1161" s="10"/>
      <c r="T1161" s="10"/>
      <c r="U1161" s="9"/>
      <c r="X1161" t="s">
        <v>102</v>
      </c>
      <c r="Y1161" t="s">
        <v>202</v>
      </c>
      <c r="Z1161" t="s">
        <v>113</v>
      </c>
      <c r="AB1161" t="str">
        <f t="shared" si="54"/>
        <v>06412</v>
      </c>
    </row>
    <row r="1162" ht="14.25" spans="1:28">
      <c r="A1162" s="5" t="s">
        <v>28</v>
      </c>
      <c r="B1162" s="5" t="s">
        <v>697</v>
      </c>
      <c r="C1162" s="5">
        <v>2027</v>
      </c>
      <c r="D1162" s="5" t="s">
        <v>30</v>
      </c>
      <c r="E1162" s="9" t="s">
        <v>1008</v>
      </c>
      <c r="F1162" s="9" t="s">
        <v>199</v>
      </c>
      <c r="G1162" s="9" t="s">
        <v>100</v>
      </c>
      <c r="H1162" s="9" t="s">
        <v>1009</v>
      </c>
      <c r="I1162" s="9" t="s">
        <v>119</v>
      </c>
      <c r="J1162" s="9" t="s">
        <v>36</v>
      </c>
      <c r="K1162" s="9">
        <v>890</v>
      </c>
      <c r="L1162" s="9"/>
      <c r="M1162" s="9"/>
      <c r="N1162" s="9"/>
      <c r="O1162" s="9" t="s">
        <v>201</v>
      </c>
      <c r="P1162" s="9" t="s">
        <v>205</v>
      </c>
      <c r="Q1162" s="9"/>
      <c r="R1162" s="10"/>
      <c r="S1162" s="10"/>
      <c r="T1162" s="10"/>
      <c r="U1162" s="9"/>
      <c r="X1162" t="s">
        <v>102</v>
      </c>
      <c r="Y1162" t="s">
        <v>202</v>
      </c>
      <c r="Z1162" t="s">
        <v>113</v>
      </c>
      <c r="AB1162" t="str">
        <f t="shared" si="54"/>
        <v>06412</v>
      </c>
    </row>
    <row r="1163" ht="14.25" spans="1:28">
      <c r="A1163" s="5" t="s">
        <v>28</v>
      </c>
      <c r="B1163" s="5" t="s">
        <v>697</v>
      </c>
      <c r="C1163" s="5">
        <v>2027</v>
      </c>
      <c r="D1163" s="5" t="s">
        <v>30</v>
      </c>
      <c r="E1163" s="9" t="s">
        <v>1008</v>
      </c>
      <c r="F1163" s="9" t="s">
        <v>199</v>
      </c>
      <c r="G1163" s="9" t="s">
        <v>100</v>
      </c>
      <c r="H1163" s="9" t="s">
        <v>1009</v>
      </c>
      <c r="I1163" s="9" t="s">
        <v>119</v>
      </c>
      <c r="J1163" s="9" t="s">
        <v>36</v>
      </c>
      <c r="K1163" s="9">
        <v>890</v>
      </c>
      <c r="L1163" s="9"/>
      <c r="M1163" s="9"/>
      <c r="N1163" s="9"/>
      <c r="O1163" s="9" t="s">
        <v>201</v>
      </c>
      <c r="P1163" s="9" t="s">
        <v>206</v>
      </c>
      <c r="Q1163" s="9"/>
      <c r="R1163" s="10"/>
      <c r="S1163" s="10"/>
      <c r="T1163" s="10"/>
      <c r="U1163" s="9"/>
      <c r="X1163" t="s">
        <v>102</v>
      </c>
      <c r="Y1163" t="s">
        <v>202</v>
      </c>
      <c r="Z1163" t="s">
        <v>113</v>
      </c>
      <c r="AB1163" t="str">
        <f t="shared" si="54"/>
        <v>06412</v>
      </c>
    </row>
    <row r="1164" ht="14.25" spans="1:28">
      <c r="A1164" s="5" t="s">
        <v>28</v>
      </c>
      <c r="B1164" s="5" t="s">
        <v>697</v>
      </c>
      <c r="C1164" s="5">
        <v>2027</v>
      </c>
      <c r="D1164" s="5" t="s">
        <v>30</v>
      </c>
      <c r="E1164" s="9" t="s">
        <v>1008</v>
      </c>
      <c r="F1164" s="9" t="s">
        <v>199</v>
      </c>
      <c r="G1164" s="9" t="s">
        <v>100</v>
      </c>
      <c r="H1164" s="9" t="s">
        <v>1009</v>
      </c>
      <c r="I1164" s="9" t="s">
        <v>119</v>
      </c>
      <c r="J1164" s="9" t="s">
        <v>36</v>
      </c>
      <c r="K1164" s="9">
        <v>890</v>
      </c>
      <c r="L1164" s="9"/>
      <c r="M1164" s="9"/>
      <c r="N1164" s="9"/>
      <c r="O1164" s="9" t="s">
        <v>201</v>
      </c>
      <c r="P1164" s="9" t="s">
        <v>207</v>
      </c>
      <c r="Q1164" s="9"/>
      <c r="R1164" s="10"/>
      <c r="S1164" s="10"/>
      <c r="T1164" s="10"/>
      <c r="U1164" s="9"/>
      <c r="X1164" t="s">
        <v>102</v>
      </c>
      <c r="Y1164" t="s">
        <v>202</v>
      </c>
      <c r="Z1164" t="s">
        <v>113</v>
      </c>
      <c r="AB1164" t="str">
        <f t="shared" si="54"/>
        <v>06412</v>
      </c>
    </row>
    <row r="1165" ht="14.25" spans="1:28">
      <c r="A1165" s="5" t="s">
        <v>28</v>
      </c>
      <c r="B1165" s="5" t="s">
        <v>697</v>
      </c>
      <c r="C1165" s="5">
        <v>2027</v>
      </c>
      <c r="D1165" s="5" t="s">
        <v>30</v>
      </c>
      <c r="E1165" s="9" t="s">
        <v>1008</v>
      </c>
      <c r="F1165" s="9" t="s">
        <v>199</v>
      </c>
      <c r="G1165" s="9" t="s">
        <v>100</v>
      </c>
      <c r="H1165" s="9" t="s">
        <v>1009</v>
      </c>
      <c r="I1165" s="9" t="s">
        <v>119</v>
      </c>
      <c r="J1165" s="9" t="s">
        <v>36</v>
      </c>
      <c r="K1165" s="9">
        <v>890</v>
      </c>
      <c r="L1165" s="9"/>
      <c r="M1165" s="9"/>
      <c r="N1165" s="9"/>
      <c r="O1165" s="9" t="s">
        <v>201</v>
      </c>
      <c r="P1165" s="9" t="s">
        <v>208</v>
      </c>
      <c r="Q1165" s="9"/>
      <c r="R1165" s="10"/>
      <c r="S1165" s="10"/>
      <c r="T1165" s="10"/>
      <c r="U1165" s="9"/>
      <c r="X1165" t="s">
        <v>102</v>
      </c>
      <c r="Y1165" t="s">
        <v>202</v>
      </c>
      <c r="Z1165" t="s">
        <v>113</v>
      </c>
      <c r="AB1165" t="str">
        <f t="shared" si="54"/>
        <v>06412</v>
      </c>
    </row>
    <row r="1166" ht="14.25" spans="1:28">
      <c r="A1166" s="5" t="s">
        <v>28</v>
      </c>
      <c r="B1166" s="5" t="s">
        <v>697</v>
      </c>
      <c r="C1166" s="5">
        <v>2027</v>
      </c>
      <c r="D1166" s="5" t="s">
        <v>30</v>
      </c>
      <c r="E1166" s="9" t="s">
        <v>1008</v>
      </c>
      <c r="F1166" s="9" t="s">
        <v>199</v>
      </c>
      <c r="G1166" s="9" t="s">
        <v>100</v>
      </c>
      <c r="H1166" s="9" t="s">
        <v>1009</v>
      </c>
      <c r="I1166" s="9" t="s">
        <v>119</v>
      </c>
      <c r="J1166" s="9" t="s">
        <v>36</v>
      </c>
      <c r="K1166" s="9">
        <v>890</v>
      </c>
      <c r="L1166" s="9"/>
      <c r="M1166" s="9"/>
      <c r="N1166" s="9"/>
      <c r="O1166" s="9" t="s">
        <v>201</v>
      </c>
      <c r="P1166" s="9" t="s">
        <v>209</v>
      </c>
      <c r="Q1166" s="9"/>
      <c r="R1166" s="10"/>
      <c r="S1166" s="10"/>
      <c r="T1166" s="10"/>
      <c r="U1166" s="9"/>
      <c r="X1166" t="s">
        <v>102</v>
      </c>
      <c r="Y1166" t="s">
        <v>202</v>
      </c>
      <c r="Z1166" t="s">
        <v>113</v>
      </c>
      <c r="AB1166" t="str">
        <f t="shared" si="54"/>
        <v>06412</v>
      </c>
    </row>
    <row r="1167" ht="14.25" spans="1:28">
      <c r="A1167" s="5" t="s">
        <v>28</v>
      </c>
      <c r="B1167" s="5" t="s">
        <v>697</v>
      </c>
      <c r="C1167" s="5">
        <v>2027</v>
      </c>
      <c r="D1167" s="5" t="s">
        <v>30</v>
      </c>
      <c r="E1167" s="9" t="s">
        <v>1008</v>
      </c>
      <c r="F1167" s="9" t="s">
        <v>199</v>
      </c>
      <c r="G1167" s="9" t="s">
        <v>100</v>
      </c>
      <c r="H1167" s="9" t="s">
        <v>1009</v>
      </c>
      <c r="I1167" s="9" t="s">
        <v>119</v>
      </c>
      <c r="J1167" s="9" t="s">
        <v>36</v>
      </c>
      <c r="K1167" s="9">
        <v>890</v>
      </c>
      <c r="L1167" s="9"/>
      <c r="M1167" s="9"/>
      <c r="N1167" s="9"/>
      <c r="O1167" s="9" t="s">
        <v>201</v>
      </c>
      <c r="P1167" s="9" t="s">
        <v>210</v>
      </c>
      <c r="Q1167" s="9"/>
      <c r="R1167" s="10"/>
      <c r="S1167" s="10"/>
      <c r="T1167" s="10"/>
      <c r="U1167" s="9"/>
      <c r="X1167" t="s">
        <v>102</v>
      </c>
      <c r="Y1167" t="s">
        <v>202</v>
      </c>
      <c r="Z1167" t="s">
        <v>113</v>
      </c>
      <c r="AB1167" t="str">
        <f t="shared" si="54"/>
        <v>06412</v>
      </c>
    </row>
    <row r="1168" ht="14.25" spans="1:28">
      <c r="A1168" s="5" t="s">
        <v>28</v>
      </c>
      <c r="B1168" s="5" t="s">
        <v>697</v>
      </c>
      <c r="C1168" s="5">
        <v>2027</v>
      </c>
      <c r="D1168" s="5" t="s">
        <v>30</v>
      </c>
      <c r="E1168" s="9" t="s">
        <v>198</v>
      </c>
      <c r="F1168" s="9" t="s">
        <v>199</v>
      </c>
      <c r="G1168" s="9" t="s">
        <v>159</v>
      </c>
      <c r="H1168" s="9" t="s">
        <v>200</v>
      </c>
      <c r="I1168" s="9" t="s">
        <v>119</v>
      </c>
      <c r="J1168" s="9" t="s">
        <v>36</v>
      </c>
      <c r="K1168" s="9">
        <v>890</v>
      </c>
      <c r="L1168" s="9"/>
      <c r="M1168" s="9"/>
      <c r="N1168" s="9"/>
      <c r="O1168" s="9" t="s">
        <v>201</v>
      </c>
      <c r="P1168" s="9" t="s">
        <v>79</v>
      </c>
      <c r="Q1168" s="9"/>
      <c r="R1168" s="10">
        <f t="shared" si="55"/>
        <v>0</v>
      </c>
      <c r="S1168" s="10">
        <f>SUMIFS([1]Sheet1!$T:$T,[1]Sheet1!$I:$I,E1168,[1]Sheet1!$C:$C,A1168)</f>
        <v>0</v>
      </c>
      <c r="T1168" s="10">
        <f t="shared" si="56"/>
        <v>0</v>
      </c>
      <c r="U1168" s="9"/>
      <c r="X1168" t="s">
        <v>62</v>
      </c>
      <c r="Y1168" t="s">
        <v>202</v>
      </c>
      <c r="Z1168" t="s">
        <v>113</v>
      </c>
      <c r="AB1168" t="str">
        <f t="shared" si="54"/>
        <v>06412</v>
      </c>
    </row>
    <row r="1169" ht="14.25" spans="1:28">
      <c r="A1169" s="5" t="s">
        <v>28</v>
      </c>
      <c r="B1169" s="5" t="s">
        <v>697</v>
      </c>
      <c r="C1169" s="5">
        <v>2027</v>
      </c>
      <c r="D1169" s="5" t="s">
        <v>30</v>
      </c>
      <c r="E1169" s="9" t="s">
        <v>198</v>
      </c>
      <c r="F1169" s="9" t="s">
        <v>199</v>
      </c>
      <c r="G1169" s="9" t="s">
        <v>159</v>
      </c>
      <c r="H1169" s="9" t="s">
        <v>200</v>
      </c>
      <c r="I1169" s="9" t="s">
        <v>119</v>
      </c>
      <c r="J1169" s="9" t="s">
        <v>36</v>
      </c>
      <c r="K1169" s="9">
        <v>890</v>
      </c>
      <c r="L1169" s="9"/>
      <c r="M1169" s="9"/>
      <c r="N1169" s="9"/>
      <c r="O1169" s="9" t="s">
        <v>201</v>
      </c>
      <c r="P1169" s="9" t="s">
        <v>203</v>
      </c>
      <c r="Q1169" s="9"/>
      <c r="R1169" s="10"/>
      <c r="S1169" s="10"/>
      <c r="T1169" s="10"/>
      <c r="U1169" s="9"/>
      <c r="X1169" t="s">
        <v>62</v>
      </c>
      <c r="Y1169" t="s">
        <v>202</v>
      </c>
      <c r="Z1169" t="s">
        <v>113</v>
      </c>
      <c r="AB1169" t="str">
        <f t="shared" si="54"/>
        <v>06412</v>
      </c>
    </row>
    <row r="1170" ht="14.25" spans="1:28">
      <c r="A1170" s="5" t="s">
        <v>28</v>
      </c>
      <c r="B1170" s="5" t="s">
        <v>697</v>
      </c>
      <c r="C1170" s="5">
        <v>2027</v>
      </c>
      <c r="D1170" s="5" t="s">
        <v>30</v>
      </c>
      <c r="E1170" s="9" t="s">
        <v>198</v>
      </c>
      <c r="F1170" s="9" t="s">
        <v>199</v>
      </c>
      <c r="G1170" s="9" t="s">
        <v>159</v>
      </c>
      <c r="H1170" s="9" t="s">
        <v>200</v>
      </c>
      <c r="I1170" s="9" t="s">
        <v>119</v>
      </c>
      <c r="J1170" s="9" t="s">
        <v>36</v>
      </c>
      <c r="K1170" s="9">
        <v>890</v>
      </c>
      <c r="L1170" s="9"/>
      <c r="M1170" s="9"/>
      <c r="N1170" s="9"/>
      <c r="O1170" s="9" t="s">
        <v>201</v>
      </c>
      <c r="P1170" s="9" t="s">
        <v>204</v>
      </c>
      <c r="Q1170" s="9"/>
      <c r="R1170" s="10"/>
      <c r="S1170" s="10"/>
      <c r="T1170" s="10"/>
      <c r="U1170" s="9"/>
      <c r="X1170" t="s">
        <v>62</v>
      </c>
      <c r="Y1170" t="s">
        <v>202</v>
      </c>
      <c r="Z1170" t="s">
        <v>113</v>
      </c>
      <c r="AB1170" t="str">
        <f t="shared" si="54"/>
        <v>06412</v>
      </c>
    </row>
    <row r="1171" ht="14.25" spans="1:28">
      <c r="A1171" s="5" t="s">
        <v>28</v>
      </c>
      <c r="B1171" s="5" t="s">
        <v>697</v>
      </c>
      <c r="C1171" s="5">
        <v>2027</v>
      </c>
      <c r="D1171" s="5" t="s">
        <v>30</v>
      </c>
      <c r="E1171" s="9" t="s">
        <v>198</v>
      </c>
      <c r="F1171" s="9" t="s">
        <v>199</v>
      </c>
      <c r="G1171" s="9" t="s">
        <v>159</v>
      </c>
      <c r="H1171" s="9" t="s">
        <v>200</v>
      </c>
      <c r="I1171" s="9" t="s">
        <v>119</v>
      </c>
      <c r="J1171" s="9" t="s">
        <v>36</v>
      </c>
      <c r="K1171" s="9">
        <v>890</v>
      </c>
      <c r="L1171" s="9"/>
      <c r="M1171" s="9"/>
      <c r="N1171" s="9"/>
      <c r="O1171" s="9" t="s">
        <v>201</v>
      </c>
      <c r="P1171" s="9" t="s">
        <v>205</v>
      </c>
      <c r="Q1171" s="9"/>
      <c r="R1171" s="10"/>
      <c r="S1171" s="10"/>
      <c r="T1171" s="10"/>
      <c r="U1171" s="9"/>
      <c r="X1171" t="s">
        <v>62</v>
      </c>
      <c r="Y1171" t="s">
        <v>202</v>
      </c>
      <c r="Z1171" t="s">
        <v>113</v>
      </c>
      <c r="AB1171" t="str">
        <f t="shared" si="54"/>
        <v>06412</v>
      </c>
    </row>
    <row r="1172" ht="14.25" spans="1:28">
      <c r="A1172" s="5" t="s">
        <v>28</v>
      </c>
      <c r="B1172" s="5" t="s">
        <v>697</v>
      </c>
      <c r="C1172" s="5">
        <v>2027</v>
      </c>
      <c r="D1172" s="5" t="s">
        <v>30</v>
      </c>
      <c r="E1172" s="9" t="s">
        <v>198</v>
      </c>
      <c r="F1172" s="9" t="s">
        <v>199</v>
      </c>
      <c r="G1172" s="9" t="s">
        <v>159</v>
      </c>
      <c r="H1172" s="9" t="s">
        <v>200</v>
      </c>
      <c r="I1172" s="9" t="s">
        <v>119</v>
      </c>
      <c r="J1172" s="9" t="s">
        <v>36</v>
      </c>
      <c r="K1172" s="9">
        <v>890</v>
      </c>
      <c r="L1172" s="9"/>
      <c r="M1172" s="9"/>
      <c r="N1172" s="9"/>
      <c r="O1172" s="9" t="s">
        <v>201</v>
      </c>
      <c r="P1172" s="9" t="s">
        <v>206</v>
      </c>
      <c r="Q1172" s="9"/>
      <c r="R1172" s="10"/>
      <c r="S1172" s="10"/>
      <c r="T1172" s="10"/>
      <c r="U1172" s="9"/>
      <c r="X1172" t="s">
        <v>62</v>
      </c>
      <c r="Y1172" t="s">
        <v>202</v>
      </c>
      <c r="Z1172" t="s">
        <v>113</v>
      </c>
      <c r="AB1172" t="str">
        <f t="shared" si="54"/>
        <v>06412</v>
      </c>
    </row>
    <row r="1173" ht="14.25" spans="1:28">
      <c r="A1173" s="5" t="s">
        <v>28</v>
      </c>
      <c r="B1173" s="5" t="s">
        <v>697</v>
      </c>
      <c r="C1173" s="5">
        <v>2027</v>
      </c>
      <c r="D1173" s="5" t="s">
        <v>30</v>
      </c>
      <c r="E1173" s="9" t="s">
        <v>198</v>
      </c>
      <c r="F1173" s="9" t="s">
        <v>199</v>
      </c>
      <c r="G1173" s="9" t="s">
        <v>159</v>
      </c>
      <c r="H1173" s="9" t="s">
        <v>200</v>
      </c>
      <c r="I1173" s="9" t="s">
        <v>119</v>
      </c>
      <c r="J1173" s="9" t="s">
        <v>36</v>
      </c>
      <c r="K1173" s="9">
        <v>890</v>
      </c>
      <c r="L1173" s="9"/>
      <c r="M1173" s="9"/>
      <c r="N1173" s="9"/>
      <c r="O1173" s="9" t="s">
        <v>201</v>
      </c>
      <c r="P1173" s="9" t="s">
        <v>207</v>
      </c>
      <c r="Q1173" s="9"/>
      <c r="R1173" s="10"/>
      <c r="S1173" s="10"/>
      <c r="T1173" s="10"/>
      <c r="U1173" s="9"/>
      <c r="X1173" t="s">
        <v>62</v>
      </c>
      <c r="Y1173" t="s">
        <v>202</v>
      </c>
      <c r="Z1173" t="s">
        <v>113</v>
      </c>
      <c r="AB1173" t="str">
        <f t="shared" si="54"/>
        <v>06412</v>
      </c>
    </row>
    <row r="1174" ht="14.25" spans="1:28">
      <c r="A1174" s="5" t="s">
        <v>28</v>
      </c>
      <c r="B1174" s="5" t="s">
        <v>697</v>
      </c>
      <c r="C1174" s="5">
        <v>2027</v>
      </c>
      <c r="D1174" s="5" t="s">
        <v>30</v>
      </c>
      <c r="E1174" s="9" t="s">
        <v>198</v>
      </c>
      <c r="F1174" s="9" t="s">
        <v>199</v>
      </c>
      <c r="G1174" s="9" t="s">
        <v>159</v>
      </c>
      <c r="H1174" s="9" t="s">
        <v>200</v>
      </c>
      <c r="I1174" s="9" t="s">
        <v>119</v>
      </c>
      <c r="J1174" s="9" t="s">
        <v>36</v>
      </c>
      <c r="K1174" s="9">
        <v>890</v>
      </c>
      <c r="L1174" s="9"/>
      <c r="M1174" s="9"/>
      <c r="N1174" s="9"/>
      <c r="O1174" s="9" t="s">
        <v>201</v>
      </c>
      <c r="P1174" s="9" t="s">
        <v>208</v>
      </c>
      <c r="Q1174" s="9"/>
      <c r="R1174" s="10"/>
      <c r="S1174" s="10"/>
      <c r="T1174" s="10"/>
      <c r="U1174" s="9"/>
      <c r="X1174" t="s">
        <v>62</v>
      </c>
      <c r="Y1174" t="s">
        <v>202</v>
      </c>
      <c r="Z1174" t="s">
        <v>113</v>
      </c>
      <c r="AB1174" t="str">
        <f t="shared" si="54"/>
        <v>06412</v>
      </c>
    </row>
    <row r="1175" ht="14.25" spans="1:28">
      <c r="A1175" s="5" t="s">
        <v>28</v>
      </c>
      <c r="B1175" s="5" t="s">
        <v>697</v>
      </c>
      <c r="C1175" s="5">
        <v>2027</v>
      </c>
      <c r="D1175" s="5" t="s">
        <v>30</v>
      </c>
      <c r="E1175" s="9" t="s">
        <v>198</v>
      </c>
      <c r="F1175" s="9" t="s">
        <v>199</v>
      </c>
      <c r="G1175" s="9" t="s">
        <v>159</v>
      </c>
      <c r="H1175" s="9" t="s">
        <v>200</v>
      </c>
      <c r="I1175" s="9" t="s">
        <v>119</v>
      </c>
      <c r="J1175" s="9" t="s">
        <v>36</v>
      </c>
      <c r="K1175" s="9">
        <v>890</v>
      </c>
      <c r="L1175" s="9"/>
      <c r="M1175" s="9"/>
      <c r="N1175" s="9"/>
      <c r="O1175" s="9" t="s">
        <v>201</v>
      </c>
      <c r="P1175" s="9" t="s">
        <v>209</v>
      </c>
      <c r="Q1175" s="9"/>
      <c r="R1175" s="10"/>
      <c r="S1175" s="10"/>
      <c r="T1175" s="10"/>
      <c r="U1175" s="9"/>
      <c r="X1175" t="s">
        <v>62</v>
      </c>
      <c r="Y1175" t="s">
        <v>202</v>
      </c>
      <c r="Z1175" t="s">
        <v>113</v>
      </c>
      <c r="AB1175" t="str">
        <f t="shared" si="54"/>
        <v>06412</v>
      </c>
    </row>
    <row r="1176" ht="14.25" spans="1:28">
      <c r="A1176" s="5" t="s">
        <v>28</v>
      </c>
      <c r="B1176" s="5" t="s">
        <v>697</v>
      </c>
      <c r="C1176" s="5">
        <v>2027</v>
      </c>
      <c r="D1176" s="5" t="s">
        <v>30</v>
      </c>
      <c r="E1176" s="9" t="s">
        <v>198</v>
      </c>
      <c r="F1176" s="9" t="s">
        <v>199</v>
      </c>
      <c r="G1176" s="9" t="s">
        <v>159</v>
      </c>
      <c r="H1176" s="9" t="s">
        <v>200</v>
      </c>
      <c r="I1176" s="9" t="s">
        <v>119</v>
      </c>
      <c r="J1176" s="9" t="s">
        <v>36</v>
      </c>
      <c r="K1176" s="9">
        <v>890</v>
      </c>
      <c r="L1176" s="9"/>
      <c r="M1176" s="9"/>
      <c r="N1176" s="9"/>
      <c r="O1176" s="9" t="s">
        <v>201</v>
      </c>
      <c r="P1176" s="9" t="s">
        <v>210</v>
      </c>
      <c r="Q1176" s="9"/>
      <c r="R1176" s="10"/>
      <c r="S1176" s="10"/>
      <c r="T1176" s="10"/>
      <c r="U1176" s="9"/>
      <c r="X1176" t="s">
        <v>62</v>
      </c>
      <c r="Y1176" t="s">
        <v>202</v>
      </c>
      <c r="Z1176" t="s">
        <v>113</v>
      </c>
      <c r="AB1176" t="str">
        <f t="shared" si="54"/>
        <v>06412</v>
      </c>
    </row>
    <row r="1177" ht="14.25" spans="1:28">
      <c r="A1177" s="5" t="s">
        <v>28</v>
      </c>
      <c r="B1177" s="5" t="s">
        <v>697</v>
      </c>
      <c r="C1177" s="5">
        <v>2027</v>
      </c>
      <c r="D1177" s="5" t="s">
        <v>30</v>
      </c>
      <c r="E1177" s="9" t="s">
        <v>1010</v>
      </c>
      <c r="F1177" s="9" t="s">
        <v>1011</v>
      </c>
      <c r="G1177" s="9" t="s">
        <v>159</v>
      </c>
      <c r="H1177" s="9" t="s">
        <v>1012</v>
      </c>
      <c r="I1177" s="9" t="s">
        <v>119</v>
      </c>
      <c r="J1177" s="9" t="s">
        <v>36</v>
      </c>
      <c r="K1177" s="9">
        <v>990</v>
      </c>
      <c r="L1177" s="9"/>
      <c r="M1177" s="9"/>
      <c r="N1177" s="9"/>
      <c r="O1177" s="9" t="s">
        <v>1013</v>
      </c>
      <c r="P1177" s="9" t="s">
        <v>1014</v>
      </c>
      <c r="Q1177" s="9"/>
      <c r="R1177" s="10">
        <f t="shared" si="55"/>
        <v>0</v>
      </c>
      <c r="S1177" s="10">
        <f>SUMIFS([1]Sheet1!$T:$T,[1]Sheet1!$I:$I,E1177,[1]Sheet1!$C:$C,A1177)</f>
        <v>0</v>
      </c>
      <c r="T1177" s="10">
        <f t="shared" si="56"/>
        <v>0</v>
      </c>
      <c r="U1177" s="9"/>
      <c r="X1177" t="s">
        <v>62</v>
      </c>
      <c r="Y1177" t="s">
        <v>982</v>
      </c>
      <c r="Z1177" t="s">
        <v>113</v>
      </c>
      <c r="AB1177" t="str">
        <f t="shared" si="54"/>
        <v>09354</v>
      </c>
    </row>
    <row r="1178" ht="14.25" spans="1:28">
      <c r="A1178" s="5" t="s">
        <v>28</v>
      </c>
      <c r="B1178" s="5" t="s">
        <v>697</v>
      </c>
      <c r="C1178" s="5">
        <v>2027</v>
      </c>
      <c r="D1178" s="5" t="s">
        <v>30</v>
      </c>
      <c r="E1178" s="9" t="s">
        <v>1010</v>
      </c>
      <c r="F1178" s="9" t="s">
        <v>1011</v>
      </c>
      <c r="G1178" s="9" t="s">
        <v>159</v>
      </c>
      <c r="H1178" s="9" t="s">
        <v>1012</v>
      </c>
      <c r="I1178" s="9" t="s">
        <v>119</v>
      </c>
      <c r="J1178" s="9" t="s">
        <v>36</v>
      </c>
      <c r="K1178" s="9">
        <v>990</v>
      </c>
      <c r="L1178" s="9"/>
      <c r="M1178" s="9"/>
      <c r="N1178" s="9"/>
      <c r="O1178" s="9" t="s">
        <v>1013</v>
      </c>
      <c r="P1178" s="9" t="s">
        <v>77</v>
      </c>
      <c r="Q1178" s="9"/>
      <c r="R1178" s="10"/>
      <c r="S1178" s="10"/>
      <c r="T1178" s="10"/>
      <c r="U1178" s="9"/>
      <c r="X1178" t="s">
        <v>62</v>
      </c>
      <c r="Y1178" t="s">
        <v>982</v>
      </c>
      <c r="Z1178" t="s">
        <v>113</v>
      </c>
      <c r="AB1178" t="str">
        <f t="shared" si="54"/>
        <v>09354</v>
      </c>
    </row>
    <row r="1179" ht="14.25" spans="1:28">
      <c r="A1179" s="5" t="s">
        <v>28</v>
      </c>
      <c r="B1179" s="5" t="s">
        <v>697</v>
      </c>
      <c r="C1179" s="5">
        <v>2027</v>
      </c>
      <c r="D1179" s="5" t="s">
        <v>30</v>
      </c>
      <c r="E1179" s="9" t="s">
        <v>1010</v>
      </c>
      <c r="F1179" s="9" t="s">
        <v>1011</v>
      </c>
      <c r="G1179" s="9" t="s">
        <v>159</v>
      </c>
      <c r="H1179" s="9" t="s">
        <v>1012</v>
      </c>
      <c r="I1179" s="9" t="s">
        <v>119</v>
      </c>
      <c r="J1179" s="9" t="s">
        <v>36</v>
      </c>
      <c r="K1179" s="9">
        <v>990</v>
      </c>
      <c r="L1179" s="9"/>
      <c r="M1179" s="9"/>
      <c r="N1179" s="9"/>
      <c r="O1179" s="9" t="s">
        <v>1013</v>
      </c>
      <c r="P1179" s="9" t="s">
        <v>217</v>
      </c>
      <c r="Q1179" s="9"/>
      <c r="R1179" s="10"/>
      <c r="S1179" s="10"/>
      <c r="T1179" s="10"/>
      <c r="U1179" s="9"/>
      <c r="X1179" t="s">
        <v>62</v>
      </c>
      <c r="Y1179" t="s">
        <v>982</v>
      </c>
      <c r="Z1179" t="s">
        <v>113</v>
      </c>
      <c r="AB1179" t="str">
        <f t="shared" si="54"/>
        <v>09354</v>
      </c>
    </row>
    <row r="1180" ht="14.25" spans="1:28">
      <c r="A1180" s="5" t="s">
        <v>28</v>
      </c>
      <c r="B1180" s="5" t="s">
        <v>697</v>
      </c>
      <c r="C1180" s="5">
        <v>2027</v>
      </c>
      <c r="D1180" s="5" t="s">
        <v>30</v>
      </c>
      <c r="E1180" s="9" t="s">
        <v>1010</v>
      </c>
      <c r="F1180" s="9" t="s">
        <v>1011</v>
      </c>
      <c r="G1180" s="9" t="s">
        <v>159</v>
      </c>
      <c r="H1180" s="9" t="s">
        <v>1012</v>
      </c>
      <c r="I1180" s="9" t="s">
        <v>119</v>
      </c>
      <c r="J1180" s="9" t="s">
        <v>36</v>
      </c>
      <c r="K1180" s="9">
        <v>990</v>
      </c>
      <c r="L1180" s="9"/>
      <c r="M1180" s="9"/>
      <c r="N1180" s="9"/>
      <c r="O1180" s="9" t="s">
        <v>1013</v>
      </c>
      <c r="P1180" s="9" t="s">
        <v>78</v>
      </c>
      <c r="Q1180" s="9"/>
      <c r="R1180" s="10"/>
      <c r="S1180" s="10"/>
      <c r="T1180" s="10"/>
      <c r="U1180" s="9"/>
      <c r="X1180" t="s">
        <v>62</v>
      </c>
      <c r="Y1180" t="s">
        <v>982</v>
      </c>
      <c r="Z1180" t="s">
        <v>113</v>
      </c>
      <c r="AB1180" t="str">
        <f t="shared" si="54"/>
        <v>09354</v>
      </c>
    </row>
    <row r="1181" ht="14.25" spans="1:28">
      <c r="A1181" s="5" t="s">
        <v>28</v>
      </c>
      <c r="B1181" s="5" t="s">
        <v>697</v>
      </c>
      <c r="C1181" s="5">
        <v>2027</v>
      </c>
      <c r="D1181" s="5" t="s">
        <v>30</v>
      </c>
      <c r="E1181" s="9" t="s">
        <v>1010</v>
      </c>
      <c r="F1181" s="9" t="s">
        <v>1011</v>
      </c>
      <c r="G1181" s="9" t="s">
        <v>159</v>
      </c>
      <c r="H1181" s="9" t="s">
        <v>1012</v>
      </c>
      <c r="I1181" s="9" t="s">
        <v>119</v>
      </c>
      <c r="J1181" s="9" t="s">
        <v>36</v>
      </c>
      <c r="K1181" s="9">
        <v>990</v>
      </c>
      <c r="L1181" s="9"/>
      <c r="M1181" s="9"/>
      <c r="N1181" s="9"/>
      <c r="O1181" s="9" t="s">
        <v>1013</v>
      </c>
      <c r="P1181" s="9" t="s">
        <v>218</v>
      </c>
      <c r="Q1181" s="9"/>
      <c r="R1181" s="10"/>
      <c r="S1181" s="10"/>
      <c r="T1181" s="10"/>
      <c r="U1181" s="9"/>
      <c r="X1181" t="s">
        <v>62</v>
      </c>
      <c r="Y1181" t="s">
        <v>982</v>
      </c>
      <c r="Z1181" t="s">
        <v>113</v>
      </c>
      <c r="AB1181" t="str">
        <f t="shared" si="54"/>
        <v>09354</v>
      </c>
    </row>
    <row r="1182" ht="14.25" spans="1:28">
      <c r="A1182" s="5" t="s">
        <v>28</v>
      </c>
      <c r="B1182" s="5" t="s">
        <v>697</v>
      </c>
      <c r="C1182" s="5">
        <v>2027</v>
      </c>
      <c r="D1182" s="5" t="s">
        <v>30</v>
      </c>
      <c r="E1182" s="9" t="s">
        <v>1010</v>
      </c>
      <c r="F1182" s="9" t="s">
        <v>1011</v>
      </c>
      <c r="G1182" s="9" t="s">
        <v>159</v>
      </c>
      <c r="H1182" s="9" t="s">
        <v>1012</v>
      </c>
      <c r="I1182" s="9" t="s">
        <v>119</v>
      </c>
      <c r="J1182" s="9" t="s">
        <v>36</v>
      </c>
      <c r="K1182" s="9">
        <v>990</v>
      </c>
      <c r="L1182" s="9"/>
      <c r="M1182" s="9"/>
      <c r="N1182" s="9"/>
      <c r="O1182" s="9" t="s">
        <v>1013</v>
      </c>
      <c r="P1182" s="9" t="s">
        <v>79</v>
      </c>
      <c r="Q1182" s="9"/>
      <c r="R1182" s="10"/>
      <c r="S1182" s="10"/>
      <c r="T1182" s="10"/>
      <c r="U1182" s="9"/>
      <c r="X1182" t="s">
        <v>62</v>
      </c>
      <c r="Y1182" t="s">
        <v>982</v>
      </c>
      <c r="Z1182" t="s">
        <v>113</v>
      </c>
      <c r="AB1182" t="str">
        <f t="shared" si="54"/>
        <v>09354</v>
      </c>
    </row>
    <row r="1183" ht="14.25" spans="1:28">
      <c r="A1183" s="5" t="s">
        <v>28</v>
      </c>
      <c r="B1183" s="5" t="s">
        <v>697</v>
      </c>
      <c r="C1183" s="5">
        <v>2027</v>
      </c>
      <c r="D1183" s="5" t="s">
        <v>30</v>
      </c>
      <c r="E1183" s="9" t="s">
        <v>1010</v>
      </c>
      <c r="F1183" s="9" t="s">
        <v>1011</v>
      </c>
      <c r="G1183" s="9" t="s">
        <v>159</v>
      </c>
      <c r="H1183" s="9" t="s">
        <v>1012</v>
      </c>
      <c r="I1183" s="9" t="s">
        <v>119</v>
      </c>
      <c r="J1183" s="9" t="s">
        <v>36</v>
      </c>
      <c r="K1183" s="9">
        <v>990</v>
      </c>
      <c r="L1183" s="9"/>
      <c r="M1183" s="9"/>
      <c r="N1183" s="9"/>
      <c r="O1183" s="9" t="s">
        <v>1013</v>
      </c>
      <c r="P1183" s="9" t="s">
        <v>203</v>
      </c>
      <c r="Q1183" s="9"/>
      <c r="R1183" s="10"/>
      <c r="S1183" s="10"/>
      <c r="T1183" s="10"/>
      <c r="U1183" s="9"/>
      <c r="X1183" t="s">
        <v>62</v>
      </c>
      <c r="Y1183" t="s">
        <v>982</v>
      </c>
      <c r="Z1183" t="s">
        <v>113</v>
      </c>
      <c r="AB1183" t="str">
        <f t="shared" si="54"/>
        <v>09354</v>
      </c>
    </row>
    <row r="1184" ht="14.25" spans="1:28">
      <c r="A1184" s="5" t="s">
        <v>28</v>
      </c>
      <c r="B1184" s="5" t="s">
        <v>697</v>
      </c>
      <c r="C1184" s="5">
        <v>2027</v>
      </c>
      <c r="D1184" s="5" t="s">
        <v>30</v>
      </c>
      <c r="E1184" s="9" t="s">
        <v>1010</v>
      </c>
      <c r="F1184" s="9" t="s">
        <v>1011</v>
      </c>
      <c r="G1184" s="9" t="s">
        <v>159</v>
      </c>
      <c r="H1184" s="9" t="s">
        <v>1012</v>
      </c>
      <c r="I1184" s="9" t="s">
        <v>119</v>
      </c>
      <c r="J1184" s="9" t="s">
        <v>36</v>
      </c>
      <c r="K1184" s="9">
        <v>990</v>
      </c>
      <c r="L1184" s="9"/>
      <c r="M1184" s="9"/>
      <c r="N1184" s="9"/>
      <c r="O1184" s="9" t="s">
        <v>1013</v>
      </c>
      <c r="P1184" s="9" t="s">
        <v>204</v>
      </c>
      <c r="Q1184" s="9"/>
      <c r="R1184" s="10"/>
      <c r="S1184" s="10"/>
      <c r="T1184" s="10"/>
      <c r="U1184" s="9"/>
      <c r="X1184" t="s">
        <v>62</v>
      </c>
      <c r="Y1184" t="s">
        <v>982</v>
      </c>
      <c r="Z1184" t="s">
        <v>113</v>
      </c>
      <c r="AB1184" t="str">
        <f t="shared" si="54"/>
        <v>09354</v>
      </c>
    </row>
    <row r="1185" ht="14.25" spans="1:28">
      <c r="A1185" s="5" t="s">
        <v>28</v>
      </c>
      <c r="B1185" s="5" t="s">
        <v>697</v>
      </c>
      <c r="C1185" s="5">
        <v>2027</v>
      </c>
      <c r="D1185" s="5" t="s">
        <v>30</v>
      </c>
      <c r="E1185" s="9" t="s">
        <v>1015</v>
      </c>
      <c r="F1185" s="9" t="s">
        <v>1016</v>
      </c>
      <c r="G1185" s="9" t="s">
        <v>1017</v>
      </c>
      <c r="H1185" s="9" t="s">
        <v>1018</v>
      </c>
      <c r="I1185" s="9" t="s">
        <v>119</v>
      </c>
      <c r="J1185" s="9" t="s">
        <v>36</v>
      </c>
      <c r="K1185" s="9">
        <v>990</v>
      </c>
      <c r="L1185" s="9"/>
      <c r="M1185" s="9"/>
      <c r="N1185" s="9"/>
      <c r="O1185" s="9" t="s">
        <v>1013</v>
      </c>
      <c r="P1185" s="9" t="s">
        <v>1014</v>
      </c>
      <c r="Q1185" s="9"/>
      <c r="R1185" s="10">
        <f t="shared" si="55"/>
        <v>0</v>
      </c>
      <c r="S1185" s="10">
        <f>SUMIFS([1]Sheet1!$T:$T,[1]Sheet1!$I:$I,E1185,[1]Sheet1!$C:$C,A1185)</f>
        <v>0</v>
      </c>
      <c r="T1185" s="10">
        <f t="shared" si="56"/>
        <v>0</v>
      </c>
      <c r="U1185" s="9"/>
      <c r="X1185" t="s">
        <v>70</v>
      </c>
      <c r="Y1185" t="s">
        <v>982</v>
      </c>
      <c r="Z1185" t="s">
        <v>113</v>
      </c>
      <c r="AB1185" t="str">
        <f t="shared" si="54"/>
        <v>09691</v>
      </c>
    </row>
    <row r="1186" ht="14.25" spans="1:28">
      <c r="A1186" s="5" t="s">
        <v>28</v>
      </c>
      <c r="B1186" s="5" t="s">
        <v>697</v>
      </c>
      <c r="C1186" s="5">
        <v>2027</v>
      </c>
      <c r="D1186" s="5" t="s">
        <v>30</v>
      </c>
      <c r="E1186" s="9" t="s">
        <v>1015</v>
      </c>
      <c r="F1186" s="9" t="s">
        <v>1016</v>
      </c>
      <c r="G1186" s="9" t="s">
        <v>1017</v>
      </c>
      <c r="H1186" s="9" t="s">
        <v>1018</v>
      </c>
      <c r="I1186" s="9" t="s">
        <v>119</v>
      </c>
      <c r="J1186" s="9" t="s">
        <v>36</v>
      </c>
      <c r="K1186" s="9">
        <v>990</v>
      </c>
      <c r="L1186" s="9"/>
      <c r="M1186" s="9"/>
      <c r="N1186" s="9"/>
      <c r="O1186" s="9" t="s">
        <v>1013</v>
      </c>
      <c r="P1186" s="9" t="s">
        <v>77</v>
      </c>
      <c r="Q1186" s="9"/>
      <c r="R1186" s="10"/>
      <c r="S1186" s="10"/>
      <c r="T1186" s="10"/>
      <c r="U1186" s="9"/>
      <c r="X1186" t="s">
        <v>70</v>
      </c>
      <c r="Y1186" t="s">
        <v>982</v>
      </c>
      <c r="Z1186" t="s">
        <v>113</v>
      </c>
      <c r="AB1186" t="str">
        <f t="shared" si="54"/>
        <v>09691</v>
      </c>
    </row>
    <row r="1187" ht="14.25" spans="1:28">
      <c r="A1187" s="5" t="s">
        <v>28</v>
      </c>
      <c r="B1187" s="5" t="s">
        <v>697</v>
      </c>
      <c r="C1187" s="5">
        <v>2027</v>
      </c>
      <c r="D1187" s="5" t="s">
        <v>30</v>
      </c>
      <c r="E1187" s="9" t="s">
        <v>1015</v>
      </c>
      <c r="F1187" s="9" t="s">
        <v>1016</v>
      </c>
      <c r="G1187" s="9" t="s">
        <v>1017</v>
      </c>
      <c r="H1187" s="9" t="s">
        <v>1018</v>
      </c>
      <c r="I1187" s="9" t="s">
        <v>119</v>
      </c>
      <c r="J1187" s="9" t="s">
        <v>36</v>
      </c>
      <c r="K1187" s="9">
        <v>990</v>
      </c>
      <c r="L1187" s="9"/>
      <c r="M1187" s="9"/>
      <c r="N1187" s="9"/>
      <c r="O1187" s="9" t="s">
        <v>1013</v>
      </c>
      <c r="P1187" s="9" t="s">
        <v>217</v>
      </c>
      <c r="Q1187" s="9"/>
      <c r="R1187" s="10"/>
      <c r="S1187" s="10"/>
      <c r="T1187" s="10"/>
      <c r="U1187" s="9"/>
      <c r="X1187" t="s">
        <v>70</v>
      </c>
      <c r="Y1187" t="s">
        <v>982</v>
      </c>
      <c r="Z1187" t="s">
        <v>113</v>
      </c>
      <c r="AB1187" t="str">
        <f t="shared" si="54"/>
        <v>09691</v>
      </c>
    </row>
    <row r="1188" ht="14.25" spans="1:28">
      <c r="A1188" s="5" t="s">
        <v>28</v>
      </c>
      <c r="B1188" s="5" t="s">
        <v>697</v>
      </c>
      <c r="C1188" s="5">
        <v>2027</v>
      </c>
      <c r="D1188" s="5" t="s">
        <v>30</v>
      </c>
      <c r="E1188" s="9" t="s">
        <v>1015</v>
      </c>
      <c r="F1188" s="9" t="s">
        <v>1016</v>
      </c>
      <c r="G1188" s="9" t="s">
        <v>1017</v>
      </c>
      <c r="H1188" s="9" t="s">
        <v>1018</v>
      </c>
      <c r="I1188" s="9" t="s">
        <v>119</v>
      </c>
      <c r="J1188" s="9" t="s">
        <v>36</v>
      </c>
      <c r="K1188" s="9">
        <v>990</v>
      </c>
      <c r="L1188" s="9"/>
      <c r="M1188" s="9"/>
      <c r="N1188" s="9"/>
      <c r="O1188" s="9" t="s">
        <v>1013</v>
      </c>
      <c r="P1188" s="9" t="s">
        <v>78</v>
      </c>
      <c r="Q1188" s="9"/>
      <c r="R1188" s="10"/>
      <c r="S1188" s="10"/>
      <c r="T1188" s="10"/>
      <c r="U1188" s="9"/>
      <c r="X1188" t="s">
        <v>70</v>
      </c>
      <c r="Y1188" t="s">
        <v>982</v>
      </c>
      <c r="Z1188" t="s">
        <v>113</v>
      </c>
      <c r="AB1188" t="str">
        <f t="shared" si="54"/>
        <v>09691</v>
      </c>
    </row>
    <row r="1189" ht="14.25" spans="1:28">
      <c r="A1189" s="5" t="s">
        <v>28</v>
      </c>
      <c r="B1189" s="5" t="s">
        <v>697</v>
      </c>
      <c r="C1189" s="5">
        <v>2027</v>
      </c>
      <c r="D1189" s="5" t="s">
        <v>30</v>
      </c>
      <c r="E1189" s="9" t="s">
        <v>1015</v>
      </c>
      <c r="F1189" s="9" t="s">
        <v>1016</v>
      </c>
      <c r="G1189" s="9" t="s">
        <v>1017</v>
      </c>
      <c r="H1189" s="9" t="s">
        <v>1018</v>
      </c>
      <c r="I1189" s="9" t="s">
        <v>119</v>
      </c>
      <c r="J1189" s="9" t="s">
        <v>36</v>
      </c>
      <c r="K1189" s="9">
        <v>990</v>
      </c>
      <c r="L1189" s="9"/>
      <c r="M1189" s="9"/>
      <c r="N1189" s="9"/>
      <c r="O1189" s="9" t="s">
        <v>1013</v>
      </c>
      <c r="P1189" s="9" t="s">
        <v>218</v>
      </c>
      <c r="Q1189" s="9"/>
      <c r="R1189" s="10"/>
      <c r="S1189" s="10"/>
      <c r="T1189" s="10"/>
      <c r="U1189" s="9"/>
      <c r="X1189" t="s">
        <v>70</v>
      </c>
      <c r="Y1189" t="s">
        <v>982</v>
      </c>
      <c r="Z1189" t="s">
        <v>113</v>
      </c>
      <c r="AB1189" t="str">
        <f t="shared" si="54"/>
        <v>09691</v>
      </c>
    </row>
    <row r="1190" ht="14.25" spans="1:28">
      <c r="A1190" s="5" t="s">
        <v>28</v>
      </c>
      <c r="B1190" s="5" t="s">
        <v>697</v>
      </c>
      <c r="C1190" s="5">
        <v>2027</v>
      </c>
      <c r="D1190" s="5" t="s">
        <v>30</v>
      </c>
      <c r="E1190" s="9" t="s">
        <v>1015</v>
      </c>
      <c r="F1190" s="9" t="s">
        <v>1016</v>
      </c>
      <c r="G1190" s="9" t="s">
        <v>1017</v>
      </c>
      <c r="H1190" s="9" t="s">
        <v>1018</v>
      </c>
      <c r="I1190" s="9" t="s">
        <v>119</v>
      </c>
      <c r="J1190" s="9" t="s">
        <v>36</v>
      </c>
      <c r="K1190" s="9">
        <v>990</v>
      </c>
      <c r="L1190" s="9"/>
      <c r="M1190" s="9"/>
      <c r="N1190" s="9"/>
      <c r="O1190" s="9" t="s">
        <v>1013</v>
      </c>
      <c r="P1190" s="9" t="s">
        <v>79</v>
      </c>
      <c r="Q1190" s="9"/>
      <c r="R1190" s="10"/>
      <c r="S1190" s="10"/>
      <c r="T1190" s="10"/>
      <c r="U1190" s="9"/>
      <c r="X1190" t="s">
        <v>70</v>
      </c>
      <c r="Y1190" t="s">
        <v>982</v>
      </c>
      <c r="Z1190" t="s">
        <v>113</v>
      </c>
      <c r="AB1190" t="str">
        <f t="shared" si="54"/>
        <v>09691</v>
      </c>
    </row>
    <row r="1191" ht="14.25" spans="1:28">
      <c r="A1191" s="5" t="s">
        <v>28</v>
      </c>
      <c r="B1191" s="5" t="s">
        <v>697</v>
      </c>
      <c r="C1191" s="5">
        <v>2027</v>
      </c>
      <c r="D1191" s="5" t="s">
        <v>30</v>
      </c>
      <c r="E1191" s="9" t="s">
        <v>1015</v>
      </c>
      <c r="F1191" s="9" t="s">
        <v>1016</v>
      </c>
      <c r="G1191" s="9" t="s">
        <v>1017</v>
      </c>
      <c r="H1191" s="9" t="s">
        <v>1018</v>
      </c>
      <c r="I1191" s="9" t="s">
        <v>119</v>
      </c>
      <c r="J1191" s="9" t="s">
        <v>36</v>
      </c>
      <c r="K1191" s="9">
        <v>990</v>
      </c>
      <c r="L1191" s="9"/>
      <c r="M1191" s="9"/>
      <c r="N1191" s="9"/>
      <c r="O1191" s="9" t="s">
        <v>1013</v>
      </c>
      <c r="P1191" s="9" t="s">
        <v>203</v>
      </c>
      <c r="Q1191" s="9"/>
      <c r="R1191" s="10"/>
      <c r="S1191" s="10"/>
      <c r="T1191" s="10"/>
      <c r="U1191" s="9"/>
      <c r="X1191" t="s">
        <v>70</v>
      </c>
      <c r="Y1191" t="s">
        <v>982</v>
      </c>
      <c r="Z1191" t="s">
        <v>113</v>
      </c>
      <c r="AB1191" t="str">
        <f t="shared" si="54"/>
        <v>09691</v>
      </c>
    </row>
    <row r="1192" ht="14.25" spans="1:28">
      <c r="A1192" s="5" t="s">
        <v>28</v>
      </c>
      <c r="B1192" s="5" t="s">
        <v>697</v>
      </c>
      <c r="C1192" s="5">
        <v>2027</v>
      </c>
      <c r="D1192" s="5" t="s">
        <v>30</v>
      </c>
      <c r="E1192" s="9" t="s">
        <v>1015</v>
      </c>
      <c r="F1192" s="9" t="s">
        <v>1016</v>
      </c>
      <c r="G1192" s="9" t="s">
        <v>1017</v>
      </c>
      <c r="H1192" s="9" t="s">
        <v>1018</v>
      </c>
      <c r="I1192" s="9" t="s">
        <v>119</v>
      </c>
      <c r="J1192" s="9" t="s">
        <v>36</v>
      </c>
      <c r="K1192" s="9">
        <v>990</v>
      </c>
      <c r="L1192" s="9"/>
      <c r="M1192" s="9"/>
      <c r="N1192" s="9"/>
      <c r="O1192" s="9" t="s">
        <v>1013</v>
      </c>
      <c r="P1192" s="9" t="s">
        <v>204</v>
      </c>
      <c r="Q1192" s="9"/>
      <c r="R1192" s="10"/>
      <c r="S1192" s="10"/>
      <c r="T1192" s="10"/>
      <c r="U1192" s="9"/>
      <c r="X1192" t="s">
        <v>70</v>
      </c>
      <c r="Y1192" t="s">
        <v>982</v>
      </c>
      <c r="Z1192" t="s">
        <v>113</v>
      </c>
      <c r="AB1192" t="str">
        <f t="shared" si="54"/>
        <v>09691</v>
      </c>
    </row>
    <row r="1193" ht="14.25" spans="1:28">
      <c r="A1193" s="5" t="s">
        <v>28</v>
      </c>
      <c r="B1193" s="5" t="s">
        <v>697</v>
      </c>
      <c r="C1193" s="5">
        <v>2027</v>
      </c>
      <c r="D1193" s="5" t="s">
        <v>30</v>
      </c>
      <c r="E1193" s="9" t="s">
        <v>1019</v>
      </c>
      <c r="F1193" s="9" t="s">
        <v>1016</v>
      </c>
      <c r="G1193" s="9" t="s">
        <v>189</v>
      </c>
      <c r="H1193" s="9" t="s">
        <v>1020</v>
      </c>
      <c r="I1193" s="9" t="s">
        <v>119</v>
      </c>
      <c r="J1193" s="9" t="s">
        <v>36</v>
      </c>
      <c r="K1193" s="9">
        <v>990</v>
      </c>
      <c r="L1193" s="9"/>
      <c r="M1193" s="9"/>
      <c r="N1193" s="9"/>
      <c r="O1193" s="9" t="s">
        <v>1013</v>
      </c>
      <c r="P1193" s="9" t="s">
        <v>1014</v>
      </c>
      <c r="Q1193" s="9"/>
      <c r="R1193" s="10">
        <f t="shared" si="55"/>
        <v>0</v>
      </c>
      <c r="S1193" s="10">
        <f>SUMIFS([1]Sheet1!$T:$T,[1]Sheet1!$I:$I,E1193,[1]Sheet1!$C:$C,A1193)</f>
        <v>0</v>
      </c>
      <c r="T1193" s="10">
        <f t="shared" si="56"/>
        <v>0</v>
      </c>
      <c r="U1193" s="9" t="s">
        <v>706</v>
      </c>
      <c r="V1193" t="s">
        <v>981</v>
      </c>
      <c r="W1193" t="s">
        <v>178</v>
      </c>
      <c r="X1193" t="s">
        <v>191</v>
      </c>
      <c r="Y1193" t="s">
        <v>982</v>
      </c>
      <c r="Z1193" t="s">
        <v>113</v>
      </c>
      <c r="AB1193" t="str">
        <f t="shared" si="54"/>
        <v>09691</v>
      </c>
    </row>
    <row r="1194" ht="14.25" spans="1:28">
      <c r="A1194" s="5" t="s">
        <v>28</v>
      </c>
      <c r="B1194" s="5" t="s">
        <v>697</v>
      </c>
      <c r="C1194" s="5">
        <v>2027</v>
      </c>
      <c r="D1194" s="5" t="s">
        <v>30</v>
      </c>
      <c r="E1194" s="9" t="s">
        <v>1019</v>
      </c>
      <c r="F1194" s="9" t="s">
        <v>1016</v>
      </c>
      <c r="G1194" s="9" t="s">
        <v>189</v>
      </c>
      <c r="H1194" s="9" t="s">
        <v>1020</v>
      </c>
      <c r="I1194" s="9" t="s">
        <v>119</v>
      </c>
      <c r="J1194" s="9" t="s">
        <v>36</v>
      </c>
      <c r="K1194" s="9">
        <v>990</v>
      </c>
      <c r="L1194" s="9"/>
      <c r="M1194" s="9"/>
      <c r="N1194" s="9"/>
      <c r="O1194" s="9" t="s">
        <v>1013</v>
      </c>
      <c r="P1194" s="9" t="s">
        <v>77</v>
      </c>
      <c r="Q1194" s="9"/>
      <c r="R1194" s="10"/>
      <c r="S1194" s="10"/>
      <c r="T1194" s="10"/>
      <c r="U1194" s="9" t="s">
        <v>706</v>
      </c>
      <c r="V1194" t="s">
        <v>981</v>
      </c>
      <c r="W1194" t="s">
        <v>178</v>
      </c>
      <c r="X1194" t="s">
        <v>191</v>
      </c>
      <c r="Y1194" t="s">
        <v>982</v>
      </c>
      <c r="Z1194" t="s">
        <v>113</v>
      </c>
      <c r="AB1194" t="str">
        <f t="shared" si="54"/>
        <v>09691</v>
      </c>
    </row>
    <row r="1195" ht="14.25" spans="1:28">
      <c r="A1195" s="5" t="s">
        <v>28</v>
      </c>
      <c r="B1195" s="5" t="s">
        <v>697</v>
      </c>
      <c r="C1195" s="5">
        <v>2027</v>
      </c>
      <c r="D1195" s="5" t="s">
        <v>30</v>
      </c>
      <c r="E1195" s="9" t="s">
        <v>1019</v>
      </c>
      <c r="F1195" s="9" t="s">
        <v>1016</v>
      </c>
      <c r="G1195" s="9" t="s">
        <v>189</v>
      </c>
      <c r="H1195" s="9" t="s">
        <v>1020</v>
      </c>
      <c r="I1195" s="9" t="s">
        <v>119</v>
      </c>
      <c r="J1195" s="9" t="s">
        <v>36</v>
      </c>
      <c r="K1195" s="9">
        <v>990</v>
      </c>
      <c r="L1195" s="9"/>
      <c r="M1195" s="9"/>
      <c r="N1195" s="9"/>
      <c r="O1195" s="9" t="s">
        <v>1013</v>
      </c>
      <c r="P1195" s="9" t="s">
        <v>217</v>
      </c>
      <c r="Q1195" s="9"/>
      <c r="R1195" s="10"/>
      <c r="S1195" s="10"/>
      <c r="T1195" s="10"/>
      <c r="U1195" s="9" t="s">
        <v>706</v>
      </c>
      <c r="V1195" t="s">
        <v>981</v>
      </c>
      <c r="W1195" t="s">
        <v>178</v>
      </c>
      <c r="X1195" t="s">
        <v>191</v>
      </c>
      <c r="Y1195" t="s">
        <v>982</v>
      </c>
      <c r="Z1195" t="s">
        <v>113</v>
      </c>
      <c r="AB1195" t="str">
        <f t="shared" si="54"/>
        <v>09691</v>
      </c>
    </row>
    <row r="1196" ht="14.25" spans="1:28">
      <c r="A1196" s="5" t="s">
        <v>28</v>
      </c>
      <c r="B1196" s="5" t="s">
        <v>697</v>
      </c>
      <c r="C1196" s="5">
        <v>2027</v>
      </c>
      <c r="D1196" s="5" t="s">
        <v>30</v>
      </c>
      <c r="E1196" s="9" t="s">
        <v>1019</v>
      </c>
      <c r="F1196" s="9" t="s">
        <v>1016</v>
      </c>
      <c r="G1196" s="9" t="s">
        <v>189</v>
      </c>
      <c r="H1196" s="9" t="s">
        <v>1020</v>
      </c>
      <c r="I1196" s="9" t="s">
        <v>119</v>
      </c>
      <c r="J1196" s="9" t="s">
        <v>36</v>
      </c>
      <c r="K1196" s="9">
        <v>990</v>
      </c>
      <c r="L1196" s="9"/>
      <c r="M1196" s="9"/>
      <c r="N1196" s="9"/>
      <c r="O1196" s="9" t="s">
        <v>1013</v>
      </c>
      <c r="P1196" s="9" t="s">
        <v>78</v>
      </c>
      <c r="Q1196" s="9"/>
      <c r="R1196" s="10"/>
      <c r="S1196" s="10"/>
      <c r="T1196" s="10"/>
      <c r="U1196" s="9" t="s">
        <v>706</v>
      </c>
      <c r="V1196" t="s">
        <v>981</v>
      </c>
      <c r="W1196" t="s">
        <v>178</v>
      </c>
      <c r="X1196" t="s">
        <v>191</v>
      </c>
      <c r="Y1196" t="s">
        <v>982</v>
      </c>
      <c r="Z1196" t="s">
        <v>113</v>
      </c>
      <c r="AB1196" t="str">
        <f t="shared" si="54"/>
        <v>09691</v>
      </c>
    </row>
    <row r="1197" ht="14.25" spans="1:28">
      <c r="A1197" s="5" t="s">
        <v>28</v>
      </c>
      <c r="B1197" s="5" t="s">
        <v>697</v>
      </c>
      <c r="C1197" s="5">
        <v>2027</v>
      </c>
      <c r="D1197" s="5" t="s">
        <v>30</v>
      </c>
      <c r="E1197" s="9" t="s">
        <v>1019</v>
      </c>
      <c r="F1197" s="9" t="s">
        <v>1016</v>
      </c>
      <c r="G1197" s="9" t="s">
        <v>189</v>
      </c>
      <c r="H1197" s="9" t="s">
        <v>1020</v>
      </c>
      <c r="I1197" s="9" t="s">
        <v>119</v>
      </c>
      <c r="J1197" s="9" t="s">
        <v>36</v>
      </c>
      <c r="K1197" s="9">
        <v>990</v>
      </c>
      <c r="L1197" s="9"/>
      <c r="M1197" s="9"/>
      <c r="N1197" s="9"/>
      <c r="O1197" s="9" t="s">
        <v>1013</v>
      </c>
      <c r="P1197" s="9" t="s">
        <v>218</v>
      </c>
      <c r="Q1197" s="9"/>
      <c r="R1197" s="10"/>
      <c r="S1197" s="10"/>
      <c r="T1197" s="10"/>
      <c r="U1197" s="9" t="s">
        <v>706</v>
      </c>
      <c r="V1197" t="s">
        <v>981</v>
      </c>
      <c r="W1197" t="s">
        <v>178</v>
      </c>
      <c r="X1197" t="s">
        <v>191</v>
      </c>
      <c r="Y1197" t="s">
        <v>982</v>
      </c>
      <c r="Z1197" t="s">
        <v>113</v>
      </c>
      <c r="AB1197" t="str">
        <f t="shared" si="54"/>
        <v>09691</v>
      </c>
    </row>
    <row r="1198" ht="14.25" spans="1:28">
      <c r="A1198" s="5" t="s">
        <v>28</v>
      </c>
      <c r="B1198" s="5" t="s">
        <v>697</v>
      </c>
      <c r="C1198" s="5">
        <v>2027</v>
      </c>
      <c r="D1198" s="5" t="s">
        <v>30</v>
      </c>
      <c r="E1198" s="9" t="s">
        <v>1019</v>
      </c>
      <c r="F1198" s="9" t="s">
        <v>1016</v>
      </c>
      <c r="G1198" s="9" t="s">
        <v>189</v>
      </c>
      <c r="H1198" s="9" t="s">
        <v>1020</v>
      </c>
      <c r="I1198" s="9" t="s">
        <v>119</v>
      </c>
      <c r="J1198" s="9" t="s">
        <v>36</v>
      </c>
      <c r="K1198" s="9">
        <v>990</v>
      </c>
      <c r="L1198" s="9"/>
      <c r="M1198" s="9"/>
      <c r="N1198" s="9"/>
      <c r="O1198" s="9" t="s">
        <v>1013</v>
      </c>
      <c r="P1198" s="9" t="s">
        <v>79</v>
      </c>
      <c r="Q1198" s="9"/>
      <c r="R1198" s="10"/>
      <c r="S1198" s="10"/>
      <c r="T1198" s="10"/>
      <c r="U1198" s="9" t="s">
        <v>706</v>
      </c>
      <c r="V1198" t="s">
        <v>981</v>
      </c>
      <c r="W1198" t="s">
        <v>178</v>
      </c>
      <c r="X1198" t="s">
        <v>191</v>
      </c>
      <c r="Y1198" t="s">
        <v>982</v>
      </c>
      <c r="Z1198" t="s">
        <v>113</v>
      </c>
      <c r="AB1198" t="str">
        <f t="shared" si="54"/>
        <v>09691</v>
      </c>
    </row>
    <row r="1199" ht="14.25" spans="1:28">
      <c r="A1199" s="5" t="s">
        <v>28</v>
      </c>
      <c r="B1199" s="5" t="s">
        <v>697</v>
      </c>
      <c r="C1199" s="5">
        <v>2027</v>
      </c>
      <c r="D1199" s="5" t="s">
        <v>30</v>
      </c>
      <c r="E1199" s="9" t="s">
        <v>1019</v>
      </c>
      <c r="F1199" s="9" t="s">
        <v>1016</v>
      </c>
      <c r="G1199" s="9" t="s">
        <v>189</v>
      </c>
      <c r="H1199" s="9" t="s">
        <v>1020</v>
      </c>
      <c r="I1199" s="9" t="s">
        <v>119</v>
      </c>
      <c r="J1199" s="9" t="s">
        <v>36</v>
      </c>
      <c r="K1199" s="9">
        <v>990</v>
      </c>
      <c r="L1199" s="9"/>
      <c r="M1199" s="9"/>
      <c r="N1199" s="9"/>
      <c r="O1199" s="9" t="s">
        <v>1013</v>
      </c>
      <c r="P1199" s="9" t="s">
        <v>203</v>
      </c>
      <c r="Q1199" s="9"/>
      <c r="R1199" s="10"/>
      <c r="S1199" s="10"/>
      <c r="T1199" s="10"/>
      <c r="U1199" s="9" t="s">
        <v>706</v>
      </c>
      <c r="V1199" t="s">
        <v>981</v>
      </c>
      <c r="W1199" t="s">
        <v>178</v>
      </c>
      <c r="X1199" t="s">
        <v>191</v>
      </c>
      <c r="Y1199" t="s">
        <v>982</v>
      </c>
      <c r="Z1199" t="s">
        <v>113</v>
      </c>
      <c r="AB1199" t="str">
        <f t="shared" si="54"/>
        <v>09691</v>
      </c>
    </row>
    <row r="1200" ht="14.25" spans="1:28">
      <c r="A1200" s="5" t="s">
        <v>28</v>
      </c>
      <c r="B1200" s="5" t="s">
        <v>697</v>
      </c>
      <c r="C1200" s="5">
        <v>2027</v>
      </c>
      <c r="D1200" s="5" t="s">
        <v>30</v>
      </c>
      <c r="E1200" s="9" t="s">
        <v>1019</v>
      </c>
      <c r="F1200" s="9" t="s">
        <v>1016</v>
      </c>
      <c r="G1200" s="9" t="s">
        <v>189</v>
      </c>
      <c r="H1200" s="9" t="s">
        <v>1020</v>
      </c>
      <c r="I1200" s="9" t="s">
        <v>119</v>
      </c>
      <c r="J1200" s="9" t="s">
        <v>36</v>
      </c>
      <c r="K1200" s="9">
        <v>990</v>
      </c>
      <c r="L1200" s="9"/>
      <c r="M1200" s="9"/>
      <c r="N1200" s="9"/>
      <c r="O1200" s="9" t="s">
        <v>1013</v>
      </c>
      <c r="P1200" s="9" t="s">
        <v>204</v>
      </c>
      <c r="Q1200" s="9"/>
      <c r="R1200" s="10"/>
      <c r="S1200" s="10"/>
      <c r="T1200" s="10"/>
      <c r="U1200" s="9" t="s">
        <v>706</v>
      </c>
      <c r="V1200" t="s">
        <v>981</v>
      </c>
      <c r="W1200" t="s">
        <v>178</v>
      </c>
      <c r="X1200" t="s">
        <v>191</v>
      </c>
      <c r="Y1200" t="s">
        <v>982</v>
      </c>
      <c r="Z1200" t="s">
        <v>113</v>
      </c>
      <c r="AB1200" t="str">
        <f t="shared" si="54"/>
        <v>09691</v>
      </c>
    </row>
    <row r="1201" ht="14.25" spans="1:28">
      <c r="A1201" s="5" t="s">
        <v>28</v>
      </c>
      <c r="B1201" s="5" t="s">
        <v>697</v>
      </c>
      <c r="C1201" s="5">
        <v>2027</v>
      </c>
      <c r="D1201" s="5" t="s">
        <v>30</v>
      </c>
      <c r="E1201" s="9" t="s">
        <v>1021</v>
      </c>
      <c r="F1201" s="9" t="s">
        <v>1022</v>
      </c>
      <c r="G1201" s="9" t="s">
        <v>1023</v>
      </c>
      <c r="H1201" s="9" t="s">
        <v>1024</v>
      </c>
      <c r="I1201" s="9" t="s">
        <v>119</v>
      </c>
      <c r="J1201" s="9" t="s">
        <v>36</v>
      </c>
      <c r="K1201" s="9">
        <v>1190</v>
      </c>
      <c r="L1201" s="9"/>
      <c r="M1201" s="9"/>
      <c r="N1201" s="9"/>
      <c r="O1201" s="9" t="s">
        <v>1013</v>
      </c>
      <c r="P1201" s="9" t="s">
        <v>1014</v>
      </c>
      <c r="Q1201" s="9"/>
      <c r="R1201" s="10">
        <f t="shared" si="55"/>
        <v>0</v>
      </c>
      <c r="S1201" s="10">
        <f>SUMIFS([1]Sheet1!$T:$T,[1]Sheet1!$I:$I,E1201,[1]Sheet1!$C:$C,A1201)</f>
        <v>0</v>
      </c>
      <c r="T1201" s="10">
        <f t="shared" si="56"/>
        <v>0</v>
      </c>
      <c r="U1201" s="9"/>
      <c r="Y1201" t="s">
        <v>791</v>
      </c>
      <c r="Z1201" t="s">
        <v>113</v>
      </c>
      <c r="AB1201" t="str">
        <f t="shared" si="54"/>
        <v>09742</v>
      </c>
    </row>
    <row r="1202" ht="14.25" spans="1:28">
      <c r="A1202" s="5" t="s">
        <v>28</v>
      </c>
      <c r="B1202" s="5" t="s">
        <v>697</v>
      </c>
      <c r="C1202" s="5">
        <v>2027</v>
      </c>
      <c r="D1202" s="5" t="s">
        <v>30</v>
      </c>
      <c r="E1202" s="9" t="s">
        <v>1021</v>
      </c>
      <c r="F1202" s="9" t="s">
        <v>1022</v>
      </c>
      <c r="G1202" s="9" t="s">
        <v>1023</v>
      </c>
      <c r="H1202" s="9" t="s">
        <v>1024</v>
      </c>
      <c r="I1202" s="9" t="s">
        <v>119</v>
      </c>
      <c r="J1202" s="9" t="s">
        <v>36</v>
      </c>
      <c r="K1202" s="9">
        <v>1190</v>
      </c>
      <c r="L1202" s="9"/>
      <c r="M1202" s="9"/>
      <c r="N1202" s="9"/>
      <c r="O1202" s="9" t="s">
        <v>1013</v>
      </c>
      <c r="P1202" s="9" t="s">
        <v>77</v>
      </c>
      <c r="Q1202" s="9"/>
      <c r="R1202" s="10"/>
      <c r="S1202" s="10"/>
      <c r="T1202" s="10"/>
      <c r="U1202" s="9"/>
      <c r="Y1202" t="s">
        <v>791</v>
      </c>
      <c r="Z1202" t="s">
        <v>113</v>
      </c>
      <c r="AB1202" t="str">
        <f t="shared" si="54"/>
        <v>09742</v>
      </c>
    </row>
    <row r="1203" ht="14.25" spans="1:28">
      <c r="A1203" s="5" t="s">
        <v>28</v>
      </c>
      <c r="B1203" s="5" t="s">
        <v>697</v>
      </c>
      <c r="C1203" s="5">
        <v>2027</v>
      </c>
      <c r="D1203" s="5" t="s">
        <v>30</v>
      </c>
      <c r="E1203" s="9" t="s">
        <v>1021</v>
      </c>
      <c r="F1203" s="9" t="s">
        <v>1022</v>
      </c>
      <c r="G1203" s="9" t="s">
        <v>1023</v>
      </c>
      <c r="H1203" s="9" t="s">
        <v>1024</v>
      </c>
      <c r="I1203" s="9" t="s">
        <v>119</v>
      </c>
      <c r="J1203" s="9" t="s">
        <v>36</v>
      </c>
      <c r="K1203" s="9">
        <v>1190</v>
      </c>
      <c r="L1203" s="9"/>
      <c r="M1203" s="9"/>
      <c r="N1203" s="9"/>
      <c r="O1203" s="9" t="s">
        <v>1013</v>
      </c>
      <c r="P1203" s="9" t="s">
        <v>217</v>
      </c>
      <c r="Q1203" s="9"/>
      <c r="R1203" s="10"/>
      <c r="S1203" s="10"/>
      <c r="T1203" s="10"/>
      <c r="U1203" s="9"/>
      <c r="Y1203" t="s">
        <v>791</v>
      </c>
      <c r="Z1203" t="s">
        <v>113</v>
      </c>
      <c r="AB1203" t="str">
        <f t="shared" si="54"/>
        <v>09742</v>
      </c>
    </row>
    <row r="1204" ht="14.25" spans="1:28">
      <c r="A1204" s="5" t="s">
        <v>28</v>
      </c>
      <c r="B1204" s="5" t="s">
        <v>697</v>
      </c>
      <c r="C1204" s="5">
        <v>2027</v>
      </c>
      <c r="D1204" s="5" t="s">
        <v>30</v>
      </c>
      <c r="E1204" s="9" t="s">
        <v>1021</v>
      </c>
      <c r="F1204" s="9" t="s">
        <v>1022</v>
      </c>
      <c r="G1204" s="9" t="s">
        <v>1023</v>
      </c>
      <c r="H1204" s="9" t="s">
        <v>1024</v>
      </c>
      <c r="I1204" s="9" t="s">
        <v>119</v>
      </c>
      <c r="J1204" s="9" t="s">
        <v>36</v>
      </c>
      <c r="K1204" s="9">
        <v>1190</v>
      </c>
      <c r="L1204" s="9"/>
      <c r="M1204" s="9"/>
      <c r="N1204" s="9"/>
      <c r="O1204" s="9" t="s">
        <v>1013</v>
      </c>
      <c r="P1204" s="9" t="s">
        <v>78</v>
      </c>
      <c r="Q1204" s="9"/>
      <c r="R1204" s="10"/>
      <c r="S1204" s="10"/>
      <c r="T1204" s="10"/>
      <c r="U1204" s="9"/>
      <c r="Y1204" t="s">
        <v>791</v>
      </c>
      <c r="Z1204" t="s">
        <v>113</v>
      </c>
      <c r="AB1204" t="str">
        <f t="shared" si="54"/>
        <v>09742</v>
      </c>
    </row>
    <row r="1205" ht="14.25" spans="1:28">
      <c r="A1205" s="5" t="s">
        <v>28</v>
      </c>
      <c r="B1205" s="5" t="s">
        <v>697</v>
      </c>
      <c r="C1205" s="5">
        <v>2027</v>
      </c>
      <c r="D1205" s="5" t="s">
        <v>30</v>
      </c>
      <c r="E1205" s="9" t="s">
        <v>1021</v>
      </c>
      <c r="F1205" s="9" t="s">
        <v>1022</v>
      </c>
      <c r="G1205" s="9" t="s">
        <v>1023</v>
      </c>
      <c r="H1205" s="9" t="s">
        <v>1024</v>
      </c>
      <c r="I1205" s="9" t="s">
        <v>119</v>
      </c>
      <c r="J1205" s="9" t="s">
        <v>36</v>
      </c>
      <c r="K1205" s="9">
        <v>1190</v>
      </c>
      <c r="L1205" s="9"/>
      <c r="M1205" s="9"/>
      <c r="N1205" s="9"/>
      <c r="O1205" s="9" t="s">
        <v>1013</v>
      </c>
      <c r="P1205" s="9" t="s">
        <v>218</v>
      </c>
      <c r="Q1205" s="9"/>
      <c r="R1205" s="10"/>
      <c r="S1205" s="10"/>
      <c r="T1205" s="10"/>
      <c r="U1205" s="9"/>
      <c r="Y1205" t="s">
        <v>791</v>
      </c>
      <c r="Z1205" t="s">
        <v>113</v>
      </c>
      <c r="AB1205" t="str">
        <f t="shared" si="54"/>
        <v>09742</v>
      </c>
    </row>
    <row r="1206" ht="14.25" spans="1:28">
      <c r="A1206" s="5" t="s">
        <v>28</v>
      </c>
      <c r="B1206" s="5" t="s">
        <v>697</v>
      </c>
      <c r="C1206" s="5">
        <v>2027</v>
      </c>
      <c r="D1206" s="5" t="s">
        <v>30</v>
      </c>
      <c r="E1206" s="9" t="s">
        <v>1021</v>
      </c>
      <c r="F1206" s="9" t="s">
        <v>1022</v>
      </c>
      <c r="G1206" s="9" t="s">
        <v>1023</v>
      </c>
      <c r="H1206" s="9" t="s">
        <v>1024</v>
      </c>
      <c r="I1206" s="9" t="s">
        <v>119</v>
      </c>
      <c r="J1206" s="9" t="s">
        <v>36</v>
      </c>
      <c r="K1206" s="9">
        <v>1190</v>
      </c>
      <c r="L1206" s="9"/>
      <c r="M1206" s="9"/>
      <c r="N1206" s="9"/>
      <c r="O1206" s="9" t="s">
        <v>1013</v>
      </c>
      <c r="P1206" s="9" t="s">
        <v>79</v>
      </c>
      <c r="Q1206" s="9"/>
      <c r="R1206" s="10"/>
      <c r="S1206" s="10"/>
      <c r="T1206" s="10"/>
      <c r="U1206" s="9"/>
      <c r="Y1206" t="s">
        <v>791</v>
      </c>
      <c r="Z1206" t="s">
        <v>113</v>
      </c>
      <c r="AB1206" t="str">
        <f t="shared" si="54"/>
        <v>09742</v>
      </c>
    </row>
    <row r="1207" ht="14.25" spans="1:28">
      <c r="A1207" s="5" t="s">
        <v>28</v>
      </c>
      <c r="B1207" s="5" t="s">
        <v>697</v>
      </c>
      <c r="C1207" s="5">
        <v>2027</v>
      </c>
      <c r="D1207" s="5" t="s">
        <v>30</v>
      </c>
      <c r="E1207" s="9" t="s">
        <v>1021</v>
      </c>
      <c r="F1207" s="9" t="s">
        <v>1022</v>
      </c>
      <c r="G1207" s="9" t="s">
        <v>1023</v>
      </c>
      <c r="H1207" s="9" t="s">
        <v>1024</v>
      </c>
      <c r="I1207" s="9" t="s">
        <v>119</v>
      </c>
      <c r="J1207" s="9" t="s">
        <v>36</v>
      </c>
      <c r="K1207" s="9">
        <v>1190</v>
      </c>
      <c r="L1207" s="9"/>
      <c r="M1207" s="9"/>
      <c r="N1207" s="9"/>
      <c r="O1207" s="9" t="s">
        <v>1013</v>
      </c>
      <c r="P1207" s="9" t="s">
        <v>203</v>
      </c>
      <c r="Q1207" s="9"/>
      <c r="R1207" s="10"/>
      <c r="S1207" s="10"/>
      <c r="T1207" s="10"/>
      <c r="U1207" s="9"/>
      <c r="Y1207" t="s">
        <v>791</v>
      </c>
      <c r="Z1207" t="s">
        <v>113</v>
      </c>
      <c r="AB1207" t="str">
        <f t="shared" si="54"/>
        <v>09742</v>
      </c>
    </row>
    <row r="1208" ht="14.25" spans="1:28">
      <c r="A1208" s="5" t="s">
        <v>28</v>
      </c>
      <c r="B1208" s="5" t="s">
        <v>697</v>
      </c>
      <c r="C1208" s="5">
        <v>2027</v>
      </c>
      <c r="D1208" s="5" t="s">
        <v>30</v>
      </c>
      <c r="E1208" s="9" t="s">
        <v>1021</v>
      </c>
      <c r="F1208" s="9" t="s">
        <v>1022</v>
      </c>
      <c r="G1208" s="9" t="s">
        <v>1023</v>
      </c>
      <c r="H1208" s="9" t="s">
        <v>1024</v>
      </c>
      <c r="I1208" s="9" t="s">
        <v>119</v>
      </c>
      <c r="J1208" s="9" t="s">
        <v>36</v>
      </c>
      <c r="K1208" s="9">
        <v>1190</v>
      </c>
      <c r="L1208" s="9"/>
      <c r="M1208" s="9"/>
      <c r="N1208" s="9"/>
      <c r="O1208" s="9" t="s">
        <v>1013</v>
      </c>
      <c r="P1208" s="9" t="s">
        <v>204</v>
      </c>
      <c r="Q1208" s="9"/>
      <c r="R1208" s="10"/>
      <c r="S1208" s="10"/>
      <c r="T1208" s="10"/>
      <c r="U1208" s="9"/>
      <c r="Y1208" t="s">
        <v>791</v>
      </c>
      <c r="Z1208" t="s">
        <v>113</v>
      </c>
      <c r="AB1208" t="str">
        <f t="shared" si="54"/>
        <v>09742</v>
      </c>
    </row>
    <row r="1209" ht="14.25" spans="1:28">
      <c r="A1209" s="5" t="s">
        <v>28</v>
      </c>
      <c r="B1209" s="5" t="s">
        <v>697</v>
      </c>
      <c r="C1209" s="5">
        <v>2027</v>
      </c>
      <c r="D1209" s="5" t="s">
        <v>30</v>
      </c>
      <c r="E1209" s="9" t="s">
        <v>1025</v>
      </c>
      <c r="F1209" s="9" t="s">
        <v>1026</v>
      </c>
      <c r="G1209" s="9" t="s">
        <v>780</v>
      </c>
      <c r="H1209" s="9" t="s">
        <v>1027</v>
      </c>
      <c r="I1209" s="9" t="s">
        <v>147</v>
      </c>
      <c r="J1209" s="9" t="s">
        <v>36</v>
      </c>
      <c r="K1209" s="9">
        <v>790</v>
      </c>
      <c r="L1209" s="9"/>
      <c r="M1209" s="9"/>
      <c r="N1209" s="9"/>
      <c r="O1209" s="9" t="s">
        <v>215</v>
      </c>
      <c r="P1209" s="9" t="s">
        <v>77</v>
      </c>
      <c r="Q1209" s="9"/>
      <c r="R1209" s="10">
        <f t="shared" si="55"/>
        <v>0</v>
      </c>
      <c r="S1209" s="10">
        <f>SUMIFS([1]Sheet1!$T:$T,[1]Sheet1!$I:$I,E1209,[1]Sheet1!$C:$C,A1209)</f>
        <v>0</v>
      </c>
      <c r="T1209" s="10">
        <f t="shared" si="56"/>
        <v>0</v>
      </c>
      <c r="U1209" s="9" t="s">
        <v>706</v>
      </c>
      <c r="V1209" t="s">
        <v>981</v>
      </c>
      <c r="W1209" t="s">
        <v>178</v>
      </c>
      <c r="X1209" t="s">
        <v>39</v>
      </c>
      <c r="Y1209" t="s">
        <v>1028</v>
      </c>
      <c r="Z1209" t="s">
        <v>113</v>
      </c>
      <c r="AB1209" t="str">
        <f t="shared" si="54"/>
        <v>09820</v>
      </c>
    </row>
    <row r="1210" ht="14.25" spans="1:28">
      <c r="A1210" s="5" t="s">
        <v>28</v>
      </c>
      <c r="B1210" s="5" t="s">
        <v>697</v>
      </c>
      <c r="C1210" s="5">
        <v>2027</v>
      </c>
      <c r="D1210" s="5" t="s">
        <v>30</v>
      </c>
      <c r="E1210" s="9" t="s">
        <v>1025</v>
      </c>
      <c r="F1210" s="9" t="s">
        <v>1026</v>
      </c>
      <c r="G1210" s="9" t="s">
        <v>780</v>
      </c>
      <c r="H1210" s="9" t="s">
        <v>1027</v>
      </c>
      <c r="I1210" s="9" t="s">
        <v>147</v>
      </c>
      <c r="J1210" s="9" t="s">
        <v>36</v>
      </c>
      <c r="K1210" s="9">
        <v>790</v>
      </c>
      <c r="L1210" s="9"/>
      <c r="M1210" s="9"/>
      <c r="N1210" s="9"/>
      <c r="O1210" s="9" t="s">
        <v>215</v>
      </c>
      <c r="P1210" s="9" t="s">
        <v>217</v>
      </c>
      <c r="Q1210" s="9"/>
      <c r="R1210" s="10"/>
      <c r="S1210" s="10"/>
      <c r="T1210" s="10"/>
      <c r="U1210" s="9" t="s">
        <v>706</v>
      </c>
      <c r="V1210" t="s">
        <v>981</v>
      </c>
      <c r="W1210" t="s">
        <v>178</v>
      </c>
      <c r="X1210" t="s">
        <v>39</v>
      </c>
      <c r="Y1210" t="s">
        <v>1028</v>
      </c>
      <c r="Z1210" t="s">
        <v>113</v>
      </c>
      <c r="AB1210" t="str">
        <f t="shared" si="54"/>
        <v>09820</v>
      </c>
    </row>
    <row r="1211" ht="14.25" spans="1:28">
      <c r="A1211" s="5" t="s">
        <v>28</v>
      </c>
      <c r="B1211" s="5" t="s">
        <v>697</v>
      </c>
      <c r="C1211" s="5">
        <v>2027</v>
      </c>
      <c r="D1211" s="5" t="s">
        <v>30</v>
      </c>
      <c r="E1211" s="9" t="s">
        <v>1025</v>
      </c>
      <c r="F1211" s="9" t="s">
        <v>1026</v>
      </c>
      <c r="G1211" s="9" t="s">
        <v>780</v>
      </c>
      <c r="H1211" s="9" t="s">
        <v>1027</v>
      </c>
      <c r="I1211" s="9" t="s">
        <v>147</v>
      </c>
      <c r="J1211" s="9" t="s">
        <v>36</v>
      </c>
      <c r="K1211" s="9">
        <v>790</v>
      </c>
      <c r="L1211" s="9"/>
      <c r="M1211" s="9"/>
      <c r="N1211" s="9"/>
      <c r="O1211" s="9" t="s">
        <v>215</v>
      </c>
      <c r="P1211" s="9" t="s">
        <v>78</v>
      </c>
      <c r="Q1211" s="9"/>
      <c r="R1211" s="10"/>
      <c r="S1211" s="10"/>
      <c r="T1211" s="10"/>
      <c r="U1211" s="9" t="s">
        <v>706</v>
      </c>
      <c r="V1211" t="s">
        <v>981</v>
      </c>
      <c r="W1211" t="s">
        <v>178</v>
      </c>
      <c r="X1211" t="s">
        <v>39</v>
      </c>
      <c r="Y1211" t="s">
        <v>1028</v>
      </c>
      <c r="Z1211" t="s">
        <v>113</v>
      </c>
      <c r="AB1211" t="str">
        <f t="shared" si="54"/>
        <v>09820</v>
      </c>
    </row>
    <row r="1212" ht="14.25" spans="1:28">
      <c r="A1212" s="5" t="s">
        <v>28</v>
      </c>
      <c r="B1212" s="5" t="s">
        <v>697</v>
      </c>
      <c r="C1212" s="5">
        <v>2027</v>
      </c>
      <c r="D1212" s="5" t="s">
        <v>30</v>
      </c>
      <c r="E1212" s="9" t="s">
        <v>1025</v>
      </c>
      <c r="F1212" s="9" t="s">
        <v>1026</v>
      </c>
      <c r="G1212" s="9" t="s">
        <v>780</v>
      </c>
      <c r="H1212" s="9" t="s">
        <v>1027</v>
      </c>
      <c r="I1212" s="9" t="s">
        <v>147</v>
      </c>
      <c r="J1212" s="9" t="s">
        <v>36</v>
      </c>
      <c r="K1212" s="9">
        <v>790</v>
      </c>
      <c r="L1212" s="9"/>
      <c r="M1212" s="9"/>
      <c r="N1212" s="9"/>
      <c r="O1212" s="9" t="s">
        <v>215</v>
      </c>
      <c r="P1212" s="9" t="s">
        <v>218</v>
      </c>
      <c r="Q1212" s="9"/>
      <c r="R1212" s="10"/>
      <c r="S1212" s="10"/>
      <c r="T1212" s="10"/>
      <c r="U1212" s="9" t="s">
        <v>706</v>
      </c>
      <c r="V1212" t="s">
        <v>981</v>
      </c>
      <c r="W1212" t="s">
        <v>178</v>
      </c>
      <c r="X1212" t="s">
        <v>39</v>
      </c>
      <c r="Y1212" t="s">
        <v>1028</v>
      </c>
      <c r="Z1212" t="s">
        <v>113</v>
      </c>
      <c r="AB1212" t="str">
        <f t="shared" si="54"/>
        <v>09820</v>
      </c>
    </row>
    <row r="1213" ht="14.25" spans="1:28">
      <c r="A1213" s="5" t="s">
        <v>28</v>
      </c>
      <c r="B1213" s="5" t="s">
        <v>697</v>
      </c>
      <c r="C1213" s="5">
        <v>2027</v>
      </c>
      <c r="D1213" s="5" t="s">
        <v>30</v>
      </c>
      <c r="E1213" s="9" t="s">
        <v>1025</v>
      </c>
      <c r="F1213" s="9" t="s">
        <v>1026</v>
      </c>
      <c r="G1213" s="9" t="s">
        <v>780</v>
      </c>
      <c r="H1213" s="9" t="s">
        <v>1027</v>
      </c>
      <c r="I1213" s="9" t="s">
        <v>147</v>
      </c>
      <c r="J1213" s="9" t="s">
        <v>36</v>
      </c>
      <c r="K1213" s="9">
        <v>790</v>
      </c>
      <c r="L1213" s="9"/>
      <c r="M1213" s="9"/>
      <c r="N1213" s="9"/>
      <c r="O1213" s="9" t="s">
        <v>215</v>
      </c>
      <c r="P1213" s="9" t="s">
        <v>79</v>
      </c>
      <c r="Q1213" s="9"/>
      <c r="R1213" s="10"/>
      <c r="S1213" s="10"/>
      <c r="T1213" s="10"/>
      <c r="U1213" s="9" t="s">
        <v>706</v>
      </c>
      <c r="V1213" t="s">
        <v>981</v>
      </c>
      <c r="W1213" t="s">
        <v>178</v>
      </c>
      <c r="X1213" t="s">
        <v>39</v>
      </c>
      <c r="Y1213" t="s">
        <v>1028</v>
      </c>
      <c r="Z1213" t="s">
        <v>113</v>
      </c>
      <c r="AB1213" t="str">
        <f t="shared" si="54"/>
        <v>09820</v>
      </c>
    </row>
    <row r="1214" ht="14.25" spans="1:28">
      <c r="A1214" s="5" t="s">
        <v>28</v>
      </c>
      <c r="B1214" s="5" t="s">
        <v>697</v>
      </c>
      <c r="C1214" s="5">
        <v>2027</v>
      </c>
      <c r="D1214" s="5" t="s">
        <v>30</v>
      </c>
      <c r="E1214" s="9" t="s">
        <v>1025</v>
      </c>
      <c r="F1214" s="9" t="s">
        <v>1026</v>
      </c>
      <c r="G1214" s="9" t="s">
        <v>780</v>
      </c>
      <c r="H1214" s="9" t="s">
        <v>1027</v>
      </c>
      <c r="I1214" s="9" t="s">
        <v>147</v>
      </c>
      <c r="J1214" s="9" t="s">
        <v>36</v>
      </c>
      <c r="K1214" s="9">
        <v>790</v>
      </c>
      <c r="L1214" s="9"/>
      <c r="M1214" s="9"/>
      <c r="N1214" s="9"/>
      <c r="O1214" s="9" t="s">
        <v>215</v>
      </c>
      <c r="P1214" s="9" t="s">
        <v>203</v>
      </c>
      <c r="Q1214" s="9"/>
      <c r="R1214" s="10"/>
      <c r="S1214" s="10"/>
      <c r="T1214" s="10"/>
      <c r="U1214" s="9" t="s">
        <v>706</v>
      </c>
      <c r="V1214" t="s">
        <v>981</v>
      </c>
      <c r="W1214" t="s">
        <v>178</v>
      </c>
      <c r="X1214" t="s">
        <v>39</v>
      </c>
      <c r="Y1214" t="s">
        <v>1028</v>
      </c>
      <c r="Z1214" t="s">
        <v>113</v>
      </c>
      <c r="AB1214" t="str">
        <f t="shared" si="54"/>
        <v>09820</v>
      </c>
    </row>
    <row r="1215" ht="14.25" spans="1:28">
      <c r="A1215" s="5" t="s">
        <v>28</v>
      </c>
      <c r="B1215" s="5" t="s">
        <v>697</v>
      </c>
      <c r="C1215" s="5">
        <v>2027</v>
      </c>
      <c r="D1215" s="5" t="s">
        <v>30</v>
      </c>
      <c r="E1215" s="9" t="s">
        <v>1025</v>
      </c>
      <c r="F1215" s="9" t="s">
        <v>1026</v>
      </c>
      <c r="G1215" s="9" t="s">
        <v>780</v>
      </c>
      <c r="H1215" s="9" t="s">
        <v>1027</v>
      </c>
      <c r="I1215" s="9" t="s">
        <v>147</v>
      </c>
      <c r="J1215" s="9" t="s">
        <v>36</v>
      </c>
      <c r="K1215" s="9">
        <v>790</v>
      </c>
      <c r="L1215" s="9"/>
      <c r="M1215" s="9"/>
      <c r="N1215" s="9"/>
      <c r="O1215" s="9" t="s">
        <v>215</v>
      </c>
      <c r="P1215" s="9" t="s">
        <v>204</v>
      </c>
      <c r="Q1215" s="9"/>
      <c r="R1215" s="10"/>
      <c r="S1215" s="10"/>
      <c r="T1215" s="10"/>
      <c r="U1215" s="9" t="s">
        <v>706</v>
      </c>
      <c r="V1215" t="s">
        <v>981</v>
      </c>
      <c r="W1215" t="s">
        <v>178</v>
      </c>
      <c r="X1215" t="s">
        <v>39</v>
      </c>
      <c r="Y1215" t="s">
        <v>1028</v>
      </c>
      <c r="Z1215" t="s">
        <v>113</v>
      </c>
      <c r="AB1215" t="str">
        <f t="shared" si="54"/>
        <v>09820</v>
      </c>
    </row>
    <row r="1216" ht="14.25" spans="1:28">
      <c r="A1216" s="5" t="s">
        <v>28</v>
      </c>
      <c r="B1216" s="5" t="s">
        <v>697</v>
      </c>
      <c r="C1216" s="5">
        <v>2027</v>
      </c>
      <c r="D1216" s="5" t="s">
        <v>30</v>
      </c>
      <c r="E1216" s="9" t="s">
        <v>1029</v>
      </c>
      <c r="F1216" s="9" t="s">
        <v>1026</v>
      </c>
      <c r="G1216" s="9" t="s">
        <v>1030</v>
      </c>
      <c r="H1216" s="9" t="s">
        <v>1031</v>
      </c>
      <c r="I1216" s="9" t="s">
        <v>147</v>
      </c>
      <c r="J1216" s="9" t="s">
        <v>36</v>
      </c>
      <c r="K1216" s="9">
        <v>790</v>
      </c>
      <c r="L1216" s="9"/>
      <c r="M1216" s="9"/>
      <c r="N1216" s="9"/>
      <c r="O1216" s="9" t="s">
        <v>215</v>
      </c>
      <c r="P1216" s="9" t="s">
        <v>77</v>
      </c>
      <c r="Q1216" s="9"/>
      <c r="R1216" s="10">
        <f t="shared" si="55"/>
        <v>0</v>
      </c>
      <c r="S1216" s="10">
        <f>SUMIFS([1]Sheet1!$T:$T,[1]Sheet1!$I:$I,E1216,[1]Sheet1!$C:$C,A1216)</f>
        <v>0</v>
      </c>
      <c r="T1216" s="10">
        <f t="shared" si="56"/>
        <v>0</v>
      </c>
      <c r="U1216" s="9" t="s">
        <v>706</v>
      </c>
      <c r="V1216" t="s">
        <v>981</v>
      </c>
      <c r="W1216" t="s">
        <v>178</v>
      </c>
      <c r="Y1216" t="s">
        <v>1028</v>
      </c>
      <c r="Z1216" t="s">
        <v>113</v>
      </c>
      <c r="AB1216" t="str">
        <f t="shared" si="54"/>
        <v>09820</v>
      </c>
    </row>
    <row r="1217" ht="14.25" spans="1:28">
      <c r="A1217" s="5" t="s">
        <v>28</v>
      </c>
      <c r="B1217" s="5" t="s">
        <v>697</v>
      </c>
      <c r="C1217" s="5">
        <v>2027</v>
      </c>
      <c r="D1217" s="5" t="s">
        <v>30</v>
      </c>
      <c r="E1217" s="9" t="s">
        <v>1029</v>
      </c>
      <c r="F1217" s="9" t="s">
        <v>1026</v>
      </c>
      <c r="G1217" s="9" t="s">
        <v>1030</v>
      </c>
      <c r="H1217" s="9" t="s">
        <v>1031</v>
      </c>
      <c r="I1217" s="9" t="s">
        <v>147</v>
      </c>
      <c r="J1217" s="9" t="s">
        <v>36</v>
      </c>
      <c r="K1217" s="9">
        <v>790</v>
      </c>
      <c r="L1217" s="9"/>
      <c r="M1217" s="9"/>
      <c r="N1217" s="9"/>
      <c r="O1217" s="9" t="s">
        <v>215</v>
      </c>
      <c r="P1217" s="9" t="s">
        <v>217</v>
      </c>
      <c r="Q1217" s="9"/>
      <c r="R1217" s="10"/>
      <c r="S1217" s="10"/>
      <c r="T1217" s="10"/>
      <c r="U1217" s="9" t="s">
        <v>706</v>
      </c>
      <c r="V1217" t="s">
        <v>981</v>
      </c>
      <c r="W1217" t="s">
        <v>178</v>
      </c>
      <c r="Y1217" t="s">
        <v>1028</v>
      </c>
      <c r="Z1217" t="s">
        <v>113</v>
      </c>
      <c r="AB1217" t="str">
        <f t="shared" si="54"/>
        <v>09820</v>
      </c>
    </row>
    <row r="1218" ht="14.25" spans="1:28">
      <c r="A1218" s="5" t="s">
        <v>28</v>
      </c>
      <c r="B1218" s="5" t="s">
        <v>697</v>
      </c>
      <c r="C1218" s="5">
        <v>2027</v>
      </c>
      <c r="D1218" s="5" t="s">
        <v>30</v>
      </c>
      <c r="E1218" s="9" t="s">
        <v>1029</v>
      </c>
      <c r="F1218" s="9" t="s">
        <v>1026</v>
      </c>
      <c r="G1218" s="9" t="s">
        <v>1030</v>
      </c>
      <c r="H1218" s="9" t="s">
        <v>1031</v>
      </c>
      <c r="I1218" s="9" t="s">
        <v>147</v>
      </c>
      <c r="J1218" s="9" t="s">
        <v>36</v>
      </c>
      <c r="K1218" s="9">
        <v>790</v>
      </c>
      <c r="L1218" s="9"/>
      <c r="M1218" s="9"/>
      <c r="N1218" s="9"/>
      <c r="O1218" s="9" t="s">
        <v>215</v>
      </c>
      <c r="P1218" s="9" t="s">
        <v>78</v>
      </c>
      <c r="Q1218" s="9"/>
      <c r="R1218" s="10"/>
      <c r="S1218" s="10"/>
      <c r="T1218" s="10"/>
      <c r="U1218" s="9" t="s">
        <v>706</v>
      </c>
      <c r="V1218" t="s">
        <v>981</v>
      </c>
      <c r="W1218" t="s">
        <v>178</v>
      </c>
      <c r="Y1218" t="s">
        <v>1028</v>
      </c>
      <c r="Z1218" t="s">
        <v>113</v>
      </c>
      <c r="AB1218" t="str">
        <f t="shared" si="54"/>
        <v>09820</v>
      </c>
    </row>
    <row r="1219" ht="14.25" spans="1:28">
      <c r="A1219" s="5" t="s">
        <v>28</v>
      </c>
      <c r="B1219" s="5" t="s">
        <v>697</v>
      </c>
      <c r="C1219" s="5">
        <v>2027</v>
      </c>
      <c r="D1219" s="5" t="s">
        <v>30</v>
      </c>
      <c r="E1219" s="9" t="s">
        <v>1029</v>
      </c>
      <c r="F1219" s="9" t="s">
        <v>1026</v>
      </c>
      <c r="G1219" s="9" t="s">
        <v>1030</v>
      </c>
      <c r="H1219" s="9" t="s">
        <v>1031</v>
      </c>
      <c r="I1219" s="9" t="s">
        <v>147</v>
      </c>
      <c r="J1219" s="9" t="s">
        <v>36</v>
      </c>
      <c r="K1219" s="9">
        <v>790</v>
      </c>
      <c r="L1219" s="9"/>
      <c r="M1219" s="9"/>
      <c r="N1219" s="9"/>
      <c r="O1219" s="9" t="s">
        <v>215</v>
      </c>
      <c r="P1219" s="9" t="s">
        <v>218</v>
      </c>
      <c r="Q1219" s="9"/>
      <c r="R1219" s="10"/>
      <c r="S1219" s="10"/>
      <c r="T1219" s="10"/>
      <c r="U1219" s="9" t="s">
        <v>706</v>
      </c>
      <c r="V1219" t="s">
        <v>981</v>
      </c>
      <c r="W1219" t="s">
        <v>178</v>
      </c>
      <c r="Y1219" t="s">
        <v>1028</v>
      </c>
      <c r="Z1219" t="s">
        <v>113</v>
      </c>
      <c r="AB1219" t="str">
        <f t="shared" ref="AB1219:AB1282" si="57">MID(E1219,6,5)</f>
        <v>09820</v>
      </c>
    </row>
    <row r="1220" ht="14.25" spans="1:28">
      <c r="A1220" s="5" t="s">
        <v>28</v>
      </c>
      <c r="B1220" s="5" t="s">
        <v>697</v>
      </c>
      <c r="C1220" s="5">
        <v>2027</v>
      </c>
      <c r="D1220" s="5" t="s">
        <v>30</v>
      </c>
      <c r="E1220" s="9" t="s">
        <v>1029</v>
      </c>
      <c r="F1220" s="9" t="s">
        <v>1026</v>
      </c>
      <c r="G1220" s="9" t="s">
        <v>1030</v>
      </c>
      <c r="H1220" s="9" t="s">
        <v>1031</v>
      </c>
      <c r="I1220" s="9" t="s">
        <v>147</v>
      </c>
      <c r="J1220" s="9" t="s">
        <v>36</v>
      </c>
      <c r="K1220" s="9">
        <v>790</v>
      </c>
      <c r="L1220" s="9"/>
      <c r="M1220" s="9"/>
      <c r="N1220" s="9"/>
      <c r="O1220" s="9" t="s">
        <v>215</v>
      </c>
      <c r="P1220" s="9" t="s">
        <v>79</v>
      </c>
      <c r="Q1220" s="9"/>
      <c r="R1220" s="10"/>
      <c r="S1220" s="10"/>
      <c r="T1220" s="10"/>
      <c r="U1220" s="9" t="s">
        <v>706</v>
      </c>
      <c r="V1220" t="s">
        <v>981</v>
      </c>
      <c r="W1220" t="s">
        <v>178</v>
      </c>
      <c r="Y1220" t="s">
        <v>1028</v>
      </c>
      <c r="Z1220" t="s">
        <v>113</v>
      </c>
      <c r="AB1220" t="str">
        <f t="shared" si="57"/>
        <v>09820</v>
      </c>
    </row>
    <row r="1221" ht="14.25" spans="1:28">
      <c r="A1221" s="5" t="s">
        <v>28</v>
      </c>
      <c r="B1221" s="5" t="s">
        <v>697</v>
      </c>
      <c r="C1221" s="5">
        <v>2027</v>
      </c>
      <c r="D1221" s="5" t="s">
        <v>30</v>
      </c>
      <c r="E1221" s="9" t="s">
        <v>1029</v>
      </c>
      <c r="F1221" s="9" t="s">
        <v>1026</v>
      </c>
      <c r="G1221" s="9" t="s">
        <v>1030</v>
      </c>
      <c r="H1221" s="9" t="s">
        <v>1031</v>
      </c>
      <c r="I1221" s="9" t="s">
        <v>147</v>
      </c>
      <c r="J1221" s="9" t="s">
        <v>36</v>
      </c>
      <c r="K1221" s="9">
        <v>790</v>
      </c>
      <c r="L1221" s="9"/>
      <c r="M1221" s="9"/>
      <c r="N1221" s="9"/>
      <c r="O1221" s="9" t="s">
        <v>215</v>
      </c>
      <c r="P1221" s="9" t="s">
        <v>203</v>
      </c>
      <c r="Q1221" s="9"/>
      <c r="R1221" s="10"/>
      <c r="S1221" s="10"/>
      <c r="T1221" s="10"/>
      <c r="U1221" s="9" t="s">
        <v>706</v>
      </c>
      <c r="V1221" t="s">
        <v>981</v>
      </c>
      <c r="W1221" t="s">
        <v>178</v>
      </c>
      <c r="Y1221" t="s">
        <v>1028</v>
      </c>
      <c r="Z1221" t="s">
        <v>113</v>
      </c>
      <c r="AB1221" t="str">
        <f t="shared" si="57"/>
        <v>09820</v>
      </c>
    </row>
    <row r="1222" ht="14.25" spans="1:28">
      <c r="A1222" s="5" t="s">
        <v>28</v>
      </c>
      <c r="B1222" s="5" t="s">
        <v>697</v>
      </c>
      <c r="C1222" s="5">
        <v>2027</v>
      </c>
      <c r="D1222" s="5" t="s">
        <v>30</v>
      </c>
      <c r="E1222" s="9" t="s">
        <v>1029</v>
      </c>
      <c r="F1222" s="9" t="s">
        <v>1026</v>
      </c>
      <c r="G1222" s="9" t="s">
        <v>1030</v>
      </c>
      <c r="H1222" s="9" t="s">
        <v>1031</v>
      </c>
      <c r="I1222" s="9" t="s">
        <v>147</v>
      </c>
      <c r="J1222" s="9" t="s">
        <v>36</v>
      </c>
      <c r="K1222" s="9">
        <v>790</v>
      </c>
      <c r="L1222" s="9"/>
      <c r="M1222" s="9"/>
      <c r="N1222" s="9"/>
      <c r="O1222" s="9" t="s">
        <v>215</v>
      </c>
      <c r="P1222" s="9" t="s">
        <v>204</v>
      </c>
      <c r="Q1222" s="9"/>
      <c r="R1222" s="10"/>
      <c r="S1222" s="10"/>
      <c r="T1222" s="10"/>
      <c r="U1222" s="9" t="s">
        <v>706</v>
      </c>
      <c r="V1222" t="s">
        <v>981</v>
      </c>
      <c r="W1222" t="s">
        <v>178</v>
      </c>
      <c r="Y1222" t="s">
        <v>1028</v>
      </c>
      <c r="Z1222" t="s">
        <v>113</v>
      </c>
      <c r="AB1222" t="str">
        <f t="shared" si="57"/>
        <v>09820</v>
      </c>
    </row>
    <row r="1223" ht="14.25" spans="1:28">
      <c r="A1223" s="5" t="s">
        <v>28</v>
      </c>
      <c r="B1223" s="5" t="s">
        <v>697</v>
      </c>
      <c r="C1223" s="5">
        <v>2027</v>
      </c>
      <c r="D1223" s="5" t="s">
        <v>30</v>
      </c>
      <c r="E1223" s="9" t="s">
        <v>1032</v>
      </c>
      <c r="F1223" s="9" t="s">
        <v>1033</v>
      </c>
      <c r="G1223" s="9" t="s">
        <v>780</v>
      </c>
      <c r="H1223" s="9" t="s">
        <v>1034</v>
      </c>
      <c r="I1223" s="9" t="s">
        <v>119</v>
      </c>
      <c r="J1223" s="9" t="s">
        <v>36</v>
      </c>
      <c r="K1223" s="9">
        <v>890</v>
      </c>
      <c r="L1223" s="9"/>
      <c r="M1223" s="9"/>
      <c r="N1223" s="9"/>
      <c r="O1223" s="9" t="s">
        <v>215</v>
      </c>
      <c r="P1223" s="9" t="s">
        <v>77</v>
      </c>
      <c r="Q1223" s="9"/>
      <c r="R1223" s="10">
        <f t="shared" ref="R1218:R1281" si="58">SUMIFS(Q:Q,E:E,E1223)</f>
        <v>0</v>
      </c>
      <c r="S1223" s="10">
        <f>SUMIFS([1]Sheet1!$T:$T,[1]Sheet1!$I:$I,E1223,[1]Sheet1!$C:$C,A1223)</f>
        <v>0</v>
      </c>
      <c r="T1223" s="10">
        <f t="shared" ref="T1218:T1281" si="59">R1223-S1223</f>
        <v>0</v>
      </c>
      <c r="U1223" s="9"/>
      <c r="X1223" t="s">
        <v>39</v>
      </c>
      <c r="Y1223" t="s">
        <v>1028</v>
      </c>
      <c r="Z1223" t="s">
        <v>113</v>
      </c>
      <c r="AB1223" t="str">
        <f t="shared" si="57"/>
        <v>09853</v>
      </c>
    </row>
    <row r="1224" ht="14.25" spans="1:28">
      <c r="A1224" s="5" t="s">
        <v>28</v>
      </c>
      <c r="B1224" s="5" t="s">
        <v>697</v>
      </c>
      <c r="C1224" s="5">
        <v>2027</v>
      </c>
      <c r="D1224" s="5" t="s">
        <v>30</v>
      </c>
      <c r="E1224" s="9" t="s">
        <v>1032</v>
      </c>
      <c r="F1224" s="9" t="s">
        <v>1033</v>
      </c>
      <c r="G1224" s="9" t="s">
        <v>780</v>
      </c>
      <c r="H1224" s="9" t="s">
        <v>1034</v>
      </c>
      <c r="I1224" s="9" t="s">
        <v>119</v>
      </c>
      <c r="J1224" s="9" t="s">
        <v>36</v>
      </c>
      <c r="K1224" s="9">
        <v>890</v>
      </c>
      <c r="L1224" s="9"/>
      <c r="M1224" s="9"/>
      <c r="N1224" s="9"/>
      <c r="O1224" s="9" t="s">
        <v>215</v>
      </c>
      <c r="P1224" s="9" t="s">
        <v>217</v>
      </c>
      <c r="Q1224" s="9"/>
      <c r="R1224" s="10"/>
      <c r="S1224" s="10"/>
      <c r="T1224" s="10"/>
      <c r="U1224" s="9"/>
      <c r="X1224" t="s">
        <v>39</v>
      </c>
      <c r="Y1224" t="s">
        <v>1028</v>
      </c>
      <c r="Z1224" t="s">
        <v>113</v>
      </c>
      <c r="AB1224" t="str">
        <f t="shared" si="57"/>
        <v>09853</v>
      </c>
    </row>
    <row r="1225" ht="14.25" spans="1:28">
      <c r="A1225" s="5" t="s">
        <v>28</v>
      </c>
      <c r="B1225" s="5" t="s">
        <v>697</v>
      </c>
      <c r="C1225" s="5">
        <v>2027</v>
      </c>
      <c r="D1225" s="5" t="s">
        <v>30</v>
      </c>
      <c r="E1225" s="9" t="s">
        <v>1032</v>
      </c>
      <c r="F1225" s="9" t="s">
        <v>1033</v>
      </c>
      <c r="G1225" s="9" t="s">
        <v>780</v>
      </c>
      <c r="H1225" s="9" t="s">
        <v>1034</v>
      </c>
      <c r="I1225" s="9" t="s">
        <v>119</v>
      </c>
      <c r="J1225" s="9" t="s">
        <v>36</v>
      </c>
      <c r="K1225" s="9">
        <v>890</v>
      </c>
      <c r="L1225" s="9"/>
      <c r="M1225" s="9"/>
      <c r="N1225" s="9"/>
      <c r="O1225" s="9" t="s">
        <v>215</v>
      </c>
      <c r="P1225" s="9" t="s">
        <v>78</v>
      </c>
      <c r="Q1225" s="9"/>
      <c r="R1225" s="10"/>
      <c r="S1225" s="10"/>
      <c r="T1225" s="10"/>
      <c r="U1225" s="9"/>
      <c r="X1225" t="s">
        <v>39</v>
      </c>
      <c r="Y1225" t="s">
        <v>1028</v>
      </c>
      <c r="Z1225" t="s">
        <v>113</v>
      </c>
      <c r="AB1225" t="str">
        <f t="shared" si="57"/>
        <v>09853</v>
      </c>
    </row>
    <row r="1226" ht="14.25" spans="1:28">
      <c r="A1226" s="5" t="s">
        <v>28</v>
      </c>
      <c r="B1226" s="5" t="s">
        <v>697</v>
      </c>
      <c r="C1226" s="5">
        <v>2027</v>
      </c>
      <c r="D1226" s="5" t="s">
        <v>30</v>
      </c>
      <c r="E1226" s="9" t="s">
        <v>1032</v>
      </c>
      <c r="F1226" s="9" t="s">
        <v>1033</v>
      </c>
      <c r="G1226" s="9" t="s">
        <v>780</v>
      </c>
      <c r="H1226" s="9" t="s">
        <v>1034</v>
      </c>
      <c r="I1226" s="9" t="s">
        <v>119</v>
      </c>
      <c r="J1226" s="9" t="s">
        <v>36</v>
      </c>
      <c r="K1226" s="9">
        <v>890</v>
      </c>
      <c r="L1226" s="9"/>
      <c r="M1226" s="9"/>
      <c r="N1226" s="9"/>
      <c r="O1226" s="9" t="s">
        <v>215</v>
      </c>
      <c r="P1226" s="9" t="s">
        <v>218</v>
      </c>
      <c r="Q1226" s="9"/>
      <c r="R1226" s="10"/>
      <c r="S1226" s="10"/>
      <c r="T1226" s="10"/>
      <c r="U1226" s="9"/>
      <c r="X1226" t="s">
        <v>39</v>
      </c>
      <c r="Y1226" t="s">
        <v>1028</v>
      </c>
      <c r="Z1226" t="s">
        <v>113</v>
      </c>
      <c r="AB1226" t="str">
        <f t="shared" si="57"/>
        <v>09853</v>
      </c>
    </row>
    <row r="1227" ht="14.25" spans="1:28">
      <c r="A1227" s="5" t="s">
        <v>28</v>
      </c>
      <c r="B1227" s="5" t="s">
        <v>697</v>
      </c>
      <c r="C1227" s="5">
        <v>2027</v>
      </c>
      <c r="D1227" s="5" t="s">
        <v>30</v>
      </c>
      <c r="E1227" s="9" t="s">
        <v>1032</v>
      </c>
      <c r="F1227" s="9" t="s">
        <v>1033</v>
      </c>
      <c r="G1227" s="9" t="s">
        <v>780</v>
      </c>
      <c r="H1227" s="9" t="s">
        <v>1034</v>
      </c>
      <c r="I1227" s="9" t="s">
        <v>119</v>
      </c>
      <c r="J1227" s="9" t="s">
        <v>36</v>
      </c>
      <c r="K1227" s="9">
        <v>890</v>
      </c>
      <c r="L1227" s="9"/>
      <c r="M1227" s="9"/>
      <c r="N1227" s="9"/>
      <c r="O1227" s="9" t="s">
        <v>215</v>
      </c>
      <c r="P1227" s="9" t="s">
        <v>79</v>
      </c>
      <c r="Q1227" s="9"/>
      <c r="R1227" s="10"/>
      <c r="S1227" s="10"/>
      <c r="T1227" s="10"/>
      <c r="U1227" s="9"/>
      <c r="X1227" t="s">
        <v>39</v>
      </c>
      <c r="Y1227" t="s">
        <v>1028</v>
      </c>
      <c r="Z1227" t="s">
        <v>113</v>
      </c>
      <c r="AB1227" t="str">
        <f t="shared" si="57"/>
        <v>09853</v>
      </c>
    </row>
    <row r="1228" ht="14.25" spans="1:28">
      <c r="A1228" s="5" t="s">
        <v>28</v>
      </c>
      <c r="B1228" s="5" t="s">
        <v>697</v>
      </c>
      <c r="C1228" s="5">
        <v>2027</v>
      </c>
      <c r="D1228" s="5" t="s">
        <v>30</v>
      </c>
      <c r="E1228" s="9" t="s">
        <v>1032</v>
      </c>
      <c r="F1228" s="9" t="s">
        <v>1033</v>
      </c>
      <c r="G1228" s="9" t="s">
        <v>780</v>
      </c>
      <c r="H1228" s="9" t="s">
        <v>1034</v>
      </c>
      <c r="I1228" s="9" t="s">
        <v>119</v>
      </c>
      <c r="J1228" s="9" t="s">
        <v>36</v>
      </c>
      <c r="K1228" s="9">
        <v>890</v>
      </c>
      <c r="L1228" s="9"/>
      <c r="M1228" s="9"/>
      <c r="N1228" s="9"/>
      <c r="O1228" s="9" t="s">
        <v>215</v>
      </c>
      <c r="P1228" s="9" t="s">
        <v>203</v>
      </c>
      <c r="Q1228" s="9"/>
      <c r="R1228" s="10"/>
      <c r="S1228" s="10"/>
      <c r="T1228" s="10"/>
      <c r="U1228" s="9"/>
      <c r="X1228" t="s">
        <v>39</v>
      </c>
      <c r="Y1228" t="s">
        <v>1028</v>
      </c>
      <c r="Z1228" t="s">
        <v>113</v>
      </c>
      <c r="AB1228" t="str">
        <f t="shared" si="57"/>
        <v>09853</v>
      </c>
    </row>
    <row r="1229" ht="14.25" spans="1:28">
      <c r="A1229" s="5" t="s">
        <v>28</v>
      </c>
      <c r="B1229" s="5" t="s">
        <v>697</v>
      </c>
      <c r="C1229" s="5">
        <v>2027</v>
      </c>
      <c r="D1229" s="5" t="s">
        <v>30</v>
      </c>
      <c r="E1229" s="9" t="s">
        <v>1032</v>
      </c>
      <c r="F1229" s="9" t="s">
        <v>1033</v>
      </c>
      <c r="G1229" s="9" t="s">
        <v>780</v>
      </c>
      <c r="H1229" s="9" t="s">
        <v>1034</v>
      </c>
      <c r="I1229" s="9" t="s">
        <v>119</v>
      </c>
      <c r="J1229" s="9" t="s">
        <v>36</v>
      </c>
      <c r="K1229" s="9">
        <v>890</v>
      </c>
      <c r="L1229" s="9"/>
      <c r="M1229" s="9"/>
      <c r="N1229" s="9"/>
      <c r="O1229" s="9" t="s">
        <v>215</v>
      </c>
      <c r="P1229" s="9" t="s">
        <v>204</v>
      </c>
      <c r="Q1229" s="9"/>
      <c r="R1229" s="10"/>
      <c r="S1229" s="10"/>
      <c r="T1229" s="10"/>
      <c r="U1229" s="9"/>
      <c r="X1229" t="s">
        <v>39</v>
      </c>
      <c r="Y1229" t="s">
        <v>1028</v>
      </c>
      <c r="Z1229" t="s">
        <v>113</v>
      </c>
      <c r="AB1229" t="str">
        <f t="shared" si="57"/>
        <v>09853</v>
      </c>
    </row>
    <row r="1230" ht="14.25" spans="1:28">
      <c r="A1230" s="5" t="s">
        <v>28</v>
      </c>
      <c r="B1230" s="5" t="s">
        <v>697</v>
      </c>
      <c r="C1230" s="5">
        <v>2027</v>
      </c>
      <c r="D1230" s="5" t="s">
        <v>30</v>
      </c>
      <c r="E1230" s="9" t="s">
        <v>211</v>
      </c>
      <c r="F1230" s="9" t="s">
        <v>212</v>
      </c>
      <c r="G1230" s="9" t="s">
        <v>213</v>
      </c>
      <c r="H1230" s="9" t="s">
        <v>214</v>
      </c>
      <c r="I1230" s="9" t="s">
        <v>147</v>
      </c>
      <c r="J1230" s="9" t="s">
        <v>36</v>
      </c>
      <c r="K1230" s="9">
        <v>990</v>
      </c>
      <c r="L1230" s="9"/>
      <c r="M1230" s="9"/>
      <c r="N1230" s="9"/>
      <c r="O1230" s="9" t="s">
        <v>215</v>
      </c>
      <c r="P1230" s="9" t="s">
        <v>77</v>
      </c>
      <c r="Q1230" s="9"/>
      <c r="R1230" s="10">
        <f t="shared" si="58"/>
        <v>0</v>
      </c>
      <c r="S1230" s="10">
        <f>SUMIFS([1]Sheet1!$T:$T,[1]Sheet1!$I:$I,E1230,[1]Sheet1!$C:$C,A1230)</f>
        <v>0</v>
      </c>
      <c r="T1230" s="10">
        <f t="shared" si="59"/>
        <v>0</v>
      </c>
      <c r="U1230" s="9"/>
      <c r="Y1230" t="s">
        <v>216</v>
      </c>
      <c r="Z1230" t="s">
        <v>113</v>
      </c>
      <c r="AB1230" t="str">
        <f t="shared" si="57"/>
        <v>09896</v>
      </c>
    </row>
    <row r="1231" ht="14.25" spans="1:28">
      <c r="A1231" s="5" t="s">
        <v>28</v>
      </c>
      <c r="B1231" s="5" t="s">
        <v>697</v>
      </c>
      <c r="C1231" s="5">
        <v>2027</v>
      </c>
      <c r="D1231" s="5" t="s">
        <v>30</v>
      </c>
      <c r="E1231" s="9" t="s">
        <v>211</v>
      </c>
      <c r="F1231" s="9" t="s">
        <v>212</v>
      </c>
      <c r="G1231" s="9" t="s">
        <v>213</v>
      </c>
      <c r="H1231" s="9" t="s">
        <v>214</v>
      </c>
      <c r="I1231" s="9" t="s">
        <v>147</v>
      </c>
      <c r="J1231" s="9" t="s">
        <v>36</v>
      </c>
      <c r="K1231" s="9">
        <v>990</v>
      </c>
      <c r="L1231" s="9"/>
      <c r="M1231" s="9"/>
      <c r="N1231" s="9"/>
      <c r="O1231" s="9" t="s">
        <v>215</v>
      </c>
      <c r="P1231" s="9" t="s">
        <v>217</v>
      </c>
      <c r="Q1231" s="9"/>
      <c r="R1231" s="10"/>
      <c r="S1231" s="10"/>
      <c r="T1231" s="10"/>
      <c r="U1231" s="9"/>
      <c r="Y1231" t="s">
        <v>216</v>
      </c>
      <c r="Z1231" t="s">
        <v>113</v>
      </c>
      <c r="AB1231" t="str">
        <f t="shared" si="57"/>
        <v>09896</v>
      </c>
    </row>
    <row r="1232" ht="14.25" spans="1:28">
      <c r="A1232" s="5" t="s">
        <v>28</v>
      </c>
      <c r="B1232" s="5" t="s">
        <v>697</v>
      </c>
      <c r="C1232" s="5">
        <v>2027</v>
      </c>
      <c r="D1232" s="5" t="s">
        <v>30</v>
      </c>
      <c r="E1232" s="9" t="s">
        <v>211</v>
      </c>
      <c r="F1232" s="9" t="s">
        <v>212</v>
      </c>
      <c r="G1232" s="9" t="s">
        <v>213</v>
      </c>
      <c r="H1232" s="9" t="s">
        <v>214</v>
      </c>
      <c r="I1232" s="9" t="s">
        <v>147</v>
      </c>
      <c r="J1232" s="9" t="s">
        <v>36</v>
      </c>
      <c r="K1232" s="9">
        <v>990</v>
      </c>
      <c r="L1232" s="9"/>
      <c r="M1232" s="9"/>
      <c r="N1232" s="9"/>
      <c r="O1232" s="9" t="s">
        <v>215</v>
      </c>
      <c r="P1232" s="9" t="s">
        <v>78</v>
      </c>
      <c r="Q1232" s="9"/>
      <c r="R1232" s="10"/>
      <c r="S1232" s="10"/>
      <c r="T1232" s="10"/>
      <c r="U1232" s="9"/>
      <c r="Y1232" t="s">
        <v>216</v>
      </c>
      <c r="Z1232" t="s">
        <v>113</v>
      </c>
      <c r="AB1232" t="str">
        <f t="shared" si="57"/>
        <v>09896</v>
      </c>
    </row>
    <row r="1233" ht="14.25" spans="1:28">
      <c r="A1233" s="5" t="s">
        <v>28</v>
      </c>
      <c r="B1233" s="5" t="s">
        <v>697</v>
      </c>
      <c r="C1233" s="5">
        <v>2027</v>
      </c>
      <c r="D1233" s="5" t="s">
        <v>30</v>
      </c>
      <c r="E1233" s="9" t="s">
        <v>211</v>
      </c>
      <c r="F1233" s="9" t="s">
        <v>212</v>
      </c>
      <c r="G1233" s="9" t="s">
        <v>213</v>
      </c>
      <c r="H1233" s="9" t="s">
        <v>214</v>
      </c>
      <c r="I1233" s="9" t="s">
        <v>147</v>
      </c>
      <c r="J1233" s="9" t="s">
        <v>36</v>
      </c>
      <c r="K1233" s="9">
        <v>990</v>
      </c>
      <c r="L1233" s="9"/>
      <c r="M1233" s="9"/>
      <c r="N1233" s="9"/>
      <c r="O1233" s="9" t="s">
        <v>215</v>
      </c>
      <c r="P1233" s="9" t="s">
        <v>218</v>
      </c>
      <c r="Q1233" s="9"/>
      <c r="R1233" s="10"/>
      <c r="S1233" s="10"/>
      <c r="T1233" s="10"/>
      <c r="U1233" s="9"/>
      <c r="Y1233" t="s">
        <v>216</v>
      </c>
      <c r="Z1233" t="s">
        <v>113</v>
      </c>
      <c r="AB1233" t="str">
        <f t="shared" si="57"/>
        <v>09896</v>
      </c>
    </row>
    <row r="1234" ht="14.25" spans="1:28">
      <c r="A1234" s="5" t="s">
        <v>28</v>
      </c>
      <c r="B1234" s="5" t="s">
        <v>697</v>
      </c>
      <c r="C1234" s="5">
        <v>2027</v>
      </c>
      <c r="D1234" s="5" t="s">
        <v>30</v>
      </c>
      <c r="E1234" s="9" t="s">
        <v>211</v>
      </c>
      <c r="F1234" s="9" t="s">
        <v>212</v>
      </c>
      <c r="G1234" s="9" t="s">
        <v>213</v>
      </c>
      <c r="H1234" s="9" t="s">
        <v>214</v>
      </c>
      <c r="I1234" s="9" t="s">
        <v>147</v>
      </c>
      <c r="J1234" s="9" t="s">
        <v>36</v>
      </c>
      <c r="K1234" s="9">
        <v>990</v>
      </c>
      <c r="L1234" s="9"/>
      <c r="M1234" s="9"/>
      <c r="N1234" s="9"/>
      <c r="O1234" s="9" t="s">
        <v>215</v>
      </c>
      <c r="P1234" s="9" t="s">
        <v>79</v>
      </c>
      <c r="Q1234" s="9"/>
      <c r="R1234" s="10"/>
      <c r="S1234" s="10"/>
      <c r="T1234" s="10"/>
      <c r="U1234" s="9"/>
      <c r="Y1234" t="s">
        <v>216</v>
      </c>
      <c r="Z1234" t="s">
        <v>113</v>
      </c>
      <c r="AB1234" t="str">
        <f t="shared" si="57"/>
        <v>09896</v>
      </c>
    </row>
    <row r="1235" ht="14.25" spans="1:28">
      <c r="A1235" s="5" t="s">
        <v>28</v>
      </c>
      <c r="B1235" s="5" t="s">
        <v>697</v>
      </c>
      <c r="C1235" s="5">
        <v>2027</v>
      </c>
      <c r="D1235" s="5" t="s">
        <v>30</v>
      </c>
      <c r="E1235" s="9" t="s">
        <v>211</v>
      </c>
      <c r="F1235" s="9" t="s">
        <v>212</v>
      </c>
      <c r="G1235" s="9" t="s">
        <v>213</v>
      </c>
      <c r="H1235" s="9" t="s">
        <v>214</v>
      </c>
      <c r="I1235" s="9" t="s">
        <v>147</v>
      </c>
      <c r="J1235" s="9" t="s">
        <v>36</v>
      </c>
      <c r="K1235" s="9">
        <v>990</v>
      </c>
      <c r="L1235" s="9"/>
      <c r="M1235" s="9"/>
      <c r="N1235" s="9"/>
      <c r="O1235" s="9" t="s">
        <v>215</v>
      </c>
      <c r="P1235" s="9" t="s">
        <v>203</v>
      </c>
      <c r="Q1235" s="9"/>
      <c r="R1235" s="10"/>
      <c r="S1235" s="10"/>
      <c r="T1235" s="10"/>
      <c r="U1235" s="9"/>
      <c r="Y1235" t="s">
        <v>216</v>
      </c>
      <c r="Z1235" t="s">
        <v>113</v>
      </c>
      <c r="AB1235" t="str">
        <f t="shared" si="57"/>
        <v>09896</v>
      </c>
    </row>
    <row r="1236" ht="14.25" spans="1:28">
      <c r="A1236" s="5" t="s">
        <v>28</v>
      </c>
      <c r="B1236" s="5" t="s">
        <v>697</v>
      </c>
      <c r="C1236" s="5">
        <v>2027</v>
      </c>
      <c r="D1236" s="5" t="s">
        <v>30</v>
      </c>
      <c r="E1236" s="9" t="s">
        <v>211</v>
      </c>
      <c r="F1236" s="9" t="s">
        <v>212</v>
      </c>
      <c r="G1236" s="9" t="s">
        <v>213</v>
      </c>
      <c r="H1236" s="9" t="s">
        <v>214</v>
      </c>
      <c r="I1236" s="9" t="s">
        <v>147</v>
      </c>
      <c r="J1236" s="9" t="s">
        <v>36</v>
      </c>
      <c r="K1236" s="9">
        <v>990</v>
      </c>
      <c r="L1236" s="9"/>
      <c r="M1236" s="9"/>
      <c r="N1236" s="9"/>
      <c r="O1236" s="9" t="s">
        <v>215</v>
      </c>
      <c r="P1236" s="9" t="s">
        <v>204</v>
      </c>
      <c r="Q1236" s="9"/>
      <c r="R1236" s="10"/>
      <c r="S1236" s="10"/>
      <c r="T1236" s="10"/>
      <c r="U1236" s="9"/>
      <c r="Y1236" t="s">
        <v>216</v>
      </c>
      <c r="Z1236" t="s">
        <v>113</v>
      </c>
      <c r="AB1236" t="str">
        <f t="shared" si="57"/>
        <v>09896</v>
      </c>
    </row>
    <row r="1237" ht="14.25" spans="1:28">
      <c r="A1237" s="5" t="s">
        <v>28</v>
      </c>
      <c r="B1237" s="5" t="s">
        <v>697</v>
      </c>
      <c r="C1237" s="5">
        <v>2027</v>
      </c>
      <c r="D1237" s="5" t="s">
        <v>30</v>
      </c>
      <c r="E1237" s="9" t="s">
        <v>1035</v>
      </c>
      <c r="F1237" s="9" t="s">
        <v>212</v>
      </c>
      <c r="G1237" s="9" t="s">
        <v>872</v>
      </c>
      <c r="H1237" s="9" t="s">
        <v>1036</v>
      </c>
      <c r="I1237" s="9" t="s">
        <v>147</v>
      </c>
      <c r="J1237" s="9" t="s">
        <v>36</v>
      </c>
      <c r="K1237" s="9">
        <v>990</v>
      </c>
      <c r="L1237" s="9"/>
      <c r="M1237" s="9"/>
      <c r="N1237" s="9"/>
      <c r="O1237" s="9" t="s">
        <v>215</v>
      </c>
      <c r="P1237" s="9" t="s">
        <v>77</v>
      </c>
      <c r="Q1237" s="9"/>
      <c r="R1237" s="10">
        <f t="shared" si="58"/>
        <v>0</v>
      </c>
      <c r="S1237" s="10">
        <f>SUMIFS([1]Sheet1!$T:$T,[1]Sheet1!$I:$I,E1237,[1]Sheet1!$C:$C,A1237)</f>
        <v>0</v>
      </c>
      <c r="T1237" s="10">
        <f t="shared" si="59"/>
        <v>0</v>
      </c>
      <c r="U1237" s="9"/>
      <c r="Y1237" t="s">
        <v>216</v>
      </c>
      <c r="Z1237" t="s">
        <v>113</v>
      </c>
      <c r="AB1237" t="str">
        <f t="shared" si="57"/>
        <v>09896</v>
      </c>
    </row>
    <row r="1238" ht="14.25" spans="1:28">
      <c r="A1238" s="5" t="s">
        <v>28</v>
      </c>
      <c r="B1238" s="5" t="s">
        <v>697</v>
      </c>
      <c r="C1238" s="5">
        <v>2027</v>
      </c>
      <c r="D1238" s="5" t="s">
        <v>30</v>
      </c>
      <c r="E1238" s="9" t="s">
        <v>1035</v>
      </c>
      <c r="F1238" s="9" t="s">
        <v>212</v>
      </c>
      <c r="G1238" s="9" t="s">
        <v>872</v>
      </c>
      <c r="H1238" s="9" t="s">
        <v>1036</v>
      </c>
      <c r="I1238" s="9" t="s">
        <v>147</v>
      </c>
      <c r="J1238" s="9" t="s">
        <v>36</v>
      </c>
      <c r="K1238" s="9">
        <v>990</v>
      </c>
      <c r="L1238" s="9"/>
      <c r="M1238" s="9"/>
      <c r="N1238" s="9"/>
      <c r="O1238" s="9" t="s">
        <v>215</v>
      </c>
      <c r="P1238" s="9" t="s">
        <v>217</v>
      </c>
      <c r="Q1238" s="9"/>
      <c r="R1238" s="10"/>
      <c r="S1238" s="10"/>
      <c r="T1238" s="10"/>
      <c r="U1238" s="9"/>
      <c r="Y1238" t="s">
        <v>216</v>
      </c>
      <c r="Z1238" t="s">
        <v>113</v>
      </c>
      <c r="AB1238" t="str">
        <f t="shared" si="57"/>
        <v>09896</v>
      </c>
    </row>
    <row r="1239" ht="14.25" spans="1:28">
      <c r="A1239" s="5" t="s">
        <v>28</v>
      </c>
      <c r="B1239" s="5" t="s">
        <v>697</v>
      </c>
      <c r="C1239" s="5">
        <v>2027</v>
      </c>
      <c r="D1239" s="5" t="s">
        <v>30</v>
      </c>
      <c r="E1239" s="9" t="s">
        <v>1035</v>
      </c>
      <c r="F1239" s="9" t="s">
        <v>212</v>
      </c>
      <c r="G1239" s="9" t="s">
        <v>872</v>
      </c>
      <c r="H1239" s="9" t="s">
        <v>1036</v>
      </c>
      <c r="I1239" s="9" t="s">
        <v>147</v>
      </c>
      <c r="J1239" s="9" t="s">
        <v>36</v>
      </c>
      <c r="K1239" s="9">
        <v>990</v>
      </c>
      <c r="L1239" s="9"/>
      <c r="M1239" s="9"/>
      <c r="N1239" s="9"/>
      <c r="O1239" s="9" t="s">
        <v>215</v>
      </c>
      <c r="P1239" s="9" t="s">
        <v>78</v>
      </c>
      <c r="Q1239" s="9"/>
      <c r="R1239" s="10"/>
      <c r="S1239" s="10"/>
      <c r="T1239" s="10"/>
      <c r="U1239" s="9"/>
      <c r="Y1239" t="s">
        <v>216</v>
      </c>
      <c r="Z1239" t="s">
        <v>113</v>
      </c>
      <c r="AB1239" t="str">
        <f t="shared" si="57"/>
        <v>09896</v>
      </c>
    </row>
    <row r="1240" ht="14.25" spans="1:28">
      <c r="A1240" s="5" t="s">
        <v>28</v>
      </c>
      <c r="B1240" s="5" t="s">
        <v>697</v>
      </c>
      <c r="C1240" s="5">
        <v>2027</v>
      </c>
      <c r="D1240" s="5" t="s">
        <v>30</v>
      </c>
      <c r="E1240" s="9" t="s">
        <v>1035</v>
      </c>
      <c r="F1240" s="9" t="s">
        <v>212</v>
      </c>
      <c r="G1240" s="9" t="s">
        <v>872</v>
      </c>
      <c r="H1240" s="9" t="s">
        <v>1036</v>
      </c>
      <c r="I1240" s="9" t="s">
        <v>147</v>
      </c>
      <c r="J1240" s="9" t="s">
        <v>36</v>
      </c>
      <c r="K1240" s="9">
        <v>990</v>
      </c>
      <c r="L1240" s="9"/>
      <c r="M1240" s="9"/>
      <c r="N1240" s="9"/>
      <c r="O1240" s="9" t="s">
        <v>215</v>
      </c>
      <c r="P1240" s="9" t="s">
        <v>218</v>
      </c>
      <c r="Q1240" s="9"/>
      <c r="R1240" s="10"/>
      <c r="S1240" s="10"/>
      <c r="T1240" s="10"/>
      <c r="U1240" s="9"/>
      <c r="Y1240" t="s">
        <v>216</v>
      </c>
      <c r="Z1240" t="s">
        <v>113</v>
      </c>
      <c r="AB1240" t="str">
        <f t="shared" si="57"/>
        <v>09896</v>
      </c>
    </row>
    <row r="1241" ht="14.25" spans="1:28">
      <c r="A1241" s="5" t="s">
        <v>28</v>
      </c>
      <c r="B1241" s="5" t="s">
        <v>697</v>
      </c>
      <c r="C1241" s="5">
        <v>2027</v>
      </c>
      <c r="D1241" s="5" t="s">
        <v>30</v>
      </c>
      <c r="E1241" s="9" t="s">
        <v>1035</v>
      </c>
      <c r="F1241" s="9" t="s">
        <v>212</v>
      </c>
      <c r="G1241" s="9" t="s">
        <v>872</v>
      </c>
      <c r="H1241" s="9" t="s">
        <v>1036</v>
      </c>
      <c r="I1241" s="9" t="s">
        <v>147</v>
      </c>
      <c r="J1241" s="9" t="s">
        <v>36</v>
      </c>
      <c r="K1241" s="9">
        <v>990</v>
      </c>
      <c r="L1241" s="9"/>
      <c r="M1241" s="9"/>
      <c r="N1241" s="9"/>
      <c r="O1241" s="9" t="s">
        <v>215</v>
      </c>
      <c r="P1241" s="9" t="s">
        <v>79</v>
      </c>
      <c r="Q1241" s="9"/>
      <c r="R1241" s="10"/>
      <c r="S1241" s="10"/>
      <c r="T1241" s="10"/>
      <c r="U1241" s="9"/>
      <c r="Y1241" t="s">
        <v>216</v>
      </c>
      <c r="Z1241" t="s">
        <v>113</v>
      </c>
      <c r="AB1241" t="str">
        <f t="shared" si="57"/>
        <v>09896</v>
      </c>
    </row>
    <row r="1242" ht="14.25" spans="1:28">
      <c r="A1242" s="5" t="s">
        <v>28</v>
      </c>
      <c r="B1242" s="5" t="s">
        <v>697</v>
      </c>
      <c r="C1242" s="5">
        <v>2027</v>
      </c>
      <c r="D1242" s="5" t="s">
        <v>30</v>
      </c>
      <c r="E1242" s="9" t="s">
        <v>1035</v>
      </c>
      <c r="F1242" s="9" t="s">
        <v>212</v>
      </c>
      <c r="G1242" s="9" t="s">
        <v>872</v>
      </c>
      <c r="H1242" s="9" t="s">
        <v>1036</v>
      </c>
      <c r="I1242" s="9" t="s">
        <v>147</v>
      </c>
      <c r="J1242" s="9" t="s">
        <v>36</v>
      </c>
      <c r="K1242" s="9">
        <v>990</v>
      </c>
      <c r="L1242" s="9"/>
      <c r="M1242" s="9"/>
      <c r="N1242" s="9"/>
      <c r="O1242" s="9" t="s">
        <v>215</v>
      </c>
      <c r="P1242" s="9" t="s">
        <v>203</v>
      </c>
      <c r="Q1242" s="9"/>
      <c r="R1242" s="10"/>
      <c r="S1242" s="10"/>
      <c r="T1242" s="10"/>
      <c r="U1242" s="9"/>
      <c r="Y1242" t="s">
        <v>216</v>
      </c>
      <c r="Z1242" t="s">
        <v>113</v>
      </c>
      <c r="AB1242" t="str">
        <f t="shared" si="57"/>
        <v>09896</v>
      </c>
    </row>
    <row r="1243" ht="14.25" spans="1:28">
      <c r="A1243" s="5" t="s">
        <v>28</v>
      </c>
      <c r="B1243" s="5" t="s">
        <v>697</v>
      </c>
      <c r="C1243" s="5">
        <v>2027</v>
      </c>
      <c r="D1243" s="5" t="s">
        <v>30</v>
      </c>
      <c r="E1243" s="9" t="s">
        <v>1035</v>
      </c>
      <c r="F1243" s="9" t="s">
        <v>212</v>
      </c>
      <c r="G1243" s="9" t="s">
        <v>872</v>
      </c>
      <c r="H1243" s="9" t="s">
        <v>1036</v>
      </c>
      <c r="I1243" s="9" t="s">
        <v>147</v>
      </c>
      <c r="J1243" s="9" t="s">
        <v>36</v>
      </c>
      <c r="K1243" s="9">
        <v>990</v>
      </c>
      <c r="L1243" s="9"/>
      <c r="M1243" s="9"/>
      <c r="N1243" s="9"/>
      <c r="O1243" s="9" t="s">
        <v>215</v>
      </c>
      <c r="P1243" s="9" t="s">
        <v>204</v>
      </c>
      <c r="Q1243" s="9"/>
      <c r="R1243" s="10"/>
      <c r="S1243" s="10"/>
      <c r="T1243" s="10"/>
      <c r="U1243" s="9"/>
      <c r="Y1243" t="s">
        <v>216</v>
      </c>
      <c r="Z1243" t="s">
        <v>113</v>
      </c>
      <c r="AB1243" t="str">
        <f t="shared" si="57"/>
        <v>09896</v>
      </c>
    </row>
    <row r="1244" ht="14.25" spans="1:28">
      <c r="A1244" s="5" t="s">
        <v>28</v>
      </c>
      <c r="B1244" s="5" t="s">
        <v>697</v>
      </c>
      <c r="C1244" s="5">
        <v>2027</v>
      </c>
      <c r="D1244" s="5" t="s">
        <v>30</v>
      </c>
      <c r="E1244" s="9" t="s">
        <v>1037</v>
      </c>
      <c r="F1244" s="9" t="s">
        <v>212</v>
      </c>
      <c r="G1244" s="9" t="s">
        <v>1038</v>
      </c>
      <c r="H1244" s="9" t="s">
        <v>1039</v>
      </c>
      <c r="I1244" s="9" t="s">
        <v>147</v>
      </c>
      <c r="J1244" s="9" t="s">
        <v>36</v>
      </c>
      <c r="K1244" s="9">
        <v>990</v>
      </c>
      <c r="L1244" s="9"/>
      <c r="M1244" s="9"/>
      <c r="N1244" s="9"/>
      <c r="O1244" s="9" t="s">
        <v>215</v>
      </c>
      <c r="P1244" s="9" t="s">
        <v>77</v>
      </c>
      <c r="Q1244" s="9"/>
      <c r="R1244" s="10">
        <f t="shared" si="58"/>
        <v>0</v>
      </c>
      <c r="S1244" s="10">
        <f>SUMIFS([1]Sheet1!$T:$T,[1]Sheet1!$I:$I,E1244,[1]Sheet1!$C:$C,A1244)</f>
        <v>0</v>
      </c>
      <c r="T1244" s="10">
        <f t="shared" si="59"/>
        <v>0</v>
      </c>
      <c r="U1244" s="9"/>
      <c r="Y1244" t="s">
        <v>216</v>
      </c>
      <c r="Z1244" t="s">
        <v>113</v>
      </c>
      <c r="AB1244" t="str">
        <f t="shared" si="57"/>
        <v>09896</v>
      </c>
    </row>
    <row r="1245" ht="14.25" spans="1:28">
      <c r="A1245" s="5" t="s">
        <v>28</v>
      </c>
      <c r="B1245" s="5" t="s">
        <v>697</v>
      </c>
      <c r="C1245" s="5">
        <v>2027</v>
      </c>
      <c r="D1245" s="5" t="s">
        <v>30</v>
      </c>
      <c r="E1245" s="9" t="s">
        <v>1037</v>
      </c>
      <c r="F1245" s="9" t="s">
        <v>212</v>
      </c>
      <c r="G1245" s="9" t="s">
        <v>1038</v>
      </c>
      <c r="H1245" s="9" t="s">
        <v>1039</v>
      </c>
      <c r="I1245" s="9" t="s">
        <v>147</v>
      </c>
      <c r="J1245" s="9" t="s">
        <v>36</v>
      </c>
      <c r="K1245" s="9">
        <v>990</v>
      </c>
      <c r="L1245" s="9"/>
      <c r="M1245" s="9"/>
      <c r="N1245" s="9"/>
      <c r="O1245" s="9" t="s">
        <v>215</v>
      </c>
      <c r="P1245" s="9" t="s">
        <v>217</v>
      </c>
      <c r="Q1245" s="11"/>
      <c r="R1245" s="10"/>
      <c r="S1245" s="10"/>
      <c r="T1245" s="10"/>
      <c r="U1245" s="9"/>
      <c r="Y1245" t="s">
        <v>216</v>
      </c>
      <c r="Z1245" t="s">
        <v>113</v>
      </c>
      <c r="AB1245" t="str">
        <f t="shared" si="57"/>
        <v>09896</v>
      </c>
    </row>
    <row r="1246" ht="14.25" spans="1:28">
      <c r="A1246" s="5" t="s">
        <v>28</v>
      </c>
      <c r="B1246" s="5" t="s">
        <v>697</v>
      </c>
      <c r="C1246" s="5">
        <v>2027</v>
      </c>
      <c r="D1246" s="5" t="s">
        <v>30</v>
      </c>
      <c r="E1246" s="9" t="s">
        <v>1037</v>
      </c>
      <c r="F1246" s="9" t="s">
        <v>212</v>
      </c>
      <c r="G1246" s="9" t="s">
        <v>1038</v>
      </c>
      <c r="H1246" s="9" t="s">
        <v>1039</v>
      </c>
      <c r="I1246" s="9" t="s">
        <v>147</v>
      </c>
      <c r="J1246" s="9" t="s">
        <v>36</v>
      </c>
      <c r="K1246" s="9">
        <v>990</v>
      </c>
      <c r="L1246" s="9"/>
      <c r="M1246" s="9"/>
      <c r="N1246" s="9"/>
      <c r="O1246" s="9" t="s">
        <v>215</v>
      </c>
      <c r="P1246" s="9" t="s">
        <v>78</v>
      </c>
      <c r="Q1246" s="11"/>
      <c r="R1246" s="10"/>
      <c r="S1246" s="10"/>
      <c r="T1246" s="10"/>
      <c r="U1246" s="9"/>
      <c r="Y1246" t="s">
        <v>216</v>
      </c>
      <c r="Z1246" t="s">
        <v>113</v>
      </c>
      <c r="AB1246" t="str">
        <f t="shared" si="57"/>
        <v>09896</v>
      </c>
    </row>
    <row r="1247" ht="14.25" spans="1:28">
      <c r="A1247" s="5" t="s">
        <v>28</v>
      </c>
      <c r="B1247" s="5" t="s">
        <v>697</v>
      </c>
      <c r="C1247" s="5">
        <v>2027</v>
      </c>
      <c r="D1247" s="5" t="s">
        <v>30</v>
      </c>
      <c r="E1247" s="9" t="s">
        <v>1037</v>
      </c>
      <c r="F1247" s="9" t="s">
        <v>212</v>
      </c>
      <c r="G1247" s="9" t="s">
        <v>1038</v>
      </c>
      <c r="H1247" s="9" t="s">
        <v>1039</v>
      </c>
      <c r="I1247" s="9" t="s">
        <v>147</v>
      </c>
      <c r="J1247" s="9" t="s">
        <v>36</v>
      </c>
      <c r="K1247" s="9">
        <v>990</v>
      </c>
      <c r="L1247" s="9"/>
      <c r="M1247" s="9"/>
      <c r="N1247" s="9"/>
      <c r="O1247" s="9" t="s">
        <v>215</v>
      </c>
      <c r="P1247" s="9" t="s">
        <v>218</v>
      </c>
      <c r="Q1247" s="11"/>
      <c r="R1247" s="10"/>
      <c r="S1247" s="10"/>
      <c r="T1247" s="10"/>
      <c r="U1247" s="9"/>
      <c r="Y1247" t="s">
        <v>216</v>
      </c>
      <c r="Z1247" t="s">
        <v>113</v>
      </c>
      <c r="AB1247" t="str">
        <f t="shared" si="57"/>
        <v>09896</v>
      </c>
    </row>
    <row r="1248" ht="14.25" spans="1:28">
      <c r="A1248" s="5" t="s">
        <v>28</v>
      </c>
      <c r="B1248" s="5" t="s">
        <v>697</v>
      </c>
      <c r="C1248" s="5">
        <v>2027</v>
      </c>
      <c r="D1248" s="5" t="s">
        <v>30</v>
      </c>
      <c r="E1248" s="9" t="s">
        <v>1037</v>
      </c>
      <c r="F1248" s="9" t="s">
        <v>212</v>
      </c>
      <c r="G1248" s="9" t="s">
        <v>1038</v>
      </c>
      <c r="H1248" s="9" t="s">
        <v>1039</v>
      </c>
      <c r="I1248" s="9" t="s">
        <v>147</v>
      </c>
      <c r="J1248" s="9" t="s">
        <v>36</v>
      </c>
      <c r="K1248" s="9">
        <v>990</v>
      </c>
      <c r="L1248" s="9"/>
      <c r="M1248" s="9"/>
      <c r="N1248" s="9"/>
      <c r="O1248" s="9" t="s">
        <v>215</v>
      </c>
      <c r="P1248" s="9" t="s">
        <v>79</v>
      </c>
      <c r="Q1248" s="11"/>
      <c r="R1248" s="10"/>
      <c r="S1248" s="10"/>
      <c r="T1248" s="10"/>
      <c r="U1248" s="9"/>
      <c r="Y1248" t="s">
        <v>216</v>
      </c>
      <c r="Z1248" t="s">
        <v>113</v>
      </c>
      <c r="AB1248" t="str">
        <f t="shared" si="57"/>
        <v>09896</v>
      </c>
    </row>
    <row r="1249" ht="14.25" spans="1:28">
      <c r="A1249" s="5" t="s">
        <v>28</v>
      </c>
      <c r="B1249" s="5" t="s">
        <v>697</v>
      </c>
      <c r="C1249" s="5">
        <v>2027</v>
      </c>
      <c r="D1249" s="5" t="s">
        <v>30</v>
      </c>
      <c r="E1249" s="9" t="s">
        <v>1037</v>
      </c>
      <c r="F1249" s="9" t="s">
        <v>212</v>
      </c>
      <c r="G1249" s="9" t="s">
        <v>1038</v>
      </c>
      <c r="H1249" s="9" t="s">
        <v>1039</v>
      </c>
      <c r="I1249" s="9" t="s">
        <v>147</v>
      </c>
      <c r="J1249" s="9" t="s">
        <v>36</v>
      </c>
      <c r="K1249" s="9">
        <v>990</v>
      </c>
      <c r="L1249" s="9"/>
      <c r="M1249" s="9"/>
      <c r="N1249" s="9"/>
      <c r="O1249" s="9" t="s">
        <v>215</v>
      </c>
      <c r="P1249" s="9" t="s">
        <v>203</v>
      </c>
      <c r="Q1249" s="11"/>
      <c r="R1249" s="10"/>
      <c r="S1249" s="10"/>
      <c r="T1249" s="10"/>
      <c r="U1249" s="9"/>
      <c r="Y1249" t="s">
        <v>216</v>
      </c>
      <c r="Z1249" t="s">
        <v>113</v>
      </c>
      <c r="AB1249" t="str">
        <f t="shared" si="57"/>
        <v>09896</v>
      </c>
    </row>
    <row r="1250" ht="14.25" spans="1:28">
      <c r="A1250" s="5" t="s">
        <v>28</v>
      </c>
      <c r="B1250" s="5" t="s">
        <v>697</v>
      </c>
      <c r="C1250" s="5">
        <v>2027</v>
      </c>
      <c r="D1250" s="5" t="s">
        <v>30</v>
      </c>
      <c r="E1250" s="9" t="s">
        <v>1037</v>
      </c>
      <c r="F1250" s="9" t="s">
        <v>212</v>
      </c>
      <c r="G1250" s="9" t="s">
        <v>1038</v>
      </c>
      <c r="H1250" s="9" t="s">
        <v>1039</v>
      </c>
      <c r="I1250" s="9" t="s">
        <v>147</v>
      </c>
      <c r="J1250" s="9" t="s">
        <v>36</v>
      </c>
      <c r="K1250" s="9">
        <v>990</v>
      </c>
      <c r="L1250" s="9"/>
      <c r="M1250" s="9"/>
      <c r="N1250" s="9"/>
      <c r="O1250" s="9" t="s">
        <v>215</v>
      </c>
      <c r="P1250" s="9" t="s">
        <v>204</v>
      </c>
      <c r="Q1250" s="11"/>
      <c r="R1250" s="10"/>
      <c r="S1250" s="10"/>
      <c r="T1250" s="10"/>
      <c r="U1250" s="9"/>
      <c r="Y1250" t="s">
        <v>216</v>
      </c>
      <c r="Z1250" t="s">
        <v>113</v>
      </c>
      <c r="AB1250" t="str">
        <f t="shared" si="57"/>
        <v>09896</v>
      </c>
    </row>
    <row r="1251" ht="14.25" spans="1:28">
      <c r="A1251" s="5" t="s">
        <v>28</v>
      </c>
      <c r="B1251" s="5" t="s">
        <v>697</v>
      </c>
      <c r="C1251" s="5">
        <v>2027</v>
      </c>
      <c r="D1251" s="5" t="s">
        <v>30</v>
      </c>
      <c r="E1251" s="9" t="s">
        <v>1040</v>
      </c>
      <c r="F1251" s="9" t="s">
        <v>1041</v>
      </c>
      <c r="G1251" s="9" t="s">
        <v>1042</v>
      </c>
      <c r="H1251" s="9" t="s">
        <v>1043</v>
      </c>
      <c r="I1251" s="9" t="s">
        <v>119</v>
      </c>
      <c r="J1251" s="9" t="s">
        <v>36</v>
      </c>
      <c r="K1251" s="9">
        <v>890</v>
      </c>
      <c r="L1251" s="9"/>
      <c r="M1251" s="9"/>
      <c r="N1251" s="9"/>
      <c r="O1251" s="9" t="s">
        <v>1013</v>
      </c>
      <c r="P1251" s="9" t="s">
        <v>1014</v>
      </c>
      <c r="Q1251" s="11"/>
      <c r="R1251" s="10">
        <f t="shared" si="58"/>
        <v>0</v>
      </c>
      <c r="S1251" s="10">
        <f>SUMIFS([1]Sheet1!$T:$T,[1]Sheet1!$I:$I,E1251,[1]Sheet1!$C:$C,A1251)</f>
        <v>0</v>
      </c>
      <c r="T1251" s="10">
        <f t="shared" si="59"/>
        <v>0</v>
      </c>
      <c r="U1251" s="9"/>
      <c r="Y1251" t="s">
        <v>982</v>
      </c>
      <c r="Z1251" t="s">
        <v>113</v>
      </c>
      <c r="AB1251" t="str">
        <f t="shared" si="57"/>
        <v>09998</v>
      </c>
    </row>
    <row r="1252" ht="14.25" spans="1:28">
      <c r="A1252" s="5" t="s">
        <v>28</v>
      </c>
      <c r="B1252" s="5" t="s">
        <v>697</v>
      </c>
      <c r="C1252" s="5">
        <v>2027</v>
      </c>
      <c r="D1252" s="5" t="s">
        <v>30</v>
      </c>
      <c r="E1252" s="9" t="s">
        <v>1040</v>
      </c>
      <c r="F1252" s="9" t="s">
        <v>1041</v>
      </c>
      <c r="G1252" s="9" t="s">
        <v>1042</v>
      </c>
      <c r="H1252" s="9" t="s">
        <v>1043</v>
      </c>
      <c r="I1252" s="9" t="s">
        <v>119</v>
      </c>
      <c r="J1252" s="9" t="s">
        <v>36</v>
      </c>
      <c r="K1252" s="9">
        <v>890</v>
      </c>
      <c r="L1252" s="9"/>
      <c r="M1252" s="9"/>
      <c r="N1252" s="9"/>
      <c r="O1252" s="9" t="s">
        <v>1013</v>
      </c>
      <c r="P1252" s="9" t="s">
        <v>77</v>
      </c>
      <c r="Q1252" s="11"/>
      <c r="R1252" s="10"/>
      <c r="S1252" s="10"/>
      <c r="T1252" s="10"/>
      <c r="U1252" s="9"/>
      <c r="Y1252" t="s">
        <v>982</v>
      </c>
      <c r="Z1252" t="s">
        <v>113</v>
      </c>
      <c r="AB1252" t="str">
        <f t="shared" si="57"/>
        <v>09998</v>
      </c>
    </row>
    <row r="1253" ht="14.25" spans="1:28">
      <c r="A1253" s="5" t="s">
        <v>28</v>
      </c>
      <c r="B1253" s="5" t="s">
        <v>697</v>
      </c>
      <c r="C1253" s="5">
        <v>2027</v>
      </c>
      <c r="D1253" s="5" t="s">
        <v>30</v>
      </c>
      <c r="E1253" s="9" t="s">
        <v>1040</v>
      </c>
      <c r="F1253" s="9" t="s">
        <v>1041</v>
      </c>
      <c r="G1253" s="9" t="s">
        <v>1042</v>
      </c>
      <c r="H1253" s="9" t="s">
        <v>1043</v>
      </c>
      <c r="I1253" s="9" t="s">
        <v>119</v>
      </c>
      <c r="J1253" s="9" t="s">
        <v>36</v>
      </c>
      <c r="K1253" s="9">
        <v>890</v>
      </c>
      <c r="L1253" s="9"/>
      <c r="M1253" s="9"/>
      <c r="N1253" s="9"/>
      <c r="O1253" s="9" t="s">
        <v>1013</v>
      </c>
      <c r="P1253" s="9" t="s">
        <v>217</v>
      </c>
      <c r="Q1253" s="11"/>
      <c r="R1253" s="10"/>
      <c r="S1253" s="10"/>
      <c r="T1253" s="10"/>
      <c r="U1253" s="9"/>
      <c r="Y1253" t="s">
        <v>982</v>
      </c>
      <c r="Z1253" t="s">
        <v>113</v>
      </c>
      <c r="AB1253" t="str">
        <f t="shared" si="57"/>
        <v>09998</v>
      </c>
    </row>
    <row r="1254" ht="14.25" spans="1:28">
      <c r="A1254" s="5" t="s">
        <v>28</v>
      </c>
      <c r="B1254" s="5" t="s">
        <v>697</v>
      </c>
      <c r="C1254" s="5">
        <v>2027</v>
      </c>
      <c r="D1254" s="5" t="s">
        <v>30</v>
      </c>
      <c r="E1254" s="9" t="s">
        <v>1040</v>
      </c>
      <c r="F1254" s="9" t="s">
        <v>1041</v>
      </c>
      <c r="G1254" s="9" t="s">
        <v>1042</v>
      </c>
      <c r="H1254" s="9" t="s">
        <v>1043</v>
      </c>
      <c r="I1254" s="9" t="s">
        <v>119</v>
      </c>
      <c r="J1254" s="9" t="s">
        <v>36</v>
      </c>
      <c r="K1254" s="9">
        <v>890</v>
      </c>
      <c r="L1254" s="9"/>
      <c r="M1254" s="9"/>
      <c r="N1254" s="9"/>
      <c r="O1254" s="9" t="s">
        <v>1013</v>
      </c>
      <c r="P1254" s="9" t="s">
        <v>78</v>
      </c>
      <c r="Q1254" s="11"/>
      <c r="R1254" s="10"/>
      <c r="S1254" s="10"/>
      <c r="T1254" s="10"/>
      <c r="U1254" s="9"/>
      <c r="Y1254" t="s">
        <v>982</v>
      </c>
      <c r="Z1254" t="s">
        <v>113</v>
      </c>
      <c r="AB1254" t="str">
        <f t="shared" si="57"/>
        <v>09998</v>
      </c>
    </row>
    <row r="1255" ht="14.25" spans="1:28">
      <c r="A1255" s="5" t="s">
        <v>28</v>
      </c>
      <c r="B1255" s="5" t="s">
        <v>697</v>
      </c>
      <c r="C1255" s="5">
        <v>2027</v>
      </c>
      <c r="D1255" s="5" t="s">
        <v>30</v>
      </c>
      <c r="E1255" s="9" t="s">
        <v>1040</v>
      </c>
      <c r="F1255" s="9" t="s">
        <v>1041</v>
      </c>
      <c r="G1255" s="9" t="s">
        <v>1042</v>
      </c>
      <c r="H1255" s="9" t="s">
        <v>1043</v>
      </c>
      <c r="I1255" s="9" t="s">
        <v>119</v>
      </c>
      <c r="J1255" s="9" t="s">
        <v>36</v>
      </c>
      <c r="K1255" s="9">
        <v>890</v>
      </c>
      <c r="L1255" s="9"/>
      <c r="M1255" s="9"/>
      <c r="N1255" s="9"/>
      <c r="O1255" s="9" t="s">
        <v>1013</v>
      </c>
      <c r="P1255" s="9" t="s">
        <v>218</v>
      </c>
      <c r="Q1255" s="11"/>
      <c r="R1255" s="10"/>
      <c r="S1255" s="10"/>
      <c r="T1255" s="10"/>
      <c r="U1255" s="9"/>
      <c r="Y1255" t="s">
        <v>982</v>
      </c>
      <c r="Z1255" t="s">
        <v>113</v>
      </c>
      <c r="AB1255" t="str">
        <f t="shared" si="57"/>
        <v>09998</v>
      </c>
    </row>
    <row r="1256" ht="14.25" spans="1:28">
      <c r="A1256" s="5" t="s">
        <v>28</v>
      </c>
      <c r="B1256" s="5" t="s">
        <v>697</v>
      </c>
      <c r="C1256" s="5">
        <v>2027</v>
      </c>
      <c r="D1256" s="5" t="s">
        <v>30</v>
      </c>
      <c r="E1256" s="9" t="s">
        <v>1040</v>
      </c>
      <c r="F1256" s="9" t="s">
        <v>1041</v>
      </c>
      <c r="G1256" s="9" t="s">
        <v>1042</v>
      </c>
      <c r="H1256" s="9" t="s">
        <v>1043</v>
      </c>
      <c r="I1256" s="9" t="s">
        <v>119</v>
      </c>
      <c r="J1256" s="9" t="s">
        <v>36</v>
      </c>
      <c r="K1256" s="9">
        <v>890</v>
      </c>
      <c r="L1256" s="9"/>
      <c r="M1256" s="9"/>
      <c r="N1256" s="9"/>
      <c r="O1256" s="9" t="s">
        <v>1013</v>
      </c>
      <c r="P1256" s="9" t="s">
        <v>79</v>
      </c>
      <c r="Q1256" s="11"/>
      <c r="R1256" s="10"/>
      <c r="S1256" s="10"/>
      <c r="T1256" s="10"/>
      <c r="U1256" s="9"/>
      <c r="Y1256" t="s">
        <v>982</v>
      </c>
      <c r="Z1256" t="s">
        <v>113</v>
      </c>
      <c r="AB1256" t="str">
        <f t="shared" si="57"/>
        <v>09998</v>
      </c>
    </row>
    <row r="1257" ht="14.25" spans="1:28">
      <c r="A1257" s="5" t="s">
        <v>28</v>
      </c>
      <c r="B1257" s="5" t="s">
        <v>697</v>
      </c>
      <c r="C1257" s="5">
        <v>2027</v>
      </c>
      <c r="D1257" s="5" t="s">
        <v>30</v>
      </c>
      <c r="E1257" s="9" t="s">
        <v>1040</v>
      </c>
      <c r="F1257" s="9" t="s">
        <v>1041</v>
      </c>
      <c r="G1257" s="9" t="s">
        <v>1042</v>
      </c>
      <c r="H1257" s="9" t="s">
        <v>1043</v>
      </c>
      <c r="I1257" s="9" t="s">
        <v>119</v>
      </c>
      <c r="J1257" s="9" t="s">
        <v>36</v>
      </c>
      <c r="K1257" s="9">
        <v>890</v>
      </c>
      <c r="L1257" s="9"/>
      <c r="M1257" s="9"/>
      <c r="N1257" s="9"/>
      <c r="O1257" s="9" t="s">
        <v>1013</v>
      </c>
      <c r="P1257" s="9" t="s">
        <v>203</v>
      </c>
      <c r="Q1257" s="9"/>
      <c r="R1257" s="10"/>
      <c r="S1257" s="10"/>
      <c r="T1257" s="10"/>
      <c r="U1257" s="9"/>
      <c r="Y1257" t="s">
        <v>982</v>
      </c>
      <c r="Z1257" t="s">
        <v>113</v>
      </c>
      <c r="AB1257" t="str">
        <f t="shared" si="57"/>
        <v>09998</v>
      </c>
    </row>
    <row r="1258" ht="14.25" spans="1:28">
      <c r="A1258" s="5" t="s">
        <v>28</v>
      </c>
      <c r="B1258" s="5" t="s">
        <v>697</v>
      </c>
      <c r="C1258" s="5">
        <v>2027</v>
      </c>
      <c r="D1258" s="5" t="s">
        <v>30</v>
      </c>
      <c r="E1258" s="9" t="s">
        <v>1040</v>
      </c>
      <c r="F1258" s="9" t="s">
        <v>1041</v>
      </c>
      <c r="G1258" s="9" t="s">
        <v>1042</v>
      </c>
      <c r="H1258" s="9" t="s">
        <v>1043</v>
      </c>
      <c r="I1258" s="9" t="s">
        <v>119</v>
      </c>
      <c r="J1258" s="9" t="s">
        <v>36</v>
      </c>
      <c r="K1258" s="9">
        <v>890</v>
      </c>
      <c r="L1258" s="9"/>
      <c r="M1258" s="9"/>
      <c r="N1258" s="9"/>
      <c r="O1258" s="9" t="s">
        <v>1013</v>
      </c>
      <c r="P1258" s="9" t="s">
        <v>204</v>
      </c>
      <c r="Q1258" s="9"/>
      <c r="R1258" s="10"/>
      <c r="S1258" s="10"/>
      <c r="T1258" s="10"/>
      <c r="U1258" s="9"/>
      <c r="Y1258" t="s">
        <v>982</v>
      </c>
      <c r="Z1258" t="s">
        <v>113</v>
      </c>
      <c r="AB1258" t="str">
        <f t="shared" si="57"/>
        <v>09998</v>
      </c>
    </row>
    <row r="1259" ht="14.25" spans="1:28">
      <c r="A1259" s="5" t="s">
        <v>28</v>
      </c>
      <c r="B1259" s="5" t="s">
        <v>697</v>
      </c>
      <c r="C1259" s="5">
        <v>2027</v>
      </c>
      <c r="D1259" s="5" t="s">
        <v>30</v>
      </c>
      <c r="E1259" s="9" t="s">
        <v>1044</v>
      </c>
      <c r="F1259" s="9" t="s">
        <v>1045</v>
      </c>
      <c r="G1259" s="9" t="s">
        <v>221</v>
      </c>
      <c r="H1259" s="9" t="s">
        <v>1046</v>
      </c>
      <c r="I1259" s="9" t="s">
        <v>119</v>
      </c>
      <c r="J1259" s="9" t="s">
        <v>36</v>
      </c>
      <c r="K1259" s="9">
        <v>690</v>
      </c>
      <c r="L1259" s="9"/>
      <c r="M1259" s="9"/>
      <c r="N1259" s="9"/>
      <c r="O1259" s="9" t="s">
        <v>37</v>
      </c>
      <c r="P1259" s="9" t="s">
        <v>38</v>
      </c>
      <c r="Q1259" s="9"/>
      <c r="R1259" s="10">
        <f t="shared" si="58"/>
        <v>0</v>
      </c>
      <c r="S1259" s="10">
        <f>SUMIFS([1]Sheet1!$T:$T,[1]Sheet1!$I:$I,E1259,[1]Sheet1!$C:$C,A1259)</f>
        <v>0</v>
      </c>
      <c r="T1259" s="10">
        <f t="shared" si="59"/>
        <v>0</v>
      </c>
      <c r="U1259" s="9" t="s">
        <v>148</v>
      </c>
      <c r="V1259" t="s">
        <v>184</v>
      </c>
      <c r="W1259" t="s">
        <v>138</v>
      </c>
      <c r="X1259" t="s">
        <v>70</v>
      </c>
      <c r="Y1259" t="s">
        <v>1047</v>
      </c>
      <c r="Z1259" t="s">
        <v>247</v>
      </c>
      <c r="AB1259" t="str">
        <f t="shared" si="57"/>
        <v>33202</v>
      </c>
    </row>
    <row r="1260" ht="14.25" spans="1:28">
      <c r="A1260" s="5" t="s">
        <v>28</v>
      </c>
      <c r="B1260" s="5" t="s">
        <v>697</v>
      </c>
      <c r="C1260" s="5">
        <v>2027</v>
      </c>
      <c r="D1260" s="5" t="s">
        <v>30</v>
      </c>
      <c r="E1260" s="9" t="s">
        <v>1044</v>
      </c>
      <c r="F1260" s="9" t="s">
        <v>1045</v>
      </c>
      <c r="G1260" s="9" t="s">
        <v>221</v>
      </c>
      <c r="H1260" s="9" t="s">
        <v>1046</v>
      </c>
      <c r="I1260" s="9" t="s">
        <v>119</v>
      </c>
      <c r="J1260" s="9" t="s">
        <v>36</v>
      </c>
      <c r="K1260" s="9">
        <v>690</v>
      </c>
      <c r="L1260" s="9"/>
      <c r="M1260" s="9"/>
      <c r="N1260" s="9"/>
      <c r="O1260" s="9" t="s">
        <v>37</v>
      </c>
      <c r="P1260" s="9" t="s">
        <v>42</v>
      </c>
      <c r="Q1260" s="9"/>
      <c r="R1260" s="10"/>
      <c r="S1260" s="10"/>
      <c r="T1260" s="10"/>
      <c r="U1260" s="9" t="s">
        <v>148</v>
      </c>
      <c r="V1260" t="s">
        <v>184</v>
      </c>
      <c r="W1260" t="s">
        <v>138</v>
      </c>
      <c r="X1260" t="s">
        <v>70</v>
      </c>
      <c r="Y1260" t="s">
        <v>1047</v>
      </c>
      <c r="Z1260" t="s">
        <v>247</v>
      </c>
      <c r="AB1260" t="str">
        <f t="shared" si="57"/>
        <v>33202</v>
      </c>
    </row>
    <row r="1261" ht="14.25" spans="1:28">
      <c r="A1261" s="5" t="s">
        <v>28</v>
      </c>
      <c r="B1261" s="5" t="s">
        <v>697</v>
      </c>
      <c r="C1261" s="5">
        <v>2027</v>
      </c>
      <c r="D1261" s="5" t="s">
        <v>30</v>
      </c>
      <c r="E1261" s="9" t="s">
        <v>1044</v>
      </c>
      <c r="F1261" s="9" t="s">
        <v>1045</v>
      </c>
      <c r="G1261" s="9" t="s">
        <v>221</v>
      </c>
      <c r="H1261" s="9" t="s">
        <v>1046</v>
      </c>
      <c r="I1261" s="9" t="s">
        <v>119</v>
      </c>
      <c r="J1261" s="9" t="s">
        <v>36</v>
      </c>
      <c r="K1261" s="9">
        <v>690</v>
      </c>
      <c r="L1261" s="9"/>
      <c r="M1261" s="9"/>
      <c r="N1261" s="9"/>
      <c r="O1261" s="9" t="s">
        <v>37</v>
      </c>
      <c r="P1261" s="9" t="s">
        <v>43</v>
      </c>
      <c r="Q1261" s="9"/>
      <c r="R1261" s="10"/>
      <c r="S1261" s="10"/>
      <c r="T1261" s="10"/>
      <c r="U1261" s="9" t="s">
        <v>148</v>
      </c>
      <c r="V1261" t="s">
        <v>184</v>
      </c>
      <c r="W1261" t="s">
        <v>138</v>
      </c>
      <c r="X1261" t="s">
        <v>70</v>
      </c>
      <c r="Y1261" t="s">
        <v>1047</v>
      </c>
      <c r="Z1261" t="s">
        <v>247</v>
      </c>
      <c r="AB1261" t="str">
        <f t="shared" si="57"/>
        <v>33202</v>
      </c>
    </row>
    <row r="1262" ht="14.25" spans="1:28">
      <c r="A1262" s="5" t="s">
        <v>28</v>
      </c>
      <c r="B1262" s="5" t="s">
        <v>697</v>
      </c>
      <c r="C1262" s="5">
        <v>2027</v>
      </c>
      <c r="D1262" s="5" t="s">
        <v>30</v>
      </c>
      <c r="E1262" s="9" t="s">
        <v>1044</v>
      </c>
      <c r="F1262" s="9" t="s">
        <v>1045</v>
      </c>
      <c r="G1262" s="9" t="s">
        <v>221</v>
      </c>
      <c r="H1262" s="9" t="s">
        <v>1046</v>
      </c>
      <c r="I1262" s="9" t="s">
        <v>119</v>
      </c>
      <c r="J1262" s="9" t="s">
        <v>36</v>
      </c>
      <c r="K1262" s="9">
        <v>690</v>
      </c>
      <c r="L1262" s="9"/>
      <c r="M1262" s="9"/>
      <c r="N1262" s="9"/>
      <c r="O1262" s="9" t="s">
        <v>37</v>
      </c>
      <c r="P1262" s="9" t="s">
        <v>44</v>
      </c>
      <c r="Q1262" s="9"/>
      <c r="R1262" s="10"/>
      <c r="S1262" s="10"/>
      <c r="T1262" s="10"/>
      <c r="U1262" s="9" t="s">
        <v>148</v>
      </c>
      <c r="V1262" t="s">
        <v>184</v>
      </c>
      <c r="W1262" t="s">
        <v>138</v>
      </c>
      <c r="X1262" t="s">
        <v>70</v>
      </c>
      <c r="Y1262" t="s">
        <v>1047</v>
      </c>
      <c r="Z1262" t="s">
        <v>247</v>
      </c>
      <c r="AB1262" t="str">
        <f t="shared" si="57"/>
        <v>33202</v>
      </c>
    </row>
    <row r="1263" ht="14.25" spans="1:28">
      <c r="A1263" s="5" t="s">
        <v>28</v>
      </c>
      <c r="B1263" s="5" t="s">
        <v>697</v>
      </c>
      <c r="C1263" s="5">
        <v>2027</v>
      </c>
      <c r="D1263" s="5" t="s">
        <v>30</v>
      </c>
      <c r="E1263" s="9" t="s">
        <v>1044</v>
      </c>
      <c r="F1263" s="9" t="s">
        <v>1045</v>
      </c>
      <c r="G1263" s="9" t="s">
        <v>221</v>
      </c>
      <c r="H1263" s="9" t="s">
        <v>1046</v>
      </c>
      <c r="I1263" s="9" t="s">
        <v>119</v>
      </c>
      <c r="J1263" s="9" t="s">
        <v>36</v>
      </c>
      <c r="K1263" s="9">
        <v>690</v>
      </c>
      <c r="L1263" s="9"/>
      <c r="M1263" s="9"/>
      <c r="N1263" s="9"/>
      <c r="O1263" s="9" t="s">
        <v>37</v>
      </c>
      <c r="P1263" s="9" t="s">
        <v>45</v>
      </c>
      <c r="Q1263" s="9"/>
      <c r="R1263" s="10"/>
      <c r="S1263" s="10"/>
      <c r="T1263" s="10"/>
      <c r="U1263" s="9" t="s">
        <v>148</v>
      </c>
      <c r="V1263" t="s">
        <v>184</v>
      </c>
      <c r="W1263" t="s">
        <v>138</v>
      </c>
      <c r="X1263" t="s">
        <v>70</v>
      </c>
      <c r="Y1263" t="s">
        <v>1047</v>
      </c>
      <c r="Z1263" t="s">
        <v>247</v>
      </c>
      <c r="AB1263" t="str">
        <f t="shared" si="57"/>
        <v>33202</v>
      </c>
    </row>
    <row r="1264" ht="14.25" spans="1:28">
      <c r="A1264" s="5" t="s">
        <v>28</v>
      </c>
      <c r="B1264" s="5" t="s">
        <v>697</v>
      </c>
      <c r="C1264" s="5">
        <v>2027</v>
      </c>
      <c r="D1264" s="5" t="s">
        <v>30</v>
      </c>
      <c r="E1264" s="9" t="s">
        <v>1044</v>
      </c>
      <c r="F1264" s="9" t="s">
        <v>1045</v>
      </c>
      <c r="G1264" s="9" t="s">
        <v>221</v>
      </c>
      <c r="H1264" s="9" t="s">
        <v>1046</v>
      </c>
      <c r="I1264" s="9" t="s">
        <v>119</v>
      </c>
      <c r="J1264" s="9" t="s">
        <v>36</v>
      </c>
      <c r="K1264" s="9">
        <v>690</v>
      </c>
      <c r="L1264" s="9"/>
      <c r="M1264" s="9"/>
      <c r="N1264" s="9"/>
      <c r="O1264" s="9" t="s">
        <v>37</v>
      </c>
      <c r="P1264" s="9" t="s">
        <v>46</v>
      </c>
      <c r="Q1264" s="9"/>
      <c r="R1264" s="10"/>
      <c r="S1264" s="10"/>
      <c r="T1264" s="10"/>
      <c r="U1264" s="9" t="s">
        <v>148</v>
      </c>
      <c r="V1264" t="s">
        <v>184</v>
      </c>
      <c r="W1264" t="s">
        <v>138</v>
      </c>
      <c r="X1264" t="s">
        <v>70</v>
      </c>
      <c r="Y1264" t="s">
        <v>1047</v>
      </c>
      <c r="Z1264" t="s">
        <v>247</v>
      </c>
      <c r="AB1264" t="str">
        <f t="shared" si="57"/>
        <v>33202</v>
      </c>
    </row>
    <row r="1265" ht="14.25" spans="1:28">
      <c r="A1265" s="5" t="s">
        <v>28</v>
      </c>
      <c r="B1265" s="5" t="s">
        <v>697</v>
      </c>
      <c r="C1265" s="5">
        <v>2027</v>
      </c>
      <c r="D1265" s="5" t="s">
        <v>30</v>
      </c>
      <c r="E1265" s="9" t="s">
        <v>1048</v>
      </c>
      <c r="F1265" s="9" t="s">
        <v>1045</v>
      </c>
      <c r="G1265" s="9" t="s">
        <v>33</v>
      </c>
      <c r="H1265" s="9" t="s">
        <v>1049</v>
      </c>
      <c r="I1265" s="9" t="s">
        <v>112</v>
      </c>
      <c r="J1265" s="9" t="s">
        <v>36</v>
      </c>
      <c r="K1265" s="9">
        <v>690</v>
      </c>
      <c r="L1265" s="9"/>
      <c r="M1265" s="9"/>
      <c r="N1265" s="9"/>
      <c r="O1265" s="9" t="s">
        <v>37</v>
      </c>
      <c r="P1265" s="9" t="s">
        <v>38</v>
      </c>
      <c r="Q1265" s="9"/>
      <c r="R1265" s="10">
        <f t="shared" si="58"/>
        <v>0</v>
      </c>
      <c r="S1265" s="10">
        <f>SUMIFS([1]Sheet1!$T:$T,[1]Sheet1!$I:$I,E1265,[1]Sheet1!$C:$C,A1265)</f>
        <v>30</v>
      </c>
      <c r="T1265" s="10">
        <f t="shared" si="59"/>
        <v>-30</v>
      </c>
      <c r="U1265" s="9" t="s">
        <v>148</v>
      </c>
      <c r="V1265" t="s">
        <v>184</v>
      </c>
      <c r="W1265" t="s">
        <v>138</v>
      </c>
      <c r="X1265" t="s">
        <v>39</v>
      </c>
      <c r="Y1265" t="s">
        <v>1047</v>
      </c>
      <c r="Z1265" t="s">
        <v>247</v>
      </c>
      <c r="AB1265" t="str">
        <f t="shared" si="57"/>
        <v>33202</v>
      </c>
    </row>
    <row r="1266" ht="14.25" spans="1:28">
      <c r="A1266" s="5" t="s">
        <v>28</v>
      </c>
      <c r="B1266" s="5" t="s">
        <v>697</v>
      </c>
      <c r="C1266" s="5">
        <v>2027</v>
      </c>
      <c r="D1266" s="5" t="s">
        <v>30</v>
      </c>
      <c r="E1266" s="9" t="s">
        <v>1048</v>
      </c>
      <c r="F1266" s="9" t="s">
        <v>1045</v>
      </c>
      <c r="G1266" s="9" t="s">
        <v>33</v>
      </c>
      <c r="H1266" s="9" t="s">
        <v>1049</v>
      </c>
      <c r="I1266" s="9" t="s">
        <v>112</v>
      </c>
      <c r="J1266" s="9" t="s">
        <v>36</v>
      </c>
      <c r="K1266" s="9">
        <v>690</v>
      </c>
      <c r="L1266" s="9"/>
      <c r="M1266" s="9"/>
      <c r="N1266" s="9"/>
      <c r="O1266" s="9" t="s">
        <v>37</v>
      </c>
      <c r="P1266" s="9" t="s">
        <v>42</v>
      </c>
      <c r="Q1266" s="9"/>
      <c r="R1266" s="10"/>
      <c r="S1266" s="10"/>
      <c r="T1266" s="10"/>
      <c r="U1266" s="9" t="s">
        <v>148</v>
      </c>
      <c r="V1266" t="s">
        <v>184</v>
      </c>
      <c r="W1266" t="s">
        <v>138</v>
      </c>
      <c r="X1266" t="s">
        <v>39</v>
      </c>
      <c r="Y1266" t="s">
        <v>1047</v>
      </c>
      <c r="Z1266" t="s">
        <v>247</v>
      </c>
      <c r="AB1266" t="str">
        <f t="shared" si="57"/>
        <v>33202</v>
      </c>
    </row>
    <row r="1267" ht="14.25" spans="1:28">
      <c r="A1267" s="5" t="s">
        <v>28</v>
      </c>
      <c r="B1267" s="5" t="s">
        <v>697</v>
      </c>
      <c r="C1267" s="5">
        <v>2027</v>
      </c>
      <c r="D1267" s="5" t="s">
        <v>30</v>
      </c>
      <c r="E1267" s="9" t="s">
        <v>1048</v>
      </c>
      <c r="F1267" s="9" t="s">
        <v>1045</v>
      </c>
      <c r="G1267" s="9" t="s">
        <v>33</v>
      </c>
      <c r="H1267" s="9" t="s">
        <v>1049</v>
      </c>
      <c r="I1267" s="9" t="s">
        <v>112</v>
      </c>
      <c r="J1267" s="9" t="s">
        <v>36</v>
      </c>
      <c r="K1267" s="9">
        <v>690</v>
      </c>
      <c r="L1267" s="9"/>
      <c r="M1267" s="9"/>
      <c r="N1267" s="9"/>
      <c r="O1267" s="9" t="s">
        <v>37</v>
      </c>
      <c r="P1267" s="9" t="s">
        <v>43</v>
      </c>
      <c r="Q1267" s="9"/>
      <c r="R1267" s="10"/>
      <c r="S1267" s="10"/>
      <c r="T1267" s="10"/>
      <c r="U1267" s="9" t="s">
        <v>148</v>
      </c>
      <c r="V1267" t="s">
        <v>184</v>
      </c>
      <c r="W1267" t="s">
        <v>138</v>
      </c>
      <c r="X1267" t="s">
        <v>39</v>
      </c>
      <c r="Y1267" t="s">
        <v>1047</v>
      </c>
      <c r="Z1267" t="s">
        <v>247</v>
      </c>
      <c r="AB1267" t="str">
        <f t="shared" si="57"/>
        <v>33202</v>
      </c>
    </row>
    <row r="1268" ht="14.25" spans="1:28">
      <c r="A1268" s="5" t="s">
        <v>28</v>
      </c>
      <c r="B1268" s="5" t="s">
        <v>697</v>
      </c>
      <c r="C1268" s="5">
        <v>2027</v>
      </c>
      <c r="D1268" s="5" t="s">
        <v>30</v>
      </c>
      <c r="E1268" s="9" t="s">
        <v>1048</v>
      </c>
      <c r="F1268" s="9" t="s">
        <v>1045</v>
      </c>
      <c r="G1268" s="9" t="s">
        <v>33</v>
      </c>
      <c r="H1268" s="9" t="s">
        <v>1049</v>
      </c>
      <c r="I1268" s="9" t="s">
        <v>112</v>
      </c>
      <c r="J1268" s="9" t="s">
        <v>36</v>
      </c>
      <c r="K1268" s="9">
        <v>690</v>
      </c>
      <c r="L1268" s="9"/>
      <c r="M1268" s="9"/>
      <c r="N1268" s="9"/>
      <c r="O1268" s="9" t="s">
        <v>37</v>
      </c>
      <c r="P1268" s="9" t="s">
        <v>44</v>
      </c>
      <c r="Q1268" s="9"/>
      <c r="R1268" s="10"/>
      <c r="S1268" s="10"/>
      <c r="T1268" s="10"/>
      <c r="U1268" s="9" t="s">
        <v>148</v>
      </c>
      <c r="V1268" t="s">
        <v>184</v>
      </c>
      <c r="W1268" t="s">
        <v>138</v>
      </c>
      <c r="X1268" t="s">
        <v>39</v>
      </c>
      <c r="Y1268" t="s">
        <v>1047</v>
      </c>
      <c r="Z1268" t="s">
        <v>247</v>
      </c>
      <c r="AB1268" t="str">
        <f t="shared" si="57"/>
        <v>33202</v>
      </c>
    </row>
    <row r="1269" ht="14.25" spans="1:28">
      <c r="A1269" s="5" t="s">
        <v>28</v>
      </c>
      <c r="B1269" s="5" t="s">
        <v>697</v>
      </c>
      <c r="C1269" s="5">
        <v>2027</v>
      </c>
      <c r="D1269" s="5" t="s">
        <v>30</v>
      </c>
      <c r="E1269" s="9" t="s">
        <v>1048</v>
      </c>
      <c r="F1269" s="9" t="s">
        <v>1045</v>
      </c>
      <c r="G1269" s="9" t="s">
        <v>33</v>
      </c>
      <c r="H1269" s="9" t="s">
        <v>1049</v>
      </c>
      <c r="I1269" s="9" t="s">
        <v>112</v>
      </c>
      <c r="J1269" s="9" t="s">
        <v>36</v>
      </c>
      <c r="K1269" s="9">
        <v>690</v>
      </c>
      <c r="L1269" s="9"/>
      <c r="M1269" s="9"/>
      <c r="N1269" s="9"/>
      <c r="O1269" s="9" t="s">
        <v>37</v>
      </c>
      <c r="P1269" s="9" t="s">
        <v>45</v>
      </c>
      <c r="Q1269" s="9"/>
      <c r="R1269" s="10"/>
      <c r="S1269" s="10"/>
      <c r="T1269" s="10"/>
      <c r="U1269" s="9" t="s">
        <v>148</v>
      </c>
      <c r="V1269" t="s">
        <v>184</v>
      </c>
      <c r="W1269" t="s">
        <v>138</v>
      </c>
      <c r="X1269" t="s">
        <v>39</v>
      </c>
      <c r="Y1269" t="s">
        <v>1047</v>
      </c>
      <c r="Z1269" t="s">
        <v>247</v>
      </c>
      <c r="AB1269" t="str">
        <f t="shared" si="57"/>
        <v>33202</v>
      </c>
    </row>
    <row r="1270" ht="14.25" spans="1:28">
      <c r="A1270" s="5" t="s">
        <v>28</v>
      </c>
      <c r="B1270" s="5" t="s">
        <v>697</v>
      </c>
      <c r="C1270" s="5">
        <v>2027</v>
      </c>
      <c r="D1270" s="5" t="s">
        <v>30</v>
      </c>
      <c r="E1270" s="9" t="s">
        <v>1048</v>
      </c>
      <c r="F1270" s="9" t="s">
        <v>1045</v>
      </c>
      <c r="G1270" s="9" t="s">
        <v>33</v>
      </c>
      <c r="H1270" s="9" t="s">
        <v>1049</v>
      </c>
      <c r="I1270" s="9" t="s">
        <v>112</v>
      </c>
      <c r="J1270" s="9" t="s">
        <v>36</v>
      </c>
      <c r="K1270" s="9">
        <v>690</v>
      </c>
      <c r="L1270" s="9"/>
      <c r="M1270" s="9"/>
      <c r="N1270" s="9"/>
      <c r="O1270" s="9" t="s">
        <v>37</v>
      </c>
      <c r="P1270" s="9" t="s">
        <v>46</v>
      </c>
      <c r="Q1270" s="9"/>
      <c r="R1270" s="10"/>
      <c r="S1270" s="10"/>
      <c r="T1270" s="10"/>
      <c r="U1270" s="9" t="s">
        <v>148</v>
      </c>
      <c r="V1270" t="s">
        <v>184</v>
      </c>
      <c r="W1270" t="s">
        <v>138</v>
      </c>
      <c r="X1270" t="s">
        <v>39</v>
      </c>
      <c r="Y1270" t="s">
        <v>1047</v>
      </c>
      <c r="Z1270" t="s">
        <v>247</v>
      </c>
      <c r="AB1270" t="str">
        <f t="shared" si="57"/>
        <v>33202</v>
      </c>
    </row>
    <row r="1271" ht="14.25" spans="1:28">
      <c r="A1271" s="5" t="s">
        <v>28</v>
      </c>
      <c r="B1271" s="5" t="s">
        <v>697</v>
      </c>
      <c r="C1271" s="5">
        <v>2027</v>
      </c>
      <c r="D1271" s="5" t="s">
        <v>30</v>
      </c>
      <c r="E1271" s="9" t="s">
        <v>1050</v>
      </c>
      <c r="F1271" s="9" t="s">
        <v>1045</v>
      </c>
      <c r="G1271" s="9" t="s">
        <v>100</v>
      </c>
      <c r="H1271" s="9" t="s">
        <v>1051</v>
      </c>
      <c r="I1271" s="9" t="s">
        <v>119</v>
      </c>
      <c r="J1271" s="9" t="s">
        <v>36</v>
      </c>
      <c r="K1271" s="9">
        <v>690</v>
      </c>
      <c r="L1271" s="9"/>
      <c r="M1271" s="9"/>
      <c r="N1271" s="9"/>
      <c r="O1271" s="9" t="s">
        <v>37</v>
      </c>
      <c r="P1271" s="9" t="s">
        <v>38</v>
      </c>
      <c r="Q1271" s="9"/>
      <c r="R1271" s="10">
        <f t="shared" si="58"/>
        <v>0</v>
      </c>
      <c r="S1271" s="10">
        <f>SUMIFS([1]Sheet1!$T:$T,[1]Sheet1!$I:$I,E1271,[1]Sheet1!$C:$C,A1271)</f>
        <v>100</v>
      </c>
      <c r="T1271" s="10">
        <f t="shared" si="59"/>
        <v>-100</v>
      </c>
      <c r="U1271" s="9" t="s">
        <v>148</v>
      </c>
      <c r="V1271" t="s">
        <v>184</v>
      </c>
      <c r="W1271" t="s">
        <v>138</v>
      </c>
      <c r="X1271" t="s">
        <v>102</v>
      </c>
      <c r="Y1271" t="s">
        <v>1047</v>
      </c>
      <c r="Z1271" t="s">
        <v>247</v>
      </c>
      <c r="AB1271" t="str">
        <f t="shared" si="57"/>
        <v>33202</v>
      </c>
    </row>
    <row r="1272" ht="14.25" spans="1:28">
      <c r="A1272" s="5" t="s">
        <v>28</v>
      </c>
      <c r="B1272" s="5" t="s">
        <v>697</v>
      </c>
      <c r="C1272" s="5">
        <v>2027</v>
      </c>
      <c r="D1272" s="5" t="s">
        <v>30</v>
      </c>
      <c r="E1272" s="9" t="s">
        <v>1050</v>
      </c>
      <c r="F1272" s="9" t="s">
        <v>1045</v>
      </c>
      <c r="G1272" s="9" t="s">
        <v>100</v>
      </c>
      <c r="H1272" s="9" t="s">
        <v>1051</v>
      </c>
      <c r="I1272" s="9" t="s">
        <v>119</v>
      </c>
      <c r="J1272" s="9" t="s">
        <v>36</v>
      </c>
      <c r="K1272" s="9">
        <v>690</v>
      </c>
      <c r="L1272" s="9"/>
      <c r="M1272" s="9"/>
      <c r="N1272" s="9"/>
      <c r="O1272" s="9" t="s">
        <v>37</v>
      </c>
      <c r="P1272" s="9" t="s">
        <v>42</v>
      </c>
      <c r="Q1272" s="9"/>
      <c r="R1272" s="10"/>
      <c r="S1272" s="10"/>
      <c r="T1272" s="10"/>
      <c r="U1272" s="9" t="s">
        <v>148</v>
      </c>
      <c r="V1272" t="s">
        <v>184</v>
      </c>
      <c r="W1272" t="s">
        <v>138</v>
      </c>
      <c r="X1272" t="s">
        <v>102</v>
      </c>
      <c r="Y1272" t="s">
        <v>1047</v>
      </c>
      <c r="Z1272" t="s">
        <v>247</v>
      </c>
      <c r="AB1272" t="str">
        <f t="shared" si="57"/>
        <v>33202</v>
      </c>
    </row>
    <row r="1273" ht="14.25" spans="1:28">
      <c r="A1273" s="5" t="s">
        <v>28</v>
      </c>
      <c r="B1273" s="5" t="s">
        <v>697</v>
      </c>
      <c r="C1273" s="5">
        <v>2027</v>
      </c>
      <c r="D1273" s="5" t="s">
        <v>30</v>
      </c>
      <c r="E1273" s="9" t="s">
        <v>1050</v>
      </c>
      <c r="F1273" s="9" t="s">
        <v>1045</v>
      </c>
      <c r="G1273" s="9" t="s">
        <v>100</v>
      </c>
      <c r="H1273" s="9" t="s">
        <v>1051</v>
      </c>
      <c r="I1273" s="9" t="s">
        <v>119</v>
      </c>
      <c r="J1273" s="9" t="s">
        <v>36</v>
      </c>
      <c r="K1273" s="9">
        <v>690</v>
      </c>
      <c r="L1273" s="9"/>
      <c r="M1273" s="9"/>
      <c r="N1273" s="9"/>
      <c r="O1273" s="9" t="s">
        <v>37</v>
      </c>
      <c r="P1273" s="9" t="s">
        <v>43</v>
      </c>
      <c r="Q1273" s="9"/>
      <c r="R1273" s="10"/>
      <c r="S1273" s="10"/>
      <c r="T1273" s="10"/>
      <c r="U1273" s="9" t="s">
        <v>148</v>
      </c>
      <c r="V1273" t="s">
        <v>184</v>
      </c>
      <c r="W1273" t="s">
        <v>138</v>
      </c>
      <c r="X1273" t="s">
        <v>102</v>
      </c>
      <c r="Y1273" t="s">
        <v>1047</v>
      </c>
      <c r="Z1273" t="s">
        <v>247</v>
      </c>
      <c r="AB1273" t="str">
        <f t="shared" si="57"/>
        <v>33202</v>
      </c>
    </row>
    <row r="1274" ht="14.25" spans="1:28">
      <c r="A1274" s="5" t="s">
        <v>28</v>
      </c>
      <c r="B1274" s="5" t="s">
        <v>697</v>
      </c>
      <c r="C1274" s="5">
        <v>2027</v>
      </c>
      <c r="D1274" s="5" t="s">
        <v>30</v>
      </c>
      <c r="E1274" s="9" t="s">
        <v>1050</v>
      </c>
      <c r="F1274" s="9" t="s">
        <v>1045</v>
      </c>
      <c r="G1274" s="9" t="s">
        <v>100</v>
      </c>
      <c r="H1274" s="9" t="s">
        <v>1051</v>
      </c>
      <c r="I1274" s="9" t="s">
        <v>119</v>
      </c>
      <c r="J1274" s="9" t="s">
        <v>36</v>
      </c>
      <c r="K1274" s="9">
        <v>690</v>
      </c>
      <c r="L1274" s="9"/>
      <c r="M1274" s="9"/>
      <c r="N1274" s="9"/>
      <c r="O1274" s="9" t="s">
        <v>37</v>
      </c>
      <c r="P1274" s="9" t="s">
        <v>44</v>
      </c>
      <c r="Q1274" s="9"/>
      <c r="R1274" s="10"/>
      <c r="S1274" s="10"/>
      <c r="T1274" s="10"/>
      <c r="U1274" s="9" t="s">
        <v>148</v>
      </c>
      <c r="V1274" t="s">
        <v>184</v>
      </c>
      <c r="W1274" t="s">
        <v>138</v>
      </c>
      <c r="X1274" t="s">
        <v>102</v>
      </c>
      <c r="Y1274" t="s">
        <v>1047</v>
      </c>
      <c r="Z1274" t="s">
        <v>247</v>
      </c>
      <c r="AB1274" t="str">
        <f t="shared" si="57"/>
        <v>33202</v>
      </c>
    </row>
    <row r="1275" ht="14.25" spans="1:28">
      <c r="A1275" s="5" t="s">
        <v>28</v>
      </c>
      <c r="B1275" s="5" t="s">
        <v>697</v>
      </c>
      <c r="C1275" s="5">
        <v>2027</v>
      </c>
      <c r="D1275" s="5" t="s">
        <v>30</v>
      </c>
      <c r="E1275" s="9" t="s">
        <v>1050</v>
      </c>
      <c r="F1275" s="9" t="s">
        <v>1045</v>
      </c>
      <c r="G1275" s="9" t="s">
        <v>100</v>
      </c>
      <c r="H1275" s="9" t="s">
        <v>1051</v>
      </c>
      <c r="I1275" s="9" t="s">
        <v>119</v>
      </c>
      <c r="J1275" s="9" t="s">
        <v>36</v>
      </c>
      <c r="K1275" s="9">
        <v>690</v>
      </c>
      <c r="L1275" s="9"/>
      <c r="M1275" s="9"/>
      <c r="N1275" s="9"/>
      <c r="O1275" s="9" t="s">
        <v>37</v>
      </c>
      <c r="P1275" s="9" t="s">
        <v>45</v>
      </c>
      <c r="Q1275" s="11"/>
      <c r="R1275" s="10"/>
      <c r="S1275" s="10"/>
      <c r="T1275" s="10"/>
      <c r="U1275" s="9" t="s">
        <v>148</v>
      </c>
      <c r="V1275" t="s">
        <v>184</v>
      </c>
      <c r="W1275" t="s">
        <v>138</v>
      </c>
      <c r="X1275" t="s">
        <v>102</v>
      </c>
      <c r="Y1275" t="s">
        <v>1047</v>
      </c>
      <c r="Z1275" t="s">
        <v>247</v>
      </c>
      <c r="AB1275" t="str">
        <f t="shared" si="57"/>
        <v>33202</v>
      </c>
    </row>
    <row r="1276" ht="14.25" spans="1:28">
      <c r="A1276" s="5" t="s">
        <v>28</v>
      </c>
      <c r="B1276" s="5" t="s">
        <v>697</v>
      </c>
      <c r="C1276" s="5">
        <v>2027</v>
      </c>
      <c r="D1276" s="5" t="s">
        <v>30</v>
      </c>
      <c r="E1276" s="9" t="s">
        <v>1050</v>
      </c>
      <c r="F1276" s="9" t="s">
        <v>1045</v>
      </c>
      <c r="G1276" s="9" t="s">
        <v>100</v>
      </c>
      <c r="H1276" s="9" t="s">
        <v>1051</v>
      </c>
      <c r="I1276" s="9" t="s">
        <v>119</v>
      </c>
      <c r="J1276" s="9" t="s">
        <v>36</v>
      </c>
      <c r="K1276" s="9">
        <v>690</v>
      </c>
      <c r="L1276" s="9"/>
      <c r="M1276" s="9"/>
      <c r="N1276" s="9"/>
      <c r="O1276" s="9" t="s">
        <v>37</v>
      </c>
      <c r="P1276" s="9" t="s">
        <v>46</v>
      </c>
      <c r="Q1276" s="11"/>
      <c r="R1276" s="10"/>
      <c r="S1276" s="10"/>
      <c r="T1276" s="10"/>
      <c r="U1276" s="9" t="s">
        <v>148</v>
      </c>
      <c r="V1276" t="s">
        <v>184</v>
      </c>
      <c r="W1276" t="s">
        <v>138</v>
      </c>
      <c r="X1276" t="s">
        <v>102</v>
      </c>
      <c r="Y1276" t="s">
        <v>1047</v>
      </c>
      <c r="Z1276" t="s">
        <v>247</v>
      </c>
      <c r="AB1276" t="str">
        <f t="shared" si="57"/>
        <v>33202</v>
      </c>
    </row>
    <row r="1277" ht="14.25" spans="1:28">
      <c r="A1277" s="5" t="s">
        <v>28</v>
      </c>
      <c r="B1277" s="5" t="s">
        <v>697</v>
      </c>
      <c r="C1277" s="5">
        <v>2027</v>
      </c>
      <c r="D1277" s="5" t="s">
        <v>30</v>
      </c>
      <c r="E1277" s="9" t="s">
        <v>1052</v>
      </c>
      <c r="F1277" s="9" t="s">
        <v>1045</v>
      </c>
      <c r="G1277" s="9" t="s">
        <v>1053</v>
      </c>
      <c r="H1277" s="9" t="s">
        <v>1054</v>
      </c>
      <c r="I1277" s="9" t="s">
        <v>119</v>
      </c>
      <c r="J1277" s="9" t="s">
        <v>36</v>
      </c>
      <c r="K1277" s="9">
        <v>690</v>
      </c>
      <c r="L1277" s="9"/>
      <c r="M1277" s="9"/>
      <c r="N1277" s="9"/>
      <c r="O1277" s="9" t="s">
        <v>37</v>
      </c>
      <c r="P1277" s="9" t="s">
        <v>38</v>
      </c>
      <c r="Q1277" s="11"/>
      <c r="R1277" s="10">
        <f t="shared" si="58"/>
        <v>0</v>
      </c>
      <c r="S1277" s="10">
        <f>SUMIFS([1]Sheet1!$T:$T,[1]Sheet1!$I:$I,E1277,[1]Sheet1!$C:$C,A1277)</f>
        <v>50</v>
      </c>
      <c r="T1277" s="10">
        <f t="shared" si="59"/>
        <v>-50</v>
      </c>
      <c r="U1277" s="9" t="s">
        <v>148</v>
      </c>
      <c r="V1277" t="s">
        <v>184</v>
      </c>
      <c r="W1277" t="s">
        <v>138</v>
      </c>
      <c r="X1277" t="s">
        <v>243</v>
      </c>
      <c r="Y1277" t="s">
        <v>1047</v>
      </c>
      <c r="Z1277" t="s">
        <v>247</v>
      </c>
      <c r="AB1277" t="str">
        <f t="shared" si="57"/>
        <v>33202</v>
      </c>
    </row>
    <row r="1278" ht="14.25" spans="1:28">
      <c r="A1278" s="5" t="s">
        <v>28</v>
      </c>
      <c r="B1278" s="5" t="s">
        <v>697</v>
      </c>
      <c r="C1278" s="5">
        <v>2027</v>
      </c>
      <c r="D1278" s="5" t="s">
        <v>30</v>
      </c>
      <c r="E1278" s="9" t="s">
        <v>1052</v>
      </c>
      <c r="F1278" s="9" t="s">
        <v>1045</v>
      </c>
      <c r="G1278" s="9" t="s">
        <v>1053</v>
      </c>
      <c r="H1278" s="9" t="s">
        <v>1054</v>
      </c>
      <c r="I1278" s="9" t="s">
        <v>119</v>
      </c>
      <c r="J1278" s="9" t="s">
        <v>36</v>
      </c>
      <c r="K1278" s="9">
        <v>690</v>
      </c>
      <c r="L1278" s="9"/>
      <c r="M1278" s="9"/>
      <c r="N1278" s="9"/>
      <c r="O1278" s="9" t="s">
        <v>37</v>
      </c>
      <c r="P1278" s="9" t="s">
        <v>42</v>
      </c>
      <c r="Q1278" s="11"/>
      <c r="R1278" s="10"/>
      <c r="S1278" s="10"/>
      <c r="T1278" s="10"/>
      <c r="U1278" s="9" t="s">
        <v>148</v>
      </c>
      <c r="V1278" t="s">
        <v>184</v>
      </c>
      <c r="W1278" t="s">
        <v>138</v>
      </c>
      <c r="X1278" t="s">
        <v>243</v>
      </c>
      <c r="Y1278" t="s">
        <v>1047</v>
      </c>
      <c r="Z1278" t="s">
        <v>247</v>
      </c>
      <c r="AB1278" t="str">
        <f t="shared" si="57"/>
        <v>33202</v>
      </c>
    </row>
    <row r="1279" ht="14.25" spans="1:28">
      <c r="A1279" s="5" t="s">
        <v>28</v>
      </c>
      <c r="B1279" s="5" t="s">
        <v>697</v>
      </c>
      <c r="C1279" s="5">
        <v>2027</v>
      </c>
      <c r="D1279" s="5" t="s">
        <v>30</v>
      </c>
      <c r="E1279" s="9" t="s">
        <v>1052</v>
      </c>
      <c r="F1279" s="9" t="s">
        <v>1045</v>
      </c>
      <c r="G1279" s="9" t="s">
        <v>1053</v>
      </c>
      <c r="H1279" s="9" t="s">
        <v>1054</v>
      </c>
      <c r="I1279" s="9" t="s">
        <v>119</v>
      </c>
      <c r="J1279" s="9" t="s">
        <v>36</v>
      </c>
      <c r="K1279" s="9">
        <v>690</v>
      </c>
      <c r="L1279" s="9"/>
      <c r="M1279" s="9"/>
      <c r="N1279" s="9"/>
      <c r="O1279" s="9" t="s">
        <v>37</v>
      </c>
      <c r="P1279" s="9" t="s">
        <v>43</v>
      </c>
      <c r="Q1279" s="11"/>
      <c r="R1279" s="10"/>
      <c r="S1279" s="10"/>
      <c r="T1279" s="10"/>
      <c r="U1279" s="9" t="s">
        <v>148</v>
      </c>
      <c r="V1279" t="s">
        <v>184</v>
      </c>
      <c r="W1279" t="s">
        <v>138</v>
      </c>
      <c r="X1279" t="s">
        <v>243</v>
      </c>
      <c r="Y1279" t="s">
        <v>1047</v>
      </c>
      <c r="Z1279" t="s">
        <v>247</v>
      </c>
      <c r="AB1279" t="str">
        <f t="shared" si="57"/>
        <v>33202</v>
      </c>
    </row>
    <row r="1280" ht="14.25" spans="1:28">
      <c r="A1280" s="5" t="s">
        <v>28</v>
      </c>
      <c r="B1280" s="5" t="s">
        <v>697</v>
      </c>
      <c r="C1280" s="5">
        <v>2027</v>
      </c>
      <c r="D1280" s="5" t="s">
        <v>30</v>
      </c>
      <c r="E1280" s="9" t="s">
        <v>1052</v>
      </c>
      <c r="F1280" s="9" t="s">
        <v>1045</v>
      </c>
      <c r="G1280" s="9" t="s">
        <v>1053</v>
      </c>
      <c r="H1280" s="9" t="s">
        <v>1054</v>
      </c>
      <c r="I1280" s="9" t="s">
        <v>119</v>
      </c>
      <c r="J1280" s="9" t="s">
        <v>36</v>
      </c>
      <c r="K1280" s="9">
        <v>690</v>
      </c>
      <c r="L1280" s="9"/>
      <c r="M1280" s="9"/>
      <c r="N1280" s="9"/>
      <c r="O1280" s="9" t="s">
        <v>37</v>
      </c>
      <c r="P1280" s="9" t="s">
        <v>44</v>
      </c>
      <c r="Q1280" s="11"/>
      <c r="R1280" s="10"/>
      <c r="S1280" s="10"/>
      <c r="T1280" s="10"/>
      <c r="U1280" s="9" t="s">
        <v>148</v>
      </c>
      <c r="V1280" t="s">
        <v>184</v>
      </c>
      <c r="W1280" t="s">
        <v>138</v>
      </c>
      <c r="X1280" t="s">
        <v>243</v>
      </c>
      <c r="Y1280" t="s">
        <v>1047</v>
      </c>
      <c r="Z1280" t="s">
        <v>247</v>
      </c>
      <c r="AB1280" t="str">
        <f t="shared" si="57"/>
        <v>33202</v>
      </c>
    </row>
    <row r="1281" ht="14.25" spans="1:28">
      <c r="A1281" s="5" t="s">
        <v>28</v>
      </c>
      <c r="B1281" s="5" t="s">
        <v>697</v>
      </c>
      <c r="C1281" s="5">
        <v>2027</v>
      </c>
      <c r="D1281" s="5" t="s">
        <v>30</v>
      </c>
      <c r="E1281" s="9" t="s">
        <v>1052</v>
      </c>
      <c r="F1281" s="9" t="s">
        <v>1045</v>
      </c>
      <c r="G1281" s="9" t="s">
        <v>1053</v>
      </c>
      <c r="H1281" s="9" t="s">
        <v>1054</v>
      </c>
      <c r="I1281" s="9" t="s">
        <v>119</v>
      </c>
      <c r="J1281" s="9" t="s">
        <v>36</v>
      </c>
      <c r="K1281" s="9">
        <v>690</v>
      </c>
      <c r="L1281" s="9"/>
      <c r="M1281" s="9"/>
      <c r="N1281" s="9"/>
      <c r="O1281" s="9" t="s">
        <v>37</v>
      </c>
      <c r="P1281" s="9" t="s">
        <v>45</v>
      </c>
      <c r="Q1281" s="11"/>
      <c r="R1281" s="10"/>
      <c r="S1281" s="10"/>
      <c r="T1281" s="10"/>
      <c r="U1281" s="9" t="s">
        <v>148</v>
      </c>
      <c r="V1281" t="s">
        <v>184</v>
      </c>
      <c r="W1281" t="s">
        <v>138</v>
      </c>
      <c r="X1281" t="s">
        <v>243</v>
      </c>
      <c r="Y1281" t="s">
        <v>1047</v>
      </c>
      <c r="Z1281" t="s">
        <v>247</v>
      </c>
      <c r="AB1281" t="str">
        <f t="shared" si="57"/>
        <v>33202</v>
      </c>
    </row>
    <row r="1282" ht="14.25" spans="1:28">
      <c r="A1282" s="5" t="s">
        <v>28</v>
      </c>
      <c r="B1282" s="5" t="s">
        <v>697</v>
      </c>
      <c r="C1282" s="5">
        <v>2027</v>
      </c>
      <c r="D1282" s="5" t="s">
        <v>30</v>
      </c>
      <c r="E1282" s="9" t="s">
        <v>1052</v>
      </c>
      <c r="F1282" s="9" t="s">
        <v>1045</v>
      </c>
      <c r="G1282" s="9" t="s">
        <v>1053</v>
      </c>
      <c r="H1282" s="9" t="s">
        <v>1054</v>
      </c>
      <c r="I1282" s="9" t="s">
        <v>119</v>
      </c>
      <c r="J1282" s="9" t="s">
        <v>36</v>
      </c>
      <c r="K1282" s="9">
        <v>690</v>
      </c>
      <c r="L1282" s="9"/>
      <c r="M1282" s="9"/>
      <c r="N1282" s="9"/>
      <c r="O1282" s="9" t="s">
        <v>37</v>
      </c>
      <c r="P1282" s="9" t="s">
        <v>46</v>
      </c>
      <c r="Q1282" s="11"/>
      <c r="R1282" s="10"/>
      <c r="S1282" s="10"/>
      <c r="T1282" s="10"/>
      <c r="U1282" s="9" t="s">
        <v>148</v>
      </c>
      <c r="V1282" t="s">
        <v>184</v>
      </c>
      <c r="W1282" t="s">
        <v>138</v>
      </c>
      <c r="X1282" t="s">
        <v>243</v>
      </c>
      <c r="Y1282" t="s">
        <v>1047</v>
      </c>
      <c r="Z1282" t="s">
        <v>247</v>
      </c>
      <c r="AB1282" t="str">
        <f t="shared" si="57"/>
        <v>33202</v>
      </c>
    </row>
    <row r="1283" ht="14.25" spans="1:28">
      <c r="A1283" s="5" t="s">
        <v>28</v>
      </c>
      <c r="B1283" s="5" t="s">
        <v>697</v>
      </c>
      <c r="C1283" s="5">
        <v>2027</v>
      </c>
      <c r="D1283" s="5" t="s">
        <v>30</v>
      </c>
      <c r="E1283" s="9" t="s">
        <v>1055</v>
      </c>
      <c r="F1283" s="9" t="s">
        <v>1045</v>
      </c>
      <c r="G1283" s="9" t="s">
        <v>60</v>
      </c>
      <c r="H1283" s="9" t="s">
        <v>1056</v>
      </c>
      <c r="I1283" s="9" t="s">
        <v>119</v>
      </c>
      <c r="J1283" s="9" t="s">
        <v>36</v>
      </c>
      <c r="K1283" s="9">
        <v>690</v>
      </c>
      <c r="L1283" s="9"/>
      <c r="M1283" s="9"/>
      <c r="N1283" s="9"/>
      <c r="O1283" s="9" t="s">
        <v>37</v>
      </c>
      <c r="P1283" s="9" t="s">
        <v>38</v>
      </c>
      <c r="Q1283" s="11"/>
      <c r="R1283" s="10">
        <f t="shared" ref="R1282:R1345" si="60">SUMIFS(Q:Q,E:E,E1283)</f>
        <v>0</v>
      </c>
      <c r="S1283" s="10">
        <f>SUMIFS([1]Sheet1!$T:$T,[1]Sheet1!$I:$I,E1283,[1]Sheet1!$C:$C,A1283)</f>
        <v>80</v>
      </c>
      <c r="T1283" s="10">
        <f t="shared" ref="T1282:T1345" si="61">R1283-S1283</f>
        <v>-80</v>
      </c>
      <c r="U1283" s="9" t="s">
        <v>148</v>
      </c>
      <c r="V1283" t="s">
        <v>184</v>
      </c>
      <c r="W1283" t="s">
        <v>138</v>
      </c>
      <c r="X1283" t="s">
        <v>62</v>
      </c>
      <c r="Y1283" t="s">
        <v>1047</v>
      </c>
      <c r="Z1283" t="s">
        <v>247</v>
      </c>
      <c r="AB1283" t="str">
        <f t="shared" ref="AB1283:AB1346" si="62">MID(E1283,6,5)</f>
        <v>33202</v>
      </c>
    </row>
    <row r="1284" ht="14.25" spans="1:28">
      <c r="A1284" s="5" t="s">
        <v>28</v>
      </c>
      <c r="B1284" s="5" t="s">
        <v>697</v>
      </c>
      <c r="C1284" s="5">
        <v>2027</v>
      </c>
      <c r="D1284" s="5" t="s">
        <v>30</v>
      </c>
      <c r="E1284" s="9" t="s">
        <v>1055</v>
      </c>
      <c r="F1284" s="9" t="s">
        <v>1045</v>
      </c>
      <c r="G1284" s="9" t="s">
        <v>60</v>
      </c>
      <c r="H1284" s="9" t="s">
        <v>1056</v>
      </c>
      <c r="I1284" s="9" t="s">
        <v>119</v>
      </c>
      <c r="J1284" s="9" t="s">
        <v>36</v>
      </c>
      <c r="K1284" s="9">
        <v>690</v>
      </c>
      <c r="L1284" s="9"/>
      <c r="M1284" s="9"/>
      <c r="N1284" s="9"/>
      <c r="O1284" s="9" t="s">
        <v>37</v>
      </c>
      <c r="P1284" s="9" t="s">
        <v>42</v>
      </c>
      <c r="Q1284" s="11"/>
      <c r="R1284" s="10"/>
      <c r="S1284" s="10"/>
      <c r="T1284" s="10"/>
      <c r="U1284" s="9" t="s">
        <v>148</v>
      </c>
      <c r="V1284" t="s">
        <v>184</v>
      </c>
      <c r="W1284" t="s">
        <v>138</v>
      </c>
      <c r="X1284" t="s">
        <v>62</v>
      </c>
      <c r="Y1284" t="s">
        <v>1047</v>
      </c>
      <c r="Z1284" t="s">
        <v>247</v>
      </c>
      <c r="AB1284" t="str">
        <f t="shared" si="62"/>
        <v>33202</v>
      </c>
    </row>
    <row r="1285" ht="14.25" spans="1:28">
      <c r="A1285" s="5" t="s">
        <v>28</v>
      </c>
      <c r="B1285" s="5" t="s">
        <v>697</v>
      </c>
      <c r="C1285" s="5">
        <v>2027</v>
      </c>
      <c r="D1285" s="5" t="s">
        <v>30</v>
      </c>
      <c r="E1285" s="9" t="s">
        <v>1055</v>
      </c>
      <c r="F1285" s="9" t="s">
        <v>1045</v>
      </c>
      <c r="G1285" s="9" t="s">
        <v>60</v>
      </c>
      <c r="H1285" s="9" t="s">
        <v>1056</v>
      </c>
      <c r="I1285" s="9" t="s">
        <v>119</v>
      </c>
      <c r="J1285" s="9" t="s">
        <v>36</v>
      </c>
      <c r="K1285" s="9">
        <v>690</v>
      </c>
      <c r="L1285" s="9"/>
      <c r="M1285" s="9"/>
      <c r="N1285" s="9"/>
      <c r="O1285" s="9" t="s">
        <v>37</v>
      </c>
      <c r="P1285" s="9" t="s">
        <v>43</v>
      </c>
      <c r="Q1285" s="11"/>
      <c r="R1285" s="10"/>
      <c r="S1285" s="10"/>
      <c r="T1285" s="10"/>
      <c r="U1285" s="9" t="s">
        <v>148</v>
      </c>
      <c r="V1285" t="s">
        <v>184</v>
      </c>
      <c r="W1285" t="s">
        <v>138</v>
      </c>
      <c r="X1285" t="s">
        <v>62</v>
      </c>
      <c r="Y1285" t="s">
        <v>1047</v>
      </c>
      <c r="Z1285" t="s">
        <v>247</v>
      </c>
      <c r="AB1285" t="str">
        <f t="shared" si="62"/>
        <v>33202</v>
      </c>
    </row>
    <row r="1286" ht="14.25" spans="1:28">
      <c r="A1286" s="5" t="s">
        <v>28</v>
      </c>
      <c r="B1286" s="5" t="s">
        <v>697</v>
      </c>
      <c r="C1286" s="5">
        <v>2027</v>
      </c>
      <c r="D1286" s="5" t="s">
        <v>30</v>
      </c>
      <c r="E1286" s="9" t="s">
        <v>1055</v>
      </c>
      <c r="F1286" s="9" t="s">
        <v>1045</v>
      </c>
      <c r="G1286" s="9" t="s">
        <v>60</v>
      </c>
      <c r="H1286" s="9" t="s">
        <v>1056</v>
      </c>
      <c r="I1286" s="9" t="s">
        <v>119</v>
      </c>
      <c r="J1286" s="9" t="s">
        <v>36</v>
      </c>
      <c r="K1286" s="9">
        <v>690</v>
      </c>
      <c r="L1286" s="9"/>
      <c r="M1286" s="9"/>
      <c r="N1286" s="9"/>
      <c r="O1286" s="9" t="s">
        <v>37</v>
      </c>
      <c r="P1286" s="9" t="s">
        <v>44</v>
      </c>
      <c r="Q1286" s="11"/>
      <c r="R1286" s="10"/>
      <c r="S1286" s="10"/>
      <c r="T1286" s="10"/>
      <c r="U1286" s="9" t="s">
        <v>148</v>
      </c>
      <c r="V1286" t="s">
        <v>184</v>
      </c>
      <c r="W1286" t="s">
        <v>138</v>
      </c>
      <c r="X1286" t="s">
        <v>62</v>
      </c>
      <c r="Y1286" t="s">
        <v>1047</v>
      </c>
      <c r="Z1286" t="s">
        <v>247</v>
      </c>
      <c r="AB1286" t="str">
        <f t="shared" si="62"/>
        <v>33202</v>
      </c>
    </row>
    <row r="1287" ht="14.25" spans="1:28">
      <c r="A1287" s="5" t="s">
        <v>28</v>
      </c>
      <c r="B1287" s="5" t="s">
        <v>697</v>
      </c>
      <c r="C1287" s="5">
        <v>2027</v>
      </c>
      <c r="D1287" s="5" t="s">
        <v>30</v>
      </c>
      <c r="E1287" s="9" t="s">
        <v>1055</v>
      </c>
      <c r="F1287" s="9" t="s">
        <v>1045</v>
      </c>
      <c r="G1287" s="9" t="s">
        <v>60</v>
      </c>
      <c r="H1287" s="9" t="s">
        <v>1056</v>
      </c>
      <c r="I1287" s="9" t="s">
        <v>119</v>
      </c>
      <c r="J1287" s="9" t="s">
        <v>36</v>
      </c>
      <c r="K1287" s="9">
        <v>690</v>
      </c>
      <c r="L1287" s="9"/>
      <c r="M1287" s="9"/>
      <c r="N1287" s="9"/>
      <c r="O1287" s="9" t="s">
        <v>37</v>
      </c>
      <c r="P1287" s="9" t="s">
        <v>45</v>
      </c>
      <c r="Q1287" s="11"/>
      <c r="R1287" s="10"/>
      <c r="S1287" s="10"/>
      <c r="T1287" s="10"/>
      <c r="U1287" s="9" t="s">
        <v>148</v>
      </c>
      <c r="V1287" t="s">
        <v>184</v>
      </c>
      <c r="W1287" t="s">
        <v>138</v>
      </c>
      <c r="X1287" t="s">
        <v>62</v>
      </c>
      <c r="Y1287" t="s">
        <v>1047</v>
      </c>
      <c r="Z1287" t="s">
        <v>247</v>
      </c>
      <c r="AB1287" t="str">
        <f t="shared" si="62"/>
        <v>33202</v>
      </c>
    </row>
    <row r="1288" ht="14.25" spans="1:28">
      <c r="A1288" s="5" t="s">
        <v>28</v>
      </c>
      <c r="B1288" s="5" t="s">
        <v>697</v>
      </c>
      <c r="C1288" s="5">
        <v>2027</v>
      </c>
      <c r="D1288" s="5" t="s">
        <v>30</v>
      </c>
      <c r="E1288" s="9" t="s">
        <v>1055</v>
      </c>
      <c r="F1288" s="9" t="s">
        <v>1045</v>
      </c>
      <c r="G1288" s="9" t="s">
        <v>60</v>
      </c>
      <c r="H1288" s="9" t="s">
        <v>1056</v>
      </c>
      <c r="I1288" s="9" t="s">
        <v>119</v>
      </c>
      <c r="J1288" s="9" t="s">
        <v>36</v>
      </c>
      <c r="K1288" s="9">
        <v>690</v>
      </c>
      <c r="L1288" s="9"/>
      <c r="M1288" s="9"/>
      <c r="N1288" s="9"/>
      <c r="O1288" s="9" t="s">
        <v>37</v>
      </c>
      <c r="P1288" s="9" t="s">
        <v>46</v>
      </c>
      <c r="Q1288" s="11"/>
      <c r="R1288" s="10"/>
      <c r="S1288" s="10"/>
      <c r="T1288" s="10"/>
      <c r="U1288" s="9" t="s">
        <v>148</v>
      </c>
      <c r="V1288" t="s">
        <v>184</v>
      </c>
      <c r="W1288" t="s">
        <v>138</v>
      </c>
      <c r="X1288" t="s">
        <v>62</v>
      </c>
      <c r="Y1288" t="s">
        <v>1047</v>
      </c>
      <c r="Z1288" t="s">
        <v>247</v>
      </c>
      <c r="AB1288" t="str">
        <f t="shared" si="62"/>
        <v>33202</v>
      </c>
    </row>
    <row r="1289" ht="14.25" spans="1:28">
      <c r="A1289" s="5" t="s">
        <v>28</v>
      </c>
      <c r="B1289" s="5" t="s">
        <v>697</v>
      </c>
      <c r="C1289" s="5">
        <v>2027</v>
      </c>
      <c r="D1289" s="5" t="s">
        <v>30</v>
      </c>
      <c r="E1289" s="9" t="s">
        <v>1057</v>
      </c>
      <c r="F1289" s="9" t="s">
        <v>1058</v>
      </c>
      <c r="G1289" s="9" t="s">
        <v>1059</v>
      </c>
      <c r="H1289" s="9" t="s">
        <v>1060</v>
      </c>
      <c r="I1289" s="9" t="s">
        <v>119</v>
      </c>
      <c r="J1289" s="9" t="s">
        <v>74</v>
      </c>
      <c r="K1289" s="9">
        <v>1390</v>
      </c>
      <c r="L1289" s="9"/>
      <c r="M1289" s="9"/>
      <c r="N1289" s="9"/>
      <c r="O1289" s="9" t="s">
        <v>68</v>
      </c>
      <c r="P1289" s="9" t="s">
        <v>69</v>
      </c>
      <c r="Q1289" s="11"/>
      <c r="R1289" s="10">
        <f t="shared" si="60"/>
        <v>0</v>
      </c>
      <c r="S1289" s="10">
        <f>SUMIFS([1]Sheet1!$T:$T,[1]Sheet1!$I:$I,E1289,[1]Sheet1!$C:$C,A1289)</f>
        <v>0</v>
      </c>
      <c r="T1289" s="10">
        <f t="shared" si="61"/>
        <v>0</v>
      </c>
      <c r="U1289" s="9" t="s">
        <v>136</v>
      </c>
      <c r="V1289" t="s">
        <v>137</v>
      </c>
      <c r="W1289" t="s">
        <v>138</v>
      </c>
      <c r="Y1289" t="s">
        <v>1061</v>
      </c>
      <c r="Z1289" t="s">
        <v>140</v>
      </c>
      <c r="AB1289" t="str">
        <f t="shared" si="62"/>
        <v>39035</v>
      </c>
    </row>
    <row r="1290" ht="14.25" spans="1:28">
      <c r="A1290" s="5" t="s">
        <v>28</v>
      </c>
      <c r="B1290" s="5" t="s">
        <v>697</v>
      </c>
      <c r="C1290" s="5">
        <v>2027</v>
      </c>
      <c r="D1290" s="5" t="s">
        <v>30</v>
      </c>
      <c r="E1290" s="9" t="s">
        <v>1057</v>
      </c>
      <c r="F1290" s="9" t="s">
        <v>1058</v>
      </c>
      <c r="G1290" s="9" t="s">
        <v>1059</v>
      </c>
      <c r="H1290" s="9" t="s">
        <v>1060</v>
      </c>
      <c r="I1290" s="9" t="s">
        <v>119</v>
      </c>
      <c r="J1290" s="9" t="s">
        <v>74</v>
      </c>
      <c r="K1290" s="9">
        <v>1390</v>
      </c>
      <c r="L1290" s="9"/>
      <c r="M1290" s="9"/>
      <c r="N1290" s="9"/>
      <c r="O1290" s="9" t="s">
        <v>68</v>
      </c>
      <c r="P1290" s="9" t="s">
        <v>72</v>
      </c>
      <c r="Q1290" s="11"/>
      <c r="R1290" s="10"/>
      <c r="S1290" s="10"/>
      <c r="T1290" s="10"/>
      <c r="U1290" s="9" t="s">
        <v>136</v>
      </c>
      <c r="V1290" t="s">
        <v>137</v>
      </c>
      <c r="W1290" t="s">
        <v>138</v>
      </c>
      <c r="Y1290" t="s">
        <v>1061</v>
      </c>
      <c r="Z1290" t="s">
        <v>140</v>
      </c>
      <c r="AB1290" t="str">
        <f t="shared" si="62"/>
        <v>39035</v>
      </c>
    </row>
    <row r="1291" ht="14.25" spans="1:28">
      <c r="A1291" s="5" t="s">
        <v>28</v>
      </c>
      <c r="B1291" s="5" t="s">
        <v>697</v>
      </c>
      <c r="C1291" s="5">
        <v>2027</v>
      </c>
      <c r="D1291" s="5" t="s">
        <v>30</v>
      </c>
      <c r="E1291" s="9" t="s">
        <v>1057</v>
      </c>
      <c r="F1291" s="9" t="s">
        <v>1058</v>
      </c>
      <c r="G1291" s="9" t="s">
        <v>1059</v>
      </c>
      <c r="H1291" s="9" t="s">
        <v>1060</v>
      </c>
      <c r="I1291" s="9" t="s">
        <v>119</v>
      </c>
      <c r="J1291" s="9" t="s">
        <v>74</v>
      </c>
      <c r="K1291" s="9">
        <v>1390</v>
      </c>
      <c r="L1291" s="9"/>
      <c r="M1291" s="9"/>
      <c r="N1291" s="9"/>
      <c r="O1291" s="9" t="s">
        <v>68</v>
      </c>
      <c r="P1291" s="9" t="s">
        <v>73</v>
      </c>
      <c r="Q1291" s="11"/>
      <c r="R1291" s="10"/>
      <c r="S1291" s="10"/>
      <c r="T1291" s="10"/>
      <c r="U1291" s="9" t="s">
        <v>136</v>
      </c>
      <c r="V1291" t="s">
        <v>137</v>
      </c>
      <c r="W1291" t="s">
        <v>138</v>
      </c>
      <c r="Y1291" t="s">
        <v>1061</v>
      </c>
      <c r="Z1291" t="s">
        <v>140</v>
      </c>
      <c r="AB1291" t="str">
        <f t="shared" si="62"/>
        <v>39035</v>
      </c>
    </row>
    <row r="1292" ht="14.25" spans="1:28">
      <c r="A1292" s="5" t="s">
        <v>28</v>
      </c>
      <c r="B1292" s="5" t="s">
        <v>697</v>
      </c>
      <c r="C1292" s="5">
        <v>2027</v>
      </c>
      <c r="D1292" s="5" t="s">
        <v>30</v>
      </c>
      <c r="E1292" s="9" t="s">
        <v>1057</v>
      </c>
      <c r="F1292" s="9" t="s">
        <v>1058</v>
      </c>
      <c r="G1292" s="9" t="s">
        <v>1059</v>
      </c>
      <c r="H1292" s="9" t="s">
        <v>1060</v>
      </c>
      <c r="I1292" s="9" t="s">
        <v>119</v>
      </c>
      <c r="J1292" s="9" t="s">
        <v>74</v>
      </c>
      <c r="K1292" s="9">
        <v>1390</v>
      </c>
      <c r="L1292" s="9"/>
      <c r="M1292" s="9"/>
      <c r="N1292" s="9"/>
      <c r="O1292" s="9" t="s">
        <v>68</v>
      </c>
      <c r="P1292" s="9" t="s">
        <v>74</v>
      </c>
      <c r="Q1292" s="11"/>
      <c r="R1292" s="10"/>
      <c r="S1292" s="10"/>
      <c r="T1292" s="10"/>
      <c r="U1292" s="9" t="s">
        <v>136</v>
      </c>
      <c r="V1292" t="s">
        <v>137</v>
      </c>
      <c r="W1292" t="s">
        <v>138</v>
      </c>
      <c r="Y1292" t="s">
        <v>1061</v>
      </c>
      <c r="Z1292" t="s">
        <v>140</v>
      </c>
      <c r="AB1292" t="str">
        <f t="shared" si="62"/>
        <v>39035</v>
      </c>
    </row>
    <row r="1293" ht="14.25" spans="1:28">
      <c r="A1293" s="5" t="s">
        <v>28</v>
      </c>
      <c r="B1293" s="5" t="s">
        <v>697</v>
      </c>
      <c r="C1293" s="5">
        <v>2027</v>
      </c>
      <c r="D1293" s="5" t="s">
        <v>30</v>
      </c>
      <c r="E1293" s="9" t="s">
        <v>1057</v>
      </c>
      <c r="F1293" s="9" t="s">
        <v>1058</v>
      </c>
      <c r="G1293" s="9" t="s">
        <v>1059</v>
      </c>
      <c r="H1293" s="9" t="s">
        <v>1060</v>
      </c>
      <c r="I1293" s="9" t="s">
        <v>119</v>
      </c>
      <c r="J1293" s="9" t="s">
        <v>74</v>
      </c>
      <c r="K1293" s="9">
        <v>1390</v>
      </c>
      <c r="L1293" s="9"/>
      <c r="M1293" s="9"/>
      <c r="N1293" s="9"/>
      <c r="O1293" s="9" t="s">
        <v>68</v>
      </c>
      <c r="P1293" s="9" t="s">
        <v>75</v>
      </c>
      <c r="Q1293" s="11"/>
      <c r="R1293" s="10"/>
      <c r="S1293" s="10"/>
      <c r="T1293" s="10"/>
      <c r="U1293" s="9" t="s">
        <v>136</v>
      </c>
      <c r="V1293" t="s">
        <v>137</v>
      </c>
      <c r="W1293" t="s">
        <v>138</v>
      </c>
      <c r="Y1293" t="s">
        <v>1061</v>
      </c>
      <c r="Z1293" t="s">
        <v>140</v>
      </c>
      <c r="AB1293" t="str">
        <f t="shared" si="62"/>
        <v>39035</v>
      </c>
    </row>
    <row r="1294" ht="14.25" spans="1:28">
      <c r="A1294" s="5" t="s">
        <v>28</v>
      </c>
      <c r="B1294" s="5" t="s">
        <v>697</v>
      </c>
      <c r="C1294" s="5">
        <v>2027</v>
      </c>
      <c r="D1294" s="5" t="s">
        <v>30</v>
      </c>
      <c r="E1294" s="9" t="s">
        <v>1057</v>
      </c>
      <c r="F1294" s="9" t="s">
        <v>1058</v>
      </c>
      <c r="G1294" s="9" t="s">
        <v>1059</v>
      </c>
      <c r="H1294" s="9" t="s">
        <v>1060</v>
      </c>
      <c r="I1294" s="9" t="s">
        <v>119</v>
      </c>
      <c r="J1294" s="9" t="s">
        <v>74</v>
      </c>
      <c r="K1294" s="9">
        <v>1390</v>
      </c>
      <c r="L1294" s="9"/>
      <c r="M1294" s="9"/>
      <c r="N1294" s="9"/>
      <c r="O1294" s="9" t="s">
        <v>68</v>
      </c>
      <c r="P1294" s="9" t="s">
        <v>76</v>
      </c>
      <c r="Q1294" s="11"/>
      <c r="R1294" s="10"/>
      <c r="S1294" s="10"/>
      <c r="T1294" s="10"/>
      <c r="U1294" s="9" t="s">
        <v>136</v>
      </c>
      <c r="V1294" t="s">
        <v>137</v>
      </c>
      <c r="W1294" t="s">
        <v>138</v>
      </c>
      <c r="Y1294" t="s">
        <v>1061</v>
      </c>
      <c r="Z1294" t="s">
        <v>140</v>
      </c>
      <c r="AB1294" t="str">
        <f t="shared" si="62"/>
        <v>39035</v>
      </c>
    </row>
    <row r="1295" ht="14.25" spans="1:28">
      <c r="A1295" s="5" t="s">
        <v>28</v>
      </c>
      <c r="B1295" s="5" t="s">
        <v>697</v>
      </c>
      <c r="C1295" s="5">
        <v>2027</v>
      </c>
      <c r="D1295" s="5" t="s">
        <v>30</v>
      </c>
      <c r="E1295" s="9" t="s">
        <v>1057</v>
      </c>
      <c r="F1295" s="9" t="s">
        <v>1058</v>
      </c>
      <c r="G1295" s="9" t="s">
        <v>1059</v>
      </c>
      <c r="H1295" s="9" t="s">
        <v>1060</v>
      </c>
      <c r="I1295" s="9" t="s">
        <v>119</v>
      </c>
      <c r="J1295" s="9" t="s">
        <v>74</v>
      </c>
      <c r="K1295" s="9">
        <v>1390</v>
      </c>
      <c r="L1295" s="9"/>
      <c r="M1295" s="9"/>
      <c r="N1295" s="9"/>
      <c r="O1295" s="9" t="s">
        <v>68</v>
      </c>
      <c r="P1295" s="9" t="s">
        <v>77</v>
      </c>
      <c r="Q1295" s="11"/>
      <c r="R1295" s="10"/>
      <c r="S1295" s="10"/>
      <c r="T1295" s="10"/>
      <c r="U1295" s="9" t="s">
        <v>136</v>
      </c>
      <c r="V1295" t="s">
        <v>137</v>
      </c>
      <c r="W1295" t="s">
        <v>138</v>
      </c>
      <c r="Y1295" t="s">
        <v>1061</v>
      </c>
      <c r="Z1295" t="s">
        <v>140</v>
      </c>
      <c r="AB1295" t="str">
        <f t="shared" si="62"/>
        <v>39035</v>
      </c>
    </row>
    <row r="1296" ht="14.25" spans="1:28">
      <c r="A1296" s="5" t="s">
        <v>28</v>
      </c>
      <c r="B1296" s="5" t="s">
        <v>697</v>
      </c>
      <c r="C1296" s="5">
        <v>2027</v>
      </c>
      <c r="D1296" s="5" t="s">
        <v>30</v>
      </c>
      <c r="E1296" s="9" t="s">
        <v>1057</v>
      </c>
      <c r="F1296" s="9" t="s">
        <v>1058</v>
      </c>
      <c r="G1296" s="9" t="s">
        <v>1059</v>
      </c>
      <c r="H1296" s="9" t="s">
        <v>1060</v>
      </c>
      <c r="I1296" s="9" t="s">
        <v>119</v>
      </c>
      <c r="J1296" s="9" t="s">
        <v>74</v>
      </c>
      <c r="K1296" s="9">
        <v>1390</v>
      </c>
      <c r="L1296" s="9"/>
      <c r="M1296" s="9"/>
      <c r="N1296" s="9"/>
      <c r="O1296" s="9" t="s">
        <v>68</v>
      </c>
      <c r="P1296" s="9" t="s">
        <v>78</v>
      </c>
      <c r="Q1296" s="9"/>
      <c r="R1296" s="10"/>
      <c r="S1296" s="10"/>
      <c r="T1296" s="10"/>
      <c r="U1296" s="9" t="s">
        <v>136</v>
      </c>
      <c r="V1296" t="s">
        <v>137</v>
      </c>
      <c r="W1296" t="s">
        <v>138</v>
      </c>
      <c r="Y1296" t="s">
        <v>1061</v>
      </c>
      <c r="Z1296" t="s">
        <v>140</v>
      </c>
      <c r="AB1296" t="str">
        <f t="shared" si="62"/>
        <v>39035</v>
      </c>
    </row>
    <row r="1297" ht="14.25" spans="1:28">
      <c r="A1297" s="5" t="s">
        <v>28</v>
      </c>
      <c r="B1297" s="5" t="s">
        <v>697</v>
      </c>
      <c r="C1297" s="5">
        <v>2027</v>
      </c>
      <c r="D1297" s="5" t="s">
        <v>30</v>
      </c>
      <c r="E1297" s="9" t="s">
        <v>1057</v>
      </c>
      <c r="F1297" s="9" t="s">
        <v>1058</v>
      </c>
      <c r="G1297" s="9" t="s">
        <v>1059</v>
      </c>
      <c r="H1297" s="9" t="s">
        <v>1060</v>
      </c>
      <c r="I1297" s="9" t="s">
        <v>119</v>
      </c>
      <c r="J1297" s="9" t="s">
        <v>74</v>
      </c>
      <c r="K1297" s="9">
        <v>1390</v>
      </c>
      <c r="L1297" s="9"/>
      <c r="M1297" s="9"/>
      <c r="N1297" s="9"/>
      <c r="O1297" s="9" t="s">
        <v>68</v>
      </c>
      <c r="P1297" s="9" t="s">
        <v>79</v>
      </c>
      <c r="Q1297" s="9"/>
      <c r="R1297" s="10"/>
      <c r="S1297" s="10"/>
      <c r="T1297" s="10"/>
      <c r="U1297" s="9" t="s">
        <v>136</v>
      </c>
      <c r="V1297" t="s">
        <v>137</v>
      </c>
      <c r="W1297" t="s">
        <v>138</v>
      </c>
      <c r="Y1297" t="s">
        <v>1061</v>
      </c>
      <c r="Z1297" t="s">
        <v>140</v>
      </c>
      <c r="AB1297" t="str">
        <f t="shared" si="62"/>
        <v>39035</v>
      </c>
    </row>
    <row r="1298" ht="14.25" spans="1:28">
      <c r="A1298" s="5" t="s">
        <v>28</v>
      </c>
      <c r="B1298" s="5" t="s">
        <v>697</v>
      </c>
      <c r="C1298" s="5">
        <v>2027</v>
      </c>
      <c r="D1298" s="5" t="s">
        <v>30</v>
      </c>
      <c r="E1298" s="9" t="s">
        <v>1062</v>
      </c>
      <c r="F1298" s="9" t="s">
        <v>1063</v>
      </c>
      <c r="G1298" s="9" t="s">
        <v>1064</v>
      </c>
      <c r="H1298" s="9" t="s">
        <v>1065</v>
      </c>
      <c r="I1298" s="9" t="s">
        <v>147</v>
      </c>
      <c r="J1298" s="9" t="s">
        <v>74</v>
      </c>
      <c r="K1298" s="9">
        <v>1390</v>
      </c>
      <c r="L1298" s="9"/>
      <c r="M1298" s="9"/>
      <c r="N1298" s="9"/>
      <c r="O1298" s="9" t="s">
        <v>68</v>
      </c>
      <c r="P1298" s="9" t="s">
        <v>69</v>
      </c>
      <c r="Q1298" s="9"/>
      <c r="R1298" s="10">
        <f t="shared" si="60"/>
        <v>0</v>
      </c>
      <c r="S1298" s="10">
        <f>SUMIFS([1]Sheet1!$T:$T,[1]Sheet1!$I:$I,E1298,[1]Sheet1!$C:$C,A1298)</f>
        <v>0</v>
      </c>
      <c r="T1298" s="10">
        <f t="shared" si="61"/>
        <v>0</v>
      </c>
      <c r="U1298" s="9" t="s">
        <v>136</v>
      </c>
      <c r="V1298" t="s">
        <v>137</v>
      </c>
      <c r="W1298" t="s">
        <v>138</v>
      </c>
      <c r="X1298" t="s">
        <v>62</v>
      </c>
      <c r="Y1298" t="s">
        <v>1066</v>
      </c>
      <c r="Z1298" t="s">
        <v>140</v>
      </c>
      <c r="AB1298" t="str">
        <f t="shared" si="62"/>
        <v>40262</v>
      </c>
    </row>
    <row r="1299" ht="14.25" spans="1:28">
      <c r="A1299" s="5" t="s">
        <v>28</v>
      </c>
      <c r="B1299" s="5" t="s">
        <v>697</v>
      </c>
      <c r="C1299" s="5">
        <v>2027</v>
      </c>
      <c r="D1299" s="5" t="s">
        <v>30</v>
      </c>
      <c r="E1299" s="9" t="s">
        <v>1062</v>
      </c>
      <c r="F1299" s="9" t="s">
        <v>1063</v>
      </c>
      <c r="G1299" s="9" t="s">
        <v>1064</v>
      </c>
      <c r="H1299" s="9" t="s">
        <v>1065</v>
      </c>
      <c r="I1299" s="9" t="s">
        <v>147</v>
      </c>
      <c r="J1299" s="9" t="s">
        <v>74</v>
      </c>
      <c r="K1299" s="9">
        <v>1390</v>
      </c>
      <c r="L1299" s="9"/>
      <c r="M1299" s="9"/>
      <c r="N1299" s="9"/>
      <c r="O1299" s="9" t="s">
        <v>68</v>
      </c>
      <c r="P1299" s="9" t="s">
        <v>72</v>
      </c>
      <c r="Q1299" s="9"/>
      <c r="R1299" s="10"/>
      <c r="S1299" s="10"/>
      <c r="T1299" s="10"/>
      <c r="U1299" s="9" t="s">
        <v>136</v>
      </c>
      <c r="V1299" t="s">
        <v>137</v>
      </c>
      <c r="W1299" t="s">
        <v>138</v>
      </c>
      <c r="X1299" t="s">
        <v>62</v>
      </c>
      <c r="Y1299" t="s">
        <v>1066</v>
      </c>
      <c r="Z1299" t="s">
        <v>140</v>
      </c>
      <c r="AB1299" t="str">
        <f t="shared" si="62"/>
        <v>40262</v>
      </c>
    </row>
    <row r="1300" ht="14.25" spans="1:28">
      <c r="A1300" s="5" t="s">
        <v>28</v>
      </c>
      <c r="B1300" s="5" t="s">
        <v>697</v>
      </c>
      <c r="C1300" s="5">
        <v>2027</v>
      </c>
      <c r="D1300" s="5" t="s">
        <v>30</v>
      </c>
      <c r="E1300" s="9" t="s">
        <v>1062</v>
      </c>
      <c r="F1300" s="9" t="s">
        <v>1063</v>
      </c>
      <c r="G1300" s="9" t="s">
        <v>1064</v>
      </c>
      <c r="H1300" s="9" t="s">
        <v>1065</v>
      </c>
      <c r="I1300" s="9" t="s">
        <v>147</v>
      </c>
      <c r="J1300" s="9" t="s">
        <v>74</v>
      </c>
      <c r="K1300" s="9">
        <v>1390</v>
      </c>
      <c r="L1300" s="9"/>
      <c r="M1300" s="9"/>
      <c r="N1300" s="9"/>
      <c r="O1300" s="9" t="s">
        <v>68</v>
      </c>
      <c r="P1300" s="9" t="s">
        <v>73</v>
      </c>
      <c r="Q1300" s="9"/>
      <c r="R1300" s="10"/>
      <c r="S1300" s="10"/>
      <c r="T1300" s="10"/>
      <c r="U1300" s="9" t="s">
        <v>136</v>
      </c>
      <c r="V1300" t="s">
        <v>137</v>
      </c>
      <c r="W1300" t="s">
        <v>138</v>
      </c>
      <c r="X1300" t="s">
        <v>62</v>
      </c>
      <c r="Y1300" t="s">
        <v>1066</v>
      </c>
      <c r="Z1300" t="s">
        <v>140</v>
      </c>
      <c r="AB1300" t="str">
        <f t="shared" si="62"/>
        <v>40262</v>
      </c>
    </row>
    <row r="1301" ht="14.25" spans="1:28">
      <c r="A1301" s="5" t="s">
        <v>28</v>
      </c>
      <c r="B1301" s="5" t="s">
        <v>697</v>
      </c>
      <c r="C1301" s="5">
        <v>2027</v>
      </c>
      <c r="D1301" s="5" t="s">
        <v>30</v>
      </c>
      <c r="E1301" s="9" t="s">
        <v>1062</v>
      </c>
      <c r="F1301" s="9" t="s">
        <v>1063</v>
      </c>
      <c r="G1301" s="9" t="s">
        <v>1064</v>
      </c>
      <c r="H1301" s="9" t="s">
        <v>1065</v>
      </c>
      <c r="I1301" s="9" t="s">
        <v>147</v>
      </c>
      <c r="J1301" s="9" t="s">
        <v>74</v>
      </c>
      <c r="K1301" s="9">
        <v>1390</v>
      </c>
      <c r="L1301" s="9"/>
      <c r="M1301" s="9"/>
      <c r="N1301" s="9"/>
      <c r="O1301" s="9" t="s">
        <v>68</v>
      </c>
      <c r="P1301" s="9" t="s">
        <v>74</v>
      </c>
      <c r="Q1301" s="9"/>
      <c r="R1301" s="10"/>
      <c r="S1301" s="10"/>
      <c r="T1301" s="10"/>
      <c r="U1301" s="9" t="s">
        <v>136</v>
      </c>
      <c r="V1301" t="s">
        <v>137</v>
      </c>
      <c r="W1301" t="s">
        <v>138</v>
      </c>
      <c r="X1301" t="s">
        <v>62</v>
      </c>
      <c r="Y1301" t="s">
        <v>1066</v>
      </c>
      <c r="Z1301" t="s">
        <v>140</v>
      </c>
      <c r="AB1301" t="str">
        <f t="shared" si="62"/>
        <v>40262</v>
      </c>
    </row>
    <row r="1302" ht="14.25" spans="1:28">
      <c r="A1302" s="5" t="s">
        <v>28</v>
      </c>
      <c r="B1302" s="5" t="s">
        <v>697</v>
      </c>
      <c r="C1302" s="5">
        <v>2027</v>
      </c>
      <c r="D1302" s="5" t="s">
        <v>30</v>
      </c>
      <c r="E1302" s="9" t="s">
        <v>1062</v>
      </c>
      <c r="F1302" s="9" t="s">
        <v>1063</v>
      </c>
      <c r="G1302" s="9" t="s">
        <v>1064</v>
      </c>
      <c r="H1302" s="9" t="s">
        <v>1065</v>
      </c>
      <c r="I1302" s="9" t="s">
        <v>147</v>
      </c>
      <c r="J1302" s="9" t="s">
        <v>74</v>
      </c>
      <c r="K1302" s="9">
        <v>1390</v>
      </c>
      <c r="L1302" s="9"/>
      <c r="M1302" s="9"/>
      <c r="N1302" s="9"/>
      <c r="O1302" s="9" t="s">
        <v>68</v>
      </c>
      <c r="P1302" s="9" t="s">
        <v>75</v>
      </c>
      <c r="Q1302" s="11"/>
      <c r="R1302" s="10"/>
      <c r="S1302" s="10"/>
      <c r="T1302" s="10"/>
      <c r="U1302" s="9" t="s">
        <v>136</v>
      </c>
      <c r="V1302" t="s">
        <v>137</v>
      </c>
      <c r="W1302" t="s">
        <v>138</v>
      </c>
      <c r="X1302" t="s">
        <v>62</v>
      </c>
      <c r="Y1302" t="s">
        <v>1066</v>
      </c>
      <c r="Z1302" t="s">
        <v>140</v>
      </c>
      <c r="AB1302" t="str">
        <f t="shared" si="62"/>
        <v>40262</v>
      </c>
    </row>
    <row r="1303" ht="14.25" spans="1:28">
      <c r="A1303" s="5" t="s">
        <v>28</v>
      </c>
      <c r="B1303" s="5" t="s">
        <v>697</v>
      </c>
      <c r="C1303" s="5">
        <v>2027</v>
      </c>
      <c r="D1303" s="5" t="s">
        <v>30</v>
      </c>
      <c r="E1303" s="9" t="s">
        <v>1062</v>
      </c>
      <c r="F1303" s="9" t="s">
        <v>1063</v>
      </c>
      <c r="G1303" s="9" t="s">
        <v>1064</v>
      </c>
      <c r="H1303" s="9" t="s">
        <v>1065</v>
      </c>
      <c r="I1303" s="9" t="s">
        <v>147</v>
      </c>
      <c r="J1303" s="9" t="s">
        <v>74</v>
      </c>
      <c r="K1303" s="9">
        <v>1390</v>
      </c>
      <c r="L1303" s="9"/>
      <c r="M1303" s="9"/>
      <c r="N1303" s="9"/>
      <c r="O1303" s="9" t="s">
        <v>68</v>
      </c>
      <c r="P1303" s="9" t="s">
        <v>76</v>
      </c>
      <c r="Q1303" s="11"/>
      <c r="R1303" s="10"/>
      <c r="S1303" s="10"/>
      <c r="T1303" s="10"/>
      <c r="U1303" s="9" t="s">
        <v>136</v>
      </c>
      <c r="V1303" t="s">
        <v>137</v>
      </c>
      <c r="W1303" t="s">
        <v>138</v>
      </c>
      <c r="X1303" t="s">
        <v>62</v>
      </c>
      <c r="Y1303" t="s">
        <v>1066</v>
      </c>
      <c r="Z1303" t="s">
        <v>140</v>
      </c>
      <c r="AB1303" t="str">
        <f t="shared" si="62"/>
        <v>40262</v>
      </c>
    </row>
    <row r="1304" ht="14.25" spans="1:28">
      <c r="A1304" s="5" t="s">
        <v>28</v>
      </c>
      <c r="B1304" s="5" t="s">
        <v>697</v>
      </c>
      <c r="C1304" s="5">
        <v>2027</v>
      </c>
      <c r="D1304" s="5" t="s">
        <v>30</v>
      </c>
      <c r="E1304" s="9" t="s">
        <v>1062</v>
      </c>
      <c r="F1304" s="9" t="s">
        <v>1063</v>
      </c>
      <c r="G1304" s="9" t="s">
        <v>1064</v>
      </c>
      <c r="H1304" s="9" t="s">
        <v>1065</v>
      </c>
      <c r="I1304" s="9" t="s">
        <v>147</v>
      </c>
      <c r="J1304" s="9" t="s">
        <v>74</v>
      </c>
      <c r="K1304" s="9">
        <v>1390</v>
      </c>
      <c r="L1304" s="9"/>
      <c r="M1304" s="9"/>
      <c r="N1304" s="9"/>
      <c r="O1304" s="9" t="s">
        <v>68</v>
      </c>
      <c r="P1304" s="9" t="s">
        <v>77</v>
      </c>
      <c r="Q1304" s="11"/>
      <c r="R1304" s="10"/>
      <c r="S1304" s="10"/>
      <c r="T1304" s="10"/>
      <c r="U1304" s="9" t="s">
        <v>136</v>
      </c>
      <c r="V1304" t="s">
        <v>137</v>
      </c>
      <c r="W1304" t="s">
        <v>138</v>
      </c>
      <c r="X1304" t="s">
        <v>62</v>
      </c>
      <c r="Y1304" t="s">
        <v>1066</v>
      </c>
      <c r="Z1304" t="s">
        <v>140</v>
      </c>
      <c r="AB1304" t="str">
        <f t="shared" si="62"/>
        <v>40262</v>
      </c>
    </row>
    <row r="1305" ht="14.25" spans="1:28">
      <c r="A1305" s="5" t="s">
        <v>28</v>
      </c>
      <c r="B1305" s="5" t="s">
        <v>697</v>
      </c>
      <c r="C1305" s="5">
        <v>2027</v>
      </c>
      <c r="D1305" s="5" t="s">
        <v>30</v>
      </c>
      <c r="E1305" s="9" t="s">
        <v>1062</v>
      </c>
      <c r="F1305" s="9" t="s">
        <v>1063</v>
      </c>
      <c r="G1305" s="9" t="s">
        <v>1064</v>
      </c>
      <c r="H1305" s="9" t="s">
        <v>1065</v>
      </c>
      <c r="I1305" s="9" t="s">
        <v>147</v>
      </c>
      <c r="J1305" s="9" t="s">
        <v>74</v>
      </c>
      <c r="K1305" s="9">
        <v>1390</v>
      </c>
      <c r="L1305" s="9"/>
      <c r="M1305" s="9"/>
      <c r="N1305" s="9"/>
      <c r="O1305" s="9" t="s">
        <v>68</v>
      </c>
      <c r="P1305" s="9" t="s">
        <v>78</v>
      </c>
      <c r="Q1305" s="11"/>
      <c r="R1305" s="10"/>
      <c r="S1305" s="10"/>
      <c r="T1305" s="10"/>
      <c r="U1305" s="9" t="s">
        <v>136</v>
      </c>
      <c r="V1305" t="s">
        <v>137</v>
      </c>
      <c r="W1305" t="s">
        <v>138</v>
      </c>
      <c r="X1305" t="s">
        <v>62</v>
      </c>
      <c r="Y1305" t="s">
        <v>1066</v>
      </c>
      <c r="Z1305" t="s">
        <v>140</v>
      </c>
      <c r="AB1305" t="str">
        <f t="shared" si="62"/>
        <v>40262</v>
      </c>
    </row>
    <row r="1306" ht="14.25" spans="1:28">
      <c r="A1306" s="5" t="s">
        <v>28</v>
      </c>
      <c r="B1306" s="5" t="s">
        <v>697</v>
      </c>
      <c r="C1306" s="5">
        <v>2027</v>
      </c>
      <c r="D1306" s="5" t="s">
        <v>30</v>
      </c>
      <c r="E1306" s="9" t="s">
        <v>1062</v>
      </c>
      <c r="F1306" s="9" t="s">
        <v>1063</v>
      </c>
      <c r="G1306" s="9" t="s">
        <v>1064</v>
      </c>
      <c r="H1306" s="9" t="s">
        <v>1065</v>
      </c>
      <c r="I1306" s="9" t="s">
        <v>147</v>
      </c>
      <c r="J1306" s="9" t="s">
        <v>74</v>
      </c>
      <c r="K1306" s="9">
        <v>1390</v>
      </c>
      <c r="L1306" s="9"/>
      <c r="M1306" s="9"/>
      <c r="N1306" s="9"/>
      <c r="O1306" s="9" t="s">
        <v>68</v>
      </c>
      <c r="P1306" s="9" t="s">
        <v>79</v>
      </c>
      <c r="Q1306" s="11"/>
      <c r="R1306" s="10"/>
      <c r="S1306" s="10"/>
      <c r="T1306" s="10"/>
      <c r="U1306" s="9" t="s">
        <v>136</v>
      </c>
      <c r="V1306" t="s">
        <v>137</v>
      </c>
      <c r="W1306" t="s">
        <v>138</v>
      </c>
      <c r="X1306" t="s">
        <v>62</v>
      </c>
      <c r="Y1306" t="s">
        <v>1066</v>
      </c>
      <c r="Z1306" t="s">
        <v>140</v>
      </c>
      <c r="AB1306" t="str">
        <f t="shared" si="62"/>
        <v>40262</v>
      </c>
    </row>
    <row r="1307" ht="14.25" spans="1:28">
      <c r="A1307" s="5" t="s">
        <v>28</v>
      </c>
      <c r="B1307" s="5" t="s">
        <v>697</v>
      </c>
      <c r="C1307" s="5">
        <v>2027</v>
      </c>
      <c r="D1307" s="5" t="s">
        <v>30</v>
      </c>
      <c r="E1307" s="9" t="s">
        <v>1067</v>
      </c>
      <c r="F1307" s="9" t="s">
        <v>1068</v>
      </c>
      <c r="G1307" s="9" t="s">
        <v>923</v>
      </c>
      <c r="H1307" s="9" t="s">
        <v>1069</v>
      </c>
      <c r="I1307" s="9" t="s">
        <v>119</v>
      </c>
      <c r="J1307" s="9" t="s">
        <v>36</v>
      </c>
      <c r="K1307" s="9">
        <v>890</v>
      </c>
      <c r="L1307" s="9"/>
      <c r="M1307" s="9"/>
      <c r="N1307" s="9"/>
      <c r="O1307" s="9" t="s">
        <v>37</v>
      </c>
      <c r="P1307" s="9" t="s">
        <v>38</v>
      </c>
      <c r="Q1307" s="11"/>
      <c r="R1307" s="10">
        <f t="shared" si="60"/>
        <v>0</v>
      </c>
      <c r="S1307" s="10">
        <f>SUMIFS([1]Sheet1!$T:$T,[1]Sheet1!$I:$I,E1307,[1]Sheet1!$C:$C,A1307)</f>
        <v>120</v>
      </c>
      <c r="T1307" s="10">
        <f t="shared" si="61"/>
        <v>-120</v>
      </c>
      <c r="U1307" s="9" t="s">
        <v>148</v>
      </c>
      <c r="V1307" t="s">
        <v>184</v>
      </c>
      <c r="W1307" t="s">
        <v>138</v>
      </c>
      <c r="X1307" t="s">
        <v>70</v>
      </c>
      <c r="Y1307" t="s">
        <v>1070</v>
      </c>
      <c r="Z1307" t="s">
        <v>41</v>
      </c>
      <c r="AA1307" t="s">
        <v>1071</v>
      </c>
      <c r="AB1307" t="str">
        <f t="shared" si="62"/>
        <v>41170</v>
      </c>
    </row>
    <row r="1308" ht="14.25" spans="1:28">
      <c r="A1308" s="5" t="s">
        <v>28</v>
      </c>
      <c r="B1308" s="5" t="s">
        <v>697</v>
      </c>
      <c r="C1308" s="5">
        <v>2027</v>
      </c>
      <c r="D1308" s="5" t="s">
        <v>30</v>
      </c>
      <c r="E1308" s="9" t="s">
        <v>1067</v>
      </c>
      <c r="F1308" s="9" t="s">
        <v>1068</v>
      </c>
      <c r="G1308" s="9" t="s">
        <v>923</v>
      </c>
      <c r="H1308" s="9" t="s">
        <v>1069</v>
      </c>
      <c r="I1308" s="9" t="s">
        <v>119</v>
      </c>
      <c r="J1308" s="9" t="s">
        <v>36</v>
      </c>
      <c r="K1308" s="9">
        <v>890</v>
      </c>
      <c r="L1308" s="9"/>
      <c r="M1308" s="9"/>
      <c r="N1308" s="9"/>
      <c r="O1308" s="9" t="s">
        <v>37</v>
      </c>
      <c r="P1308" s="9" t="s">
        <v>42</v>
      </c>
      <c r="Q1308" s="11"/>
      <c r="R1308" s="10"/>
      <c r="S1308" s="10"/>
      <c r="T1308" s="10"/>
      <c r="U1308" s="9" t="s">
        <v>148</v>
      </c>
      <c r="V1308" t="s">
        <v>184</v>
      </c>
      <c r="W1308" t="s">
        <v>138</v>
      </c>
      <c r="X1308" t="s">
        <v>70</v>
      </c>
      <c r="Y1308" t="s">
        <v>1070</v>
      </c>
      <c r="Z1308" t="s">
        <v>41</v>
      </c>
      <c r="AA1308" t="s">
        <v>1071</v>
      </c>
      <c r="AB1308" t="str">
        <f t="shared" si="62"/>
        <v>41170</v>
      </c>
    </row>
    <row r="1309" ht="14.25" spans="1:28">
      <c r="A1309" s="5" t="s">
        <v>28</v>
      </c>
      <c r="B1309" s="5" t="s">
        <v>697</v>
      </c>
      <c r="C1309" s="5">
        <v>2027</v>
      </c>
      <c r="D1309" s="5" t="s">
        <v>30</v>
      </c>
      <c r="E1309" s="9" t="s">
        <v>1067</v>
      </c>
      <c r="F1309" s="9" t="s">
        <v>1068</v>
      </c>
      <c r="G1309" s="9" t="s">
        <v>923</v>
      </c>
      <c r="H1309" s="9" t="s">
        <v>1069</v>
      </c>
      <c r="I1309" s="9" t="s">
        <v>119</v>
      </c>
      <c r="J1309" s="9" t="s">
        <v>36</v>
      </c>
      <c r="K1309" s="9">
        <v>890</v>
      </c>
      <c r="L1309" s="9"/>
      <c r="M1309" s="9"/>
      <c r="N1309" s="9"/>
      <c r="O1309" s="9" t="s">
        <v>37</v>
      </c>
      <c r="P1309" s="9" t="s">
        <v>43</v>
      </c>
      <c r="Q1309" s="11"/>
      <c r="R1309" s="10"/>
      <c r="S1309" s="10"/>
      <c r="T1309" s="10"/>
      <c r="U1309" s="9" t="s">
        <v>148</v>
      </c>
      <c r="V1309" t="s">
        <v>184</v>
      </c>
      <c r="W1309" t="s">
        <v>138</v>
      </c>
      <c r="X1309" t="s">
        <v>70</v>
      </c>
      <c r="Y1309" t="s">
        <v>1070</v>
      </c>
      <c r="Z1309" t="s">
        <v>41</v>
      </c>
      <c r="AA1309" t="s">
        <v>1071</v>
      </c>
      <c r="AB1309" t="str">
        <f t="shared" si="62"/>
        <v>41170</v>
      </c>
    </row>
    <row r="1310" ht="14.25" spans="1:28">
      <c r="A1310" s="5" t="s">
        <v>28</v>
      </c>
      <c r="B1310" s="5" t="s">
        <v>697</v>
      </c>
      <c r="C1310" s="5">
        <v>2027</v>
      </c>
      <c r="D1310" s="5" t="s">
        <v>30</v>
      </c>
      <c r="E1310" s="9" t="s">
        <v>1067</v>
      </c>
      <c r="F1310" s="9" t="s">
        <v>1068</v>
      </c>
      <c r="G1310" s="9" t="s">
        <v>923</v>
      </c>
      <c r="H1310" s="9" t="s">
        <v>1069</v>
      </c>
      <c r="I1310" s="9" t="s">
        <v>119</v>
      </c>
      <c r="J1310" s="9" t="s">
        <v>36</v>
      </c>
      <c r="K1310" s="9">
        <v>890</v>
      </c>
      <c r="L1310" s="9"/>
      <c r="M1310" s="9"/>
      <c r="N1310" s="9"/>
      <c r="O1310" s="9" t="s">
        <v>37</v>
      </c>
      <c r="P1310" s="9" t="s">
        <v>44</v>
      </c>
      <c r="Q1310" s="11"/>
      <c r="R1310" s="10"/>
      <c r="S1310" s="10"/>
      <c r="T1310" s="10"/>
      <c r="U1310" s="9" t="s">
        <v>148</v>
      </c>
      <c r="V1310" t="s">
        <v>184</v>
      </c>
      <c r="W1310" t="s">
        <v>138</v>
      </c>
      <c r="X1310" t="s">
        <v>70</v>
      </c>
      <c r="Y1310" t="s">
        <v>1070</v>
      </c>
      <c r="Z1310" t="s">
        <v>41</v>
      </c>
      <c r="AA1310" t="s">
        <v>1071</v>
      </c>
      <c r="AB1310" t="str">
        <f t="shared" si="62"/>
        <v>41170</v>
      </c>
    </row>
    <row r="1311" ht="14.25" spans="1:28">
      <c r="A1311" s="5" t="s">
        <v>28</v>
      </c>
      <c r="B1311" s="5" t="s">
        <v>697</v>
      </c>
      <c r="C1311" s="5">
        <v>2027</v>
      </c>
      <c r="D1311" s="5" t="s">
        <v>30</v>
      </c>
      <c r="E1311" s="9" t="s">
        <v>1067</v>
      </c>
      <c r="F1311" s="9" t="s">
        <v>1068</v>
      </c>
      <c r="G1311" s="9" t="s">
        <v>923</v>
      </c>
      <c r="H1311" s="9" t="s">
        <v>1069</v>
      </c>
      <c r="I1311" s="9" t="s">
        <v>119</v>
      </c>
      <c r="J1311" s="9" t="s">
        <v>36</v>
      </c>
      <c r="K1311" s="9">
        <v>890</v>
      </c>
      <c r="L1311" s="9"/>
      <c r="M1311" s="9"/>
      <c r="N1311" s="9"/>
      <c r="O1311" s="9" t="s">
        <v>37</v>
      </c>
      <c r="P1311" s="9" t="s">
        <v>45</v>
      </c>
      <c r="Q1311" s="11"/>
      <c r="R1311" s="10"/>
      <c r="S1311" s="10"/>
      <c r="T1311" s="10"/>
      <c r="U1311" s="9" t="s">
        <v>148</v>
      </c>
      <c r="V1311" t="s">
        <v>184</v>
      </c>
      <c r="W1311" t="s">
        <v>138</v>
      </c>
      <c r="X1311" t="s">
        <v>70</v>
      </c>
      <c r="Y1311" t="s">
        <v>1070</v>
      </c>
      <c r="Z1311" t="s">
        <v>41</v>
      </c>
      <c r="AA1311" t="s">
        <v>1071</v>
      </c>
      <c r="AB1311" t="str">
        <f t="shared" si="62"/>
        <v>41170</v>
      </c>
    </row>
    <row r="1312" ht="14.25" spans="1:28">
      <c r="A1312" s="5" t="s">
        <v>28</v>
      </c>
      <c r="B1312" s="5" t="s">
        <v>697</v>
      </c>
      <c r="C1312" s="5">
        <v>2027</v>
      </c>
      <c r="D1312" s="5" t="s">
        <v>30</v>
      </c>
      <c r="E1312" s="9" t="s">
        <v>1067</v>
      </c>
      <c r="F1312" s="9" t="s">
        <v>1068</v>
      </c>
      <c r="G1312" s="9" t="s">
        <v>923</v>
      </c>
      <c r="H1312" s="9" t="s">
        <v>1069</v>
      </c>
      <c r="I1312" s="9" t="s">
        <v>119</v>
      </c>
      <c r="J1312" s="9" t="s">
        <v>36</v>
      </c>
      <c r="K1312" s="9">
        <v>890</v>
      </c>
      <c r="L1312" s="9"/>
      <c r="M1312" s="9"/>
      <c r="N1312" s="9"/>
      <c r="O1312" s="9" t="s">
        <v>37</v>
      </c>
      <c r="P1312" s="9" t="s">
        <v>46</v>
      </c>
      <c r="Q1312" s="11"/>
      <c r="R1312" s="10"/>
      <c r="S1312" s="10"/>
      <c r="T1312" s="10"/>
      <c r="U1312" s="9" t="s">
        <v>148</v>
      </c>
      <c r="V1312" t="s">
        <v>184</v>
      </c>
      <c r="W1312" t="s">
        <v>138</v>
      </c>
      <c r="X1312" t="s">
        <v>70</v>
      </c>
      <c r="Y1312" t="s">
        <v>1070</v>
      </c>
      <c r="Z1312" t="s">
        <v>41</v>
      </c>
      <c r="AA1312" t="s">
        <v>1071</v>
      </c>
      <c r="AB1312" t="str">
        <f t="shared" si="62"/>
        <v>41170</v>
      </c>
    </row>
    <row r="1313" ht="14.25" spans="1:28">
      <c r="A1313" s="5" t="s">
        <v>28</v>
      </c>
      <c r="B1313" s="5" t="s">
        <v>697</v>
      </c>
      <c r="C1313" s="5">
        <v>2027</v>
      </c>
      <c r="D1313" s="5" t="s">
        <v>30</v>
      </c>
      <c r="E1313" s="9" t="s">
        <v>1072</v>
      </c>
      <c r="F1313" s="9" t="s">
        <v>1068</v>
      </c>
      <c r="G1313" s="9" t="s">
        <v>100</v>
      </c>
      <c r="H1313" s="9" t="s">
        <v>1073</v>
      </c>
      <c r="I1313" s="9" t="s">
        <v>119</v>
      </c>
      <c r="J1313" s="9" t="s">
        <v>36</v>
      </c>
      <c r="K1313" s="9">
        <v>890</v>
      </c>
      <c r="L1313" s="9"/>
      <c r="M1313" s="9"/>
      <c r="N1313" s="9"/>
      <c r="O1313" s="9" t="s">
        <v>37</v>
      </c>
      <c r="P1313" s="9" t="s">
        <v>38</v>
      </c>
      <c r="Q1313" s="11"/>
      <c r="R1313" s="10">
        <f t="shared" si="60"/>
        <v>0</v>
      </c>
      <c r="S1313" s="10">
        <f>SUMIFS([1]Sheet1!$T:$T,[1]Sheet1!$I:$I,E1313,[1]Sheet1!$C:$C,A1313)</f>
        <v>160</v>
      </c>
      <c r="T1313" s="10">
        <f t="shared" si="61"/>
        <v>-160</v>
      </c>
      <c r="U1313" s="9" t="s">
        <v>148</v>
      </c>
      <c r="V1313" t="s">
        <v>184</v>
      </c>
      <c r="W1313" t="s">
        <v>138</v>
      </c>
      <c r="X1313" t="s">
        <v>102</v>
      </c>
      <c r="Y1313" t="s">
        <v>1070</v>
      </c>
      <c r="Z1313" t="s">
        <v>41</v>
      </c>
      <c r="AA1313" t="s">
        <v>1071</v>
      </c>
      <c r="AB1313" t="str">
        <f t="shared" si="62"/>
        <v>41170</v>
      </c>
    </row>
    <row r="1314" ht="14.25" spans="1:28">
      <c r="A1314" s="5" t="s">
        <v>28</v>
      </c>
      <c r="B1314" s="5" t="s">
        <v>697</v>
      </c>
      <c r="C1314" s="5">
        <v>2027</v>
      </c>
      <c r="D1314" s="5" t="s">
        <v>30</v>
      </c>
      <c r="E1314" s="9" t="s">
        <v>1072</v>
      </c>
      <c r="F1314" s="9" t="s">
        <v>1068</v>
      </c>
      <c r="G1314" s="9" t="s">
        <v>100</v>
      </c>
      <c r="H1314" s="9" t="s">
        <v>1073</v>
      </c>
      <c r="I1314" s="9" t="s">
        <v>119</v>
      </c>
      <c r="J1314" s="9" t="s">
        <v>36</v>
      </c>
      <c r="K1314" s="9">
        <v>890</v>
      </c>
      <c r="L1314" s="9"/>
      <c r="M1314" s="9"/>
      <c r="N1314" s="9"/>
      <c r="O1314" s="9" t="s">
        <v>37</v>
      </c>
      <c r="P1314" s="9" t="s">
        <v>42</v>
      </c>
      <c r="Q1314" s="11"/>
      <c r="R1314" s="10"/>
      <c r="S1314" s="10"/>
      <c r="T1314" s="10"/>
      <c r="U1314" s="9" t="s">
        <v>148</v>
      </c>
      <c r="V1314" t="s">
        <v>184</v>
      </c>
      <c r="W1314" t="s">
        <v>138</v>
      </c>
      <c r="X1314" t="s">
        <v>102</v>
      </c>
      <c r="Y1314" t="s">
        <v>1070</v>
      </c>
      <c r="Z1314" t="s">
        <v>41</v>
      </c>
      <c r="AA1314" t="s">
        <v>1071</v>
      </c>
      <c r="AB1314" t="str">
        <f t="shared" si="62"/>
        <v>41170</v>
      </c>
    </row>
    <row r="1315" ht="14.25" spans="1:28">
      <c r="A1315" s="5" t="s">
        <v>28</v>
      </c>
      <c r="B1315" s="5" t="s">
        <v>697</v>
      </c>
      <c r="C1315" s="5">
        <v>2027</v>
      </c>
      <c r="D1315" s="5" t="s">
        <v>30</v>
      </c>
      <c r="E1315" s="9" t="s">
        <v>1072</v>
      </c>
      <c r="F1315" s="9" t="s">
        <v>1068</v>
      </c>
      <c r="G1315" s="9" t="s">
        <v>100</v>
      </c>
      <c r="H1315" s="9" t="s">
        <v>1073</v>
      </c>
      <c r="I1315" s="9" t="s">
        <v>119</v>
      </c>
      <c r="J1315" s="9" t="s">
        <v>36</v>
      </c>
      <c r="K1315" s="9">
        <v>890</v>
      </c>
      <c r="L1315" s="9"/>
      <c r="M1315" s="9"/>
      <c r="N1315" s="9"/>
      <c r="O1315" s="9" t="s">
        <v>37</v>
      </c>
      <c r="P1315" s="9" t="s">
        <v>43</v>
      </c>
      <c r="Q1315" s="11"/>
      <c r="R1315" s="10"/>
      <c r="S1315" s="10"/>
      <c r="T1315" s="10"/>
      <c r="U1315" s="9" t="s">
        <v>148</v>
      </c>
      <c r="V1315" t="s">
        <v>184</v>
      </c>
      <c r="W1315" t="s">
        <v>138</v>
      </c>
      <c r="X1315" t="s">
        <v>102</v>
      </c>
      <c r="Y1315" t="s">
        <v>1070</v>
      </c>
      <c r="Z1315" t="s">
        <v>41</v>
      </c>
      <c r="AA1315" t="s">
        <v>1071</v>
      </c>
      <c r="AB1315" t="str">
        <f t="shared" si="62"/>
        <v>41170</v>
      </c>
    </row>
    <row r="1316" ht="14.25" spans="1:28">
      <c r="A1316" s="5" t="s">
        <v>28</v>
      </c>
      <c r="B1316" s="5" t="s">
        <v>697</v>
      </c>
      <c r="C1316" s="5">
        <v>2027</v>
      </c>
      <c r="D1316" s="5" t="s">
        <v>30</v>
      </c>
      <c r="E1316" s="9" t="s">
        <v>1072</v>
      </c>
      <c r="F1316" s="9" t="s">
        <v>1068</v>
      </c>
      <c r="G1316" s="9" t="s">
        <v>100</v>
      </c>
      <c r="H1316" s="9" t="s">
        <v>1073</v>
      </c>
      <c r="I1316" s="9" t="s">
        <v>119</v>
      </c>
      <c r="J1316" s="9" t="s">
        <v>36</v>
      </c>
      <c r="K1316" s="9">
        <v>890</v>
      </c>
      <c r="L1316" s="9"/>
      <c r="M1316" s="9"/>
      <c r="N1316" s="9"/>
      <c r="O1316" s="9" t="s">
        <v>37</v>
      </c>
      <c r="P1316" s="9" t="s">
        <v>44</v>
      </c>
      <c r="Q1316" s="11"/>
      <c r="R1316" s="10"/>
      <c r="S1316" s="10"/>
      <c r="T1316" s="10"/>
      <c r="U1316" s="9" t="s">
        <v>148</v>
      </c>
      <c r="V1316" t="s">
        <v>184</v>
      </c>
      <c r="W1316" t="s">
        <v>138</v>
      </c>
      <c r="X1316" t="s">
        <v>102</v>
      </c>
      <c r="Y1316" t="s">
        <v>1070</v>
      </c>
      <c r="Z1316" t="s">
        <v>41</v>
      </c>
      <c r="AA1316" t="s">
        <v>1071</v>
      </c>
      <c r="AB1316" t="str">
        <f t="shared" si="62"/>
        <v>41170</v>
      </c>
    </row>
    <row r="1317" ht="14.25" spans="1:28">
      <c r="A1317" s="5" t="s">
        <v>28</v>
      </c>
      <c r="B1317" s="5" t="s">
        <v>697</v>
      </c>
      <c r="C1317" s="5">
        <v>2027</v>
      </c>
      <c r="D1317" s="5" t="s">
        <v>30</v>
      </c>
      <c r="E1317" s="9" t="s">
        <v>1072</v>
      </c>
      <c r="F1317" s="9" t="s">
        <v>1068</v>
      </c>
      <c r="G1317" s="9" t="s">
        <v>100</v>
      </c>
      <c r="H1317" s="9" t="s">
        <v>1073</v>
      </c>
      <c r="I1317" s="9" t="s">
        <v>119</v>
      </c>
      <c r="J1317" s="9" t="s">
        <v>36</v>
      </c>
      <c r="K1317" s="9">
        <v>890</v>
      </c>
      <c r="L1317" s="9"/>
      <c r="M1317" s="9"/>
      <c r="N1317" s="9"/>
      <c r="O1317" s="9" t="s">
        <v>37</v>
      </c>
      <c r="P1317" s="9" t="s">
        <v>45</v>
      </c>
      <c r="Q1317" s="11"/>
      <c r="R1317" s="10"/>
      <c r="S1317" s="10"/>
      <c r="T1317" s="10"/>
      <c r="U1317" s="9" t="s">
        <v>148</v>
      </c>
      <c r="V1317" t="s">
        <v>184</v>
      </c>
      <c r="W1317" t="s">
        <v>138</v>
      </c>
      <c r="X1317" t="s">
        <v>102</v>
      </c>
      <c r="Y1317" t="s">
        <v>1070</v>
      </c>
      <c r="Z1317" t="s">
        <v>41</v>
      </c>
      <c r="AA1317" t="s">
        <v>1071</v>
      </c>
      <c r="AB1317" t="str">
        <f t="shared" si="62"/>
        <v>41170</v>
      </c>
    </row>
    <row r="1318" ht="14.25" spans="1:28">
      <c r="A1318" s="5" t="s">
        <v>28</v>
      </c>
      <c r="B1318" s="5" t="s">
        <v>697</v>
      </c>
      <c r="C1318" s="5">
        <v>2027</v>
      </c>
      <c r="D1318" s="5" t="s">
        <v>30</v>
      </c>
      <c r="E1318" s="9" t="s">
        <v>1072</v>
      </c>
      <c r="F1318" s="9" t="s">
        <v>1068</v>
      </c>
      <c r="G1318" s="9" t="s">
        <v>100</v>
      </c>
      <c r="H1318" s="9" t="s">
        <v>1073</v>
      </c>
      <c r="I1318" s="9" t="s">
        <v>119</v>
      </c>
      <c r="J1318" s="9" t="s">
        <v>36</v>
      </c>
      <c r="K1318" s="9">
        <v>890</v>
      </c>
      <c r="L1318" s="9"/>
      <c r="M1318" s="9"/>
      <c r="N1318" s="9"/>
      <c r="O1318" s="9" t="s">
        <v>37</v>
      </c>
      <c r="P1318" s="9" t="s">
        <v>46</v>
      </c>
      <c r="Q1318" s="11"/>
      <c r="R1318" s="10"/>
      <c r="S1318" s="10"/>
      <c r="T1318" s="10"/>
      <c r="U1318" s="9" t="s">
        <v>148</v>
      </c>
      <c r="V1318" t="s">
        <v>184</v>
      </c>
      <c r="W1318" t="s">
        <v>138</v>
      </c>
      <c r="X1318" t="s">
        <v>102</v>
      </c>
      <c r="Y1318" t="s">
        <v>1070</v>
      </c>
      <c r="Z1318" t="s">
        <v>41</v>
      </c>
      <c r="AA1318" t="s">
        <v>1071</v>
      </c>
      <c r="AB1318" t="str">
        <f t="shared" si="62"/>
        <v>41170</v>
      </c>
    </row>
    <row r="1319" ht="14.25" spans="1:28">
      <c r="A1319" s="5" t="s">
        <v>28</v>
      </c>
      <c r="B1319" s="5" t="s">
        <v>697</v>
      </c>
      <c r="C1319" s="5">
        <v>2027</v>
      </c>
      <c r="D1319" s="5" t="s">
        <v>30</v>
      </c>
      <c r="E1319" s="9" t="s">
        <v>1074</v>
      </c>
      <c r="F1319" s="9" t="s">
        <v>1068</v>
      </c>
      <c r="G1319" s="9" t="s">
        <v>1075</v>
      </c>
      <c r="H1319" s="9" t="s">
        <v>1076</v>
      </c>
      <c r="I1319" s="9" t="s">
        <v>119</v>
      </c>
      <c r="J1319" s="9" t="s">
        <v>36</v>
      </c>
      <c r="K1319" s="9">
        <v>890</v>
      </c>
      <c r="L1319" s="9"/>
      <c r="M1319" s="9"/>
      <c r="N1319" s="9"/>
      <c r="O1319" s="9" t="s">
        <v>37</v>
      </c>
      <c r="P1319" s="9" t="s">
        <v>38</v>
      </c>
      <c r="Q1319" s="11"/>
      <c r="R1319" s="10">
        <f t="shared" si="60"/>
        <v>0</v>
      </c>
      <c r="S1319" s="10">
        <f>SUMIFS([1]Sheet1!$T:$T,[1]Sheet1!$I:$I,E1319,[1]Sheet1!$C:$C,A1319)</f>
        <v>100</v>
      </c>
      <c r="T1319" s="10">
        <f t="shared" si="61"/>
        <v>-100</v>
      </c>
      <c r="U1319" s="9" t="s">
        <v>148</v>
      </c>
      <c r="V1319" t="s">
        <v>184</v>
      </c>
      <c r="W1319" t="s">
        <v>138</v>
      </c>
      <c r="X1319" t="s">
        <v>1077</v>
      </c>
      <c r="Y1319" t="s">
        <v>1070</v>
      </c>
      <c r="Z1319" t="s">
        <v>41</v>
      </c>
      <c r="AA1319" t="s">
        <v>1071</v>
      </c>
      <c r="AB1319" t="str">
        <f t="shared" si="62"/>
        <v>41170</v>
      </c>
    </row>
    <row r="1320" ht="14.25" spans="1:28">
      <c r="A1320" s="5" t="s">
        <v>28</v>
      </c>
      <c r="B1320" s="5" t="s">
        <v>697</v>
      </c>
      <c r="C1320" s="5">
        <v>2027</v>
      </c>
      <c r="D1320" s="5" t="s">
        <v>30</v>
      </c>
      <c r="E1320" s="9" t="s">
        <v>1074</v>
      </c>
      <c r="F1320" s="9" t="s">
        <v>1068</v>
      </c>
      <c r="G1320" s="9" t="s">
        <v>1075</v>
      </c>
      <c r="H1320" s="9" t="s">
        <v>1076</v>
      </c>
      <c r="I1320" s="9" t="s">
        <v>119</v>
      </c>
      <c r="J1320" s="9" t="s">
        <v>36</v>
      </c>
      <c r="K1320" s="9">
        <v>890</v>
      </c>
      <c r="L1320" s="9"/>
      <c r="M1320" s="9"/>
      <c r="N1320" s="9"/>
      <c r="O1320" s="9" t="s">
        <v>37</v>
      </c>
      <c r="P1320" s="9" t="s">
        <v>42</v>
      </c>
      <c r="Q1320" s="11"/>
      <c r="R1320" s="10"/>
      <c r="S1320" s="10"/>
      <c r="T1320" s="10"/>
      <c r="U1320" s="9" t="s">
        <v>148</v>
      </c>
      <c r="V1320" t="s">
        <v>184</v>
      </c>
      <c r="W1320" t="s">
        <v>138</v>
      </c>
      <c r="X1320" t="s">
        <v>1077</v>
      </c>
      <c r="Y1320" t="s">
        <v>1070</v>
      </c>
      <c r="Z1320" t="s">
        <v>41</v>
      </c>
      <c r="AA1320" t="s">
        <v>1071</v>
      </c>
      <c r="AB1320" t="str">
        <f t="shared" si="62"/>
        <v>41170</v>
      </c>
    </row>
    <row r="1321" ht="14.25" spans="1:28">
      <c r="A1321" s="5" t="s">
        <v>28</v>
      </c>
      <c r="B1321" s="5" t="s">
        <v>697</v>
      </c>
      <c r="C1321" s="5">
        <v>2027</v>
      </c>
      <c r="D1321" s="5" t="s">
        <v>30</v>
      </c>
      <c r="E1321" s="9" t="s">
        <v>1074</v>
      </c>
      <c r="F1321" s="9" t="s">
        <v>1068</v>
      </c>
      <c r="G1321" s="9" t="s">
        <v>1075</v>
      </c>
      <c r="H1321" s="9" t="s">
        <v>1076</v>
      </c>
      <c r="I1321" s="9" t="s">
        <v>119</v>
      </c>
      <c r="J1321" s="9" t="s">
        <v>36</v>
      </c>
      <c r="K1321" s="9">
        <v>890</v>
      </c>
      <c r="L1321" s="9"/>
      <c r="M1321" s="9"/>
      <c r="N1321" s="9"/>
      <c r="O1321" s="9" t="s">
        <v>37</v>
      </c>
      <c r="P1321" s="9" t="s">
        <v>43</v>
      </c>
      <c r="Q1321" s="11"/>
      <c r="R1321" s="10"/>
      <c r="S1321" s="10"/>
      <c r="T1321" s="10"/>
      <c r="U1321" s="9" t="s">
        <v>148</v>
      </c>
      <c r="V1321" t="s">
        <v>184</v>
      </c>
      <c r="W1321" t="s">
        <v>138</v>
      </c>
      <c r="X1321" t="s">
        <v>1077</v>
      </c>
      <c r="Y1321" t="s">
        <v>1070</v>
      </c>
      <c r="Z1321" t="s">
        <v>41</v>
      </c>
      <c r="AA1321" t="s">
        <v>1071</v>
      </c>
      <c r="AB1321" t="str">
        <f t="shared" si="62"/>
        <v>41170</v>
      </c>
    </row>
    <row r="1322" ht="14.25" spans="1:28">
      <c r="A1322" s="5" t="s">
        <v>28</v>
      </c>
      <c r="B1322" s="5" t="s">
        <v>697</v>
      </c>
      <c r="C1322" s="5">
        <v>2027</v>
      </c>
      <c r="D1322" s="5" t="s">
        <v>30</v>
      </c>
      <c r="E1322" s="9" t="s">
        <v>1074</v>
      </c>
      <c r="F1322" s="9" t="s">
        <v>1068</v>
      </c>
      <c r="G1322" s="9" t="s">
        <v>1075</v>
      </c>
      <c r="H1322" s="9" t="s">
        <v>1076</v>
      </c>
      <c r="I1322" s="9" t="s">
        <v>119</v>
      </c>
      <c r="J1322" s="9" t="s">
        <v>36</v>
      </c>
      <c r="K1322" s="9">
        <v>890</v>
      </c>
      <c r="L1322" s="9"/>
      <c r="M1322" s="9"/>
      <c r="N1322" s="9"/>
      <c r="O1322" s="9" t="s">
        <v>37</v>
      </c>
      <c r="P1322" s="9" t="s">
        <v>44</v>
      </c>
      <c r="Q1322" s="11"/>
      <c r="R1322" s="10"/>
      <c r="S1322" s="10"/>
      <c r="T1322" s="10"/>
      <c r="U1322" s="9" t="s">
        <v>148</v>
      </c>
      <c r="V1322" t="s">
        <v>184</v>
      </c>
      <c r="W1322" t="s">
        <v>138</v>
      </c>
      <c r="X1322" t="s">
        <v>1077</v>
      </c>
      <c r="Y1322" t="s">
        <v>1070</v>
      </c>
      <c r="Z1322" t="s">
        <v>41</v>
      </c>
      <c r="AA1322" t="s">
        <v>1071</v>
      </c>
      <c r="AB1322" t="str">
        <f t="shared" si="62"/>
        <v>41170</v>
      </c>
    </row>
    <row r="1323" ht="14.25" spans="1:28">
      <c r="A1323" s="5" t="s">
        <v>28</v>
      </c>
      <c r="B1323" s="5" t="s">
        <v>697</v>
      </c>
      <c r="C1323" s="5">
        <v>2027</v>
      </c>
      <c r="D1323" s="5" t="s">
        <v>30</v>
      </c>
      <c r="E1323" s="9" t="s">
        <v>1074</v>
      </c>
      <c r="F1323" s="9" t="s">
        <v>1068</v>
      </c>
      <c r="G1323" s="9" t="s">
        <v>1075</v>
      </c>
      <c r="H1323" s="9" t="s">
        <v>1076</v>
      </c>
      <c r="I1323" s="9" t="s">
        <v>119</v>
      </c>
      <c r="J1323" s="9" t="s">
        <v>36</v>
      </c>
      <c r="K1323" s="9">
        <v>890</v>
      </c>
      <c r="L1323" s="9"/>
      <c r="M1323" s="9"/>
      <c r="N1323" s="9"/>
      <c r="O1323" s="9" t="s">
        <v>37</v>
      </c>
      <c r="P1323" s="9" t="s">
        <v>45</v>
      </c>
      <c r="Q1323" s="9"/>
      <c r="R1323" s="10"/>
      <c r="S1323" s="10"/>
      <c r="T1323" s="10"/>
      <c r="U1323" s="9" t="s">
        <v>148</v>
      </c>
      <c r="V1323" t="s">
        <v>184</v>
      </c>
      <c r="W1323" t="s">
        <v>138</v>
      </c>
      <c r="X1323" t="s">
        <v>1077</v>
      </c>
      <c r="Y1323" t="s">
        <v>1070</v>
      </c>
      <c r="Z1323" t="s">
        <v>41</v>
      </c>
      <c r="AA1323" t="s">
        <v>1071</v>
      </c>
      <c r="AB1323" t="str">
        <f t="shared" si="62"/>
        <v>41170</v>
      </c>
    </row>
    <row r="1324" ht="14.25" spans="1:28">
      <c r="A1324" s="5" t="s">
        <v>28</v>
      </c>
      <c r="B1324" s="5" t="s">
        <v>697</v>
      </c>
      <c r="C1324" s="5">
        <v>2027</v>
      </c>
      <c r="D1324" s="5" t="s">
        <v>30</v>
      </c>
      <c r="E1324" s="9" t="s">
        <v>1074</v>
      </c>
      <c r="F1324" s="9" t="s">
        <v>1068</v>
      </c>
      <c r="G1324" s="9" t="s">
        <v>1075</v>
      </c>
      <c r="H1324" s="9" t="s">
        <v>1076</v>
      </c>
      <c r="I1324" s="9" t="s">
        <v>119</v>
      </c>
      <c r="J1324" s="9" t="s">
        <v>36</v>
      </c>
      <c r="K1324" s="9">
        <v>890</v>
      </c>
      <c r="L1324" s="9"/>
      <c r="M1324" s="9"/>
      <c r="N1324" s="9"/>
      <c r="O1324" s="9" t="s">
        <v>37</v>
      </c>
      <c r="P1324" s="9" t="s">
        <v>46</v>
      </c>
      <c r="Q1324" s="9"/>
      <c r="R1324" s="10"/>
      <c r="S1324" s="10"/>
      <c r="T1324" s="10"/>
      <c r="U1324" s="9" t="s">
        <v>148</v>
      </c>
      <c r="V1324" t="s">
        <v>184</v>
      </c>
      <c r="W1324" t="s">
        <v>138</v>
      </c>
      <c r="X1324" t="s">
        <v>1077</v>
      </c>
      <c r="Y1324" t="s">
        <v>1070</v>
      </c>
      <c r="Z1324" t="s">
        <v>41</v>
      </c>
      <c r="AA1324" t="s">
        <v>1071</v>
      </c>
      <c r="AB1324" t="str">
        <f t="shared" si="62"/>
        <v>41170</v>
      </c>
    </row>
    <row r="1325" ht="14.25" spans="1:28">
      <c r="A1325" s="5" t="s">
        <v>28</v>
      </c>
      <c r="B1325" s="5" t="s">
        <v>697</v>
      </c>
      <c r="C1325" s="5">
        <v>2027</v>
      </c>
      <c r="D1325" s="5" t="s">
        <v>30</v>
      </c>
      <c r="E1325" s="9" t="s">
        <v>1078</v>
      </c>
      <c r="F1325" s="9" t="s">
        <v>1079</v>
      </c>
      <c r="G1325" s="9" t="s">
        <v>92</v>
      </c>
      <c r="H1325" s="9" t="s">
        <v>1080</v>
      </c>
      <c r="I1325" s="9" t="s">
        <v>119</v>
      </c>
      <c r="J1325" s="9" t="s">
        <v>36</v>
      </c>
      <c r="K1325" s="9">
        <v>990</v>
      </c>
      <c r="L1325" s="9"/>
      <c r="M1325" s="9"/>
      <c r="N1325" s="9"/>
      <c r="O1325" s="9" t="s">
        <v>37</v>
      </c>
      <c r="P1325" s="9" t="s">
        <v>38</v>
      </c>
      <c r="Q1325" s="9"/>
      <c r="R1325" s="10">
        <f t="shared" si="60"/>
        <v>0</v>
      </c>
      <c r="S1325" s="10">
        <f>SUMIFS([1]Sheet1!$T:$T,[1]Sheet1!$I:$I,E1325,[1]Sheet1!$C:$C,A1325)</f>
        <v>50</v>
      </c>
      <c r="T1325" s="10">
        <f t="shared" si="61"/>
        <v>-50</v>
      </c>
      <c r="U1325" s="9" t="s">
        <v>148</v>
      </c>
      <c r="V1325" t="s">
        <v>164</v>
      </c>
      <c r="W1325" t="s">
        <v>138</v>
      </c>
      <c r="X1325" t="s">
        <v>94</v>
      </c>
      <c r="Y1325" t="s">
        <v>165</v>
      </c>
      <c r="Z1325" t="s">
        <v>155</v>
      </c>
      <c r="AB1325" t="str">
        <f t="shared" si="62"/>
        <v>41282</v>
      </c>
    </row>
    <row r="1326" ht="14.25" spans="1:28">
      <c r="A1326" s="5" t="s">
        <v>28</v>
      </c>
      <c r="B1326" s="5" t="s">
        <v>697</v>
      </c>
      <c r="C1326" s="5">
        <v>2027</v>
      </c>
      <c r="D1326" s="5" t="s">
        <v>30</v>
      </c>
      <c r="E1326" s="9" t="s">
        <v>1078</v>
      </c>
      <c r="F1326" s="9" t="s">
        <v>1079</v>
      </c>
      <c r="G1326" s="9" t="s">
        <v>92</v>
      </c>
      <c r="H1326" s="9" t="s">
        <v>1080</v>
      </c>
      <c r="I1326" s="9" t="s">
        <v>119</v>
      </c>
      <c r="J1326" s="9" t="s">
        <v>36</v>
      </c>
      <c r="K1326" s="9">
        <v>990</v>
      </c>
      <c r="L1326" s="9"/>
      <c r="M1326" s="9"/>
      <c r="N1326" s="9"/>
      <c r="O1326" s="9" t="s">
        <v>37</v>
      </c>
      <c r="P1326" s="9" t="s">
        <v>42</v>
      </c>
      <c r="Q1326" s="9"/>
      <c r="R1326" s="10"/>
      <c r="S1326" s="10"/>
      <c r="T1326" s="10"/>
      <c r="U1326" s="9" t="s">
        <v>148</v>
      </c>
      <c r="V1326" t="s">
        <v>164</v>
      </c>
      <c r="W1326" t="s">
        <v>138</v>
      </c>
      <c r="X1326" t="s">
        <v>94</v>
      </c>
      <c r="Y1326" t="s">
        <v>165</v>
      </c>
      <c r="Z1326" t="s">
        <v>155</v>
      </c>
      <c r="AB1326" t="str">
        <f t="shared" si="62"/>
        <v>41282</v>
      </c>
    </row>
    <row r="1327" ht="14.25" spans="1:28">
      <c r="A1327" s="5" t="s">
        <v>28</v>
      </c>
      <c r="B1327" s="5" t="s">
        <v>697</v>
      </c>
      <c r="C1327" s="5">
        <v>2027</v>
      </c>
      <c r="D1327" s="5" t="s">
        <v>30</v>
      </c>
      <c r="E1327" s="9" t="s">
        <v>1078</v>
      </c>
      <c r="F1327" s="9" t="s">
        <v>1079</v>
      </c>
      <c r="G1327" s="9" t="s">
        <v>92</v>
      </c>
      <c r="H1327" s="9" t="s">
        <v>1080</v>
      </c>
      <c r="I1327" s="9" t="s">
        <v>119</v>
      </c>
      <c r="J1327" s="9" t="s">
        <v>36</v>
      </c>
      <c r="K1327" s="9">
        <v>990</v>
      </c>
      <c r="L1327" s="9"/>
      <c r="M1327" s="9"/>
      <c r="N1327" s="9"/>
      <c r="O1327" s="9" t="s">
        <v>37</v>
      </c>
      <c r="P1327" s="9" t="s">
        <v>43</v>
      </c>
      <c r="Q1327" s="9"/>
      <c r="R1327" s="10"/>
      <c r="S1327" s="10"/>
      <c r="T1327" s="10"/>
      <c r="U1327" s="9" t="s">
        <v>148</v>
      </c>
      <c r="V1327" t="s">
        <v>164</v>
      </c>
      <c r="W1327" t="s">
        <v>138</v>
      </c>
      <c r="X1327" t="s">
        <v>94</v>
      </c>
      <c r="Y1327" t="s">
        <v>165</v>
      </c>
      <c r="Z1327" t="s">
        <v>155</v>
      </c>
      <c r="AB1327" t="str">
        <f t="shared" si="62"/>
        <v>41282</v>
      </c>
    </row>
    <row r="1328" ht="14.25" spans="1:28">
      <c r="A1328" s="5" t="s">
        <v>28</v>
      </c>
      <c r="B1328" s="5" t="s">
        <v>697</v>
      </c>
      <c r="C1328" s="5">
        <v>2027</v>
      </c>
      <c r="D1328" s="5" t="s">
        <v>30</v>
      </c>
      <c r="E1328" s="9" t="s">
        <v>1078</v>
      </c>
      <c r="F1328" s="9" t="s">
        <v>1079</v>
      </c>
      <c r="G1328" s="9" t="s">
        <v>92</v>
      </c>
      <c r="H1328" s="9" t="s">
        <v>1080</v>
      </c>
      <c r="I1328" s="9" t="s">
        <v>119</v>
      </c>
      <c r="J1328" s="9" t="s">
        <v>36</v>
      </c>
      <c r="K1328" s="9">
        <v>990</v>
      </c>
      <c r="L1328" s="9"/>
      <c r="M1328" s="9"/>
      <c r="N1328" s="9"/>
      <c r="O1328" s="9" t="s">
        <v>37</v>
      </c>
      <c r="P1328" s="9" t="s">
        <v>44</v>
      </c>
      <c r="Q1328" s="9"/>
      <c r="R1328" s="10"/>
      <c r="S1328" s="10"/>
      <c r="T1328" s="10"/>
      <c r="U1328" s="9" t="s">
        <v>148</v>
      </c>
      <c r="V1328" t="s">
        <v>164</v>
      </c>
      <c r="W1328" t="s">
        <v>138</v>
      </c>
      <c r="X1328" t="s">
        <v>94</v>
      </c>
      <c r="Y1328" t="s">
        <v>165</v>
      </c>
      <c r="Z1328" t="s">
        <v>155</v>
      </c>
      <c r="AB1328" t="str">
        <f t="shared" si="62"/>
        <v>41282</v>
      </c>
    </row>
    <row r="1329" ht="14.25" spans="1:28">
      <c r="A1329" s="5" t="s">
        <v>28</v>
      </c>
      <c r="B1329" s="5" t="s">
        <v>697</v>
      </c>
      <c r="C1329" s="5">
        <v>2027</v>
      </c>
      <c r="D1329" s="5" t="s">
        <v>30</v>
      </c>
      <c r="E1329" s="9" t="s">
        <v>1078</v>
      </c>
      <c r="F1329" s="9" t="s">
        <v>1079</v>
      </c>
      <c r="G1329" s="9" t="s">
        <v>92</v>
      </c>
      <c r="H1329" s="9" t="s">
        <v>1080</v>
      </c>
      <c r="I1329" s="9" t="s">
        <v>119</v>
      </c>
      <c r="J1329" s="9" t="s">
        <v>36</v>
      </c>
      <c r="K1329" s="9">
        <v>990</v>
      </c>
      <c r="L1329" s="9"/>
      <c r="M1329" s="9"/>
      <c r="N1329" s="9"/>
      <c r="O1329" s="9" t="s">
        <v>37</v>
      </c>
      <c r="P1329" s="9" t="s">
        <v>45</v>
      </c>
      <c r="Q1329" s="9"/>
      <c r="R1329" s="10"/>
      <c r="S1329" s="10"/>
      <c r="T1329" s="10"/>
      <c r="U1329" s="9" t="s">
        <v>148</v>
      </c>
      <c r="V1329" t="s">
        <v>164</v>
      </c>
      <c r="W1329" t="s">
        <v>138</v>
      </c>
      <c r="X1329" t="s">
        <v>94</v>
      </c>
      <c r="Y1329" t="s">
        <v>165</v>
      </c>
      <c r="Z1329" t="s">
        <v>155</v>
      </c>
      <c r="AB1329" t="str">
        <f t="shared" si="62"/>
        <v>41282</v>
      </c>
    </row>
    <row r="1330" ht="14.25" spans="1:28">
      <c r="A1330" s="5" t="s">
        <v>28</v>
      </c>
      <c r="B1330" s="5" t="s">
        <v>697</v>
      </c>
      <c r="C1330" s="5">
        <v>2027</v>
      </c>
      <c r="D1330" s="5" t="s">
        <v>30</v>
      </c>
      <c r="E1330" s="9" t="s">
        <v>1078</v>
      </c>
      <c r="F1330" s="9" t="s">
        <v>1079</v>
      </c>
      <c r="G1330" s="9" t="s">
        <v>92</v>
      </c>
      <c r="H1330" s="9" t="s">
        <v>1080</v>
      </c>
      <c r="I1330" s="9" t="s">
        <v>119</v>
      </c>
      <c r="J1330" s="9" t="s">
        <v>36</v>
      </c>
      <c r="K1330" s="9">
        <v>990</v>
      </c>
      <c r="L1330" s="9"/>
      <c r="M1330" s="9"/>
      <c r="N1330" s="9"/>
      <c r="O1330" s="9" t="s">
        <v>37</v>
      </c>
      <c r="P1330" s="9" t="s">
        <v>46</v>
      </c>
      <c r="Q1330" s="9"/>
      <c r="R1330" s="10"/>
      <c r="S1330" s="10"/>
      <c r="T1330" s="10"/>
      <c r="U1330" s="9" t="s">
        <v>148</v>
      </c>
      <c r="V1330" t="s">
        <v>164</v>
      </c>
      <c r="W1330" t="s">
        <v>138</v>
      </c>
      <c r="X1330" t="s">
        <v>94</v>
      </c>
      <c r="Y1330" t="s">
        <v>165</v>
      </c>
      <c r="Z1330" t="s">
        <v>155</v>
      </c>
      <c r="AB1330" t="str">
        <f t="shared" si="62"/>
        <v>41282</v>
      </c>
    </row>
    <row r="1331" ht="14.25" spans="1:28">
      <c r="A1331" s="5" t="s">
        <v>28</v>
      </c>
      <c r="B1331" s="5" t="s">
        <v>697</v>
      </c>
      <c r="C1331" s="5">
        <v>2027</v>
      </c>
      <c r="D1331" s="5" t="s">
        <v>30</v>
      </c>
      <c r="E1331" s="9" t="s">
        <v>1081</v>
      </c>
      <c r="F1331" s="9" t="s">
        <v>1079</v>
      </c>
      <c r="G1331" s="9" t="s">
        <v>1082</v>
      </c>
      <c r="H1331" s="9" t="s">
        <v>1083</v>
      </c>
      <c r="I1331" s="9" t="s">
        <v>119</v>
      </c>
      <c r="J1331" s="9" t="s">
        <v>36</v>
      </c>
      <c r="K1331" s="9">
        <v>990</v>
      </c>
      <c r="L1331" s="9"/>
      <c r="M1331" s="9"/>
      <c r="N1331" s="9"/>
      <c r="O1331" s="9" t="s">
        <v>37</v>
      </c>
      <c r="P1331" s="9" t="s">
        <v>38</v>
      </c>
      <c r="Q1331" s="9"/>
      <c r="R1331" s="10">
        <f t="shared" si="60"/>
        <v>0</v>
      </c>
      <c r="S1331" s="10">
        <f>SUMIFS([1]Sheet1!$T:$T,[1]Sheet1!$I:$I,E1331,[1]Sheet1!$C:$C,A1331)</f>
        <v>0</v>
      </c>
      <c r="T1331" s="10">
        <f t="shared" si="61"/>
        <v>0</v>
      </c>
      <c r="U1331" s="9" t="s">
        <v>148</v>
      </c>
      <c r="V1331" t="s">
        <v>164</v>
      </c>
      <c r="W1331" t="s">
        <v>138</v>
      </c>
      <c r="Y1331" t="s">
        <v>165</v>
      </c>
      <c r="Z1331" t="s">
        <v>155</v>
      </c>
      <c r="AB1331" t="str">
        <f t="shared" si="62"/>
        <v>41282</v>
      </c>
    </row>
    <row r="1332" ht="14.25" spans="1:28">
      <c r="A1332" s="5" t="s">
        <v>28</v>
      </c>
      <c r="B1332" s="5" t="s">
        <v>697</v>
      </c>
      <c r="C1332" s="5">
        <v>2027</v>
      </c>
      <c r="D1332" s="5" t="s">
        <v>30</v>
      </c>
      <c r="E1332" s="9" t="s">
        <v>1081</v>
      </c>
      <c r="F1332" s="9" t="s">
        <v>1079</v>
      </c>
      <c r="G1332" s="9" t="s">
        <v>1082</v>
      </c>
      <c r="H1332" s="9" t="s">
        <v>1083</v>
      </c>
      <c r="I1332" s="9" t="s">
        <v>119</v>
      </c>
      <c r="J1332" s="9" t="s">
        <v>36</v>
      </c>
      <c r="K1332" s="9">
        <v>990</v>
      </c>
      <c r="L1332" s="9"/>
      <c r="M1332" s="9"/>
      <c r="N1332" s="9"/>
      <c r="O1332" s="9" t="s">
        <v>37</v>
      </c>
      <c r="P1332" s="9" t="s">
        <v>42</v>
      </c>
      <c r="Q1332" s="9"/>
      <c r="R1332" s="10"/>
      <c r="S1332" s="10"/>
      <c r="T1332" s="10"/>
      <c r="U1332" s="9" t="s">
        <v>148</v>
      </c>
      <c r="V1332" t="s">
        <v>164</v>
      </c>
      <c r="W1332" t="s">
        <v>138</v>
      </c>
      <c r="Y1332" t="s">
        <v>165</v>
      </c>
      <c r="Z1332" t="s">
        <v>155</v>
      </c>
      <c r="AB1332" t="str">
        <f t="shared" si="62"/>
        <v>41282</v>
      </c>
    </row>
    <row r="1333" ht="14.25" spans="1:28">
      <c r="A1333" s="5" t="s">
        <v>28</v>
      </c>
      <c r="B1333" s="5" t="s">
        <v>697</v>
      </c>
      <c r="C1333" s="5">
        <v>2027</v>
      </c>
      <c r="D1333" s="5" t="s">
        <v>30</v>
      </c>
      <c r="E1333" s="9" t="s">
        <v>1081</v>
      </c>
      <c r="F1333" s="9" t="s">
        <v>1079</v>
      </c>
      <c r="G1333" s="9" t="s">
        <v>1082</v>
      </c>
      <c r="H1333" s="9" t="s">
        <v>1083</v>
      </c>
      <c r="I1333" s="9" t="s">
        <v>119</v>
      </c>
      <c r="J1333" s="9" t="s">
        <v>36</v>
      </c>
      <c r="K1333" s="9">
        <v>990</v>
      </c>
      <c r="L1333" s="9"/>
      <c r="M1333" s="9"/>
      <c r="N1333" s="9"/>
      <c r="O1333" s="9" t="s">
        <v>37</v>
      </c>
      <c r="P1333" s="9" t="s">
        <v>43</v>
      </c>
      <c r="Q1333" s="9"/>
      <c r="R1333" s="10"/>
      <c r="S1333" s="10"/>
      <c r="T1333" s="10"/>
      <c r="U1333" s="9" t="s">
        <v>148</v>
      </c>
      <c r="V1333" t="s">
        <v>164</v>
      </c>
      <c r="W1333" t="s">
        <v>138</v>
      </c>
      <c r="Y1333" t="s">
        <v>165</v>
      </c>
      <c r="Z1333" t="s">
        <v>155</v>
      </c>
      <c r="AB1333" t="str">
        <f t="shared" si="62"/>
        <v>41282</v>
      </c>
    </row>
    <row r="1334" ht="14.25" spans="1:28">
      <c r="A1334" s="5" t="s">
        <v>28</v>
      </c>
      <c r="B1334" s="5" t="s">
        <v>697</v>
      </c>
      <c r="C1334" s="5">
        <v>2027</v>
      </c>
      <c r="D1334" s="5" t="s">
        <v>30</v>
      </c>
      <c r="E1334" s="9" t="s">
        <v>1081</v>
      </c>
      <c r="F1334" s="9" t="s">
        <v>1079</v>
      </c>
      <c r="G1334" s="9" t="s">
        <v>1082</v>
      </c>
      <c r="H1334" s="9" t="s">
        <v>1083</v>
      </c>
      <c r="I1334" s="9" t="s">
        <v>119</v>
      </c>
      <c r="J1334" s="9" t="s">
        <v>36</v>
      </c>
      <c r="K1334" s="9">
        <v>990</v>
      </c>
      <c r="L1334" s="9"/>
      <c r="M1334" s="9"/>
      <c r="N1334" s="9"/>
      <c r="O1334" s="9" t="s">
        <v>37</v>
      </c>
      <c r="P1334" s="9" t="s">
        <v>44</v>
      </c>
      <c r="Q1334" s="9"/>
      <c r="R1334" s="10"/>
      <c r="S1334" s="10"/>
      <c r="T1334" s="10"/>
      <c r="U1334" s="9" t="s">
        <v>148</v>
      </c>
      <c r="V1334" t="s">
        <v>164</v>
      </c>
      <c r="W1334" t="s">
        <v>138</v>
      </c>
      <c r="Y1334" t="s">
        <v>165</v>
      </c>
      <c r="Z1334" t="s">
        <v>155</v>
      </c>
      <c r="AB1334" t="str">
        <f t="shared" si="62"/>
        <v>41282</v>
      </c>
    </row>
    <row r="1335" ht="14.25" spans="1:28">
      <c r="A1335" s="5" t="s">
        <v>28</v>
      </c>
      <c r="B1335" s="5" t="s">
        <v>697</v>
      </c>
      <c r="C1335" s="5">
        <v>2027</v>
      </c>
      <c r="D1335" s="5" t="s">
        <v>30</v>
      </c>
      <c r="E1335" s="9" t="s">
        <v>1081</v>
      </c>
      <c r="F1335" s="9" t="s">
        <v>1079</v>
      </c>
      <c r="G1335" s="9" t="s">
        <v>1082</v>
      </c>
      <c r="H1335" s="9" t="s">
        <v>1083</v>
      </c>
      <c r="I1335" s="9" t="s">
        <v>119</v>
      </c>
      <c r="J1335" s="9" t="s">
        <v>36</v>
      </c>
      <c r="K1335" s="9">
        <v>990</v>
      </c>
      <c r="L1335" s="9"/>
      <c r="M1335" s="9"/>
      <c r="N1335" s="9"/>
      <c r="O1335" s="9" t="s">
        <v>37</v>
      </c>
      <c r="P1335" s="9" t="s">
        <v>45</v>
      </c>
      <c r="Q1335" s="9"/>
      <c r="R1335" s="10"/>
      <c r="S1335" s="10"/>
      <c r="T1335" s="10"/>
      <c r="U1335" s="9" t="s">
        <v>148</v>
      </c>
      <c r="V1335" t="s">
        <v>164</v>
      </c>
      <c r="W1335" t="s">
        <v>138</v>
      </c>
      <c r="Y1335" t="s">
        <v>165</v>
      </c>
      <c r="Z1335" t="s">
        <v>155</v>
      </c>
      <c r="AB1335" t="str">
        <f t="shared" si="62"/>
        <v>41282</v>
      </c>
    </row>
    <row r="1336" ht="14.25" spans="1:28">
      <c r="A1336" s="5" t="s">
        <v>28</v>
      </c>
      <c r="B1336" s="5" t="s">
        <v>697</v>
      </c>
      <c r="C1336" s="5">
        <v>2027</v>
      </c>
      <c r="D1336" s="5" t="s">
        <v>30</v>
      </c>
      <c r="E1336" s="9" t="s">
        <v>1081</v>
      </c>
      <c r="F1336" s="9" t="s">
        <v>1079</v>
      </c>
      <c r="G1336" s="9" t="s">
        <v>1082</v>
      </c>
      <c r="H1336" s="9" t="s">
        <v>1083</v>
      </c>
      <c r="I1336" s="9" t="s">
        <v>119</v>
      </c>
      <c r="J1336" s="9" t="s">
        <v>36</v>
      </c>
      <c r="K1336" s="9">
        <v>990</v>
      </c>
      <c r="L1336" s="9"/>
      <c r="M1336" s="9"/>
      <c r="N1336" s="9"/>
      <c r="O1336" s="9" t="s">
        <v>37</v>
      </c>
      <c r="P1336" s="9" t="s">
        <v>46</v>
      </c>
      <c r="Q1336" s="9"/>
      <c r="R1336" s="10"/>
      <c r="S1336" s="10"/>
      <c r="T1336" s="10"/>
      <c r="U1336" s="9" t="s">
        <v>148</v>
      </c>
      <c r="V1336" t="s">
        <v>164</v>
      </c>
      <c r="W1336" t="s">
        <v>138</v>
      </c>
      <c r="Y1336" t="s">
        <v>165</v>
      </c>
      <c r="Z1336" t="s">
        <v>155</v>
      </c>
      <c r="AB1336" t="str">
        <f t="shared" si="62"/>
        <v>41282</v>
      </c>
    </row>
    <row r="1337" ht="14.25" spans="1:28">
      <c r="A1337" s="5" t="s">
        <v>28</v>
      </c>
      <c r="B1337" s="5" t="s">
        <v>697</v>
      </c>
      <c r="C1337" s="5">
        <v>2027</v>
      </c>
      <c r="D1337" s="5" t="s">
        <v>30</v>
      </c>
      <c r="E1337" s="9" t="s">
        <v>1084</v>
      </c>
      <c r="F1337" s="9" t="s">
        <v>1079</v>
      </c>
      <c r="G1337" s="9" t="s">
        <v>1085</v>
      </c>
      <c r="H1337" s="9" t="s">
        <v>1086</v>
      </c>
      <c r="I1337" s="9" t="s">
        <v>119</v>
      </c>
      <c r="J1337" s="9" t="s">
        <v>36</v>
      </c>
      <c r="K1337" s="9">
        <v>990</v>
      </c>
      <c r="L1337" s="9"/>
      <c r="M1337" s="9"/>
      <c r="N1337" s="9"/>
      <c r="O1337" s="9" t="s">
        <v>37</v>
      </c>
      <c r="P1337" s="9" t="s">
        <v>38</v>
      </c>
      <c r="Q1337" s="9"/>
      <c r="R1337" s="10">
        <f t="shared" si="60"/>
        <v>0</v>
      </c>
      <c r="S1337" s="10">
        <f>SUMIFS([1]Sheet1!$T:$T,[1]Sheet1!$I:$I,E1337,[1]Sheet1!$C:$C,A1337)</f>
        <v>40</v>
      </c>
      <c r="T1337" s="10">
        <f t="shared" si="61"/>
        <v>-40</v>
      </c>
      <c r="U1337" s="9" t="s">
        <v>148</v>
      </c>
      <c r="V1337" t="s">
        <v>164</v>
      </c>
      <c r="W1337" t="s">
        <v>138</v>
      </c>
      <c r="X1337" t="s">
        <v>54</v>
      </c>
      <c r="Y1337" t="s">
        <v>165</v>
      </c>
      <c r="Z1337" t="s">
        <v>155</v>
      </c>
      <c r="AB1337" t="str">
        <f t="shared" si="62"/>
        <v>41282</v>
      </c>
    </row>
    <row r="1338" ht="14.25" spans="1:28">
      <c r="A1338" s="5" t="s">
        <v>28</v>
      </c>
      <c r="B1338" s="5" t="s">
        <v>697</v>
      </c>
      <c r="C1338" s="5">
        <v>2027</v>
      </c>
      <c r="D1338" s="5" t="s">
        <v>30</v>
      </c>
      <c r="E1338" s="9" t="s">
        <v>1084</v>
      </c>
      <c r="F1338" s="9" t="s">
        <v>1079</v>
      </c>
      <c r="G1338" s="9" t="s">
        <v>1085</v>
      </c>
      <c r="H1338" s="9" t="s">
        <v>1086</v>
      </c>
      <c r="I1338" s="9" t="s">
        <v>119</v>
      </c>
      <c r="J1338" s="9" t="s">
        <v>36</v>
      </c>
      <c r="K1338" s="9">
        <v>990</v>
      </c>
      <c r="L1338" s="9"/>
      <c r="M1338" s="9"/>
      <c r="N1338" s="9"/>
      <c r="O1338" s="9" t="s">
        <v>37</v>
      </c>
      <c r="P1338" s="9" t="s">
        <v>42</v>
      </c>
      <c r="Q1338" s="9"/>
      <c r="R1338" s="10"/>
      <c r="S1338" s="10"/>
      <c r="T1338" s="10"/>
      <c r="U1338" s="9" t="s">
        <v>148</v>
      </c>
      <c r="V1338" t="s">
        <v>164</v>
      </c>
      <c r="W1338" t="s">
        <v>138</v>
      </c>
      <c r="X1338" t="s">
        <v>54</v>
      </c>
      <c r="Y1338" t="s">
        <v>165</v>
      </c>
      <c r="Z1338" t="s">
        <v>155</v>
      </c>
      <c r="AB1338" t="str">
        <f t="shared" si="62"/>
        <v>41282</v>
      </c>
    </row>
    <row r="1339" ht="14.25" spans="1:28">
      <c r="A1339" s="5" t="s">
        <v>28</v>
      </c>
      <c r="B1339" s="5" t="s">
        <v>697</v>
      </c>
      <c r="C1339" s="5">
        <v>2027</v>
      </c>
      <c r="D1339" s="5" t="s">
        <v>30</v>
      </c>
      <c r="E1339" s="9" t="s">
        <v>1084</v>
      </c>
      <c r="F1339" s="9" t="s">
        <v>1079</v>
      </c>
      <c r="G1339" s="9" t="s">
        <v>1085</v>
      </c>
      <c r="H1339" s="9" t="s">
        <v>1086</v>
      </c>
      <c r="I1339" s="9" t="s">
        <v>119</v>
      </c>
      <c r="J1339" s="9" t="s">
        <v>36</v>
      </c>
      <c r="K1339" s="9">
        <v>990</v>
      </c>
      <c r="L1339" s="9"/>
      <c r="M1339" s="9"/>
      <c r="N1339" s="9"/>
      <c r="O1339" s="9" t="s">
        <v>37</v>
      </c>
      <c r="P1339" s="9" t="s">
        <v>43</v>
      </c>
      <c r="Q1339" s="9"/>
      <c r="R1339" s="10"/>
      <c r="S1339" s="10"/>
      <c r="T1339" s="10"/>
      <c r="U1339" s="9" t="s">
        <v>148</v>
      </c>
      <c r="V1339" t="s">
        <v>164</v>
      </c>
      <c r="W1339" t="s">
        <v>138</v>
      </c>
      <c r="X1339" t="s">
        <v>54</v>
      </c>
      <c r="Y1339" t="s">
        <v>165</v>
      </c>
      <c r="Z1339" t="s">
        <v>155</v>
      </c>
      <c r="AB1339" t="str">
        <f t="shared" si="62"/>
        <v>41282</v>
      </c>
    </row>
    <row r="1340" ht="14.25" spans="1:28">
      <c r="A1340" s="5" t="s">
        <v>28</v>
      </c>
      <c r="B1340" s="5" t="s">
        <v>697</v>
      </c>
      <c r="C1340" s="5">
        <v>2027</v>
      </c>
      <c r="D1340" s="5" t="s">
        <v>30</v>
      </c>
      <c r="E1340" s="9" t="s">
        <v>1084</v>
      </c>
      <c r="F1340" s="9" t="s">
        <v>1079</v>
      </c>
      <c r="G1340" s="9" t="s">
        <v>1085</v>
      </c>
      <c r="H1340" s="9" t="s">
        <v>1086</v>
      </c>
      <c r="I1340" s="9" t="s">
        <v>119</v>
      </c>
      <c r="J1340" s="9" t="s">
        <v>36</v>
      </c>
      <c r="K1340" s="9">
        <v>990</v>
      </c>
      <c r="L1340" s="9"/>
      <c r="M1340" s="9"/>
      <c r="N1340" s="9"/>
      <c r="O1340" s="9" t="s">
        <v>37</v>
      </c>
      <c r="P1340" s="9" t="s">
        <v>44</v>
      </c>
      <c r="Q1340" s="9"/>
      <c r="R1340" s="10"/>
      <c r="S1340" s="10"/>
      <c r="T1340" s="10"/>
      <c r="U1340" s="9" t="s">
        <v>148</v>
      </c>
      <c r="V1340" t="s">
        <v>164</v>
      </c>
      <c r="W1340" t="s">
        <v>138</v>
      </c>
      <c r="X1340" t="s">
        <v>54</v>
      </c>
      <c r="Y1340" t="s">
        <v>165</v>
      </c>
      <c r="Z1340" t="s">
        <v>155</v>
      </c>
      <c r="AB1340" t="str">
        <f t="shared" si="62"/>
        <v>41282</v>
      </c>
    </row>
    <row r="1341" ht="14.25" spans="1:28">
      <c r="A1341" s="5" t="s">
        <v>28</v>
      </c>
      <c r="B1341" s="5" t="s">
        <v>697</v>
      </c>
      <c r="C1341" s="5">
        <v>2027</v>
      </c>
      <c r="D1341" s="5" t="s">
        <v>30</v>
      </c>
      <c r="E1341" s="9" t="s">
        <v>1084</v>
      </c>
      <c r="F1341" s="9" t="s">
        <v>1079</v>
      </c>
      <c r="G1341" s="9" t="s">
        <v>1085</v>
      </c>
      <c r="H1341" s="9" t="s">
        <v>1086</v>
      </c>
      <c r="I1341" s="9" t="s">
        <v>119</v>
      </c>
      <c r="J1341" s="9" t="s">
        <v>36</v>
      </c>
      <c r="K1341" s="9">
        <v>990</v>
      </c>
      <c r="L1341" s="9"/>
      <c r="M1341" s="9"/>
      <c r="N1341" s="9"/>
      <c r="O1341" s="9" t="s">
        <v>37</v>
      </c>
      <c r="P1341" s="9" t="s">
        <v>45</v>
      </c>
      <c r="Q1341" s="9"/>
      <c r="R1341" s="10"/>
      <c r="S1341" s="10"/>
      <c r="T1341" s="10"/>
      <c r="U1341" s="9" t="s">
        <v>148</v>
      </c>
      <c r="V1341" t="s">
        <v>164</v>
      </c>
      <c r="W1341" t="s">
        <v>138</v>
      </c>
      <c r="X1341" t="s">
        <v>54</v>
      </c>
      <c r="Y1341" t="s">
        <v>165</v>
      </c>
      <c r="Z1341" t="s">
        <v>155</v>
      </c>
      <c r="AB1341" t="str">
        <f t="shared" si="62"/>
        <v>41282</v>
      </c>
    </row>
    <row r="1342" ht="14.25" spans="1:28">
      <c r="A1342" s="5" t="s">
        <v>28</v>
      </c>
      <c r="B1342" s="5" t="s">
        <v>697</v>
      </c>
      <c r="C1342" s="5">
        <v>2027</v>
      </c>
      <c r="D1342" s="5" t="s">
        <v>30</v>
      </c>
      <c r="E1342" s="9" t="s">
        <v>1084</v>
      </c>
      <c r="F1342" s="9" t="s">
        <v>1079</v>
      </c>
      <c r="G1342" s="9" t="s">
        <v>1085</v>
      </c>
      <c r="H1342" s="9" t="s">
        <v>1086</v>
      </c>
      <c r="I1342" s="9" t="s">
        <v>119</v>
      </c>
      <c r="J1342" s="9" t="s">
        <v>36</v>
      </c>
      <c r="K1342" s="9">
        <v>990</v>
      </c>
      <c r="L1342" s="9"/>
      <c r="M1342" s="9"/>
      <c r="N1342" s="9"/>
      <c r="O1342" s="9" t="s">
        <v>37</v>
      </c>
      <c r="P1342" s="9" t="s">
        <v>46</v>
      </c>
      <c r="Q1342" s="9"/>
      <c r="R1342" s="10"/>
      <c r="S1342" s="10"/>
      <c r="T1342" s="10"/>
      <c r="U1342" s="9" t="s">
        <v>148</v>
      </c>
      <c r="V1342" t="s">
        <v>164</v>
      </c>
      <c r="W1342" t="s">
        <v>138</v>
      </c>
      <c r="X1342" t="s">
        <v>54</v>
      </c>
      <c r="Y1342" t="s">
        <v>165</v>
      </c>
      <c r="Z1342" t="s">
        <v>155</v>
      </c>
      <c r="AB1342" t="str">
        <f t="shared" si="62"/>
        <v>41282</v>
      </c>
    </row>
    <row r="1343" ht="14.25" spans="1:28">
      <c r="A1343" s="5" t="s">
        <v>28</v>
      </c>
      <c r="B1343" s="5" t="s">
        <v>697</v>
      </c>
      <c r="C1343" s="5">
        <v>2027</v>
      </c>
      <c r="D1343" s="5" t="s">
        <v>30</v>
      </c>
      <c r="E1343" s="9" t="s">
        <v>1087</v>
      </c>
      <c r="F1343" s="9" t="s">
        <v>1079</v>
      </c>
      <c r="G1343" s="9" t="s">
        <v>1088</v>
      </c>
      <c r="H1343" s="9" t="s">
        <v>1089</v>
      </c>
      <c r="I1343" s="9" t="s">
        <v>119</v>
      </c>
      <c r="J1343" s="9" t="s">
        <v>36</v>
      </c>
      <c r="K1343" s="9">
        <v>990</v>
      </c>
      <c r="L1343" s="9"/>
      <c r="M1343" s="9"/>
      <c r="N1343" s="9"/>
      <c r="O1343" s="9" t="s">
        <v>37</v>
      </c>
      <c r="P1343" s="9" t="s">
        <v>38</v>
      </c>
      <c r="Q1343" s="9"/>
      <c r="R1343" s="10">
        <f t="shared" si="60"/>
        <v>0</v>
      </c>
      <c r="S1343" s="10">
        <f>SUMIFS([1]Sheet1!$T:$T,[1]Sheet1!$I:$I,E1343,[1]Sheet1!$C:$C,A1343)</f>
        <v>80</v>
      </c>
      <c r="T1343" s="10">
        <f t="shared" si="61"/>
        <v>-80</v>
      </c>
      <c r="U1343" s="9" t="s">
        <v>148</v>
      </c>
      <c r="V1343" t="s">
        <v>164</v>
      </c>
      <c r="W1343" t="s">
        <v>138</v>
      </c>
      <c r="X1343" t="s">
        <v>70</v>
      </c>
      <c r="Y1343" t="s">
        <v>165</v>
      </c>
      <c r="Z1343" t="s">
        <v>155</v>
      </c>
      <c r="AB1343" t="str">
        <f t="shared" si="62"/>
        <v>41282</v>
      </c>
    </row>
    <row r="1344" ht="14.25" spans="1:28">
      <c r="A1344" s="5" t="s">
        <v>28</v>
      </c>
      <c r="B1344" s="5" t="s">
        <v>697</v>
      </c>
      <c r="C1344" s="5">
        <v>2027</v>
      </c>
      <c r="D1344" s="5" t="s">
        <v>30</v>
      </c>
      <c r="E1344" s="9" t="s">
        <v>1087</v>
      </c>
      <c r="F1344" s="9" t="s">
        <v>1079</v>
      </c>
      <c r="G1344" s="9" t="s">
        <v>1088</v>
      </c>
      <c r="H1344" s="9" t="s">
        <v>1089</v>
      </c>
      <c r="I1344" s="9" t="s">
        <v>119</v>
      </c>
      <c r="J1344" s="9" t="s">
        <v>36</v>
      </c>
      <c r="K1344" s="9">
        <v>990</v>
      </c>
      <c r="L1344" s="9"/>
      <c r="M1344" s="9"/>
      <c r="N1344" s="9"/>
      <c r="O1344" s="9" t="s">
        <v>37</v>
      </c>
      <c r="P1344" s="9" t="s">
        <v>42</v>
      </c>
      <c r="Q1344" s="9"/>
      <c r="R1344" s="10"/>
      <c r="S1344" s="10"/>
      <c r="T1344" s="10"/>
      <c r="U1344" s="9" t="s">
        <v>148</v>
      </c>
      <c r="V1344" t="s">
        <v>164</v>
      </c>
      <c r="W1344" t="s">
        <v>138</v>
      </c>
      <c r="X1344" t="s">
        <v>70</v>
      </c>
      <c r="Y1344" t="s">
        <v>165</v>
      </c>
      <c r="Z1344" t="s">
        <v>155</v>
      </c>
      <c r="AB1344" t="str">
        <f t="shared" si="62"/>
        <v>41282</v>
      </c>
    </row>
    <row r="1345" ht="14.25" spans="1:28">
      <c r="A1345" s="5" t="s">
        <v>28</v>
      </c>
      <c r="B1345" s="5" t="s">
        <v>697</v>
      </c>
      <c r="C1345" s="5">
        <v>2027</v>
      </c>
      <c r="D1345" s="5" t="s">
        <v>30</v>
      </c>
      <c r="E1345" s="9" t="s">
        <v>1087</v>
      </c>
      <c r="F1345" s="9" t="s">
        <v>1079</v>
      </c>
      <c r="G1345" s="9" t="s">
        <v>1088</v>
      </c>
      <c r="H1345" s="9" t="s">
        <v>1089</v>
      </c>
      <c r="I1345" s="9" t="s">
        <v>119</v>
      </c>
      <c r="J1345" s="9" t="s">
        <v>36</v>
      </c>
      <c r="K1345" s="9">
        <v>990</v>
      </c>
      <c r="L1345" s="9"/>
      <c r="M1345" s="9"/>
      <c r="N1345" s="9"/>
      <c r="O1345" s="9" t="s">
        <v>37</v>
      </c>
      <c r="P1345" s="9" t="s">
        <v>43</v>
      </c>
      <c r="Q1345" s="9"/>
      <c r="R1345" s="10"/>
      <c r="S1345" s="10"/>
      <c r="T1345" s="10"/>
      <c r="U1345" s="9" t="s">
        <v>148</v>
      </c>
      <c r="V1345" t="s">
        <v>164</v>
      </c>
      <c r="W1345" t="s">
        <v>138</v>
      </c>
      <c r="X1345" t="s">
        <v>70</v>
      </c>
      <c r="Y1345" t="s">
        <v>165</v>
      </c>
      <c r="Z1345" t="s">
        <v>155</v>
      </c>
      <c r="AB1345" t="str">
        <f t="shared" si="62"/>
        <v>41282</v>
      </c>
    </row>
    <row r="1346" ht="14.25" spans="1:28">
      <c r="A1346" s="5" t="s">
        <v>28</v>
      </c>
      <c r="B1346" s="5" t="s">
        <v>697</v>
      </c>
      <c r="C1346" s="5">
        <v>2027</v>
      </c>
      <c r="D1346" s="5" t="s">
        <v>30</v>
      </c>
      <c r="E1346" s="9" t="s">
        <v>1087</v>
      </c>
      <c r="F1346" s="9" t="s">
        <v>1079</v>
      </c>
      <c r="G1346" s="9" t="s">
        <v>1088</v>
      </c>
      <c r="H1346" s="9" t="s">
        <v>1089</v>
      </c>
      <c r="I1346" s="9" t="s">
        <v>119</v>
      </c>
      <c r="J1346" s="9" t="s">
        <v>36</v>
      </c>
      <c r="K1346" s="9">
        <v>990</v>
      </c>
      <c r="L1346" s="9"/>
      <c r="M1346" s="9"/>
      <c r="N1346" s="9"/>
      <c r="O1346" s="9" t="s">
        <v>37</v>
      </c>
      <c r="P1346" s="9" t="s">
        <v>44</v>
      </c>
      <c r="Q1346" s="9"/>
      <c r="R1346" s="10"/>
      <c r="S1346" s="10"/>
      <c r="T1346" s="10"/>
      <c r="U1346" s="9" t="s">
        <v>148</v>
      </c>
      <c r="V1346" t="s">
        <v>164</v>
      </c>
      <c r="W1346" t="s">
        <v>138</v>
      </c>
      <c r="X1346" t="s">
        <v>70</v>
      </c>
      <c r="Y1346" t="s">
        <v>165</v>
      </c>
      <c r="Z1346" t="s">
        <v>155</v>
      </c>
      <c r="AB1346" t="str">
        <f t="shared" si="62"/>
        <v>41282</v>
      </c>
    </row>
    <row r="1347" ht="14.25" spans="1:28">
      <c r="A1347" s="5" t="s">
        <v>28</v>
      </c>
      <c r="B1347" s="5" t="s">
        <v>697</v>
      </c>
      <c r="C1347" s="5">
        <v>2027</v>
      </c>
      <c r="D1347" s="5" t="s">
        <v>30</v>
      </c>
      <c r="E1347" s="9" t="s">
        <v>1087</v>
      </c>
      <c r="F1347" s="9" t="s">
        <v>1079</v>
      </c>
      <c r="G1347" s="9" t="s">
        <v>1088</v>
      </c>
      <c r="H1347" s="9" t="s">
        <v>1089</v>
      </c>
      <c r="I1347" s="9" t="s">
        <v>119</v>
      </c>
      <c r="J1347" s="9" t="s">
        <v>36</v>
      </c>
      <c r="K1347" s="9">
        <v>990</v>
      </c>
      <c r="L1347" s="9"/>
      <c r="M1347" s="9"/>
      <c r="N1347" s="9"/>
      <c r="O1347" s="9" t="s">
        <v>37</v>
      </c>
      <c r="P1347" s="9" t="s">
        <v>45</v>
      </c>
      <c r="Q1347" s="11"/>
      <c r="R1347" s="10"/>
      <c r="S1347" s="10"/>
      <c r="T1347" s="10"/>
      <c r="U1347" s="9" t="s">
        <v>148</v>
      </c>
      <c r="V1347" t="s">
        <v>164</v>
      </c>
      <c r="W1347" t="s">
        <v>138</v>
      </c>
      <c r="X1347" t="s">
        <v>70</v>
      </c>
      <c r="Y1347" t="s">
        <v>165</v>
      </c>
      <c r="Z1347" t="s">
        <v>155</v>
      </c>
      <c r="AB1347" t="str">
        <f t="shared" ref="AB1347:AB1394" si="63">MID(E1347,6,5)</f>
        <v>41282</v>
      </c>
    </row>
    <row r="1348" ht="14.25" spans="1:28">
      <c r="A1348" s="5" t="s">
        <v>28</v>
      </c>
      <c r="B1348" s="5" t="s">
        <v>697</v>
      </c>
      <c r="C1348" s="5">
        <v>2027</v>
      </c>
      <c r="D1348" s="5" t="s">
        <v>30</v>
      </c>
      <c r="E1348" s="9" t="s">
        <v>1087</v>
      </c>
      <c r="F1348" s="9" t="s">
        <v>1079</v>
      </c>
      <c r="G1348" s="9" t="s">
        <v>1088</v>
      </c>
      <c r="H1348" s="9" t="s">
        <v>1089</v>
      </c>
      <c r="I1348" s="9" t="s">
        <v>119</v>
      </c>
      <c r="J1348" s="9" t="s">
        <v>36</v>
      </c>
      <c r="K1348" s="9">
        <v>990</v>
      </c>
      <c r="L1348" s="9"/>
      <c r="M1348" s="9"/>
      <c r="N1348" s="9"/>
      <c r="O1348" s="9" t="s">
        <v>37</v>
      </c>
      <c r="P1348" s="9" t="s">
        <v>46</v>
      </c>
      <c r="Q1348" s="11"/>
      <c r="R1348" s="10"/>
      <c r="S1348" s="10"/>
      <c r="T1348" s="10"/>
      <c r="U1348" s="9" t="s">
        <v>148</v>
      </c>
      <c r="V1348" t="s">
        <v>164</v>
      </c>
      <c r="W1348" t="s">
        <v>138</v>
      </c>
      <c r="X1348" t="s">
        <v>70</v>
      </c>
      <c r="Y1348" t="s">
        <v>165</v>
      </c>
      <c r="Z1348" t="s">
        <v>155</v>
      </c>
      <c r="AB1348" t="str">
        <f t="shared" si="63"/>
        <v>41282</v>
      </c>
    </row>
    <row r="1349" ht="14.25" spans="1:28">
      <c r="A1349" s="5" t="s">
        <v>28</v>
      </c>
      <c r="B1349" s="5" t="s">
        <v>697</v>
      </c>
      <c r="C1349" s="5">
        <v>2027</v>
      </c>
      <c r="D1349" s="5" t="s">
        <v>30</v>
      </c>
      <c r="E1349" s="9" t="s">
        <v>1090</v>
      </c>
      <c r="F1349" s="9" t="s">
        <v>1079</v>
      </c>
      <c r="G1349" s="9" t="s">
        <v>117</v>
      </c>
      <c r="H1349" s="9" t="s">
        <v>1091</v>
      </c>
      <c r="I1349" s="9" t="s">
        <v>119</v>
      </c>
      <c r="J1349" s="9" t="s">
        <v>36</v>
      </c>
      <c r="K1349" s="9">
        <v>990</v>
      </c>
      <c r="L1349" s="9"/>
      <c r="M1349" s="9"/>
      <c r="N1349" s="9"/>
      <c r="O1349" s="9" t="s">
        <v>37</v>
      </c>
      <c r="P1349" s="9" t="s">
        <v>38</v>
      </c>
      <c r="Q1349" s="11"/>
      <c r="R1349" s="10">
        <f t="shared" ref="R1346:R1409" si="64">SUMIFS(Q:Q,E:E,E1349)</f>
        <v>0</v>
      </c>
      <c r="S1349" s="10">
        <f>SUMIFS([1]Sheet1!$T:$T,[1]Sheet1!$I:$I,E1349,[1]Sheet1!$C:$C,A1349)</f>
        <v>0</v>
      </c>
      <c r="T1349" s="10">
        <f t="shared" ref="T1346:T1409" si="65">R1349-S1349</f>
        <v>0</v>
      </c>
      <c r="U1349" s="9" t="s">
        <v>148</v>
      </c>
      <c r="V1349" t="s">
        <v>164</v>
      </c>
      <c r="W1349" t="s">
        <v>138</v>
      </c>
      <c r="X1349" t="s">
        <v>122</v>
      </c>
      <c r="Y1349" t="s">
        <v>165</v>
      </c>
      <c r="Z1349" t="s">
        <v>155</v>
      </c>
      <c r="AB1349" t="str">
        <f t="shared" si="63"/>
        <v>41282</v>
      </c>
    </row>
    <row r="1350" ht="14.25" spans="1:28">
      <c r="A1350" s="5" t="s">
        <v>28</v>
      </c>
      <c r="B1350" s="5" t="s">
        <v>697</v>
      </c>
      <c r="C1350" s="5">
        <v>2027</v>
      </c>
      <c r="D1350" s="5" t="s">
        <v>30</v>
      </c>
      <c r="E1350" s="9" t="s">
        <v>1090</v>
      </c>
      <c r="F1350" s="9" t="s">
        <v>1079</v>
      </c>
      <c r="G1350" s="9" t="s">
        <v>117</v>
      </c>
      <c r="H1350" s="9" t="s">
        <v>1091</v>
      </c>
      <c r="I1350" s="9" t="s">
        <v>119</v>
      </c>
      <c r="J1350" s="9" t="s">
        <v>36</v>
      </c>
      <c r="K1350" s="9">
        <v>990</v>
      </c>
      <c r="L1350" s="9"/>
      <c r="M1350" s="9"/>
      <c r="N1350" s="9"/>
      <c r="O1350" s="9" t="s">
        <v>37</v>
      </c>
      <c r="P1350" s="9" t="s">
        <v>42</v>
      </c>
      <c r="Q1350" s="11"/>
      <c r="R1350" s="10"/>
      <c r="S1350" s="10"/>
      <c r="T1350" s="10"/>
      <c r="U1350" s="9" t="s">
        <v>148</v>
      </c>
      <c r="V1350" t="s">
        <v>164</v>
      </c>
      <c r="W1350" t="s">
        <v>138</v>
      </c>
      <c r="X1350" t="s">
        <v>122</v>
      </c>
      <c r="Y1350" t="s">
        <v>165</v>
      </c>
      <c r="Z1350" t="s">
        <v>155</v>
      </c>
      <c r="AB1350" t="str">
        <f t="shared" si="63"/>
        <v>41282</v>
      </c>
    </row>
    <row r="1351" ht="14.25" spans="1:28">
      <c r="A1351" s="5" t="s">
        <v>28</v>
      </c>
      <c r="B1351" s="5" t="s">
        <v>697</v>
      </c>
      <c r="C1351" s="5">
        <v>2027</v>
      </c>
      <c r="D1351" s="5" t="s">
        <v>30</v>
      </c>
      <c r="E1351" s="9" t="s">
        <v>1090</v>
      </c>
      <c r="F1351" s="9" t="s">
        <v>1079</v>
      </c>
      <c r="G1351" s="9" t="s">
        <v>117</v>
      </c>
      <c r="H1351" s="9" t="s">
        <v>1091</v>
      </c>
      <c r="I1351" s="9" t="s">
        <v>119</v>
      </c>
      <c r="J1351" s="9" t="s">
        <v>36</v>
      </c>
      <c r="K1351" s="9">
        <v>990</v>
      </c>
      <c r="L1351" s="9"/>
      <c r="M1351" s="9"/>
      <c r="N1351" s="9"/>
      <c r="O1351" s="9" t="s">
        <v>37</v>
      </c>
      <c r="P1351" s="9" t="s">
        <v>43</v>
      </c>
      <c r="Q1351" s="11"/>
      <c r="R1351" s="10"/>
      <c r="S1351" s="10"/>
      <c r="T1351" s="10"/>
      <c r="U1351" s="9" t="s">
        <v>148</v>
      </c>
      <c r="V1351" t="s">
        <v>164</v>
      </c>
      <c r="W1351" t="s">
        <v>138</v>
      </c>
      <c r="X1351" t="s">
        <v>122</v>
      </c>
      <c r="Y1351" t="s">
        <v>165</v>
      </c>
      <c r="Z1351" t="s">
        <v>155</v>
      </c>
      <c r="AB1351" t="str">
        <f t="shared" si="63"/>
        <v>41282</v>
      </c>
    </row>
    <row r="1352" ht="14.25" spans="1:28">
      <c r="A1352" s="5" t="s">
        <v>28</v>
      </c>
      <c r="B1352" s="5" t="s">
        <v>697</v>
      </c>
      <c r="C1352" s="5">
        <v>2027</v>
      </c>
      <c r="D1352" s="5" t="s">
        <v>30</v>
      </c>
      <c r="E1352" s="9" t="s">
        <v>1090</v>
      </c>
      <c r="F1352" s="9" t="s">
        <v>1079</v>
      </c>
      <c r="G1352" s="9" t="s">
        <v>117</v>
      </c>
      <c r="H1352" s="9" t="s">
        <v>1091</v>
      </c>
      <c r="I1352" s="9" t="s">
        <v>119</v>
      </c>
      <c r="J1352" s="9" t="s">
        <v>36</v>
      </c>
      <c r="K1352" s="9">
        <v>990</v>
      </c>
      <c r="L1352" s="9"/>
      <c r="M1352" s="9"/>
      <c r="N1352" s="9"/>
      <c r="O1352" s="9" t="s">
        <v>37</v>
      </c>
      <c r="P1352" s="9" t="s">
        <v>44</v>
      </c>
      <c r="Q1352" s="11"/>
      <c r="R1352" s="10"/>
      <c r="S1352" s="10"/>
      <c r="T1352" s="10"/>
      <c r="U1352" s="9" t="s">
        <v>148</v>
      </c>
      <c r="V1352" t="s">
        <v>164</v>
      </c>
      <c r="W1352" t="s">
        <v>138</v>
      </c>
      <c r="X1352" t="s">
        <v>122</v>
      </c>
      <c r="Y1352" t="s">
        <v>165</v>
      </c>
      <c r="Z1352" t="s">
        <v>155</v>
      </c>
      <c r="AB1352" t="str">
        <f t="shared" si="63"/>
        <v>41282</v>
      </c>
    </row>
    <row r="1353" ht="14.25" spans="1:28">
      <c r="A1353" s="5" t="s">
        <v>28</v>
      </c>
      <c r="B1353" s="5" t="s">
        <v>697</v>
      </c>
      <c r="C1353" s="5">
        <v>2027</v>
      </c>
      <c r="D1353" s="5" t="s">
        <v>30</v>
      </c>
      <c r="E1353" s="9" t="s">
        <v>1090</v>
      </c>
      <c r="F1353" s="9" t="s">
        <v>1079</v>
      </c>
      <c r="G1353" s="9" t="s">
        <v>117</v>
      </c>
      <c r="H1353" s="9" t="s">
        <v>1091</v>
      </c>
      <c r="I1353" s="9" t="s">
        <v>119</v>
      </c>
      <c r="J1353" s="9" t="s">
        <v>36</v>
      </c>
      <c r="K1353" s="9">
        <v>990</v>
      </c>
      <c r="L1353" s="9"/>
      <c r="M1353" s="9"/>
      <c r="N1353" s="9"/>
      <c r="O1353" s="9" t="s">
        <v>37</v>
      </c>
      <c r="P1353" s="9" t="s">
        <v>45</v>
      </c>
      <c r="Q1353" s="9"/>
      <c r="R1353" s="10"/>
      <c r="S1353" s="10"/>
      <c r="T1353" s="10"/>
      <c r="U1353" s="9" t="s">
        <v>148</v>
      </c>
      <c r="V1353" t="s">
        <v>164</v>
      </c>
      <c r="W1353" t="s">
        <v>138</v>
      </c>
      <c r="X1353" t="s">
        <v>122</v>
      </c>
      <c r="Y1353" t="s">
        <v>165</v>
      </c>
      <c r="Z1353" t="s">
        <v>155</v>
      </c>
      <c r="AB1353" t="str">
        <f t="shared" si="63"/>
        <v>41282</v>
      </c>
    </row>
    <row r="1354" ht="14.25" spans="1:28">
      <c r="A1354" s="5" t="s">
        <v>28</v>
      </c>
      <c r="B1354" s="5" t="s">
        <v>697</v>
      </c>
      <c r="C1354" s="5">
        <v>2027</v>
      </c>
      <c r="D1354" s="5" t="s">
        <v>30</v>
      </c>
      <c r="E1354" s="9" t="s">
        <v>1090</v>
      </c>
      <c r="F1354" s="9" t="s">
        <v>1079</v>
      </c>
      <c r="G1354" s="9" t="s">
        <v>117</v>
      </c>
      <c r="H1354" s="9" t="s">
        <v>1091</v>
      </c>
      <c r="I1354" s="9" t="s">
        <v>119</v>
      </c>
      <c r="J1354" s="9" t="s">
        <v>36</v>
      </c>
      <c r="K1354" s="9">
        <v>990</v>
      </c>
      <c r="L1354" s="9"/>
      <c r="M1354" s="9"/>
      <c r="N1354" s="9"/>
      <c r="O1354" s="9" t="s">
        <v>37</v>
      </c>
      <c r="P1354" s="9" t="s">
        <v>46</v>
      </c>
      <c r="Q1354" s="9"/>
      <c r="R1354" s="10"/>
      <c r="S1354" s="10"/>
      <c r="T1354" s="10"/>
      <c r="U1354" s="9" t="s">
        <v>148</v>
      </c>
      <c r="V1354" t="s">
        <v>164</v>
      </c>
      <c r="W1354" t="s">
        <v>138</v>
      </c>
      <c r="X1354" t="s">
        <v>122</v>
      </c>
      <c r="Y1354" t="s">
        <v>165</v>
      </c>
      <c r="Z1354" t="s">
        <v>155</v>
      </c>
      <c r="AB1354" t="str">
        <f t="shared" si="63"/>
        <v>41282</v>
      </c>
    </row>
    <row r="1355" ht="14.25" spans="1:28">
      <c r="A1355" s="5" t="s">
        <v>28</v>
      </c>
      <c r="B1355" s="5" t="s">
        <v>697</v>
      </c>
      <c r="C1355" s="5">
        <v>2027</v>
      </c>
      <c r="D1355" s="5" t="s">
        <v>30</v>
      </c>
      <c r="E1355" s="9" t="s">
        <v>1092</v>
      </c>
      <c r="F1355" s="9" t="s">
        <v>1079</v>
      </c>
      <c r="G1355" s="9" t="s">
        <v>1093</v>
      </c>
      <c r="H1355" s="9" t="s">
        <v>1094</v>
      </c>
      <c r="I1355" s="9" t="s">
        <v>119</v>
      </c>
      <c r="J1355" s="9" t="s">
        <v>36</v>
      </c>
      <c r="K1355" s="9">
        <v>990</v>
      </c>
      <c r="L1355" s="9"/>
      <c r="M1355" s="9"/>
      <c r="N1355" s="9"/>
      <c r="O1355" s="9" t="s">
        <v>37</v>
      </c>
      <c r="P1355" s="9" t="s">
        <v>38</v>
      </c>
      <c r="Q1355" s="9"/>
      <c r="R1355" s="10">
        <f t="shared" si="64"/>
        <v>0</v>
      </c>
      <c r="S1355" s="10">
        <f>SUMIFS([1]Sheet1!$T:$T,[1]Sheet1!$I:$I,E1355,[1]Sheet1!$C:$C,A1355)</f>
        <v>60</v>
      </c>
      <c r="T1355" s="10">
        <f t="shared" si="65"/>
        <v>-60</v>
      </c>
      <c r="U1355" s="9" t="s">
        <v>148</v>
      </c>
      <c r="V1355" t="s">
        <v>164</v>
      </c>
      <c r="W1355" t="s">
        <v>138</v>
      </c>
      <c r="X1355" t="s">
        <v>39</v>
      </c>
      <c r="Y1355" t="s">
        <v>165</v>
      </c>
      <c r="Z1355" t="s">
        <v>155</v>
      </c>
      <c r="AB1355" t="str">
        <f t="shared" si="63"/>
        <v>41282</v>
      </c>
    </row>
    <row r="1356" ht="14.25" spans="1:28">
      <c r="A1356" s="5" t="s">
        <v>28</v>
      </c>
      <c r="B1356" s="5" t="s">
        <v>697</v>
      </c>
      <c r="C1356" s="5">
        <v>2027</v>
      </c>
      <c r="D1356" s="5" t="s">
        <v>30</v>
      </c>
      <c r="E1356" s="9" t="s">
        <v>1092</v>
      </c>
      <c r="F1356" s="9" t="s">
        <v>1079</v>
      </c>
      <c r="G1356" s="9" t="s">
        <v>1093</v>
      </c>
      <c r="H1356" s="9" t="s">
        <v>1094</v>
      </c>
      <c r="I1356" s="9" t="s">
        <v>119</v>
      </c>
      <c r="J1356" s="9" t="s">
        <v>36</v>
      </c>
      <c r="K1356" s="9">
        <v>990</v>
      </c>
      <c r="L1356" s="9"/>
      <c r="M1356" s="9"/>
      <c r="N1356" s="9"/>
      <c r="O1356" s="9" t="s">
        <v>37</v>
      </c>
      <c r="P1356" s="9" t="s">
        <v>42</v>
      </c>
      <c r="Q1356" s="9"/>
      <c r="R1356" s="10"/>
      <c r="S1356" s="10"/>
      <c r="T1356" s="10"/>
      <c r="U1356" s="9" t="s">
        <v>148</v>
      </c>
      <c r="V1356" t="s">
        <v>164</v>
      </c>
      <c r="W1356" t="s">
        <v>138</v>
      </c>
      <c r="X1356" t="s">
        <v>39</v>
      </c>
      <c r="Y1356" t="s">
        <v>165</v>
      </c>
      <c r="Z1356" t="s">
        <v>155</v>
      </c>
      <c r="AB1356" t="str">
        <f t="shared" si="63"/>
        <v>41282</v>
      </c>
    </row>
    <row r="1357" ht="14.25" spans="1:28">
      <c r="A1357" s="5" t="s">
        <v>28</v>
      </c>
      <c r="B1357" s="5" t="s">
        <v>697</v>
      </c>
      <c r="C1357" s="5">
        <v>2027</v>
      </c>
      <c r="D1357" s="5" t="s">
        <v>30</v>
      </c>
      <c r="E1357" s="9" t="s">
        <v>1092</v>
      </c>
      <c r="F1357" s="9" t="s">
        <v>1079</v>
      </c>
      <c r="G1357" s="9" t="s">
        <v>1093</v>
      </c>
      <c r="H1357" s="9" t="s">
        <v>1094</v>
      </c>
      <c r="I1357" s="9" t="s">
        <v>119</v>
      </c>
      <c r="J1357" s="9" t="s">
        <v>36</v>
      </c>
      <c r="K1357" s="9">
        <v>990</v>
      </c>
      <c r="L1357" s="9"/>
      <c r="M1357" s="9"/>
      <c r="N1357" s="9"/>
      <c r="O1357" s="9" t="s">
        <v>37</v>
      </c>
      <c r="P1357" s="9" t="s">
        <v>43</v>
      </c>
      <c r="Q1357" s="9"/>
      <c r="R1357" s="10"/>
      <c r="S1357" s="10"/>
      <c r="T1357" s="10"/>
      <c r="U1357" s="9" t="s">
        <v>148</v>
      </c>
      <c r="V1357" t="s">
        <v>164</v>
      </c>
      <c r="W1357" t="s">
        <v>138</v>
      </c>
      <c r="X1357" t="s">
        <v>39</v>
      </c>
      <c r="Y1357" t="s">
        <v>165</v>
      </c>
      <c r="Z1357" t="s">
        <v>155</v>
      </c>
      <c r="AB1357" t="str">
        <f t="shared" si="63"/>
        <v>41282</v>
      </c>
    </row>
    <row r="1358" ht="14.25" spans="1:28">
      <c r="A1358" s="5" t="s">
        <v>28</v>
      </c>
      <c r="B1358" s="5" t="s">
        <v>697</v>
      </c>
      <c r="C1358" s="5">
        <v>2027</v>
      </c>
      <c r="D1358" s="5" t="s">
        <v>30</v>
      </c>
      <c r="E1358" s="9" t="s">
        <v>1092</v>
      </c>
      <c r="F1358" s="9" t="s">
        <v>1079</v>
      </c>
      <c r="G1358" s="9" t="s">
        <v>1093</v>
      </c>
      <c r="H1358" s="9" t="s">
        <v>1094</v>
      </c>
      <c r="I1358" s="9" t="s">
        <v>119</v>
      </c>
      <c r="J1358" s="9" t="s">
        <v>36</v>
      </c>
      <c r="K1358" s="9">
        <v>990</v>
      </c>
      <c r="L1358" s="9"/>
      <c r="M1358" s="9"/>
      <c r="N1358" s="9"/>
      <c r="O1358" s="9" t="s">
        <v>37</v>
      </c>
      <c r="P1358" s="9" t="s">
        <v>44</v>
      </c>
      <c r="Q1358" s="9"/>
      <c r="R1358" s="10"/>
      <c r="S1358" s="10"/>
      <c r="T1358" s="10"/>
      <c r="U1358" s="9" t="s">
        <v>148</v>
      </c>
      <c r="V1358" t="s">
        <v>164</v>
      </c>
      <c r="W1358" t="s">
        <v>138</v>
      </c>
      <c r="X1358" t="s">
        <v>39</v>
      </c>
      <c r="Y1358" t="s">
        <v>165</v>
      </c>
      <c r="Z1358" t="s">
        <v>155</v>
      </c>
      <c r="AB1358" t="str">
        <f t="shared" si="63"/>
        <v>41282</v>
      </c>
    </row>
    <row r="1359" ht="14.25" spans="1:28">
      <c r="A1359" s="5" t="s">
        <v>28</v>
      </c>
      <c r="B1359" s="5" t="s">
        <v>697</v>
      </c>
      <c r="C1359" s="5">
        <v>2027</v>
      </c>
      <c r="D1359" s="5" t="s">
        <v>30</v>
      </c>
      <c r="E1359" s="13" t="s">
        <v>1092</v>
      </c>
      <c r="F1359" s="13" t="s">
        <v>1079</v>
      </c>
      <c r="G1359" s="13" t="s">
        <v>1093</v>
      </c>
      <c r="H1359" s="13" t="s">
        <v>1094</v>
      </c>
      <c r="I1359" s="13" t="s">
        <v>119</v>
      </c>
      <c r="J1359" s="13" t="s">
        <v>36</v>
      </c>
      <c r="K1359" s="13">
        <v>990</v>
      </c>
      <c r="L1359" s="13"/>
      <c r="M1359" s="13"/>
      <c r="N1359" s="13"/>
      <c r="O1359" s="13" t="s">
        <v>37</v>
      </c>
      <c r="P1359" s="13" t="s">
        <v>45</v>
      </c>
      <c r="Q1359" s="11"/>
      <c r="R1359" s="10"/>
      <c r="S1359" s="10"/>
      <c r="T1359" s="10"/>
      <c r="U1359" s="9" t="s">
        <v>148</v>
      </c>
      <c r="V1359" t="s">
        <v>164</v>
      </c>
      <c r="W1359" t="s">
        <v>138</v>
      </c>
      <c r="X1359" t="s">
        <v>39</v>
      </c>
      <c r="Y1359" t="s">
        <v>165</v>
      </c>
      <c r="Z1359" t="s">
        <v>155</v>
      </c>
      <c r="AB1359" t="str">
        <f t="shared" si="63"/>
        <v>41282</v>
      </c>
    </row>
    <row r="1360" ht="14.25" spans="1:28">
      <c r="A1360" s="5" t="s">
        <v>28</v>
      </c>
      <c r="B1360" s="5" t="s">
        <v>697</v>
      </c>
      <c r="C1360" s="5">
        <v>2027</v>
      </c>
      <c r="D1360" s="5" t="s">
        <v>30</v>
      </c>
      <c r="E1360" s="13" t="s">
        <v>1092</v>
      </c>
      <c r="F1360" s="13" t="s">
        <v>1079</v>
      </c>
      <c r="G1360" s="13" t="s">
        <v>1093</v>
      </c>
      <c r="H1360" s="13" t="s">
        <v>1094</v>
      </c>
      <c r="I1360" s="13" t="s">
        <v>119</v>
      </c>
      <c r="J1360" s="13" t="s">
        <v>36</v>
      </c>
      <c r="K1360" s="13">
        <v>990</v>
      </c>
      <c r="L1360" s="13"/>
      <c r="M1360" s="13"/>
      <c r="N1360" s="13"/>
      <c r="O1360" s="13" t="s">
        <v>37</v>
      </c>
      <c r="P1360" s="13" t="s">
        <v>46</v>
      </c>
      <c r="Q1360" s="11"/>
      <c r="R1360" s="10"/>
      <c r="S1360" s="10"/>
      <c r="T1360" s="10"/>
      <c r="U1360" s="9" t="s">
        <v>148</v>
      </c>
      <c r="V1360" t="s">
        <v>164</v>
      </c>
      <c r="W1360" t="s">
        <v>138</v>
      </c>
      <c r="X1360" t="s">
        <v>39</v>
      </c>
      <c r="Y1360" t="s">
        <v>165</v>
      </c>
      <c r="Z1360" t="s">
        <v>155</v>
      </c>
      <c r="AB1360" t="str">
        <f t="shared" si="63"/>
        <v>41282</v>
      </c>
    </row>
    <row r="1361" ht="14.25" spans="1:28">
      <c r="A1361" s="5" t="s">
        <v>28</v>
      </c>
      <c r="B1361" s="5" t="s">
        <v>697</v>
      </c>
      <c r="C1361" s="5">
        <v>2027</v>
      </c>
      <c r="D1361" s="5" t="s">
        <v>30</v>
      </c>
      <c r="E1361" s="13" t="s">
        <v>1095</v>
      </c>
      <c r="F1361" s="13" t="s">
        <v>1079</v>
      </c>
      <c r="G1361" s="13" t="s">
        <v>1096</v>
      </c>
      <c r="H1361" s="13" t="s">
        <v>1097</v>
      </c>
      <c r="I1361" s="13" t="s">
        <v>119</v>
      </c>
      <c r="J1361" s="13" t="s">
        <v>36</v>
      </c>
      <c r="K1361" s="13">
        <v>990</v>
      </c>
      <c r="L1361" s="13"/>
      <c r="M1361" s="13"/>
      <c r="N1361" s="13"/>
      <c r="O1361" s="13" t="s">
        <v>37</v>
      </c>
      <c r="P1361" s="13" t="s">
        <v>38</v>
      </c>
      <c r="Q1361" s="11"/>
      <c r="R1361" s="14">
        <f t="shared" si="64"/>
        <v>0</v>
      </c>
      <c r="S1361" s="14">
        <f>SUMIFS([1]Sheet1!$T:$T,[1]Sheet1!$I:$I,E1361,[1]Sheet1!$C:$C,A1361)</f>
        <v>60</v>
      </c>
      <c r="T1361" s="14">
        <f t="shared" si="65"/>
        <v>-60</v>
      </c>
      <c r="U1361" s="9" t="s">
        <v>148</v>
      </c>
      <c r="V1361" t="s">
        <v>164</v>
      </c>
      <c r="W1361" t="s">
        <v>138</v>
      </c>
      <c r="X1361" t="s">
        <v>50</v>
      </c>
      <c r="Y1361" t="s">
        <v>165</v>
      </c>
      <c r="Z1361" t="s">
        <v>155</v>
      </c>
      <c r="AB1361" t="str">
        <f t="shared" si="63"/>
        <v>41282</v>
      </c>
    </row>
    <row r="1362" ht="14.25" spans="1:28">
      <c r="A1362" s="5" t="s">
        <v>28</v>
      </c>
      <c r="B1362" s="5" t="s">
        <v>697</v>
      </c>
      <c r="C1362" s="5">
        <v>2027</v>
      </c>
      <c r="D1362" s="5" t="s">
        <v>30</v>
      </c>
      <c r="E1362" s="13" t="s">
        <v>1095</v>
      </c>
      <c r="F1362" s="13" t="s">
        <v>1079</v>
      </c>
      <c r="G1362" s="13" t="s">
        <v>1096</v>
      </c>
      <c r="H1362" s="13" t="s">
        <v>1097</v>
      </c>
      <c r="I1362" s="13" t="s">
        <v>119</v>
      </c>
      <c r="J1362" s="13" t="s">
        <v>36</v>
      </c>
      <c r="K1362" s="13">
        <v>990</v>
      </c>
      <c r="L1362" s="13"/>
      <c r="M1362" s="13"/>
      <c r="N1362" s="13"/>
      <c r="O1362" s="13" t="s">
        <v>37</v>
      </c>
      <c r="P1362" s="13" t="s">
        <v>42</v>
      </c>
      <c r="Q1362" s="11"/>
      <c r="R1362" s="14"/>
      <c r="S1362" s="14"/>
      <c r="T1362" s="14"/>
      <c r="U1362" s="9" t="s">
        <v>148</v>
      </c>
      <c r="V1362" t="s">
        <v>164</v>
      </c>
      <c r="W1362" t="s">
        <v>138</v>
      </c>
      <c r="X1362" t="s">
        <v>50</v>
      </c>
      <c r="Y1362" t="s">
        <v>165</v>
      </c>
      <c r="Z1362" t="s">
        <v>155</v>
      </c>
      <c r="AB1362" t="str">
        <f t="shared" si="63"/>
        <v>41282</v>
      </c>
    </row>
    <row r="1363" ht="14.25" spans="1:28">
      <c r="A1363" s="5" t="s">
        <v>28</v>
      </c>
      <c r="B1363" s="5" t="s">
        <v>697</v>
      </c>
      <c r="C1363" s="5">
        <v>2027</v>
      </c>
      <c r="D1363" s="5" t="s">
        <v>30</v>
      </c>
      <c r="E1363" s="13" t="s">
        <v>1095</v>
      </c>
      <c r="F1363" s="13" t="s">
        <v>1079</v>
      </c>
      <c r="G1363" s="13" t="s">
        <v>1096</v>
      </c>
      <c r="H1363" s="13" t="s">
        <v>1097</v>
      </c>
      <c r="I1363" s="13" t="s">
        <v>119</v>
      </c>
      <c r="J1363" s="13" t="s">
        <v>36</v>
      </c>
      <c r="K1363" s="13">
        <v>990</v>
      </c>
      <c r="L1363" s="13"/>
      <c r="M1363" s="13"/>
      <c r="N1363" s="13"/>
      <c r="O1363" s="13" t="s">
        <v>37</v>
      </c>
      <c r="P1363" s="13" t="s">
        <v>43</v>
      </c>
      <c r="Q1363" s="11"/>
      <c r="R1363" s="14"/>
      <c r="S1363" s="14"/>
      <c r="T1363" s="14"/>
      <c r="U1363" s="9" t="s">
        <v>148</v>
      </c>
      <c r="V1363" t="s">
        <v>164</v>
      </c>
      <c r="W1363" t="s">
        <v>138</v>
      </c>
      <c r="X1363" t="s">
        <v>50</v>
      </c>
      <c r="Y1363" t="s">
        <v>165</v>
      </c>
      <c r="Z1363" t="s">
        <v>155</v>
      </c>
      <c r="AB1363" t="str">
        <f t="shared" si="63"/>
        <v>41282</v>
      </c>
    </row>
    <row r="1364" ht="14.25" spans="1:28">
      <c r="A1364" s="5" t="s">
        <v>28</v>
      </c>
      <c r="B1364" s="5" t="s">
        <v>697</v>
      </c>
      <c r="C1364" s="5">
        <v>2027</v>
      </c>
      <c r="D1364" s="5" t="s">
        <v>30</v>
      </c>
      <c r="E1364" s="13" t="s">
        <v>1095</v>
      </c>
      <c r="F1364" s="13" t="s">
        <v>1079</v>
      </c>
      <c r="G1364" s="13" t="s">
        <v>1096</v>
      </c>
      <c r="H1364" s="13" t="s">
        <v>1097</v>
      </c>
      <c r="I1364" s="13" t="s">
        <v>119</v>
      </c>
      <c r="J1364" s="13" t="s">
        <v>36</v>
      </c>
      <c r="K1364" s="13">
        <v>990</v>
      </c>
      <c r="L1364" s="13"/>
      <c r="M1364" s="13"/>
      <c r="N1364" s="13"/>
      <c r="O1364" s="13" t="s">
        <v>37</v>
      </c>
      <c r="P1364" s="13" t="s">
        <v>44</v>
      </c>
      <c r="Q1364" s="11"/>
      <c r="R1364" s="14"/>
      <c r="S1364" s="14"/>
      <c r="T1364" s="14"/>
      <c r="U1364" s="9" t="s">
        <v>148</v>
      </c>
      <c r="V1364" t="s">
        <v>164</v>
      </c>
      <c r="W1364" t="s">
        <v>138</v>
      </c>
      <c r="X1364" t="s">
        <v>50</v>
      </c>
      <c r="Y1364" t="s">
        <v>165</v>
      </c>
      <c r="Z1364" t="s">
        <v>155</v>
      </c>
      <c r="AB1364" t="str">
        <f t="shared" si="63"/>
        <v>41282</v>
      </c>
    </row>
    <row r="1365" ht="14.25" spans="1:28">
      <c r="A1365" s="5" t="s">
        <v>28</v>
      </c>
      <c r="B1365" s="5" t="s">
        <v>697</v>
      </c>
      <c r="C1365" s="5">
        <v>2027</v>
      </c>
      <c r="D1365" s="5" t="s">
        <v>30</v>
      </c>
      <c r="E1365" s="13" t="s">
        <v>1095</v>
      </c>
      <c r="F1365" s="13" t="s">
        <v>1079</v>
      </c>
      <c r="G1365" s="13" t="s">
        <v>1096</v>
      </c>
      <c r="H1365" s="13" t="s">
        <v>1097</v>
      </c>
      <c r="I1365" s="13" t="s">
        <v>119</v>
      </c>
      <c r="J1365" s="13" t="s">
        <v>36</v>
      </c>
      <c r="K1365" s="13">
        <v>990</v>
      </c>
      <c r="L1365" s="13"/>
      <c r="M1365" s="13"/>
      <c r="N1365" s="13"/>
      <c r="O1365" s="13" t="s">
        <v>37</v>
      </c>
      <c r="P1365" s="13" t="s">
        <v>45</v>
      </c>
      <c r="Q1365" s="11"/>
      <c r="R1365" s="14"/>
      <c r="S1365" s="14"/>
      <c r="T1365" s="14"/>
      <c r="U1365" s="9" t="s">
        <v>148</v>
      </c>
      <c r="V1365" t="s">
        <v>164</v>
      </c>
      <c r="W1365" t="s">
        <v>138</v>
      </c>
      <c r="X1365" t="s">
        <v>50</v>
      </c>
      <c r="Y1365" t="s">
        <v>165</v>
      </c>
      <c r="Z1365" t="s">
        <v>155</v>
      </c>
      <c r="AB1365" t="str">
        <f t="shared" si="63"/>
        <v>41282</v>
      </c>
    </row>
    <row r="1366" ht="14.25" spans="1:28">
      <c r="A1366" s="5" t="s">
        <v>28</v>
      </c>
      <c r="B1366" s="5" t="s">
        <v>697</v>
      </c>
      <c r="C1366" s="5">
        <v>2027</v>
      </c>
      <c r="D1366" s="5" t="s">
        <v>30</v>
      </c>
      <c r="E1366" s="13" t="s">
        <v>1095</v>
      </c>
      <c r="F1366" s="13" t="s">
        <v>1079</v>
      </c>
      <c r="G1366" s="13" t="s">
        <v>1096</v>
      </c>
      <c r="H1366" s="13" t="s">
        <v>1097</v>
      </c>
      <c r="I1366" s="13" t="s">
        <v>119</v>
      </c>
      <c r="J1366" s="13" t="s">
        <v>36</v>
      </c>
      <c r="K1366" s="13">
        <v>990</v>
      </c>
      <c r="L1366" s="13"/>
      <c r="M1366" s="13"/>
      <c r="N1366" s="13"/>
      <c r="O1366" s="13" t="s">
        <v>37</v>
      </c>
      <c r="P1366" s="13" t="s">
        <v>46</v>
      </c>
      <c r="Q1366" s="11"/>
      <c r="R1366" s="14"/>
      <c r="S1366" s="14"/>
      <c r="T1366" s="14"/>
      <c r="U1366" s="9" t="s">
        <v>148</v>
      </c>
      <c r="V1366" t="s">
        <v>164</v>
      </c>
      <c r="W1366" t="s">
        <v>138</v>
      </c>
      <c r="X1366" t="s">
        <v>50</v>
      </c>
      <c r="Y1366" t="s">
        <v>165</v>
      </c>
      <c r="Z1366" t="s">
        <v>155</v>
      </c>
      <c r="AB1366" t="str">
        <f t="shared" si="63"/>
        <v>41282</v>
      </c>
    </row>
    <row r="1367" ht="14.25" spans="1:28">
      <c r="A1367" s="5" t="s">
        <v>28</v>
      </c>
      <c r="B1367" s="5" t="s">
        <v>697</v>
      </c>
      <c r="C1367" s="5">
        <v>2027</v>
      </c>
      <c r="D1367" s="5" t="s">
        <v>30</v>
      </c>
      <c r="E1367" s="13" t="s">
        <v>1098</v>
      </c>
      <c r="F1367" s="13" t="s">
        <v>1079</v>
      </c>
      <c r="G1367" s="13" t="s">
        <v>1099</v>
      </c>
      <c r="H1367" s="13" t="s">
        <v>1100</v>
      </c>
      <c r="I1367" s="13" t="s">
        <v>119</v>
      </c>
      <c r="J1367" s="13" t="s">
        <v>36</v>
      </c>
      <c r="K1367" s="13">
        <v>990</v>
      </c>
      <c r="L1367" s="13"/>
      <c r="M1367" s="13"/>
      <c r="N1367" s="13"/>
      <c r="O1367" s="13" t="s">
        <v>37</v>
      </c>
      <c r="P1367" s="13" t="s">
        <v>38</v>
      </c>
      <c r="Q1367" s="11"/>
      <c r="R1367" s="14">
        <f t="shared" si="64"/>
        <v>0</v>
      </c>
      <c r="S1367" s="14">
        <f>SUMIFS([1]Sheet1!$T:$T,[1]Sheet1!$I:$I,E1367,[1]Sheet1!$C:$C,A1367)</f>
        <v>40</v>
      </c>
      <c r="T1367" s="14">
        <f t="shared" si="65"/>
        <v>-40</v>
      </c>
      <c r="U1367" s="9" t="s">
        <v>148</v>
      </c>
      <c r="V1367" t="s">
        <v>164</v>
      </c>
      <c r="W1367" t="s">
        <v>138</v>
      </c>
      <c r="X1367" t="s">
        <v>50</v>
      </c>
      <c r="Y1367" t="s">
        <v>165</v>
      </c>
      <c r="Z1367" t="s">
        <v>155</v>
      </c>
      <c r="AB1367" t="str">
        <f t="shared" si="63"/>
        <v>41282</v>
      </c>
    </row>
    <row r="1368" ht="14.25" spans="1:28">
      <c r="A1368" s="5" t="s">
        <v>28</v>
      </c>
      <c r="B1368" s="5" t="s">
        <v>697</v>
      </c>
      <c r="C1368" s="5">
        <v>2027</v>
      </c>
      <c r="D1368" s="5" t="s">
        <v>30</v>
      </c>
      <c r="E1368" s="13" t="s">
        <v>1098</v>
      </c>
      <c r="F1368" s="13" t="s">
        <v>1079</v>
      </c>
      <c r="G1368" s="13" t="s">
        <v>1099</v>
      </c>
      <c r="H1368" s="13" t="s">
        <v>1100</v>
      </c>
      <c r="I1368" s="13" t="s">
        <v>119</v>
      </c>
      <c r="J1368" s="13" t="s">
        <v>36</v>
      </c>
      <c r="K1368" s="13">
        <v>990</v>
      </c>
      <c r="L1368" s="13"/>
      <c r="M1368" s="13"/>
      <c r="N1368" s="13"/>
      <c r="O1368" s="13" t="s">
        <v>37</v>
      </c>
      <c r="P1368" s="13" t="s">
        <v>42</v>
      </c>
      <c r="Q1368" s="11"/>
      <c r="R1368" s="14"/>
      <c r="S1368" s="14"/>
      <c r="T1368" s="14"/>
      <c r="U1368" s="9" t="s">
        <v>148</v>
      </c>
      <c r="V1368" t="s">
        <v>164</v>
      </c>
      <c r="W1368" t="s">
        <v>138</v>
      </c>
      <c r="X1368" t="s">
        <v>50</v>
      </c>
      <c r="Y1368" t="s">
        <v>165</v>
      </c>
      <c r="Z1368" t="s">
        <v>155</v>
      </c>
      <c r="AB1368" t="str">
        <f t="shared" si="63"/>
        <v>41282</v>
      </c>
    </row>
    <row r="1369" ht="14.25" spans="1:28">
      <c r="A1369" s="5" t="s">
        <v>28</v>
      </c>
      <c r="B1369" s="5" t="s">
        <v>697</v>
      </c>
      <c r="C1369" s="5">
        <v>2027</v>
      </c>
      <c r="D1369" s="5" t="s">
        <v>30</v>
      </c>
      <c r="E1369" s="13" t="s">
        <v>1098</v>
      </c>
      <c r="F1369" s="13" t="s">
        <v>1079</v>
      </c>
      <c r="G1369" s="13" t="s">
        <v>1099</v>
      </c>
      <c r="H1369" s="13" t="s">
        <v>1100</v>
      </c>
      <c r="I1369" s="13" t="s">
        <v>119</v>
      </c>
      <c r="J1369" s="13" t="s">
        <v>36</v>
      </c>
      <c r="K1369" s="13">
        <v>990</v>
      </c>
      <c r="L1369" s="13"/>
      <c r="M1369" s="13"/>
      <c r="N1369" s="13"/>
      <c r="O1369" s="13" t="s">
        <v>37</v>
      </c>
      <c r="P1369" s="13" t="s">
        <v>43</v>
      </c>
      <c r="Q1369" s="11"/>
      <c r="R1369" s="14"/>
      <c r="S1369" s="14"/>
      <c r="T1369" s="14"/>
      <c r="U1369" s="9" t="s">
        <v>148</v>
      </c>
      <c r="V1369" t="s">
        <v>164</v>
      </c>
      <c r="W1369" t="s">
        <v>138</v>
      </c>
      <c r="X1369" t="s">
        <v>50</v>
      </c>
      <c r="Y1369" t="s">
        <v>165</v>
      </c>
      <c r="Z1369" t="s">
        <v>155</v>
      </c>
      <c r="AB1369" t="str">
        <f t="shared" si="63"/>
        <v>41282</v>
      </c>
    </row>
    <row r="1370" ht="14.25" spans="1:28">
      <c r="A1370" s="5" t="s">
        <v>28</v>
      </c>
      <c r="B1370" s="5" t="s">
        <v>697</v>
      </c>
      <c r="C1370" s="5">
        <v>2027</v>
      </c>
      <c r="D1370" s="5" t="s">
        <v>30</v>
      </c>
      <c r="E1370" s="13" t="s">
        <v>1098</v>
      </c>
      <c r="F1370" s="13" t="s">
        <v>1079</v>
      </c>
      <c r="G1370" s="13" t="s">
        <v>1099</v>
      </c>
      <c r="H1370" s="13" t="s">
        <v>1100</v>
      </c>
      <c r="I1370" s="13" t="s">
        <v>119</v>
      </c>
      <c r="J1370" s="13" t="s">
        <v>36</v>
      </c>
      <c r="K1370" s="13">
        <v>990</v>
      </c>
      <c r="L1370" s="13"/>
      <c r="M1370" s="13"/>
      <c r="N1370" s="13"/>
      <c r="O1370" s="13" t="s">
        <v>37</v>
      </c>
      <c r="P1370" s="13" t="s">
        <v>44</v>
      </c>
      <c r="Q1370" s="11"/>
      <c r="R1370" s="14"/>
      <c r="S1370" s="14"/>
      <c r="T1370" s="14"/>
      <c r="U1370" s="9" t="s">
        <v>148</v>
      </c>
      <c r="V1370" t="s">
        <v>164</v>
      </c>
      <c r="W1370" t="s">
        <v>138</v>
      </c>
      <c r="X1370" t="s">
        <v>50</v>
      </c>
      <c r="Y1370" t="s">
        <v>165</v>
      </c>
      <c r="Z1370" t="s">
        <v>155</v>
      </c>
      <c r="AB1370" t="str">
        <f t="shared" si="63"/>
        <v>41282</v>
      </c>
    </row>
    <row r="1371" ht="14.25" spans="1:28">
      <c r="A1371" s="5" t="s">
        <v>28</v>
      </c>
      <c r="B1371" s="5" t="s">
        <v>697</v>
      </c>
      <c r="C1371" s="5">
        <v>2027</v>
      </c>
      <c r="D1371" s="5" t="s">
        <v>30</v>
      </c>
      <c r="E1371" s="13" t="s">
        <v>1098</v>
      </c>
      <c r="F1371" s="13" t="s">
        <v>1079</v>
      </c>
      <c r="G1371" s="13" t="s">
        <v>1099</v>
      </c>
      <c r="H1371" s="13" t="s">
        <v>1100</v>
      </c>
      <c r="I1371" s="13" t="s">
        <v>119</v>
      </c>
      <c r="J1371" s="13" t="s">
        <v>36</v>
      </c>
      <c r="K1371" s="13">
        <v>990</v>
      </c>
      <c r="L1371" s="13"/>
      <c r="M1371" s="13"/>
      <c r="N1371" s="13"/>
      <c r="O1371" s="13" t="s">
        <v>37</v>
      </c>
      <c r="P1371" s="13" t="s">
        <v>45</v>
      </c>
      <c r="Q1371" s="11"/>
      <c r="R1371" s="14"/>
      <c r="S1371" s="14"/>
      <c r="T1371" s="14"/>
      <c r="U1371" s="9" t="s">
        <v>148</v>
      </c>
      <c r="V1371" t="s">
        <v>164</v>
      </c>
      <c r="W1371" t="s">
        <v>138</v>
      </c>
      <c r="X1371" t="s">
        <v>50</v>
      </c>
      <c r="Y1371" t="s">
        <v>165</v>
      </c>
      <c r="Z1371" t="s">
        <v>155</v>
      </c>
      <c r="AB1371" t="str">
        <f t="shared" si="63"/>
        <v>41282</v>
      </c>
    </row>
    <row r="1372" ht="14.25" spans="1:28">
      <c r="A1372" s="5" t="s">
        <v>28</v>
      </c>
      <c r="B1372" s="5" t="s">
        <v>697</v>
      </c>
      <c r="C1372" s="5">
        <v>2027</v>
      </c>
      <c r="D1372" s="5" t="s">
        <v>30</v>
      </c>
      <c r="E1372" s="13" t="s">
        <v>1098</v>
      </c>
      <c r="F1372" s="13" t="s">
        <v>1079</v>
      </c>
      <c r="G1372" s="13" t="s">
        <v>1099</v>
      </c>
      <c r="H1372" s="13" t="s">
        <v>1100</v>
      </c>
      <c r="I1372" s="13" t="s">
        <v>119</v>
      </c>
      <c r="J1372" s="13" t="s">
        <v>36</v>
      </c>
      <c r="K1372" s="13">
        <v>990</v>
      </c>
      <c r="L1372" s="13"/>
      <c r="M1372" s="13"/>
      <c r="N1372" s="13"/>
      <c r="O1372" s="13" t="s">
        <v>37</v>
      </c>
      <c r="P1372" s="13" t="s">
        <v>46</v>
      </c>
      <c r="Q1372" s="11"/>
      <c r="R1372" s="14"/>
      <c r="S1372" s="14"/>
      <c r="T1372" s="14"/>
      <c r="U1372" s="9" t="s">
        <v>148</v>
      </c>
      <c r="V1372" t="s">
        <v>164</v>
      </c>
      <c r="W1372" t="s">
        <v>138</v>
      </c>
      <c r="X1372" t="s">
        <v>50</v>
      </c>
      <c r="Y1372" t="s">
        <v>165</v>
      </c>
      <c r="Z1372" t="s">
        <v>155</v>
      </c>
      <c r="AB1372" t="str">
        <f t="shared" si="63"/>
        <v>41282</v>
      </c>
    </row>
    <row r="1373" ht="14.25" spans="1:28">
      <c r="A1373" s="5" t="s">
        <v>28</v>
      </c>
      <c r="B1373" s="5" t="s">
        <v>697</v>
      </c>
      <c r="C1373" s="5">
        <v>2027</v>
      </c>
      <c r="D1373" s="5" t="s">
        <v>30</v>
      </c>
      <c r="E1373" s="13" t="s">
        <v>1101</v>
      </c>
      <c r="F1373" s="13" t="s">
        <v>1079</v>
      </c>
      <c r="G1373" s="13" t="s">
        <v>100</v>
      </c>
      <c r="H1373" s="13" t="s">
        <v>1102</v>
      </c>
      <c r="I1373" s="13" t="s">
        <v>119</v>
      </c>
      <c r="J1373" s="13" t="s">
        <v>36</v>
      </c>
      <c r="K1373" s="13">
        <v>990</v>
      </c>
      <c r="L1373" s="13"/>
      <c r="M1373" s="13"/>
      <c r="N1373" s="13"/>
      <c r="O1373" s="13" t="s">
        <v>37</v>
      </c>
      <c r="P1373" s="13" t="s">
        <v>38</v>
      </c>
      <c r="Q1373" s="11"/>
      <c r="R1373" s="14">
        <f t="shared" si="64"/>
        <v>0</v>
      </c>
      <c r="S1373" s="14">
        <f>SUMIFS([1]Sheet1!$T:$T,[1]Sheet1!$I:$I,E1373,[1]Sheet1!$C:$C,A1373)</f>
        <v>300</v>
      </c>
      <c r="T1373" s="14">
        <f t="shared" si="65"/>
        <v>-300</v>
      </c>
      <c r="U1373" s="9" t="s">
        <v>148</v>
      </c>
      <c r="V1373" t="s">
        <v>164</v>
      </c>
      <c r="W1373" t="s">
        <v>138</v>
      </c>
      <c r="X1373" t="s">
        <v>102</v>
      </c>
      <c r="Y1373" t="s">
        <v>165</v>
      </c>
      <c r="Z1373" t="s">
        <v>155</v>
      </c>
      <c r="AB1373" t="str">
        <f t="shared" si="63"/>
        <v>41282</v>
      </c>
    </row>
    <row r="1374" ht="14.25" spans="1:28">
      <c r="A1374" s="5" t="s">
        <v>28</v>
      </c>
      <c r="B1374" s="5" t="s">
        <v>697</v>
      </c>
      <c r="C1374" s="5">
        <v>2027</v>
      </c>
      <c r="D1374" s="5" t="s">
        <v>30</v>
      </c>
      <c r="E1374" s="13" t="s">
        <v>1101</v>
      </c>
      <c r="F1374" s="13" t="s">
        <v>1079</v>
      </c>
      <c r="G1374" s="13" t="s">
        <v>100</v>
      </c>
      <c r="H1374" s="13" t="s">
        <v>1102</v>
      </c>
      <c r="I1374" s="13" t="s">
        <v>119</v>
      </c>
      <c r="J1374" s="13" t="s">
        <v>36</v>
      </c>
      <c r="K1374" s="13">
        <v>990</v>
      </c>
      <c r="L1374" s="13"/>
      <c r="M1374" s="13"/>
      <c r="N1374" s="13"/>
      <c r="O1374" s="13" t="s">
        <v>37</v>
      </c>
      <c r="P1374" s="13" t="s">
        <v>42</v>
      </c>
      <c r="Q1374" s="11"/>
      <c r="R1374" s="14"/>
      <c r="S1374" s="14"/>
      <c r="T1374" s="14"/>
      <c r="U1374" s="9" t="s">
        <v>148</v>
      </c>
      <c r="V1374" t="s">
        <v>164</v>
      </c>
      <c r="W1374" t="s">
        <v>138</v>
      </c>
      <c r="X1374" t="s">
        <v>102</v>
      </c>
      <c r="Y1374" t="s">
        <v>165</v>
      </c>
      <c r="Z1374" t="s">
        <v>155</v>
      </c>
      <c r="AB1374" t="str">
        <f t="shared" si="63"/>
        <v>41282</v>
      </c>
    </row>
    <row r="1375" ht="14.25" spans="1:28">
      <c r="A1375" s="5" t="s">
        <v>28</v>
      </c>
      <c r="B1375" s="5" t="s">
        <v>697</v>
      </c>
      <c r="C1375" s="5">
        <v>2027</v>
      </c>
      <c r="D1375" s="5" t="s">
        <v>30</v>
      </c>
      <c r="E1375" s="13" t="s">
        <v>1101</v>
      </c>
      <c r="F1375" s="13" t="s">
        <v>1079</v>
      </c>
      <c r="G1375" s="13" t="s">
        <v>100</v>
      </c>
      <c r="H1375" s="13" t="s">
        <v>1102</v>
      </c>
      <c r="I1375" s="13" t="s">
        <v>119</v>
      </c>
      <c r="J1375" s="13" t="s">
        <v>36</v>
      </c>
      <c r="K1375" s="13">
        <v>990</v>
      </c>
      <c r="L1375" s="13"/>
      <c r="M1375" s="13"/>
      <c r="N1375" s="13"/>
      <c r="O1375" s="13" t="s">
        <v>37</v>
      </c>
      <c r="P1375" s="13" t="s">
        <v>43</v>
      </c>
      <c r="Q1375" s="11"/>
      <c r="R1375" s="14"/>
      <c r="S1375" s="14"/>
      <c r="T1375" s="14"/>
      <c r="U1375" s="9" t="s">
        <v>148</v>
      </c>
      <c r="V1375" t="s">
        <v>164</v>
      </c>
      <c r="W1375" t="s">
        <v>138</v>
      </c>
      <c r="X1375" t="s">
        <v>102</v>
      </c>
      <c r="Y1375" t="s">
        <v>165</v>
      </c>
      <c r="Z1375" t="s">
        <v>155</v>
      </c>
      <c r="AB1375" t="str">
        <f t="shared" si="63"/>
        <v>41282</v>
      </c>
    </row>
    <row r="1376" ht="14.25" spans="1:28">
      <c r="A1376" s="5" t="s">
        <v>28</v>
      </c>
      <c r="B1376" s="5" t="s">
        <v>697</v>
      </c>
      <c r="C1376" s="5">
        <v>2027</v>
      </c>
      <c r="D1376" s="5" t="s">
        <v>30</v>
      </c>
      <c r="E1376" s="13" t="s">
        <v>1101</v>
      </c>
      <c r="F1376" s="13" t="s">
        <v>1079</v>
      </c>
      <c r="G1376" s="13" t="s">
        <v>100</v>
      </c>
      <c r="H1376" s="13" t="s">
        <v>1102</v>
      </c>
      <c r="I1376" s="13" t="s">
        <v>119</v>
      </c>
      <c r="J1376" s="13" t="s">
        <v>36</v>
      </c>
      <c r="K1376" s="13">
        <v>990</v>
      </c>
      <c r="L1376" s="13"/>
      <c r="M1376" s="13"/>
      <c r="N1376" s="13"/>
      <c r="O1376" s="13" t="s">
        <v>37</v>
      </c>
      <c r="P1376" s="13" t="s">
        <v>44</v>
      </c>
      <c r="Q1376" s="11"/>
      <c r="R1376" s="14"/>
      <c r="S1376" s="14"/>
      <c r="T1376" s="14"/>
      <c r="U1376" s="9" t="s">
        <v>148</v>
      </c>
      <c r="V1376" t="s">
        <v>164</v>
      </c>
      <c r="W1376" t="s">
        <v>138</v>
      </c>
      <c r="X1376" t="s">
        <v>102</v>
      </c>
      <c r="Y1376" t="s">
        <v>165</v>
      </c>
      <c r="Z1376" t="s">
        <v>155</v>
      </c>
      <c r="AB1376" t="str">
        <f t="shared" si="63"/>
        <v>41282</v>
      </c>
    </row>
    <row r="1377" ht="14.25" spans="1:28">
      <c r="A1377" s="5" t="s">
        <v>28</v>
      </c>
      <c r="B1377" s="5" t="s">
        <v>697</v>
      </c>
      <c r="C1377" s="5">
        <v>2027</v>
      </c>
      <c r="D1377" s="5" t="s">
        <v>30</v>
      </c>
      <c r="E1377" s="13" t="s">
        <v>1101</v>
      </c>
      <c r="F1377" s="13" t="s">
        <v>1079</v>
      </c>
      <c r="G1377" s="13" t="s">
        <v>100</v>
      </c>
      <c r="H1377" s="13" t="s">
        <v>1102</v>
      </c>
      <c r="I1377" s="13" t="s">
        <v>119</v>
      </c>
      <c r="J1377" s="13" t="s">
        <v>36</v>
      </c>
      <c r="K1377" s="13">
        <v>990</v>
      </c>
      <c r="L1377" s="13"/>
      <c r="M1377" s="13"/>
      <c r="N1377" s="13"/>
      <c r="O1377" s="13" t="s">
        <v>37</v>
      </c>
      <c r="P1377" s="13" t="s">
        <v>45</v>
      </c>
      <c r="Q1377" s="11"/>
      <c r="R1377" s="14"/>
      <c r="S1377" s="14"/>
      <c r="T1377" s="14"/>
      <c r="U1377" s="9" t="s">
        <v>148</v>
      </c>
      <c r="V1377" t="s">
        <v>164</v>
      </c>
      <c r="W1377" t="s">
        <v>138</v>
      </c>
      <c r="X1377" t="s">
        <v>102</v>
      </c>
      <c r="Y1377" t="s">
        <v>165</v>
      </c>
      <c r="Z1377" t="s">
        <v>155</v>
      </c>
      <c r="AB1377" t="str">
        <f t="shared" si="63"/>
        <v>41282</v>
      </c>
    </row>
    <row r="1378" ht="14.25" spans="1:28">
      <c r="A1378" s="5" t="s">
        <v>28</v>
      </c>
      <c r="B1378" s="5" t="s">
        <v>697</v>
      </c>
      <c r="C1378" s="5">
        <v>2027</v>
      </c>
      <c r="D1378" s="5" t="s">
        <v>30</v>
      </c>
      <c r="E1378" s="13" t="s">
        <v>1101</v>
      </c>
      <c r="F1378" s="13" t="s">
        <v>1079</v>
      </c>
      <c r="G1378" s="13" t="s">
        <v>100</v>
      </c>
      <c r="H1378" s="13" t="s">
        <v>1102</v>
      </c>
      <c r="I1378" s="13" t="s">
        <v>119</v>
      </c>
      <c r="J1378" s="13" t="s">
        <v>36</v>
      </c>
      <c r="K1378" s="13">
        <v>990</v>
      </c>
      <c r="L1378" s="13"/>
      <c r="M1378" s="13"/>
      <c r="N1378" s="13"/>
      <c r="O1378" s="13" t="s">
        <v>37</v>
      </c>
      <c r="P1378" s="13" t="s">
        <v>46</v>
      </c>
      <c r="Q1378" s="11"/>
      <c r="R1378" s="14"/>
      <c r="S1378" s="14"/>
      <c r="T1378" s="14"/>
      <c r="U1378" s="9" t="s">
        <v>148</v>
      </c>
      <c r="V1378" t="s">
        <v>164</v>
      </c>
      <c r="W1378" t="s">
        <v>138</v>
      </c>
      <c r="X1378" t="s">
        <v>102</v>
      </c>
      <c r="Y1378" t="s">
        <v>165</v>
      </c>
      <c r="Z1378" t="s">
        <v>155</v>
      </c>
      <c r="AB1378" t="str">
        <f t="shared" si="63"/>
        <v>41282</v>
      </c>
    </row>
    <row r="1379" ht="14.25" spans="1:28">
      <c r="A1379" s="5" t="s">
        <v>28</v>
      </c>
      <c r="B1379" s="5" t="s">
        <v>697</v>
      </c>
      <c r="C1379" s="5">
        <v>2027</v>
      </c>
      <c r="D1379" s="5" t="s">
        <v>30</v>
      </c>
      <c r="E1379" s="13" t="s">
        <v>1103</v>
      </c>
      <c r="F1379" s="13" t="s">
        <v>1079</v>
      </c>
      <c r="G1379" s="13" t="s">
        <v>1104</v>
      </c>
      <c r="H1379" s="13" t="s">
        <v>1105</v>
      </c>
      <c r="I1379" s="13" t="s">
        <v>119</v>
      </c>
      <c r="J1379" s="13" t="s">
        <v>36</v>
      </c>
      <c r="K1379" s="13">
        <v>990</v>
      </c>
      <c r="L1379" s="13"/>
      <c r="M1379" s="13"/>
      <c r="N1379" s="13"/>
      <c r="O1379" s="13" t="s">
        <v>37</v>
      </c>
      <c r="P1379" s="13" t="s">
        <v>38</v>
      </c>
      <c r="Q1379" s="11"/>
      <c r="R1379" s="14">
        <f t="shared" si="64"/>
        <v>0</v>
      </c>
      <c r="S1379" s="14">
        <f>SUMIFS([1]Sheet1!$T:$T,[1]Sheet1!$I:$I,E1379,[1]Sheet1!$C:$C,A1379)</f>
        <v>60</v>
      </c>
      <c r="T1379" s="14">
        <f t="shared" si="65"/>
        <v>-60</v>
      </c>
      <c r="U1379" s="9" t="s">
        <v>148</v>
      </c>
      <c r="V1379" t="s">
        <v>164</v>
      </c>
      <c r="W1379" t="s">
        <v>138</v>
      </c>
      <c r="X1379" t="s">
        <v>1106</v>
      </c>
      <c r="Y1379" t="s">
        <v>165</v>
      </c>
      <c r="Z1379" t="s">
        <v>155</v>
      </c>
      <c r="AB1379" t="str">
        <f t="shared" si="63"/>
        <v>41282</v>
      </c>
    </row>
    <row r="1380" ht="14.25" spans="1:28">
      <c r="A1380" s="5" t="s">
        <v>28</v>
      </c>
      <c r="B1380" s="5" t="s">
        <v>697</v>
      </c>
      <c r="C1380" s="5">
        <v>2027</v>
      </c>
      <c r="D1380" s="5" t="s">
        <v>30</v>
      </c>
      <c r="E1380" s="13" t="s">
        <v>1103</v>
      </c>
      <c r="F1380" s="13" t="s">
        <v>1079</v>
      </c>
      <c r="G1380" s="13" t="s">
        <v>1104</v>
      </c>
      <c r="H1380" s="13" t="s">
        <v>1105</v>
      </c>
      <c r="I1380" s="13" t="s">
        <v>119</v>
      </c>
      <c r="J1380" s="13" t="s">
        <v>36</v>
      </c>
      <c r="K1380" s="13">
        <v>990</v>
      </c>
      <c r="L1380" s="13"/>
      <c r="M1380" s="13"/>
      <c r="N1380" s="13"/>
      <c r="O1380" s="13" t="s">
        <v>37</v>
      </c>
      <c r="P1380" s="13" t="s">
        <v>42</v>
      </c>
      <c r="Q1380" s="11"/>
      <c r="R1380" s="14"/>
      <c r="S1380" s="14"/>
      <c r="T1380" s="14"/>
      <c r="U1380" s="9" t="s">
        <v>148</v>
      </c>
      <c r="V1380" t="s">
        <v>164</v>
      </c>
      <c r="W1380" t="s">
        <v>138</v>
      </c>
      <c r="X1380" t="s">
        <v>1106</v>
      </c>
      <c r="Y1380" t="s">
        <v>165</v>
      </c>
      <c r="Z1380" t="s">
        <v>155</v>
      </c>
      <c r="AB1380" t="str">
        <f t="shared" si="63"/>
        <v>41282</v>
      </c>
    </row>
    <row r="1381" ht="14.25" spans="1:28">
      <c r="A1381" s="5" t="s">
        <v>28</v>
      </c>
      <c r="B1381" s="5" t="s">
        <v>697</v>
      </c>
      <c r="C1381" s="5">
        <v>2027</v>
      </c>
      <c r="D1381" s="5" t="s">
        <v>30</v>
      </c>
      <c r="E1381" s="13" t="s">
        <v>1103</v>
      </c>
      <c r="F1381" s="13" t="s">
        <v>1079</v>
      </c>
      <c r="G1381" s="13" t="s">
        <v>1104</v>
      </c>
      <c r="H1381" s="13" t="s">
        <v>1105</v>
      </c>
      <c r="I1381" s="13" t="s">
        <v>119</v>
      </c>
      <c r="J1381" s="13" t="s">
        <v>36</v>
      </c>
      <c r="K1381" s="13">
        <v>990</v>
      </c>
      <c r="L1381" s="13"/>
      <c r="M1381" s="13"/>
      <c r="N1381" s="13"/>
      <c r="O1381" s="13" t="s">
        <v>37</v>
      </c>
      <c r="P1381" s="13" t="s">
        <v>43</v>
      </c>
      <c r="Q1381" s="11"/>
      <c r="R1381" s="14"/>
      <c r="S1381" s="14"/>
      <c r="T1381" s="14"/>
      <c r="U1381" s="9" t="s">
        <v>148</v>
      </c>
      <c r="V1381" t="s">
        <v>164</v>
      </c>
      <c r="W1381" t="s">
        <v>138</v>
      </c>
      <c r="X1381" t="s">
        <v>1106</v>
      </c>
      <c r="Y1381" t="s">
        <v>165</v>
      </c>
      <c r="Z1381" t="s">
        <v>155</v>
      </c>
      <c r="AB1381" t="str">
        <f t="shared" si="63"/>
        <v>41282</v>
      </c>
    </row>
    <row r="1382" ht="14.25" spans="1:28">
      <c r="A1382" s="5" t="s">
        <v>28</v>
      </c>
      <c r="B1382" s="5" t="s">
        <v>697</v>
      </c>
      <c r="C1382" s="5">
        <v>2027</v>
      </c>
      <c r="D1382" s="5" t="s">
        <v>30</v>
      </c>
      <c r="E1382" s="13" t="s">
        <v>1103</v>
      </c>
      <c r="F1382" s="13" t="s">
        <v>1079</v>
      </c>
      <c r="G1382" s="13" t="s">
        <v>1104</v>
      </c>
      <c r="H1382" s="13" t="s">
        <v>1105</v>
      </c>
      <c r="I1382" s="13" t="s">
        <v>119</v>
      </c>
      <c r="J1382" s="13" t="s">
        <v>36</v>
      </c>
      <c r="K1382" s="13">
        <v>990</v>
      </c>
      <c r="L1382" s="13"/>
      <c r="M1382" s="13"/>
      <c r="N1382" s="13"/>
      <c r="O1382" s="13" t="s">
        <v>37</v>
      </c>
      <c r="P1382" s="13" t="s">
        <v>44</v>
      </c>
      <c r="Q1382" s="11"/>
      <c r="R1382" s="14"/>
      <c r="S1382" s="14"/>
      <c r="T1382" s="14"/>
      <c r="U1382" s="9" t="s">
        <v>148</v>
      </c>
      <c r="V1382" t="s">
        <v>164</v>
      </c>
      <c r="W1382" t="s">
        <v>138</v>
      </c>
      <c r="X1382" t="s">
        <v>1106</v>
      </c>
      <c r="Y1382" t="s">
        <v>165</v>
      </c>
      <c r="Z1382" t="s">
        <v>155</v>
      </c>
      <c r="AB1382" t="str">
        <f t="shared" si="63"/>
        <v>41282</v>
      </c>
    </row>
    <row r="1383" ht="14.25" spans="1:28">
      <c r="A1383" s="5" t="s">
        <v>28</v>
      </c>
      <c r="B1383" s="5" t="s">
        <v>697</v>
      </c>
      <c r="C1383" s="5">
        <v>2027</v>
      </c>
      <c r="D1383" s="5" t="s">
        <v>30</v>
      </c>
      <c r="E1383" s="13" t="s">
        <v>1103</v>
      </c>
      <c r="F1383" s="13" t="s">
        <v>1079</v>
      </c>
      <c r="G1383" s="13" t="s">
        <v>1104</v>
      </c>
      <c r="H1383" s="13" t="s">
        <v>1105</v>
      </c>
      <c r="I1383" s="13" t="s">
        <v>119</v>
      </c>
      <c r="J1383" s="13" t="s">
        <v>36</v>
      </c>
      <c r="K1383" s="13">
        <v>990</v>
      </c>
      <c r="L1383" s="13"/>
      <c r="M1383" s="13"/>
      <c r="N1383" s="13"/>
      <c r="O1383" s="13" t="s">
        <v>37</v>
      </c>
      <c r="P1383" s="13" t="s">
        <v>45</v>
      </c>
      <c r="Q1383" s="11"/>
      <c r="R1383" s="14"/>
      <c r="S1383" s="14"/>
      <c r="T1383" s="14"/>
      <c r="U1383" s="9" t="s">
        <v>148</v>
      </c>
      <c r="V1383" t="s">
        <v>164</v>
      </c>
      <c r="W1383" t="s">
        <v>138</v>
      </c>
      <c r="X1383" t="s">
        <v>1106</v>
      </c>
      <c r="Y1383" t="s">
        <v>165</v>
      </c>
      <c r="Z1383" t="s">
        <v>155</v>
      </c>
      <c r="AB1383" t="str">
        <f t="shared" si="63"/>
        <v>41282</v>
      </c>
    </row>
    <row r="1384" ht="14.25" spans="1:28">
      <c r="A1384" s="5" t="s">
        <v>28</v>
      </c>
      <c r="B1384" s="5" t="s">
        <v>697</v>
      </c>
      <c r="C1384" s="5">
        <v>2027</v>
      </c>
      <c r="D1384" s="5" t="s">
        <v>30</v>
      </c>
      <c r="E1384" s="13" t="s">
        <v>1103</v>
      </c>
      <c r="F1384" s="13" t="s">
        <v>1079</v>
      </c>
      <c r="G1384" s="13" t="s">
        <v>1104</v>
      </c>
      <c r="H1384" s="13" t="s">
        <v>1105</v>
      </c>
      <c r="I1384" s="13" t="s">
        <v>119</v>
      </c>
      <c r="J1384" s="13" t="s">
        <v>36</v>
      </c>
      <c r="K1384" s="13">
        <v>990</v>
      </c>
      <c r="L1384" s="13"/>
      <c r="M1384" s="13"/>
      <c r="N1384" s="13"/>
      <c r="O1384" s="13" t="s">
        <v>37</v>
      </c>
      <c r="P1384" s="13" t="s">
        <v>46</v>
      </c>
      <c r="Q1384" s="11"/>
      <c r="R1384" s="14"/>
      <c r="S1384" s="14"/>
      <c r="T1384" s="14"/>
      <c r="U1384" s="9" t="s">
        <v>148</v>
      </c>
      <c r="V1384" t="s">
        <v>164</v>
      </c>
      <c r="W1384" t="s">
        <v>138</v>
      </c>
      <c r="X1384" t="s">
        <v>1106</v>
      </c>
      <c r="Y1384" t="s">
        <v>165</v>
      </c>
      <c r="Z1384" t="s">
        <v>155</v>
      </c>
      <c r="AB1384" t="str">
        <f t="shared" si="63"/>
        <v>41282</v>
      </c>
    </row>
    <row r="1385" ht="14.25" spans="1:28">
      <c r="A1385" s="5" t="s">
        <v>28</v>
      </c>
      <c r="B1385" s="5" t="s">
        <v>697</v>
      </c>
      <c r="C1385" s="5">
        <v>2027</v>
      </c>
      <c r="D1385" s="5" t="s">
        <v>30</v>
      </c>
      <c r="E1385" s="13" t="s">
        <v>1107</v>
      </c>
      <c r="F1385" s="13" t="s">
        <v>1079</v>
      </c>
      <c r="G1385" s="13" t="s">
        <v>226</v>
      </c>
      <c r="H1385" s="13" t="s">
        <v>1108</v>
      </c>
      <c r="I1385" s="13" t="s">
        <v>119</v>
      </c>
      <c r="J1385" s="13" t="s">
        <v>36</v>
      </c>
      <c r="K1385" s="13">
        <v>990</v>
      </c>
      <c r="L1385" s="13"/>
      <c r="M1385" s="13"/>
      <c r="N1385" s="13"/>
      <c r="O1385" s="13" t="s">
        <v>37</v>
      </c>
      <c r="P1385" s="13" t="s">
        <v>38</v>
      </c>
      <c r="Q1385" s="11"/>
      <c r="R1385" s="14">
        <f t="shared" si="64"/>
        <v>0</v>
      </c>
      <c r="S1385" s="14">
        <f>SUMIFS([1]Sheet1!$T:$T,[1]Sheet1!$I:$I,E1385,[1]Sheet1!$C:$C,A1385)</f>
        <v>40</v>
      </c>
      <c r="T1385" s="14">
        <f t="shared" si="65"/>
        <v>-40</v>
      </c>
      <c r="U1385" s="9" t="s">
        <v>148</v>
      </c>
      <c r="V1385" t="s">
        <v>164</v>
      </c>
      <c r="W1385" t="s">
        <v>138</v>
      </c>
      <c r="X1385" t="s">
        <v>54</v>
      </c>
      <c r="Y1385" t="s">
        <v>165</v>
      </c>
      <c r="Z1385" t="s">
        <v>155</v>
      </c>
      <c r="AB1385" t="str">
        <f t="shared" si="63"/>
        <v>41282</v>
      </c>
    </row>
    <row r="1386" ht="14.25" spans="1:28">
      <c r="A1386" s="5" t="s">
        <v>28</v>
      </c>
      <c r="B1386" s="5" t="s">
        <v>697</v>
      </c>
      <c r="C1386" s="5">
        <v>2027</v>
      </c>
      <c r="D1386" s="5" t="s">
        <v>30</v>
      </c>
      <c r="E1386" s="13" t="s">
        <v>1107</v>
      </c>
      <c r="F1386" s="13" t="s">
        <v>1079</v>
      </c>
      <c r="G1386" s="13" t="s">
        <v>226</v>
      </c>
      <c r="H1386" s="13" t="s">
        <v>1108</v>
      </c>
      <c r="I1386" s="13" t="s">
        <v>119</v>
      </c>
      <c r="J1386" s="13" t="s">
        <v>36</v>
      </c>
      <c r="K1386" s="13">
        <v>990</v>
      </c>
      <c r="L1386" s="13"/>
      <c r="M1386" s="13"/>
      <c r="N1386" s="13"/>
      <c r="O1386" s="13" t="s">
        <v>37</v>
      </c>
      <c r="P1386" s="13" t="s">
        <v>42</v>
      </c>
      <c r="Q1386" s="11"/>
      <c r="R1386" s="14"/>
      <c r="S1386" s="14"/>
      <c r="T1386" s="14"/>
      <c r="U1386" s="9" t="s">
        <v>148</v>
      </c>
      <c r="V1386" t="s">
        <v>164</v>
      </c>
      <c r="W1386" t="s">
        <v>138</v>
      </c>
      <c r="X1386" t="s">
        <v>54</v>
      </c>
      <c r="Y1386" t="s">
        <v>165</v>
      </c>
      <c r="Z1386" t="s">
        <v>155</v>
      </c>
      <c r="AB1386" t="str">
        <f t="shared" si="63"/>
        <v>41282</v>
      </c>
    </row>
    <row r="1387" ht="14.25" spans="1:28">
      <c r="A1387" s="5" t="s">
        <v>28</v>
      </c>
      <c r="B1387" s="5" t="s">
        <v>697</v>
      </c>
      <c r="C1387" s="5">
        <v>2027</v>
      </c>
      <c r="D1387" s="5" t="s">
        <v>30</v>
      </c>
      <c r="E1387" s="13" t="s">
        <v>1107</v>
      </c>
      <c r="F1387" s="13" t="s">
        <v>1079</v>
      </c>
      <c r="G1387" s="13" t="s">
        <v>226</v>
      </c>
      <c r="H1387" s="13" t="s">
        <v>1108</v>
      </c>
      <c r="I1387" s="13" t="s">
        <v>119</v>
      </c>
      <c r="J1387" s="13" t="s">
        <v>36</v>
      </c>
      <c r="K1387" s="13">
        <v>990</v>
      </c>
      <c r="L1387" s="13"/>
      <c r="M1387" s="13"/>
      <c r="N1387" s="13"/>
      <c r="O1387" s="13" t="s">
        <v>37</v>
      </c>
      <c r="P1387" s="13" t="s">
        <v>43</v>
      </c>
      <c r="Q1387" s="11"/>
      <c r="R1387" s="14"/>
      <c r="S1387" s="14"/>
      <c r="T1387" s="14"/>
      <c r="U1387" s="9" t="s">
        <v>148</v>
      </c>
      <c r="V1387" t="s">
        <v>164</v>
      </c>
      <c r="W1387" t="s">
        <v>138</v>
      </c>
      <c r="X1387" t="s">
        <v>54</v>
      </c>
      <c r="Y1387" t="s">
        <v>165</v>
      </c>
      <c r="Z1387" t="s">
        <v>155</v>
      </c>
      <c r="AB1387" t="str">
        <f t="shared" si="63"/>
        <v>41282</v>
      </c>
    </row>
    <row r="1388" ht="14.25" spans="1:28">
      <c r="A1388" s="5" t="s">
        <v>28</v>
      </c>
      <c r="B1388" s="5" t="s">
        <v>697</v>
      </c>
      <c r="C1388" s="5">
        <v>2027</v>
      </c>
      <c r="D1388" s="5" t="s">
        <v>30</v>
      </c>
      <c r="E1388" s="13" t="s">
        <v>1107</v>
      </c>
      <c r="F1388" s="13" t="s">
        <v>1079</v>
      </c>
      <c r="G1388" s="13" t="s">
        <v>226</v>
      </c>
      <c r="H1388" s="13" t="s">
        <v>1108</v>
      </c>
      <c r="I1388" s="13" t="s">
        <v>119</v>
      </c>
      <c r="J1388" s="13" t="s">
        <v>36</v>
      </c>
      <c r="K1388" s="13">
        <v>990</v>
      </c>
      <c r="L1388" s="13"/>
      <c r="M1388" s="13"/>
      <c r="N1388" s="13"/>
      <c r="O1388" s="13" t="s">
        <v>37</v>
      </c>
      <c r="P1388" s="13" t="s">
        <v>44</v>
      </c>
      <c r="Q1388" s="11"/>
      <c r="R1388" s="14"/>
      <c r="S1388" s="14"/>
      <c r="T1388" s="14"/>
      <c r="U1388" s="9" t="s">
        <v>148</v>
      </c>
      <c r="V1388" t="s">
        <v>164</v>
      </c>
      <c r="W1388" t="s">
        <v>138</v>
      </c>
      <c r="X1388" t="s">
        <v>54</v>
      </c>
      <c r="Y1388" t="s">
        <v>165</v>
      </c>
      <c r="Z1388" t="s">
        <v>155</v>
      </c>
      <c r="AB1388" t="str">
        <f t="shared" si="63"/>
        <v>41282</v>
      </c>
    </row>
    <row r="1389" ht="14.25" spans="1:28">
      <c r="A1389" s="5" t="s">
        <v>28</v>
      </c>
      <c r="B1389" s="5" t="s">
        <v>697</v>
      </c>
      <c r="C1389" s="5">
        <v>2027</v>
      </c>
      <c r="D1389" s="5" t="s">
        <v>30</v>
      </c>
      <c r="E1389" s="13" t="s">
        <v>1107</v>
      </c>
      <c r="F1389" s="13" t="s">
        <v>1079</v>
      </c>
      <c r="G1389" s="13" t="s">
        <v>226</v>
      </c>
      <c r="H1389" s="13" t="s">
        <v>1108</v>
      </c>
      <c r="I1389" s="13" t="s">
        <v>119</v>
      </c>
      <c r="J1389" s="13" t="s">
        <v>36</v>
      </c>
      <c r="K1389" s="13">
        <v>990</v>
      </c>
      <c r="L1389" s="13"/>
      <c r="M1389" s="13"/>
      <c r="N1389" s="13"/>
      <c r="O1389" s="13" t="s">
        <v>37</v>
      </c>
      <c r="P1389" s="13" t="s">
        <v>45</v>
      </c>
      <c r="Q1389" s="11"/>
      <c r="R1389" s="14"/>
      <c r="S1389" s="14"/>
      <c r="T1389" s="14"/>
      <c r="U1389" s="9" t="s">
        <v>148</v>
      </c>
      <c r="V1389" t="s">
        <v>164</v>
      </c>
      <c r="W1389" t="s">
        <v>138</v>
      </c>
      <c r="X1389" t="s">
        <v>54</v>
      </c>
      <c r="Y1389" t="s">
        <v>165</v>
      </c>
      <c r="Z1389" t="s">
        <v>155</v>
      </c>
      <c r="AB1389" t="str">
        <f t="shared" si="63"/>
        <v>41282</v>
      </c>
    </row>
    <row r="1390" ht="14.25" spans="1:28">
      <c r="A1390" s="5" t="s">
        <v>28</v>
      </c>
      <c r="B1390" s="5" t="s">
        <v>697</v>
      </c>
      <c r="C1390" s="5">
        <v>2027</v>
      </c>
      <c r="D1390" s="5" t="s">
        <v>30</v>
      </c>
      <c r="E1390" s="13" t="s">
        <v>1107</v>
      </c>
      <c r="F1390" s="13" t="s">
        <v>1079</v>
      </c>
      <c r="G1390" s="13" t="s">
        <v>226</v>
      </c>
      <c r="H1390" s="13" t="s">
        <v>1108</v>
      </c>
      <c r="I1390" s="13" t="s">
        <v>119</v>
      </c>
      <c r="J1390" s="13" t="s">
        <v>36</v>
      </c>
      <c r="K1390" s="13">
        <v>990</v>
      </c>
      <c r="L1390" s="13"/>
      <c r="M1390" s="13"/>
      <c r="N1390" s="13"/>
      <c r="O1390" s="13" t="s">
        <v>37</v>
      </c>
      <c r="P1390" s="13" t="s">
        <v>46</v>
      </c>
      <c r="Q1390" s="11"/>
      <c r="R1390" s="14"/>
      <c r="S1390" s="14"/>
      <c r="T1390" s="14"/>
      <c r="U1390" s="9" t="s">
        <v>148</v>
      </c>
      <c r="V1390" t="s">
        <v>164</v>
      </c>
      <c r="W1390" t="s">
        <v>138</v>
      </c>
      <c r="X1390" t="s">
        <v>54</v>
      </c>
      <c r="Y1390" t="s">
        <v>165</v>
      </c>
      <c r="Z1390" t="s">
        <v>155</v>
      </c>
      <c r="AB1390" t="str">
        <f t="shared" si="63"/>
        <v>41282</v>
      </c>
    </row>
    <row r="1391" ht="14.25" spans="1:28">
      <c r="A1391" s="5" t="s">
        <v>28</v>
      </c>
      <c r="B1391" s="5" t="s">
        <v>697</v>
      </c>
      <c r="C1391" s="5">
        <v>2027</v>
      </c>
      <c r="D1391" s="5" t="s">
        <v>30</v>
      </c>
      <c r="E1391" s="13" t="s">
        <v>1109</v>
      </c>
      <c r="F1391" s="13" t="s">
        <v>1079</v>
      </c>
      <c r="G1391" s="13" t="s">
        <v>1110</v>
      </c>
      <c r="H1391" s="13" t="s">
        <v>1111</v>
      </c>
      <c r="I1391" s="13" t="s">
        <v>119</v>
      </c>
      <c r="J1391" s="13" t="s">
        <v>36</v>
      </c>
      <c r="K1391" s="13">
        <v>990</v>
      </c>
      <c r="L1391" s="13"/>
      <c r="M1391" s="13"/>
      <c r="N1391" s="13"/>
      <c r="O1391" s="13" t="s">
        <v>37</v>
      </c>
      <c r="P1391" s="13" t="s">
        <v>38</v>
      </c>
      <c r="Q1391" s="11"/>
      <c r="R1391" s="14">
        <f t="shared" si="64"/>
        <v>0</v>
      </c>
      <c r="S1391" s="14">
        <f>SUMIFS([1]Sheet1!$T:$T,[1]Sheet1!$I:$I,E1391,[1]Sheet1!$C:$C,A1391)</f>
        <v>0</v>
      </c>
      <c r="T1391" s="14">
        <f t="shared" si="65"/>
        <v>0</v>
      </c>
      <c r="U1391" s="9" t="s">
        <v>148</v>
      </c>
      <c r="V1391" t="s">
        <v>164</v>
      </c>
      <c r="W1391" t="s">
        <v>138</v>
      </c>
      <c r="X1391" t="s">
        <v>54</v>
      </c>
      <c r="Y1391" t="s">
        <v>165</v>
      </c>
      <c r="Z1391" t="s">
        <v>155</v>
      </c>
      <c r="AB1391" t="str">
        <f t="shared" si="63"/>
        <v>41282</v>
      </c>
    </row>
    <row r="1392" ht="14.25" spans="1:28">
      <c r="A1392" s="5" t="s">
        <v>28</v>
      </c>
      <c r="B1392" s="5" t="s">
        <v>697</v>
      </c>
      <c r="C1392" s="5">
        <v>2027</v>
      </c>
      <c r="D1392" s="5" t="s">
        <v>30</v>
      </c>
      <c r="E1392" s="13" t="s">
        <v>1109</v>
      </c>
      <c r="F1392" s="13" t="s">
        <v>1079</v>
      </c>
      <c r="G1392" s="13" t="s">
        <v>1110</v>
      </c>
      <c r="H1392" s="13" t="s">
        <v>1111</v>
      </c>
      <c r="I1392" s="13" t="s">
        <v>119</v>
      </c>
      <c r="J1392" s="13" t="s">
        <v>36</v>
      </c>
      <c r="K1392" s="13">
        <v>990</v>
      </c>
      <c r="L1392" s="13"/>
      <c r="M1392" s="13"/>
      <c r="N1392" s="13"/>
      <c r="O1392" s="13" t="s">
        <v>37</v>
      </c>
      <c r="P1392" s="13" t="s">
        <v>42</v>
      </c>
      <c r="Q1392" s="11"/>
      <c r="R1392" s="14"/>
      <c r="S1392" s="14"/>
      <c r="T1392" s="14"/>
      <c r="U1392" s="9" t="s">
        <v>148</v>
      </c>
      <c r="V1392" t="s">
        <v>164</v>
      </c>
      <c r="W1392" t="s">
        <v>138</v>
      </c>
      <c r="X1392" t="s">
        <v>54</v>
      </c>
      <c r="Y1392" t="s">
        <v>165</v>
      </c>
      <c r="Z1392" t="s">
        <v>155</v>
      </c>
      <c r="AB1392" t="str">
        <f t="shared" si="63"/>
        <v>41282</v>
      </c>
    </row>
    <row r="1393" ht="14.25" spans="1:28">
      <c r="A1393" s="5" t="s">
        <v>28</v>
      </c>
      <c r="B1393" s="5" t="s">
        <v>697</v>
      </c>
      <c r="C1393" s="5">
        <v>2027</v>
      </c>
      <c r="D1393" s="5" t="s">
        <v>30</v>
      </c>
      <c r="E1393" s="13" t="s">
        <v>1109</v>
      </c>
      <c r="F1393" s="13" t="s">
        <v>1079</v>
      </c>
      <c r="G1393" s="13" t="s">
        <v>1110</v>
      </c>
      <c r="H1393" s="13" t="s">
        <v>1111</v>
      </c>
      <c r="I1393" s="13" t="s">
        <v>119</v>
      </c>
      <c r="J1393" s="13" t="s">
        <v>36</v>
      </c>
      <c r="K1393" s="13">
        <v>990</v>
      </c>
      <c r="L1393" s="13"/>
      <c r="M1393" s="13"/>
      <c r="N1393" s="13"/>
      <c r="O1393" s="13" t="s">
        <v>37</v>
      </c>
      <c r="P1393" s="13" t="s">
        <v>43</v>
      </c>
      <c r="Q1393" s="11"/>
      <c r="R1393" s="14"/>
      <c r="S1393" s="14"/>
      <c r="T1393" s="14"/>
      <c r="U1393" s="9" t="s">
        <v>148</v>
      </c>
      <c r="V1393" t="s">
        <v>164</v>
      </c>
      <c r="W1393" t="s">
        <v>138</v>
      </c>
      <c r="X1393" t="s">
        <v>54</v>
      </c>
      <c r="Y1393" t="s">
        <v>165</v>
      </c>
      <c r="Z1393" t="s">
        <v>155</v>
      </c>
      <c r="AB1393" t="str">
        <f t="shared" si="63"/>
        <v>41282</v>
      </c>
    </row>
    <row r="1394" ht="14.25" spans="1:28">
      <c r="A1394" s="5" t="s">
        <v>28</v>
      </c>
      <c r="B1394" s="5" t="s">
        <v>697</v>
      </c>
      <c r="C1394" s="5">
        <v>2027</v>
      </c>
      <c r="D1394" s="5" t="s">
        <v>30</v>
      </c>
      <c r="E1394" s="13" t="s">
        <v>1109</v>
      </c>
      <c r="F1394" s="13" t="s">
        <v>1079</v>
      </c>
      <c r="G1394" s="13" t="s">
        <v>1110</v>
      </c>
      <c r="H1394" s="13" t="s">
        <v>1111</v>
      </c>
      <c r="I1394" s="13" t="s">
        <v>119</v>
      </c>
      <c r="J1394" s="13" t="s">
        <v>36</v>
      </c>
      <c r="K1394" s="13">
        <v>990</v>
      </c>
      <c r="L1394" s="13"/>
      <c r="M1394" s="13"/>
      <c r="N1394" s="13"/>
      <c r="O1394" s="13" t="s">
        <v>37</v>
      </c>
      <c r="P1394" s="13" t="s">
        <v>44</v>
      </c>
      <c r="Q1394" s="11"/>
      <c r="R1394" s="14"/>
      <c r="S1394" s="14"/>
      <c r="T1394" s="14"/>
      <c r="U1394" s="9" t="s">
        <v>148</v>
      </c>
      <c r="V1394" t="s">
        <v>164</v>
      </c>
      <c r="W1394" t="s">
        <v>138</v>
      </c>
      <c r="X1394" t="s">
        <v>54</v>
      </c>
      <c r="Y1394" t="s">
        <v>165</v>
      </c>
      <c r="Z1394" t="s">
        <v>155</v>
      </c>
      <c r="AB1394" t="str">
        <f t="shared" si="63"/>
        <v>41282</v>
      </c>
    </row>
    <row r="1395" ht="14.25" spans="1:28">
      <c r="A1395" s="5" t="s">
        <v>28</v>
      </c>
      <c r="B1395" s="5" t="s">
        <v>697</v>
      </c>
      <c r="C1395" s="5">
        <v>2027</v>
      </c>
      <c r="D1395" s="5" t="s">
        <v>30</v>
      </c>
      <c r="E1395" t="s">
        <v>1109</v>
      </c>
      <c r="F1395" t="s">
        <v>1079</v>
      </c>
      <c r="G1395" t="s">
        <v>1110</v>
      </c>
      <c r="H1395" t="s">
        <v>1111</v>
      </c>
      <c r="I1395" t="s">
        <v>119</v>
      </c>
      <c r="J1395" t="s">
        <v>36</v>
      </c>
      <c r="K1395">
        <v>990</v>
      </c>
      <c r="O1395" t="s">
        <v>37</v>
      </c>
      <c r="P1395" t="s">
        <v>45</v>
      </c>
      <c r="R1395" s="14"/>
      <c r="S1395" s="14"/>
      <c r="T1395" s="14"/>
      <c r="U1395" s="9" t="s">
        <v>148</v>
      </c>
      <c r="V1395" t="s">
        <v>164</v>
      </c>
      <c r="W1395" t="s">
        <v>138</v>
      </c>
      <c r="X1395" t="s">
        <v>54</v>
      </c>
      <c r="Y1395" t="s">
        <v>165</v>
      </c>
      <c r="Z1395" t="s">
        <v>155</v>
      </c>
      <c r="AB1395" t="str">
        <f t="shared" ref="AB1395:AB1458" si="66">MID(E1395,6,5)</f>
        <v>41282</v>
      </c>
    </row>
    <row r="1396" ht="14.25" spans="1:28">
      <c r="A1396" s="5" t="s">
        <v>28</v>
      </c>
      <c r="B1396" s="5" t="s">
        <v>697</v>
      </c>
      <c r="C1396" s="5">
        <v>2027</v>
      </c>
      <c r="D1396" s="5" t="s">
        <v>30</v>
      </c>
      <c r="E1396" t="s">
        <v>1109</v>
      </c>
      <c r="F1396" t="s">
        <v>1079</v>
      </c>
      <c r="G1396" t="s">
        <v>1110</v>
      </c>
      <c r="H1396" t="s">
        <v>1111</v>
      </c>
      <c r="I1396" t="s">
        <v>119</v>
      </c>
      <c r="J1396" t="s">
        <v>36</v>
      </c>
      <c r="K1396">
        <v>990</v>
      </c>
      <c r="O1396" t="s">
        <v>37</v>
      </c>
      <c r="P1396" t="s">
        <v>46</v>
      </c>
      <c r="R1396" s="14"/>
      <c r="S1396" s="14"/>
      <c r="T1396" s="14"/>
      <c r="U1396" s="9" t="s">
        <v>148</v>
      </c>
      <c r="V1396" t="s">
        <v>164</v>
      </c>
      <c r="W1396" t="s">
        <v>138</v>
      </c>
      <c r="X1396" t="s">
        <v>54</v>
      </c>
      <c r="Y1396" t="s">
        <v>165</v>
      </c>
      <c r="Z1396" t="s">
        <v>155</v>
      </c>
      <c r="AB1396" t="str">
        <f t="shared" si="66"/>
        <v>41282</v>
      </c>
    </row>
    <row r="1397" ht="14.25" spans="1:28">
      <c r="A1397" s="5" t="s">
        <v>28</v>
      </c>
      <c r="B1397" s="5" t="s">
        <v>697</v>
      </c>
      <c r="C1397" s="5">
        <v>2027</v>
      </c>
      <c r="D1397" s="5" t="s">
        <v>30</v>
      </c>
      <c r="E1397" t="s">
        <v>1112</v>
      </c>
      <c r="F1397" t="s">
        <v>1079</v>
      </c>
      <c r="G1397" t="s">
        <v>1053</v>
      </c>
      <c r="H1397" t="s">
        <v>1113</v>
      </c>
      <c r="I1397" t="s">
        <v>119</v>
      </c>
      <c r="J1397" t="s">
        <v>36</v>
      </c>
      <c r="K1397">
        <v>990</v>
      </c>
      <c r="O1397" t="s">
        <v>37</v>
      </c>
      <c r="P1397" t="s">
        <v>38</v>
      </c>
      <c r="R1397">
        <f t="shared" si="64"/>
        <v>0</v>
      </c>
      <c r="S1397">
        <f>SUMIFS([1]Sheet1!$T:$T,[1]Sheet1!$I:$I,E1397,[1]Sheet1!$C:$C,A1397)</f>
        <v>250</v>
      </c>
      <c r="T1397">
        <f t="shared" si="65"/>
        <v>-250</v>
      </c>
      <c r="U1397" s="9" t="s">
        <v>148</v>
      </c>
      <c r="V1397" t="s">
        <v>164</v>
      </c>
      <c r="W1397" t="s">
        <v>138</v>
      </c>
      <c r="X1397" t="s">
        <v>243</v>
      </c>
      <c r="Y1397" t="s">
        <v>165</v>
      </c>
      <c r="Z1397" t="s">
        <v>155</v>
      </c>
      <c r="AB1397" t="str">
        <f t="shared" si="66"/>
        <v>41282</v>
      </c>
    </row>
    <row r="1398" ht="14.25" spans="1:28">
      <c r="A1398" s="5" t="s">
        <v>28</v>
      </c>
      <c r="B1398" s="5" t="s">
        <v>697</v>
      </c>
      <c r="C1398" s="5">
        <v>2027</v>
      </c>
      <c r="D1398" s="5" t="s">
        <v>30</v>
      </c>
      <c r="E1398" t="s">
        <v>1112</v>
      </c>
      <c r="F1398" t="s">
        <v>1079</v>
      </c>
      <c r="G1398" t="s">
        <v>1053</v>
      </c>
      <c r="H1398" t="s">
        <v>1113</v>
      </c>
      <c r="I1398" t="s">
        <v>119</v>
      </c>
      <c r="J1398" t="s">
        <v>36</v>
      </c>
      <c r="K1398">
        <v>990</v>
      </c>
      <c r="O1398" t="s">
        <v>37</v>
      </c>
      <c r="P1398" t="s">
        <v>42</v>
      </c>
      <c r="U1398" s="9" t="s">
        <v>148</v>
      </c>
      <c r="V1398" t="s">
        <v>164</v>
      </c>
      <c r="W1398" t="s">
        <v>138</v>
      </c>
      <c r="X1398" t="s">
        <v>243</v>
      </c>
      <c r="Y1398" t="s">
        <v>165</v>
      </c>
      <c r="Z1398" t="s">
        <v>155</v>
      </c>
      <c r="AB1398" t="str">
        <f t="shared" si="66"/>
        <v>41282</v>
      </c>
    </row>
    <row r="1399" ht="14.25" spans="1:28">
      <c r="A1399" s="5" t="s">
        <v>28</v>
      </c>
      <c r="B1399" s="5" t="s">
        <v>697</v>
      </c>
      <c r="C1399" s="5">
        <v>2027</v>
      </c>
      <c r="D1399" s="5" t="s">
        <v>30</v>
      </c>
      <c r="E1399" t="s">
        <v>1112</v>
      </c>
      <c r="F1399" t="s">
        <v>1079</v>
      </c>
      <c r="G1399" t="s">
        <v>1053</v>
      </c>
      <c r="H1399" t="s">
        <v>1113</v>
      </c>
      <c r="I1399" t="s">
        <v>119</v>
      </c>
      <c r="J1399" t="s">
        <v>36</v>
      </c>
      <c r="K1399">
        <v>990</v>
      </c>
      <c r="O1399" t="s">
        <v>37</v>
      </c>
      <c r="P1399" t="s">
        <v>43</v>
      </c>
      <c r="U1399" s="9" t="s">
        <v>148</v>
      </c>
      <c r="V1399" t="s">
        <v>164</v>
      </c>
      <c r="W1399" t="s">
        <v>138</v>
      </c>
      <c r="X1399" t="s">
        <v>243</v>
      </c>
      <c r="Y1399" t="s">
        <v>165</v>
      </c>
      <c r="Z1399" t="s">
        <v>155</v>
      </c>
      <c r="AB1399" t="str">
        <f t="shared" si="66"/>
        <v>41282</v>
      </c>
    </row>
    <row r="1400" ht="14.25" spans="1:28">
      <c r="A1400" s="5" t="s">
        <v>28</v>
      </c>
      <c r="B1400" s="5" t="s">
        <v>697</v>
      </c>
      <c r="C1400" s="5">
        <v>2027</v>
      </c>
      <c r="D1400" s="5" t="s">
        <v>30</v>
      </c>
      <c r="E1400" t="s">
        <v>1112</v>
      </c>
      <c r="F1400" t="s">
        <v>1079</v>
      </c>
      <c r="G1400" t="s">
        <v>1053</v>
      </c>
      <c r="H1400" t="s">
        <v>1113</v>
      </c>
      <c r="I1400" t="s">
        <v>119</v>
      </c>
      <c r="J1400" t="s">
        <v>36</v>
      </c>
      <c r="K1400">
        <v>990</v>
      </c>
      <c r="O1400" t="s">
        <v>37</v>
      </c>
      <c r="P1400" t="s">
        <v>44</v>
      </c>
      <c r="U1400" s="9" t="s">
        <v>148</v>
      </c>
      <c r="V1400" t="s">
        <v>164</v>
      </c>
      <c r="W1400" t="s">
        <v>138</v>
      </c>
      <c r="X1400" t="s">
        <v>243</v>
      </c>
      <c r="Y1400" t="s">
        <v>165</v>
      </c>
      <c r="Z1400" t="s">
        <v>155</v>
      </c>
      <c r="AB1400" t="str">
        <f t="shared" si="66"/>
        <v>41282</v>
      </c>
    </row>
    <row r="1401" ht="14.25" spans="1:28">
      <c r="A1401" s="5" t="s">
        <v>28</v>
      </c>
      <c r="B1401" s="5" t="s">
        <v>697</v>
      </c>
      <c r="C1401" s="5">
        <v>2027</v>
      </c>
      <c r="D1401" s="5" t="s">
        <v>30</v>
      </c>
      <c r="E1401" t="s">
        <v>1112</v>
      </c>
      <c r="F1401" t="s">
        <v>1079</v>
      </c>
      <c r="G1401" t="s">
        <v>1053</v>
      </c>
      <c r="H1401" t="s">
        <v>1113</v>
      </c>
      <c r="I1401" t="s">
        <v>119</v>
      </c>
      <c r="J1401" t="s">
        <v>36</v>
      </c>
      <c r="K1401">
        <v>990</v>
      </c>
      <c r="O1401" t="s">
        <v>37</v>
      </c>
      <c r="P1401" t="s">
        <v>45</v>
      </c>
      <c r="U1401" s="9" t="s">
        <v>148</v>
      </c>
      <c r="V1401" t="s">
        <v>164</v>
      </c>
      <c r="W1401" t="s">
        <v>138</v>
      </c>
      <c r="X1401" t="s">
        <v>243</v>
      </c>
      <c r="Y1401" t="s">
        <v>165</v>
      </c>
      <c r="Z1401" t="s">
        <v>155</v>
      </c>
      <c r="AB1401" t="str">
        <f t="shared" si="66"/>
        <v>41282</v>
      </c>
    </row>
    <row r="1402" ht="14.25" spans="1:28">
      <c r="A1402" s="5" t="s">
        <v>28</v>
      </c>
      <c r="B1402" s="5" t="s">
        <v>697</v>
      </c>
      <c r="C1402" s="5">
        <v>2027</v>
      </c>
      <c r="D1402" s="5" t="s">
        <v>30</v>
      </c>
      <c r="E1402" t="s">
        <v>1112</v>
      </c>
      <c r="F1402" t="s">
        <v>1079</v>
      </c>
      <c r="G1402" t="s">
        <v>1053</v>
      </c>
      <c r="H1402" t="s">
        <v>1113</v>
      </c>
      <c r="I1402" t="s">
        <v>119</v>
      </c>
      <c r="J1402" t="s">
        <v>36</v>
      </c>
      <c r="K1402">
        <v>990</v>
      </c>
      <c r="O1402" t="s">
        <v>37</v>
      </c>
      <c r="P1402" t="s">
        <v>46</v>
      </c>
      <c r="U1402" s="9" t="s">
        <v>148</v>
      </c>
      <c r="V1402" t="s">
        <v>164</v>
      </c>
      <c r="W1402" t="s">
        <v>138</v>
      </c>
      <c r="X1402" t="s">
        <v>243</v>
      </c>
      <c r="Y1402" t="s">
        <v>165</v>
      </c>
      <c r="Z1402" t="s">
        <v>155</v>
      </c>
      <c r="AB1402" t="str">
        <f t="shared" si="66"/>
        <v>41282</v>
      </c>
    </row>
    <row r="1403" ht="14.25" spans="1:28">
      <c r="A1403" s="5" t="s">
        <v>28</v>
      </c>
      <c r="B1403" s="5" t="s">
        <v>697</v>
      </c>
      <c r="C1403" s="5">
        <v>2027</v>
      </c>
      <c r="D1403" s="5" t="s">
        <v>30</v>
      </c>
      <c r="E1403" t="s">
        <v>1114</v>
      </c>
      <c r="F1403" t="s">
        <v>1079</v>
      </c>
      <c r="G1403" t="s">
        <v>240</v>
      </c>
      <c r="H1403" t="s">
        <v>1115</v>
      </c>
      <c r="I1403" t="s">
        <v>119</v>
      </c>
      <c r="J1403" t="s">
        <v>36</v>
      </c>
      <c r="K1403">
        <v>990</v>
      </c>
      <c r="O1403" t="s">
        <v>37</v>
      </c>
      <c r="P1403" t="s">
        <v>38</v>
      </c>
      <c r="R1403">
        <f t="shared" si="64"/>
        <v>0</v>
      </c>
      <c r="S1403">
        <f>SUMIFS([1]Sheet1!$T:$T,[1]Sheet1!$I:$I,E1403,[1]Sheet1!$C:$C,A1403)</f>
        <v>40</v>
      </c>
      <c r="T1403">
        <f t="shared" si="65"/>
        <v>-40</v>
      </c>
      <c r="U1403" s="9" t="s">
        <v>148</v>
      </c>
      <c r="V1403" t="s">
        <v>164</v>
      </c>
      <c r="W1403" t="s">
        <v>138</v>
      </c>
      <c r="X1403" t="s">
        <v>243</v>
      </c>
      <c r="Y1403" t="s">
        <v>165</v>
      </c>
      <c r="Z1403" t="s">
        <v>155</v>
      </c>
      <c r="AB1403" t="str">
        <f t="shared" si="66"/>
        <v>41282</v>
      </c>
    </row>
    <row r="1404" ht="14.25" spans="1:28">
      <c r="A1404" s="5" t="s">
        <v>28</v>
      </c>
      <c r="B1404" s="5" t="s">
        <v>697</v>
      </c>
      <c r="C1404" s="5">
        <v>2027</v>
      </c>
      <c r="D1404" s="5" t="s">
        <v>30</v>
      </c>
      <c r="E1404" t="s">
        <v>1114</v>
      </c>
      <c r="F1404" t="s">
        <v>1079</v>
      </c>
      <c r="G1404" t="s">
        <v>240</v>
      </c>
      <c r="H1404" t="s">
        <v>1115</v>
      </c>
      <c r="I1404" t="s">
        <v>119</v>
      </c>
      <c r="J1404" t="s">
        <v>36</v>
      </c>
      <c r="K1404">
        <v>990</v>
      </c>
      <c r="O1404" t="s">
        <v>37</v>
      </c>
      <c r="P1404" t="s">
        <v>42</v>
      </c>
      <c r="U1404" s="9" t="s">
        <v>148</v>
      </c>
      <c r="V1404" t="s">
        <v>164</v>
      </c>
      <c r="W1404" t="s">
        <v>138</v>
      </c>
      <c r="X1404" t="s">
        <v>243</v>
      </c>
      <c r="Y1404" t="s">
        <v>165</v>
      </c>
      <c r="Z1404" t="s">
        <v>155</v>
      </c>
      <c r="AB1404" t="str">
        <f t="shared" si="66"/>
        <v>41282</v>
      </c>
    </row>
    <row r="1405" ht="14.25" spans="1:28">
      <c r="A1405" s="5" t="s">
        <v>28</v>
      </c>
      <c r="B1405" s="5" t="s">
        <v>697</v>
      </c>
      <c r="C1405" s="5">
        <v>2027</v>
      </c>
      <c r="D1405" s="5" t="s">
        <v>30</v>
      </c>
      <c r="E1405" t="s">
        <v>1114</v>
      </c>
      <c r="F1405" t="s">
        <v>1079</v>
      </c>
      <c r="G1405" t="s">
        <v>240</v>
      </c>
      <c r="H1405" t="s">
        <v>1115</v>
      </c>
      <c r="I1405" t="s">
        <v>119</v>
      </c>
      <c r="J1405" t="s">
        <v>36</v>
      </c>
      <c r="K1405">
        <v>990</v>
      </c>
      <c r="O1405" t="s">
        <v>37</v>
      </c>
      <c r="P1405" t="s">
        <v>43</v>
      </c>
      <c r="U1405" s="9" t="s">
        <v>148</v>
      </c>
      <c r="V1405" t="s">
        <v>164</v>
      </c>
      <c r="W1405" t="s">
        <v>138</v>
      </c>
      <c r="X1405" t="s">
        <v>243</v>
      </c>
      <c r="Y1405" t="s">
        <v>165</v>
      </c>
      <c r="Z1405" t="s">
        <v>155</v>
      </c>
      <c r="AB1405" t="str">
        <f t="shared" si="66"/>
        <v>41282</v>
      </c>
    </row>
    <row r="1406" ht="14.25" spans="1:28">
      <c r="A1406" s="5" t="s">
        <v>28</v>
      </c>
      <c r="B1406" s="5" t="s">
        <v>697</v>
      </c>
      <c r="C1406" s="5">
        <v>2027</v>
      </c>
      <c r="D1406" s="5" t="s">
        <v>30</v>
      </c>
      <c r="E1406" t="s">
        <v>1114</v>
      </c>
      <c r="F1406" t="s">
        <v>1079</v>
      </c>
      <c r="G1406" t="s">
        <v>240</v>
      </c>
      <c r="H1406" t="s">
        <v>1115</v>
      </c>
      <c r="I1406" t="s">
        <v>119</v>
      </c>
      <c r="J1406" t="s">
        <v>36</v>
      </c>
      <c r="K1406">
        <v>990</v>
      </c>
      <c r="O1406" t="s">
        <v>37</v>
      </c>
      <c r="P1406" t="s">
        <v>44</v>
      </c>
      <c r="U1406" s="9" t="s">
        <v>148</v>
      </c>
      <c r="V1406" t="s">
        <v>164</v>
      </c>
      <c r="W1406" t="s">
        <v>138</v>
      </c>
      <c r="X1406" t="s">
        <v>243</v>
      </c>
      <c r="Y1406" t="s">
        <v>165</v>
      </c>
      <c r="Z1406" t="s">
        <v>155</v>
      </c>
      <c r="AB1406" t="str">
        <f t="shared" si="66"/>
        <v>41282</v>
      </c>
    </row>
    <row r="1407" ht="14.25" spans="1:28">
      <c r="A1407" s="5" t="s">
        <v>28</v>
      </c>
      <c r="B1407" s="5" t="s">
        <v>697</v>
      </c>
      <c r="C1407" s="5">
        <v>2027</v>
      </c>
      <c r="D1407" s="5" t="s">
        <v>30</v>
      </c>
      <c r="E1407" t="s">
        <v>1114</v>
      </c>
      <c r="F1407" t="s">
        <v>1079</v>
      </c>
      <c r="G1407" t="s">
        <v>240</v>
      </c>
      <c r="H1407" t="s">
        <v>1115</v>
      </c>
      <c r="I1407" t="s">
        <v>119</v>
      </c>
      <c r="J1407" t="s">
        <v>36</v>
      </c>
      <c r="K1407">
        <v>990</v>
      </c>
      <c r="O1407" t="s">
        <v>37</v>
      </c>
      <c r="P1407" t="s">
        <v>45</v>
      </c>
      <c r="U1407" s="9" t="s">
        <v>148</v>
      </c>
      <c r="V1407" t="s">
        <v>164</v>
      </c>
      <c r="W1407" t="s">
        <v>138</v>
      </c>
      <c r="X1407" t="s">
        <v>243</v>
      </c>
      <c r="Y1407" t="s">
        <v>165</v>
      </c>
      <c r="Z1407" t="s">
        <v>155</v>
      </c>
      <c r="AB1407" t="str">
        <f t="shared" si="66"/>
        <v>41282</v>
      </c>
    </row>
    <row r="1408" ht="14.25" spans="1:28">
      <c r="A1408" s="5" t="s">
        <v>28</v>
      </c>
      <c r="B1408" s="5" t="s">
        <v>697</v>
      </c>
      <c r="C1408" s="5">
        <v>2027</v>
      </c>
      <c r="D1408" s="5" t="s">
        <v>30</v>
      </c>
      <c r="E1408" t="s">
        <v>1114</v>
      </c>
      <c r="F1408" t="s">
        <v>1079</v>
      </c>
      <c r="G1408" t="s">
        <v>240</v>
      </c>
      <c r="H1408" t="s">
        <v>1115</v>
      </c>
      <c r="I1408" t="s">
        <v>119</v>
      </c>
      <c r="J1408" t="s">
        <v>36</v>
      </c>
      <c r="K1408">
        <v>990</v>
      </c>
      <c r="O1408" t="s">
        <v>37</v>
      </c>
      <c r="P1408" t="s">
        <v>46</v>
      </c>
      <c r="U1408" s="9" t="s">
        <v>148</v>
      </c>
      <c r="V1408" t="s">
        <v>164</v>
      </c>
      <c r="W1408" t="s">
        <v>138</v>
      </c>
      <c r="X1408" t="s">
        <v>243</v>
      </c>
      <c r="Y1408" t="s">
        <v>165</v>
      </c>
      <c r="Z1408" t="s">
        <v>155</v>
      </c>
      <c r="AB1408" t="str">
        <f t="shared" si="66"/>
        <v>41282</v>
      </c>
    </row>
    <row r="1409" ht="14.25" spans="1:28">
      <c r="A1409" s="5" t="s">
        <v>28</v>
      </c>
      <c r="B1409" s="5" t="s">
        <v>697</v>
      </c>
      <c r="C1409" s="5">
        <v>2027</v>
      </c>
      <c r="D1409" s="5" t="s">
        <v>30</v>
      </c>
      <c r="E1409" t="s">
        <v>1116</v>
      </c>
      <c r="F1409" t="s">
        <v>1079</v>
      </c>
      <c r="G1409" t="s">
        <v>56</v>
      </c>
      <c r="H1409" t="s">
        <v>1117</v>
      </c>
      <c r="I1409" t="s">
        <v>119</v>
      </c>
      <c r="J1409" t="s">
        <v>36</v>
      </c>
      <c r="K1409">
        <v>990</v>
      </c>
      <c r="O1409" t="s">
        <v>37</v>
      </c>
      <c r="P1409" t="s">
        <v>38</v>
      </c>
      <c r="R1409">
        <f t="shared" si="64"/>
        <v>0</v>
      </c>
      <c r="S1409">
        <f>SUMIFS([1]Sheet1!$T:$T,[1]Sheet1!$I:$I,E1409,[1]Sheet1!$C:$C,A1409)</f>
        <v>0</v>
      </c>
      <c r="T1409">
        <f t="shared" si="65"/>
        <v>0</v>
      </c>
      <c r="U1409" s="9" t="s">
        <v>148</v>
      </c>
      <c r="V1409" t="s">
        <v>164</v>
      </c>
      <c r="W1409" t="s">
        <v>138</v>
      </c>
      <c r="X1409" t="s">
        <v>58</v>
      </c>
      <c r="Y1409" t="s">
        <v>165</v>
      </c>
      <c r="Z1409" t="s">
        <v>155</v>
      </c>
      <c r="AB1409" t="str">
        <f t="shared" si="66"/>
        <v>41282</v>
      </c>
    </row>
    <row r="1410" ht="14.25" spans="1:28">
      <c r="A1410" s="5" t="s">
        <v>28</v>
      </c>
      <c r="B1410" s="5" t="s">
        <v>697</v>
      </c>
      <c r="C1410" s="5">
        <v>2027</v>
      </c>
      <c r="D1410" s="5" t="s">
        <v>30</v>
      </c>
      <c r="E1410" t="s">
        <v>1116</v>
      </c>
      <c r="F1410" t="s">
        <v>1079</v>
      </c>
      <c r="G1410" t="s">
        <v>56</v>
      </c>
      <c r="H1410" t="s">
        <v>1117</v>
      </c>
      <c r="I1410" t="s">
        <v>119</v>
      </c>
      <c r="J1410" t="s">
        <v>36</v>
      </c>
      <c r="K1410">
        <v>990</v>
      </c>
      <c r="O1410" t="s">
        <v>37</v>
      </c>
      <c r="P1410" t="s">
        <v>42</v>
      </c>
      <c r="U1410" s="9" t="s">
        <v>148</v>
      </c>
      <c r="V1410" t="s">
        <v>164</v>
      </c>
      <c r="W1410" t="s">
        <v>138</v>
      </c>
      <c r="X1410" t="s">
        <v>58</v>
      </c>
      <c r="Y1410" t="s">
        <v>165</v>
      </c>
      <c r="Z1410" t="s">
        <v>155</v>
      </c>
      <c r="AB1410" t="str">
        <f t="shared" si="66"/>
        <v>41282</v>
      </c>
    </row>
    <row r="1411" ht="14.25" spans="1:28">
      <c r="A1411" s="5" t="s">
        <v>28</v>
      </c>
      <c r="B1411" s="5" t="s">
        <v>697</v>
      </c>
      <c r="C1411" s="5">
        <v>2027</v>
      </c>
      <c r="D1411" s="5" t="s">
        <v>30</v>
      </c>
      <c r="E1411" t="s">
        <v>1116</v>
      </c>
      <c r="F1411" t="s">
        <v>1079</v>
      </c>
      <c r="G1411" t="s">
        <v>56</v>
      </c>
      <c r="H1411" t="s">
        <v>1117</v>
      </c>
      <c r="I1411" t="s">
        <v>119</v>
      </c>
      <c r="J1411" t="s">
        <v>36</v>
      </c>
      <c r="K1411">
        <v>990</v>
      </c>
      <c r="O1411" t="s">
        <v>37</v>
      </c>
      <c r="P1411" t="s">
        <v>43</v>
      </c>
      <c r="U1411" s="9" t="s">
        <v>148</v>
      </c>
      <c r="V1411" t="s">
        <v>164</v>
      </c>
      <c r="W1411" t="s">
        <v>138</v>
      </c>
      <c r="X1411" t="s">
        <v>58</v>
      </c>
      <c r="Y1411" t="s">
        <v>165</v>
      </c>
      <c r="Z1411" t="s">
        <v>155</v>
      </c>
      <c r="AB1411" t="str">
        <f t="shared" si="66"/>
        <v>41282</v>
      </c>
    </row>
    <row r="1412" ht="14.25" spans="1:28">
      <c r="A1412" s="5" t="s">
        <v>28</v>
      </c>
      <c r="B1412" s="5" t="s">
        <v>697</v>
      </c>
      <c r="C1412" s="5">
        <v>2027</v>
      </c>
      <c r="D1412" s="5" t="s">
        <v>30</v>
      </c>
      <c r="E1412" t="s">
        <v>1116</v>
      </c>
      <c r="F1412" t="s">
        <v>1079</v>
      </c>
      <c r="G1412" t="s">
        <v>56</v>
      </c>
      <c r="H1412" t="s">
        <v>1117</v>
      </c>
      <c r="I1412" t="s">
        <v>119</v>
      </c>
      <c r="J1412" t="s">
        <v>36</v>
      </c>
      <c r="K1412">
        <v>990</v>
      </c>
      <c r="O1412" t="s">
        <v>37</v>
      </c>
      <c r="P1412" t="s">
        <v>44</v>
      </c>
      <c r="U1412" s="9" t="s">
        <v>148</v>
      </c>
      <c r="V1412" t="s">
        <v>164</v>
      </c>
      <c r="W1412" t="s">
        <v>138</v>
      </c>
      <c r="X1412" t="s">
        <v>58</v>
      </c>
      <c r="Y1412" t="s">
        <v>165</v>
      </c>
      <c r="Z1412" t="s">
        <v>155</v>
      </c>
      <c r="AB1412" t="str">
        <f t="shared" si="66"/>
        <v>41282</v>
      </c>
    </row>
    <row r="1413" ht="14.25" spans="1:28">
      <c r="A1413" s="5" t="s">
        <v>28</v>
      </c>
      <c r="B1413" s="5" t="s">
        <v>697</v>
      </c>
      <c r="C1413" s="5">
        <v>2027</v>
      </c>
      <c r="D1413" s="5" t="s">
        <v>30</v>
      </c>
      <c r="E1413" t="s">
        <v>1116</v>
      </c>
      <c r="F1413" t="s">
        <v>1079</v>
      </c>
      <c r="G1413" t="s">
        <v>56</v>
      </c>
      <c r="H1413" t="s">
        <v>1117</v>
      </c>
      <c r="I1413" t="s">
        <v>119</v>
      </c>
      <c r="J1413" t="s">
        <v>36</v>
      </c>
      <c r="K1413">
        <v>990</v>
      </c>
      <c r="O1413" t="s">
        <v>37</v>
      </c>
      <c r="P1413" t="s">
        <v>45</v>
      </c>
      <c r="U1413" s="9" t="s">
        <v>148</v>
      </c>
      <c r="V1413" t="s">
        <v>164</v>
      </c>
      <c r="W1413" t="s">
        <v>138</v>
      </c>
      <c r="X1413" t="s">
        <v>58</v>
      </c>
      <c r="Y1413" t="s">
        <v>165</v>
      </c>
      <c r="Z1413" t="s">
        <v>155</v>
      </c>
      <c r="AB1413" t="str">
        <f t="shared" si="66"/>
        <v>41282</v>
      </c>
    </row>
    <row r="1414" ht="14.25" spans="1:28">
      <c r="A1414" s="5" t="s">
        <v>28</v>
      </c>
      <c r="B1414" s="5" t="s">
        <v>697</v>
      </c>
      <c r="C1414" s="5">
        <v>2027</v>
      </c>
      <c r="D1414" s="5" t="s">
        <v>30</v>
      </c>
      <c r="E1414" t="s">
        <v>1116</v>
      </c>
      <c r="F1414" t="s">
        <v>1079</v>
      </c>
      <c r="G1414" t="s">
        <v>56</v>
      </c>
      <c r="H1414" t="s">
        <v>1117</v>
      </c>
      <c r="I1414" t="s">
        <v>119</v>
      </c>
      <c r="J1414" t="s">
        <v>36</v>
      </c>
      <c r="K1414">
        <v>990</v>
      </c>
      <c r="O1414" t="s">
        <v>37</v>
      </c>
      <c r="P1414" t="s">
        <v>46</v>
      </c>
      <c r="U1414" s="9" t="s">
        <v>148</v>
      </c>
      <c r="V1414" t="s">
        <v>164</v>
      </c>
      <c r="W1414" t="s">
        <v>138</v>
      </c>
      <c r="X1414" t="s">
        <v>58</v>
      </c>
      <c r="Y1414" t="s">
        <v>165</v>
      </c>
      <c r="Z1414" t="s">
        <v>155</v>
      </c>
      <c r="AB1414" t="str">
        <f t="shared" si="66"/>
        <v>41282</v>
      </c>
    </row>
    <row r="1415" ht="14.25" spans="1:28">
      <c r="A1415" s="5" t="s">
        <v>28</v>
      </c>
      <c r="B1415" s="5" t="s">
        <v>697</v>
      </c>
      <c r="C1415" s="5">
        <v>2027</v>
      </c>
      <c r="D1415" s="5" t="s">
        <v>30</v>
      </c>
      <c r="E1415" t="s">
        <v>1118</v>
      </c>
      <c r="F1415" t="s">
        <v>1079</v>
      </c>
      <c r="G1415" t="s">
        <v>1119</v>
      </c>
      <c r="H1415" t="s">
        <v>1120</v>
      </c>
      <c r="I1415" t="s">
        <v>119</v>
      </c>
      <c r="J1415" t="s">
        <v>36</v>
      </c>
      <c r="K1415">
        <v>990</v>
      </c>
      <c r="O1415" t="s">
        <v>37</v>
      </c>
      <c r="P1415" t="s">
        <v>38</v>
      </c>
      <c r="R1415">
        <f t="shared" ref="R1410:R1473" si="67">SUMIFS(Q:Q,E:E,E1415)</f>
        <v>0</v>
      </c>
      <c r="S1415">
        <f>SUMIFS([1]Sheet1!$T:$T,[1]Sheet1!$I:$I,E1415,[1]Sheet1!$C:$C,A1415)</f>
        <v>100</v>
      </c>
      <c r="T1415">
        <f t="shared" ref="T1410:T1473" si="68">R1415-S1415</f>
        <v>-100</v>
      </c>
      <c r="U1415" s="9" t="s">
        <v>148</v>
      </c>
      <c r="V1415" t="s">
        <v>164</v>
      </c>
      <c r="W1415" t="s">
        <v>138</v>
      </c>
      <c r="X1415" t="s">
        <v>503</v>
      </c>
      <c r="Y1415" t="s">
        <v>165</v>
      </c>
      <c r="Z1415" t="s">
        <v>155</v>
      </c>
      <c r="AB1415" t="str">
        <f t="shared" si="66"/>
        <v>41282</v>
      </c>
    </row>
    <row r="1416" ht="14.25" spans="1:28">
      <c r="A1416" s="5" t="s">
        <v>28</v>
      </c>
      <c r="B1416" s="5" t="s">
        <v>697</v>
      </c>
      <c r="C1416" s="5">
        <v>2027</v>
      </c>
      <c r="D1416" s="5" t="s">
        <v>30</v>
      </c>
      <c r="E1416" t="s">
        <v>1118</v>
      </c>
      <c r="F1416" t="s">
        <v>1079</v>
      </c>
      <c r="G1416" t="s">
        <v>1119</v>
      </c>
      <c r="H1416" t="s">
        <v>1120</v>
      </c>
      <c r="I1416" t="s">
        <v>119</v>
      </c>
      <c r="J1416" t="s">
        <v>36</v>
      </c>
      <c r="K1416">
        <v>990</v>
      </c>
      <c r="O1416" t="s">
        <v>37</v>
      </c>
      <c r="P1416" t="s">
        <v>42</v>
      </c>
      <c r="U1416" s="9" t="s">
        <v>148</v>
      </c>
      <c r="V1416" t="s">
        <v>164</v>
      </c>
      <c r="W1416" t="s">
        <v>138</v>
      </c>
      <c r="X1416" t="s">
        <v>503</v>
      </c>
      <c r="Y1416" t="s">
        <v>165</v>
      </c>
      <c r="Z1416" t="s">
        <v>155</v>
      </c>
      <c r="AB1416" t="str">
        <f t="shared" si="66"/>
        <v>41282</v>
      </c>
    </row>
    <row r="1417" ht="14.25" spans="1:28">
      <c r="A1417" s="5" t="s">
        <v>28</v>
      </c>
      <c r="B1417" s="5" t="s">
        <v>697</v>
      </c>
      <c r="C1417" s="5">
        <v>2027</v>
      </c>
      <c r="D1417" s="5" t="s">
        <v>30</v>
      </c>
      <c r="E1417" t="s">
        <v>1118</v>
      </c>
      <c r="F1417" t="s">
        <v>1079</v>
      </c>
      <c r="G1417" t="s">
        <v>1119</v>
      </c>
      <c r="H1417" t="s">
        <v>1120</v>
      </c>
      <c r="I1417" t="s">
        <v>119</v>
      </c>
      <c r="J1417" t="s">
        <v>36</v>
      </c>
      <c r="K1417">
        <v>990</v>
      </c>
      <c r="O1417" t="s">
        <v>37</v>
      </c>
      <c r="P1417" t="s">
        <v>43</v>
      </c>
      <c r="U1417" s="9" t="s">
        <v>148</v>
      </c>
      <c r="V1417" t="s">
        <v>164</v>
      </c>
      <c r="W1417" t="s">
        <v>138</v>
      </c>
      <c r="X1417" t="s">
        <v>503</v>
      </c>
      <c r="Y1417" t="s">
        <v>165</v>
      </c>
      <c r="Z1417" t="s">
        <v>155</v>
      </c>
      <c r="AB1417" t="str">
        <f t="shared" si="66"/>
        <v>41282</v>
      </c>
    </row>
    <row r="1418" ht="14.25" spans="1:28">
      <c r="A1418" s="5" t="s">
        <v>28</v>
      </c>
      <c r="B1418" s="5" t="s">
        <v>697</v>
      </c>
      <c r="C1418" s="5">
        <v>2027</v>
      </c>
      <c r="D1418" s="5" t="s">
        <v>30</v>
      </c>
      <c r="E1418" t="s">
        <v>1118</v>
      </c>
      <c r="F1418" t="s">
        <v>1079</v>
      </c>
      <c r="G1418" t="s">
        <v>1119</v>
      </c>
      <c r="H1418" t="s">
        <v>1120</v>
      </c>
      <c r="I1418" t="s">
        <v>119</v>
      </c>
      <c r="J1418" t="s">
        <v>36</v>
      </c>
      <c r="K1418">
        <v>990</v>
      </c>
      <c r="O1418" t="s">
        <v>37</v>
      </c>
      <c r="P1418" t="s">
        <v>44</v>
      </c>
      <c r="U1418" s="9" t="s">
        <v>148</v>
      </c>
      <c r="V1418" t="s">
        <v>164</v>
      </c>
      <c r="W1418" t="s">
        <v>138</v>
      </c>
      <c r="X1418" t="s">
        <v>503</v>
      </c>
      <c r="Y1418" t="s">
        <v>165</v>
      </c>
      <c r="Z1418" t="s">
        <v>155</v>
      </c>
      <c r="AB1418" t="str">
        <f t="shared" si="66"/>
        <v>41282</v>
      </c>
    </row>
    <row r="1419" ht="14.25" spans="1:28">
      <c r="A1419" s="5" t="s">
        <v>28</v>
      </c>
      <c r="B1419" s="5" t="s">
        <v>697</v>
      </c>
      <c r="C1419" s="5">
        <v>2027</v>
      </c>
      <c r="D1419" s="5" t="s">
        <v>30</v>
      </c>
      <c r="E1419" t="s">
        <v>1118</v>
      </c>
      <c r="F1419" t="s">
        <v>1079</v>
      </c>
      <c r="G1419" t="s">
        <v>1119</v>
      </c>
      <c r="H1419" t="s">
        <v>1120</v>
      </c>
      <c r="I1419" t="s">
        <v>119</v>
      </c>
      <c r="J1419" t="s">
        <v>36</v>
      </c>
      <c r="K1419">
        <v>990</v>
      </c>
      <c r="O1419" t="s">
        <v>37</v>
      </c>
      <c r="P1419" t="s">
        <v>45</v>
      </c>
      <c r="U1419" s="9" t="s">
        <v>148</v>
      </c>
      <c r="V1419" t="s">
        <v>164</v>
      </c>
      <c r="W1419" t="s">
        <v>138</v>
      </c>
      <c r="X1419" t="s">
        <v>503</v>
      </c>
      <c r="Y1419" t="s">
        <v>165</v>
      </c>
      <c r="Z1419" t="s">
        <v>155</v>
      </c>
      <c r="AB1419" t="str">
        <f t="shared" si="66"/>
        <v>41282</v>
      </c>
    </row>
    <row r="1420" ht="14.25" spans="1:28">
      <c r="A1420" s="5" t="s">
        <v>28</v>
      </c>
      <c r="B1420" s="5" t="s">
        <v>697</v>
      </c>
      <c r="C1420" s="5">
        <v>2027</v>
      </c>
      <c r="D1420" s="5" t="s">
        <v>30</v>
      </c>
      <c r="E1420" t="s">
        <v>1118</v>
      </c>
      <c r="F1420" t="s">
        <v>1079</v>
      </c>
      <c r="G1420" t="s">
        <v>1119</v>
      </c>
      <c r="H1420" t="s">
        <v>1120</v>
      </c>
      <c r="I1420" t="s">
        <v>119</v>
      </c>
      <c r="J1420" t="s">
        <v>36</v>
      </c>
      <c r="K1420">
        <v>990</v>
      </c>
      <c r="O1420" t="s">
        <v>37</v>
      </c>
      <c r="P1420" t="s">
        <v>46</v>
      </c>
      <c r="U1420" s="9" t="s">
        <v>148</v>
      </c>
      <c r="V1420" t="s">
        <v>164</v>
      </c>
      <c r="W1420" t="s">
        <v>138</v>
      </c>
      <c r="X1420" t="s">
        <v>503</v>
      </c>
      <c r="Y1420" t="s">
        <v>165</v>
      </c>
      <c r="Z1420" t="s">
        <v>155</v>
      </c>
      <c r="AB1420" t="str">
        <f t="shared" si="66"/>
        <v>41282</v>
      </c>
    </row>
    <row r="1421" ht="14.25" spans="1:28">
      <c r="A1421" s="5" t="s">
        <v>28</v>
      </c>
      <c r="B1421" s="5" t="s">
        <v>697</v>
      </c>
      <c r="C1421" s="5">
        <v>2027</v>
      </c>
      <c r="D1421" s="5" t="s">
        <v>30</v>
      </c>
      <c r="E1421" t="s">
        <v>1121</v>
      </c>
      <c r="F1421" t="s">
        <v>1079</v>
      </c>
      <c r="G1421" t="s">
        <v>1122</v>
      </c>
      <c r="H1421" t="s">
        <v>1123</v>
      </c>
      <c r="I1421" t="s">
        <v>119</v>
      </c>
      <c r="J1421" t="s">
        <v>36</v>
      </c>
      <c r="K1421">
        <v>990</v>
      </c>
      <c r="O1421" t="s">
        <v>37</v>
      </c>
      <c r="P1421" t="s">
        <v>38</v>
      </c>
      <c r="R1421">
        <f t="shared" si="67"/>
        <v>0</v>
      </c>
      <c r="S1421">
        <f>SUMIFS([1]Sheet1!$T:$T,[1]Sheet1!$I:$I,E1421,[1]Sheet1!$C:$C,A1421)</f>
        <v>30</v>
      </c>
      <c r="T1421">
        <f t="shared" si="68"/>
        <v>-30</v>
      </c>
      <c r="U1421" s="9" t="s">
        <v>148</v>
      </c>
      <c r="V1421" t="s">
        <v>164</v>
      </c>
      <c r="W1421" t="s">
        <v>138</v>
      </c>
      <c r="X1421" t="s">
        <v>503</v>
      </c>
      <c r="Y1421" t="s">
        <v>165</v>
      </c>
      <c r="Z1421" t="s">
        <v>155</v>
      </c>
      <c r="AB1421" t="str">
        <f t="shared" si="66"/>
        <v>41282</v>
      </c>
    </row>
    <row r="1422" ht="14.25" spans="1:28">
      <c r="A1422" s="5" t="s">
        <v>28</v>
      </c>
      <c r="B1422" s="5" t="s">
        <v>697</v>
      </c>
      <c r="C1422" s="5">
        <v>2027</v>
      </c>
      <c r="D1422" s="5" t="s">
        <v>30</v>
      </c>
      <c r="E1422" t="s">
        <v>1121</v>
      </c>
      <c r="F1422" t="s">
        <v>1079</v>
      </c>
      <c r="G1422" t="s">
        <v>1122</v>
      </c>
      <c r="H1422" t="s">
        <v>1123</v>
      </c>
      <c r="I1422" t="s">
        <v>119</v>
      </c>
      <c r="J1422" t="s">
        <v>36</v>
      </c>
      <c r="K1422">
        <v>990</v>
      </c>
      <c r="O1422" t="s">
        <v>37</v>
      </c>
      <c r="P1422" t="s">
        <v>42</v>
      </c>
      <c r="U1422" s="9" t="s">
        <v>148</v>
      </c>
      <c r="V1422" t="s">
        <v>164</v>
      </c>
      <c r="W1422" t="s">
        <v>138</v>
      </c>
      <c r="X1422" t="s">
        <v>503</v>
      </c>
      <c r="Y1422" t="s">
        <v>165</v>
      </c>
      <c r="Z1422" t="s">
        <v>155</v>
      </c>
      <c r="AB1422" t="str">
        <f t="shared" si="66"/>
        <v>41282</v>
      </c>
    </row>
    <row r="1423" ht="14.25" spans="1:28">
      <c r="A1423" s="5" t="s">
        <v>28</v>
      </c>
      <c r="B1423" s="5" t="s">
        <v>697</v>
      </c>
      <c r="C1423" s="5">
        <v>2027</v>
      </c>
      <c r="D1423" s="5" t="s">
        <v>30</v>
      </c>
      <c r="E1423" t="s">
        <v>1121</v>
      </c>
      <c r="F1423" t="s">
        <v>1079</v>
      </c>
      <c r="G1423" t="s">
        <v>1122</v>
      </c>
      <c r="H1423" t="s">
        <v>1123</v>
      </c>
      <c r="I1423" t="s">
        <v>119</v>
      </c>
      <c r="J1423" t="s">
        <v>36</v>
      </c>
      <c r="K1423">
        <v>990</v>
      </c>
      <c r="O1423" t="s">
        <v>37</v>
      </c>
      <c r="P1423" t="s">
        <v>43</v>
      </c>
      <c r="U1423" s="9" t="s">
        <v>148</v>
      </c>
      <c r="V1423" t="s">
        <v>164</v>
      </c>
      <c r="W1423" t="s">
        <v>138</v>
      </c>
      <c r="X1423" t="s">
        <v>503</v>
      </c>
      <c r="Y1423" t="s">
        <v>165</v>
      </c>
      <c r="Z1423" t="s">
        <v>155</v>
      </c>
      <c r="AB1423" t="str">
        <f t="shared" si="66"/>
        <v>41282</v>
      </c>
    </row>
    <row r="1424" ht="14.25" spans="1:28">
      <c r="A1424" s="5" t="s">
        <v>28</v>
      </c>
      <c r="B1424" s="5" t="s">
        <v>697</v>
      </c>
      <c r="C1424" s="5">
        <v>2027</v>
      </c>
      <c r="D1424" s="5" t="s">
        <v>30</v>
      </c>
      <c r="E1424" t="s">
        <v>1121</v>
      </c>
      <c r="F1424" t="s">
        <v>1079</v>
      </c>
      <c r="G1424" t="s">
        <v>1122</v>
      </c>
      <c r="H1424" t="s">
        <v>1123</v>
      </c>
      <c r="I1424" t="s">
        <v>119</v>
      </c>
      <c r="J1424" t="s">
        <v>36</v>
      </c>
      <c r="K1424">
        <v>990</v>
      </c>
      <c r="O1424" t="s">
        <v>37</v>
      </c>
      <c r="P1424" t="s">
        <v>44</v>
      </c>
      <c r="U1424" s="9" t="s">
        <v>148</v>
      </c>
      <c r="V1424" t="s">
        <v>164</v>
      </c>
      <c r="W1424" t="s">
        <v>138</v>
      </c>
      <c r="X1424" t="s">
        <v>503</v>
      </c>
      <c r="Y1424" t="s">
        <v>165</v>
      </c>
      <c r="Z1424" t="s">
        <v>155</v>
      </c>
      <c r="AB1424" t="str">
        <f t="shared" si="66"/>
        <v>41282</v>
      </c>
    </row>
    <row r="1425" ht="14.25" spans="1:28">
      <c r="A1425" s="5" t="s">
        <v>28</v>
      </c>
      <c r="B1425" s="5" t="s">
        <v>697</v>
      </c>
      <c r="C1425" s="5">
        <v>2027</v>
      </c>
      <c r="D1425" s="5" t="s">
        <v>30</v>
      </c>
      <c r="E1425" t="s">
        <v>1121</v>
      </c>
      <c r="F1425" t="s">
        <v>1079</v>
      </c>
      <c r="G1425" t="s">
        <v>1122</v>
      </c>
      <c r="H1425" t="s">
        <v>1123</v>
      </c>
      <c r="I1425" t="s">
        <v>119</v>
      </c>
      <c r="J1425" t="s">
        <v>36</v>
      </c>
      <c r="K1425">
        <v>990</v>
      </c>
      <c r="O1425" t="s">
        <v>37</v>
      </c>
      <c r="P1425" t="s">
        <v>45</v>
      </c>
      <c r="U1425" s="9" t="s">
        <v>148</v>
      </c>
      <c r="V1425" t="s">
        <v>164</v>
      </c>
      <c r="W1425" t="s">
        <v>138</v>
      </c>
      <c r="X1425" t="s">
        <v>503</v>
      </c>
      <c r="Y1425" t="s">
        <v>165</v>
      </c>
      <c r="Z1425" t="s">
        <v>155</v>
      </c>
      <c r="AB1425" t="str">
        <f t="shared" si="66"/>
        <v>41282</v>
      </c>
    </row>
    <row r="1426" ht="14.25" spans="1:28">
      <c r="A1426" s="5" t="s">
        <v>28</v>
      </c>
      <c r="B1426" s="5" t="s">
        <v>697</v>
      </c>
      <c r="C1426" s="5">
        <v>2027</v>
      </c>
      <c r="D1426" s="5" t="s">
        <v>30</v>
      </c>
      <c r="E1426" t="s">
        <v>1121</v>
      </c>
      <c r="F1426" t="s">
        <v>1079</v>
      </c>
      <c r="G1426" t="s">
        <v>1122</v>
      </c>
      <c r="H1426" t="s">
        <v>1123</v>
      </c>
      <c r="I1426" t="s">
        <v>119</v>
      </c>
      <c r="J1426" t="s">
        <v>36</v>
      </c>
      <c r="K1426">
        <v>990</v>
      </c>
      <c r="O1426" t="s">
        <v>37</v>
      </c>
      <c r="P1426" t="s">
        <v>46</v>
      </c>
      <c r="U1426" s="9" t="s">
        <v>148</v>
      </c>
      <c r="V1426" t="s">
        <v>164</v>
      </c>
      <c r="W1426" t="s">
        <v>138</v>
      </c>
      <c r="X1426" t="s">
        <v>503</v>
      </c>
      <c r="Y1426" t="s">
        <v>165</v>
      </c>
      <c r="Z1426" t="s">
        <v>155</v>
      </c>
      <c r="AB1426" t="str">
        <f t="shared" si="66"/>
        <v>41282</v>
      </c>
    </row>
    <row r="1427" ht="14.25" spans="1:28">
      <c r="A1427" s="5" t="s">
        <v>28</v>
      </c>
      <c r="B1427" s="5" t="s">
        <v>697</v>
      </c>
      <c r="C1427" s="5">
        <v>2027</v>
      </c>
      <c r="D1427" s="5" t="s">
        <v>30</v>
      </c>
      <c r="E1427" t="s">
        <v>1124</v>
      </c>
      <c r="F1427" t="s">
        <v>1079</v>
      </c>
      <c r="G1427" t="s">
        <v>60</v>
      </c>
      <c r="H1427" t="s">
        <v>1125</v>
      </c>
      <c r="I1427" t="s">
        <v>119</v>
      </c>
      <c r="J1427" t="s">
        <v>36</v>
      </c>
      <c r="K1427">
        <v>990</v>
      </c>
      <c r="O1427" t="s">
        <v>37</v>
      </c>
      <c r="P1427" t="s">
        <v>38</v>
      </c>
      <c r="R1427">
        <f t="shared" si="67"/>
        <v>0</v>
      </c>
      <c r="S1427">
        <f>SUMIFS([1]Sheet1!$T:$T,[1]Sheet1!$I:$I,E1427,[1]Sheet1!$C:$C,A1427)</f>
        <v>150</v>
      </c>
      <c r="T1427">
        <f t="shared" si="68"/>
        <v>-150</v>
      </c>
      <c r="U1427" s="9" t="s">
        <v>148</v>
      </c>
      <c r="V1427" t="s">
        <v>164</v>
      </c>
      <c r="W1427" t="s">
        <v>138</v>
      </c>
      <c r="X1427" t="s">
        <v>62</v>
      </c>
      <c r="Y1427" t="s">
        <v>165</v>
      </c>
      <c r="Z1427" t="s">
        <v>155</v>
      </c>
      <c r="AB1427" t="str">
        <f t="shared" si="66"/>
        <v>41282</v>
      </c>
    </row>
    <row r="1428" ht="14.25" spans="1:28">
      <c r="A1428" s="5" t="s">
        <v>28</v>
      </c>
      <c r="B1428" s="5" t="s">
        <v>697</v>
      </c>
      <c r="C1428" s="5">
        <v>2027</v>
      </c>
      <c r="D1428" s="5" t="s">
        <v>30</v>
      </c>
      <c r="E1428" t="s">
        <v>1124</v>
      </c>
      <c r="F1428" t="s">
        <v>1079</v>
      </c>
      <c r="G1428" t="s">
        <v>60</v>
      </c>
      <c r="H1428" t="s">
        <v>1125</v>
      </c>
      <c r="I1428" t="s">
        <v>119</v>
      </c>
      <c r="J1428" t="s">
        <v>36</v>
      </c>
      <c r="K1428">
        <v>990</v>
      </c>
      <c r="O1428" t="s">
        <v>37</v>
      </c>
      <c r="P1428" t="s">
        <v>42</v>
      </c>
      <c r="U1428" s="9" t="s">
        <v>148</v>
      </c>
      <c r="V1428" t="s">
        <v>164</v>
      </c>
      <c r="W1428" t="s">
        <v>138</v>
      </c>
      <c r="X1428" t="s">
        <v>62</v>
      </c>
      <c r="Y1428" t="s">
        <v>165</v>
      </c>
      <c r="Z1428" t="s">
        <v>155</v>
      </c>
      <c r="AB1428" t="str">
        <f t="shared" si="66"/>
        <v>41282</v>
      </c>
    </row>
    <row r="1429" ht="14.25" spans="1:28">
      <c r="A1429" s="5" t="s">
        <v>28</v>
      </c>
      <c r="B1429" s="5" t="s">
        <v>697</v>
      </c>
      <c r="C1429" s="5">
        <v>2027</v>
      </c>
      <c r="D1429" s="5" t="s">
        <v>30</v>
      </c>
      <c r="E1429" t="s">
        <v>1124</v>
      </c>
      <c r="F1429" t="s">
        <v>1079</v>
      </c>
      <c r="G1429" t="s">
        <v>60</v>
      </c>
      <c r="H1429" t="s">
        <v>1125</v>
      </c>
      <c r="I1429" t="s">
        <v>119</v>
      </c>
      <c r="J1429" t="s">
        <v>36</v>
      </c>
      <c r="K1429">
        <v>990</v>
      </c>
      <c r="O1429" t="s">
        <v>37</v>
      </c>
      <c r="P1429" t="s">
        <v>43</v>
      </c>
      <c r="U1429" s="9" t="s">
        <v>148</v>
      </c>
      <c r="V1429" t="s">
        <v>164</v>
      </c>
      <c r="W1429" t="s">
        <v>138</v>
      </c>
      <c r="X1429" t="s">
        <v>62</v>
      </c>
      <c r="Y1429" t="s">
        <v>165</v>
      </c>
      <c r="Z1429" t="s">
        <v>155</v>
      </c>
      <c r="AB1429" t="str">
        <f t="shared" si="66"/>
        <v>41282</v>
      </c>
    </row>
    <row r="1430" ht="14.25" spans="1:28">
      <c r="A1430" s="5" t="s">
        <v>28</v>
      </c>
      <c r="B1430" s="5" t="s">
        <v>697</v>
      </c>
      <c r="C1430" s="5">
        <v>2027</v>
      </c>
      <c r="D1430" s="5" t="s">
        <v>30</v>
      </c>
      <c r="E1430" t="s">
        <v>1124</v>
      </c>
      <c r="F1430" t="s">
        <v>1079</v>
      </c>
      <c r="G1430" t="s">
        <v>60</v>
      </c>
      <c r="H1430" t="s">
        <v>1125</v>
      </c>
      <c r="I1430" t="s">
        <v>119</v>
      </c>
      <c r="J1430" t="s">
        <v>36</v>
      </c>
      <c r="K1430">
        <v>990</v>
      </c>
      <c r="O1430" t="s">
        <v>37</v>
      </c>
      <c r="P1430" t="s">
        <v>44</v>
      </c>
      <c r="U1430" s="9" t="s">
        <v>148</v>
      </c>
      <c r="V1430" t="s">
        <v>164</v>
      </c>
      <c r="W1430" t="s">
        <v>138</v>
      </c>
      <c r="X1430" t="s">
        <v>62</v>
      </c>
      <c r="Y1430" t="s">
        <v>165</v>
      </c>
      <c r="Z1430" t="s">
        <v>155</v>
      </c>
      <c r="AB1430" t="str">
        <f t="shared" si="66"/>
        <v>41282</v>
      </c>
    </row>
    <row r="1431" ht="14.25" spans="1:28">
      <c r="A1431" s="5" t="s">
        <v>28</v>
      </c>
      <c r="B1431" s="5" t="s">
        <v>697</v>
      </c>
      <c r="C1431" s="5">
        <v>2027</v>
      </c>
      <c r="D1431" s="5" t="s">
        <v>30</v>
      </c>
      <c r="E1431" t="s">
        <v>1124</v>
      </c>
      <c r="F1431" t="s">
        <v>1079</v>
      </c>
      <c r="G1431" t="s">
        <v>60</v>
      </c>
      <c r="H1431" t="s">
        <v>1125</v>
      </c>
      <c r="I1431" t="s">
        <v>119</v>
      </c>
      <c r="J1431" t="s">
        <v>36</v>
      </c>
      <c r="K1431">
        <v>990</v>
      </c>
      <c r="O1431" t="s">
        <v>37</v>
      </c>
      <c r="P1431" t="s">
        <v>45</v>
      </c>
      <c r="U1431" s="9" t="s">
        <v>148</v>
      </c>
      <c r="V1431" t="s">
        <v>164</v>
      </c>
      <c r="W1431" t="s">
        <v>138</v>
      </c>
      <c r="X1431" t="s">
        <v>62</v>
      </c>
      <c r="Y1431" t="s">
        <v>165</v>
      </c>
      <c r="Z1431" t="s">
        <v>155</v>
      </c>
      <c r="AB1431" t="str">
        <f t="shared" si="66"/>
        <v>41282</v>
      </c>
    </row>
    <row r="1432" ht="14.25" spans="1:28">
      <c r="A1432" s="5" t="s">
        <v>28</v>
      </c>
      <c r="B1432" s="5" t="s">
        <v>697</v>
      </c>
      <c r="C1432" s="5">
        <v>2027</v>
      </c>
      <c r="D1432" s="5" t="s">
        <v>30</v>
      </c>
      <c r="E1432" t="s">
        <v>1124</v>
      </c>
      <c r="F1432" t="s">
        <v>1079</v>
      </c>
      <c r="G1432" t="s">
        <v>60</v>
      </c>
      <c r="H1432" t="s">
        <v>1125</v>
      </c>
      <c r="I1432" t="s">
        <v>119</v>
      </c>
      <c r="J1432" t="s">
        <v>36</v>
      </c>
      <c r="K1432">
        <v>990</v>
      </c>
      <c r="O1432" t="s">
        <v>37</v>
      </c>
      <c r="P1432" t="s">
        <v>46</v>
      </c>
      <c r="U1432" s="9" t="s">
        <v>148</v>
      </c>
      <c r="V1432" t="s">
        <v>164</v>
      </c>
      <c r="W1432" t="s">
        <v>138</v>
      </c>
      <c r="X1432" t="s">
        <v>62</v>
      </c>
      <c r="Y1432" t="s">
        <v>165</v>
      </c>
      <c r="Z1432" t="s">
        <v>155</v>
      </c>
      <c r="AB1432" t="str">
        <f t="shared" si="66"/>
        <v>41282</v>
      </c>
    </row>
    <row r="1433" ht="14.25" spans="1:28">
      <c r="A1433" s="5" t="s">
        <v>28</v>
      </c>
      <c r="B1433" s="5" t="s">
        <v>697</v>
      </c>
      <c r="C1433" s="5">
        <v>2027</v>
      </c>
      <c r="D1433" s="5" t="s">
        <v>30</v>
      </c>
      <c r="E1433" t="s">
        <v>1126</v>
      </c>
      <c r="F1433" t="s">
        <v>1079</v>
      </c>
      <c r="G1433" t="s">
        <v>254</v>
      </c>
      <c r="H1433" t="s">
        <v>1127</v>
      </c>
      <c r="I1433" t="s">
        <v>119</v>
      </c>
      <c r="J1433" t="s">
        <v>36</v>
      </c>
      <c r="K1433">
        <v>990</v>
      </c>
      <c r="O1433" t="s">
        <v>37</v>
      </c>
      <c r="P1433" t="s">
        <v>38</v>
      </c>
      <c r="R1433">
        <f t="shared" si="67"/>
        <v>0</v>
      </c>
      <c r="S1433">
        <f>SUMIFS([1]Sheet1!$T:$T,[1]Sheet1!$I:$I,E1433,[1]Sheet1!$C:$C,A1433)</f>
        <v>120</v>
      </c>
      <c r="T1433">
        <f t="shared" si="68"/>
        <v>-120</v>
      </c>
      <c r="U1433" s="9" t="s">
        <v>148</v>
      </c>
      <c r="V1433" t="s">
        <v>164</v>
      </c>
      <c r="W1433" t="s">
        <v>138</v>
      </c>
      <c r="X1433" t="s">
        <v>86</v>
      </c>
      <c r="Y1433" t="s">
        <v>165</v>
      </c>
      <c r="Z1433" t="s">
        <v>155</v>
      </c>
      <c r="AB1433" t="str">
        <f t="shared" si="66"/>
        <v>41282</v>
      </c>
    </row>
    <row r="1434" ht="14.25" spans="1:28">
      <c r="A1434" s="5" t="s">
        <v>28</v>
      </c>
      <c r="B1434" s="5" t="s">
        <v>697</v>
      </c>
      <c r="C1434" s="5">
        <v>2027</v>
      </c>
      <c r="D1434" s="5" t="s">
        <v>30</v>
      </c>
      <c r="E1434" t="s">
        <v>1126</v>
      </c>
      <c r="F1434" t="s">
        <v>1079</v>
      </c>
      <c r="G1434" t="s">
        <v>254</v>
      </c>
      <c r="H1434" t="s">
        <v>1127</v>
      </c>
      <c r="I1434" t="s">
        <v>119</v>
      </c>
      <c r="J1434" t="s">
        <v>36</v>
      </c>
      <c r="K1434">
        <v>990</v>
      </c>
      <c r="O1434" t="s">
        <v>37</v>
      </c>
      <c r="P1434" t="s">
        <v>42</v>
      </c>
      <c r="U1434" s="9" t="s">
        <v>148</v>
      </c>
      <c r="V1434" t="s">
        <v>164</v>
      </c>
      <c r="W1434" t="s">
        <v>138</v>
      </c>
      <c r="X1434" t="s">
        <v>86</v>
      </c>
      <c r="Y1434" t="s">
        <v>165</v>
      </c>
      <c r="Z1434" t="s">
        <v>155</v>
      </c>
      <c r="AB1434" t="str">
        <f t="shared" si="66"/>
        <v>41282</v>
      </c>
    </row>
    <row r="1435" ht="14.25" spans="1:28">
      <c r="A1435" s="5" t="s">
        <v>28</v>
      </c>
      <c r="B1435" s="5" t="s">
        <v>697</v>
      </c>
      <c r="C1435" s="5">
        <v>2027</v>
      </c>
      <c r="D1435" s="5" t="s">
        <v>30</v>
      </c>
      <c r="E1435" t="s">
        <v>1126</v>
      </c>
      <c r="F1435" t="s">
        <v>1079</v>
      </c>
      <c r="G1435" t="s">
        <v>254</v>
      </c>
      <c r="H1435" t="s">
        <v>1127</v>
      </c>
      <c r="I1435" t="s">
        <v>119</v>
      </c>
      <c r="J1435" t="s">
        <v>36</v>
      </c>
      <c r="K1435">
        <v>990</v>
      </c>
      <c r="O1435" t="s">
        <v>37</v>
      </c>
      <c r="P1435" t="s">
        <v>43</v>
      </c>
      <c r="U1435" s="9" t="s">
        <v>148</v>
      </c>
      <c r="V1435" t="s">
        <v>164</v>
      </c>
      <c r="W1435" t="s">
        <v>138</v>
      </c>
      <c r="X1435" t="s">
        <v>86</v>
      </c>
      <c r="Y1435" t="s">
        <v>165</v>
      </c>
      <c r="Z1435" t="s">
        <v>155</v>
      </c>
      <c r="AB1435" t="str">
        <f t="shared" si="66"/>
        <v>41282</v>
      </c>
    </row>
    <row r="1436" ht="14.25" spans="1:28">
      <c r="A1436" s="5" t="s">
        <v>28</v>
      </c>
      <c r="B1436" s="5" t="s">
        <v>697</v>
      </c>
      <c r="C1436" s="5">
        <v>2027</v>
      </c>
      <c r="D1436" s="5" t="s">
        <v>30</v>
      </c>
      <c r="E1436" t="s">
        <v>1126</v>
      </c>
      <c r="F1436" t="s">
        <v>1079</v>
      </c>
      <c r="G1436" t="s">
        <v>254</v>
      </c>
      <c r="H1436" t="s">
        <v>1127</v>
      </c>
      <c r="I1436" t="s">
        <v>119</v>
      </c>
      <c r="J1436" t="s">
        <v>36</v>
      </c>
      <c r="K1436">
        <v>990</v>
      </c>
      <c r="O1436" t="s">
        <v>37</v>
      </c>
      <c r="P1436" t="s">
        <v>44</v>
      </c>
      <c r="U1436" s="9" t="s">
        <v>148</v>
      </c>
      <c r="V1436" t="s">
        <v>164</v>
      </c>
      <c r="W1436" t="s">
        <v>138</v>
      </c>
      <c r="X1436" t="s">
        <v>86</v>
      </c>
      <c r="Y1436" t="s">
        <v>165</v>
      </c>
      <c r="Z1436" t="s">
        <v>155</v>
      </c>
      <c r="AB1436" t="str">
        <f t="shared" si="66"/>
        <v>41282</v>
      </c>
    </row>
    <row r="1437" ht="14.25" spans="1:28">
      <c r="A1437" s="5" t="s">
        <v>28</v>
      </c>
      <c r="B1437" s="5" t="s">
        <v>697</v>
      </c>
      <c r="C1437" s="5">
        <v>2027</v>
      </c>
      <c r="D1437" s="5" t="s">
        <v>30</v>
      </c>
      <c r="E1437" t="s">
        <v>1126</v>
      </c>
      <c r="F1437" t="s">
        <v>1079</v>
      </c>
      <c r="G1437" t="s">
        <v>254</v>
      </c>
      <c r="H1437" t="s">
        <v>1127</v>
      </c>
      <c r="I1437" t="s">
        <v>119</v>
      </c>
      <c r="J1437" t="s">
        <v>36</v>
      </c>
      <c r="K1437">
        <v>990</v>
      </c>
      <c r="O1437" t="s">
        <v>37</v>
      </c>
      <c r="P1437" t="s">
        <v>45</v>
      </c>
      <c r="U1437" s="9" t="s">
        <v>148</v>
      </c>
      <c r="V1437" t="s">
        <v>164</v>
      </c>
      <c r="W1437" t="s">
        <v>138</v>
      </c>
      <c r="X1437" t="s">
        <v>86</v>
      </c>
      <c r="Y1437" t="s">
        <v>165</v>
      </c>
      <c r="Z1437" t="s">
        <v>155</v>
      </c>
      <c r="AB1437" t="str">
        <f t="shared" si="66"/>
        <v>41282</v>
      </c>
    </row>
    <row r="1438" ht="14.25" spans="1:28">
      <c r="A1438" s="5" t="s">
        <v>28</v>
      </c>
      <c r="B1438" s="5" t="s">
        <v>697</v>
      </c>
      <c r="C1438" s="5">
        <v>2027</v>
      </c>
      <c r="D1438" s="5" t="s">
        <v>30</v>
      </c>
      <c r="E1438" t="s">
        <v>1126</v>
      </c>
      <c r="F1438" t="s">
        <v>1079</v>
      </c>
      <c r="G1438" t="s">
        <v>254</v>
      </c>
      <c r="H1438" t="s">
        <v>1127</v>
      </c>
      <c r="I1438" t="s">
        <v>119</v>
      </c>
      <c r="J1438" t="s">
        <v>36</v>
      </c>
      <c r="K1438">
        <v>990</v>
      </c>
      <c r="O1438" t="s">
        <v>37</v>
      </c>
      <c r="P1438" t="s">
        <v>46</v>
      </c>
      <c r="U1438" s="9" t="s">
        <v>148</v>
      </c>
      <c r="V1438" t="s">
        <v>164</v>
      </c>
      <c r="W1438" t="s">
        <v>138</v>
      </c>
      <c r="X1438" t="s">
        <v>86</v>
      </c>
      <c r="Y1438" t="s">
        <v>165</v>
      </c>
      <c r="Z1438" t="s">
        <v>155</v>
      </c>
      <c r="AB1438" t="str">
        <f t="shared" si="66"/>
        <v>41282</v>
      </c>
    </row>
    <row r="1439" ht="14.25" spans="1:28">
      <c r="A1439" s="5" t="s">
        <v>28</v>
      </c>
      <c r="B1439" s="5" t="s">
        <v>697</v>
      </c>
      <c r="C1439" s="5">
        <v>2027</v>
      </c>
      <c r="D1439" s="5" t="s">
        <v>30</v>
      </c>
      <c r="E1439" t="s">
        <v>1128</v>
      </c>
      <c r="F1439" t="s">
        <v>1079</v>
      </c>
      <c r="G1439" t="s">
        <v>1129</v>
      </c>
      <c r="H1439" t="s">
        <v>1130</v>
      </c>
      <c r="I1439" t="s">
        <v>119</v>
      </c>
      <c r="J1439" t="s">
        <v>36</v>
      </c>
      <c r="K1439">
        <v>990</v>
      </c>
      <c r="O1439" t="s">
        <v>37</v>
      </c>
      <c r="P1439" t="s">
        <v>38</v>
      </c>
      <c r="R1439">
        <f t="shared" si="67"/>
        <v>0</v>
      </c>
      <c r="S1439">
        <f>SUMIFS([1]Sheet1!$T:$T,[1]Sheet1!$I:$I,E1439,[1]Sheet1!$C:$C,A1439)</f>
        <v>0</v>
      </c>
      <c r="T1439">
        <f t="shared" si="68"/>
        <v>0</v>
      </c>
      <c r="U1439" s="9" t="s">
        <v>148</v>
      </c>
      <c r="V1439" t="s">
        <v>164</v>
      </c>
      <c r="W1439" t="s">
        <v>138</v>
      </c>
      <c r="X1439" t="s">
        <v>1131</v>
      </c>
      <c r="Y1439" t="s">
        <v>165</v>
      </c>
      <c r="Z1439" t="s">
        <v>155</v>
      </c>
      <c r="AB1439" t="str">
        <f t="shared" si="66"/>
        <v>41282</v>
      </c>
    </row>
    <row r="1440" ht="14.25" spans="1:28">
      <c r="A1440" s="5" t="s">
        <v>28</v>
      </c>
      <c r="B1440" s="5" t="s">
        <v>697</v>
      </c>
      <c r="C1440" s="5">
        <v>2027</v>
      </c>
      <c r="D1440" s="5" t="s">
        <v>30</v>
      </c>
      <c r="E1440" t="s">
        <v>1128</v>
      </c>
      <c r="F1440" t="s">
        <v>1079</v>
      </c>
      <c r="G1440" t="s">
        <v>1129</v>
      </c>
      <c r="H1440" t="s">
        <v>1130</v>
      </c>
      <c r="I1440" t="s">
        <v>119</v>
      </c>
      <c r="J1440" t="s">
        <v>36</v>
      </c>
      <c r="K1440">
        <v>990</v>
      </c>
      <c r="O1440" t="s">
        <v>37</v>
      </c>
      <c r="P1440" t="s">
        <v>42</v>
      </c>
      <c r="U1440" s="9" t="s">
        <v>148</v>
      </c>
      <c r="V1440" t="s">
        <v>164</v>
      </c>
      <c r="W1440" t="s">
        <v>138</v>
      </c>
      <c r="X1440" t="s">
        <v>1131</v>
      </c>
      <c r="Y1440" t="s">
        <v>165</v>
      </c>
      <c r="Z1440" t="s">
        <v>155</v>
      </c>
      <c r="AB1440" t="str">
        <f t="shared" si="66"/>
        <v>41282</v>
      </c>
    </row>
    <row r="1441" ht="14.25" spans="1:28">
      <c r="A1441" s="5" t="s">
        <v>28</v>
      </c>
      <c r="B1441" s="5" t="s">
        <v>697</v>
      </c>
      <c r="C1441" s="5">
        <v>2027</v>
      </c>
      <c r="D1441" s="5" t="s">
        <v>30</v>
      </c>
      <c r="E1441" t="s">
        <v>1128</v>
      </c>
      <c r="F1441" t="s">
        <v>1079</v>
      </c>
      <c r="G1441" t="s">
        <v>1129</v>
      </c>
      <c r="H1441" t="s">
        <v>1130</v>
      </c>
      <c r="I1441" t="s">
        <v>119</v>
      </c>
      <c r="J1441" t="s">
        <v>36</v>
      </c>
      <c r="K1441">
        <v>990</v>
      </c>
      <c r="O1441" t="s">
        <v>37</v>
      </c>
      <c r="P1441" t="s">
        <v>43</v>
      </c>
      <c r="U1441" s="9" t="s">
        <v>148</v>
      </c>
      <c r="V1441" t="s">
        <v>164</v>
      </c>
      <c r="W1441" t="s">
        <v>138</v>
      </c>
      <c r="X1441" t="s">
        <v>1131</v>
      </c>
      <c r="Y1441" t="s">
        <v>165</v>
      </c>
      <c r="Z1441" t="s">
        <v>155</v>
      </c>
      <c r="AB1441" t="str">
        <f t="shared" si="66"/>
        <v>41282</v>
      </c>
    </row>
    <row r="1442" ht="14.25" spans="1:28">
      <c r="A1442" s="5" t="s">
        <v>28</v>
      </c>
      <c r="B1442" s="5" t="s">
        <v>697</v>
      </c>
      <c r="C1442" s="5">
        <v>2027</v>
      </c>
      <c r="D1442" s="5" t="s">
        <v>30</v>
      </c>
      <c r="E1442" t="s">
        <v>1128</v>
      </c>
      <c r="F1442" t="s">
        <v>1079</v>
      </c>
      <c r="G1442" t="s">
        <v>1129</v>
      </c>
      <c r="H1442" t="s">
        <v>1130</v>
      </c>
      <c r="I1442" t="s">
        <v>119</v>
      </c>
      <c r="J1442" t="s">
        <v>36</v>
      </c>
      <c r="K1442">
        <v>990</v>
      </c>
      <c r="O1442" t="s">
        <v>37</v>
      </c>
      <c r="P1442" t="s">
        <v>44</v>
      </c>
      <c r="U1442" s="9" t="s">
        <v>148</v>
      </c>
      <c r="V1442" t="s">
        <v>164</v>
      </c>
      <c r="W1442" t="s">
        <v>138</v>
      </c>
      <c r="X1442" t="s">
        <v>1131</v>
      </c>
      <c r="Y1442" t="s">
        <v>165</v>
      </c>
      <c r="Z1442" t="s">
        <v>155</v>
      </c>
      <c r="AB1442" t="str">
        <f t="shared" si="66"/>
        <v>41282</v>
      </c>
    </row>
    <row r="1443" ht="14.25" spans="1:28">
      <c r="A1443" s="5" t="s">
        <v>28</v>
      </c>
      <c r="B1443" s="5" t="s">
        <v>697</v>
      </c>
      <c r="C1443" s="5">
        <v>2027</v>
      </c>
      <c r="D1443" s="5" t="s">
        <v>30</v>
      </c>
      <c r="E1443" t="s">
        <v>1128</v>
      </c>
      <c r="F1443" t="s">
        <v>1079</v>
      </c>
      <c r="G1443" t="s">
        <v>1129</v>
      </c>
      <c r="H1443" t="s">
        <v>1130</v>
      </c>
      <c r="I1443" t="s">
        <v>119</v>
      </c>
      <c r="J1443" t="s">
        <v>36</v>
      </c>
      <c r="K1443">
        <v>990</v>
      </c>
      <c r="O1443" t="s">
        <v>37</v>
      </c>
      <c r="P1443" t="s">
        <v>45</v>
      </c>
      <c r="U1443" s="9" t="s">
        <v>148</v>
      </c>
      <c r="V1443" t="s">
        <v>164</v>
      </c>
      <c r="W1443" t="s">
        <v>138</v>
      </c>
      <c r="X1443" t="s">
        <v>1131</v>
      </c>
      <c r="Y1443" t="s">
        <v>165</v>
      </c>
      <c r="Z1443" t="s">
        <v>155</v>
      </c>
      <c r="AB1443" t="str">
        <f t="shared" si="66"/>
        <v>41282</v>
      </c>
    </row>
    <row r="1444" ht="14.25" spans="1:28">
      <c r="A1444" s="5" t="s">
        <v>28</v>
      </c>
      <c r="B1444" s="5" t="s">
        <v>697</v>
      </c>
      <c r="C1444" s="5">
        <v>2027</v>
      </c>
      <c r="D1444" s="5" t="s">
        <v>30</v>
      </c>
      <c r="E1444" t="s">
        <v>1128</v>
      </c>
      <c r="F1444" t="s">
        <v>1079</v>
      </c>
      <c r="G1444" t="s">
        <v>1129</v>
      </c>
      <c r="H1444" t="s">
        <v>1130</v>
      </c>
      <c r="I1444" t="s">
        <v>119</v>
      </c>
      <c r="J1444" t="s">
        <v>36</v>
      </c>
      <c r="K1444">
        <v>990</v>
      </c>
      <c r="O1444" t="s">
        <v>37</v>
      </c>
      <c r="P1444" t="s">
        <v>46</v>
      </c>
      <c r="U1444" s="9" t="s">
        <v>148</v>
      </c>
      <c r="V1444" t="s">
        <v>164</v>
      </c>
      <c r="W1444" t="s">
        <v>138</v>
      </c>
      <c r="X1444" t="s">
        <v>1131</v>
      </c>
      <c r="Y1444" t="s">
        <v>165</v>
      </c>
      <c r="Z1444" t="s">
        <v>155</v>
      </c>
      <c r="AB1444" t="str">
        <f t="shared" si="66"/>
        <v>41282</v>
      </c>
    </row>
    <row r="1445" ht="14.25" spans="1:28">
      <c r="A1445" s="5" t="s">
        <v>28</v>
      </c>
      <c r="B1445" s="5" t="s">
        <v>697</v>
      </c>
      <c r="C1445" s="5">
        <v>2027</v>
      </c>
      <c r="D1445" s="5" t="s">
        <v>30</v>
      </c>
      <c r="E1445" t="s">
        <v>1132</v>
      </c>
      <c r="F1445" t="s">
        <v>1133</v>
      </c>
      <c r="G1445" t="s">
        <v>89</v>
      </c>
      <c r="H1445" t="s">
        <v>1134</v>
      </c>
      <c r="I1445" t="s">
        <v>147</v>
      </c>
      <c r="J1445" t="s">
        <v>36</v>
      </c>
      <c r="K1445">
        <v>1090</v>
      </c>
      <c r="O1445" t="s">
        <v>37</v>
      </c>
      <c r="P1445" t="s">
        <v>38</v>
      </c>
      <c r="R1445">
        <f t="shared" si="67"/>
        <v>0</v>
      </c>
      <c r="S1445">
        <f>SUMIFS([1]Sheet1!$T:$T,[1]Sheet1!$I:$I,E1445,[1]Sheet1!$C:$C,A1445)</f>
        <v>0</v>
      </c>
      <c r="T1445">
        <f t="shared" si="68"/>
        <v>0</v>
      </c>
      <c r="U1445" s="9" t="s">
        <v>148</v>
      </c>
      <c r="V1445" t="s">
        <v>149</v>
      </c>
      <c r="W1445" t="s">
        <v>138</v>
      </c>
      <c r="X1445" t="s">
        <v>39</v>
      </c>
      <c r="Y1445" t="s">
        <v>150</v>
      </c>
      <c r="Z1445" t="s">
        <v>155</v>
      </c>
      <c r="AB1445" t="str">
        <f t="shared" si="66"/>
        <v>41316</v>
      </c>
    </row>
    <row r="1446" ht="14.25" spans="1:28">
      <c r="A1446" s="5" t="s">
        <v>28</v>
      </c>
      <c r="B1446" s="5" t="s">
        <v>697</v>
      </c>
      <c r="C1446" s="5">
        <v>2027</v>
      </c>
      <c r="D1446" s="5" t="s">
        <v>30</v>
      </c>
      <c r="E1446" t="s">
        <v>1132</v>
      </c>
      <c r="F1446" t="s">
        <v>1133</v>
      </c>
      <c r="G1446" t="s">
        <v>89</v>
      </c>
      <c r="H1446" t="s">
        <v>1134</v>
      </c>
      <c r="I1446" t="s">
        <v>147</v>
      </c>
      <c r="J1446" t="s">
        <v>36</v>
      </c>
      <c r="K1446">
        <v>1090</v>
      </c>
      <c r="O1446" t="s">
        <v>37</v>
      </c>
      <c r="P1446" t="s">
        <v>42</v>
      </c>
      <c r="U1446" s="9" t="s">
        <v>148</v>
      </c>
      <c r="V1446" t="s">
        <v>149</v>
      </c>
      <c r="W1446" t="s">
        <v>138</v>
      </c>
      <c r="X1446" t="s">
        <v>39</v>
      </c>
      <c r="Y1446" t="s">
        <v>150</v>
      </c>
      <c r="Z1446" t="s">
        <v>155</v>
      </c>
      <c r="AB1446" t="str">
        <f t="shared" si="66"/>
        <v>41316</v>
      </c>
    </row>
    <row r="1447" ht="14.25" spans="1:28">
      <c r="A1447" s="5" t="s">
        <v>28</v>
      </c>
      <c r="B1447" s="5" t="s">
        <v>697</v>
      </c>
      <c r="C1447" s="5">
        <v>2027</v>
      </c>
      <c r="D1447" s="5" t="s">
        <v>30</v>
      </c>
      <c r="E1447" t="s">
        <v>1132</v>
      </c>
      <c r="F1447" t="s">
        <v>1133</v>
      </c>
      <c r="G1447" t="s">
        <v>89</v>
      </c>
      <c r="H1447" t="s">
        <v>1134</v>
      </c>
      <c r="I1447" t="s">
        <v>147</v>
      </c>
      <c r="J1447" t="s">
        <v>36</v>
      </c>
      <c r="K1447">
        <v>1090</v>
      </c>
      <c r="O1447" t="s">
        <v>37</v>
      </c>
      <c r="P1447" t="s">
        <v>43</v>
      </c>
      <c r="U1447" s="9" t="s">
        <v>148</v>
      </c>
      <c r="V1447" t="s">
        <v>149</v>
      </c>
      <c r="W1447" t="s">
        <v>138</v>
      </c>
      <c r="X1447" t="s">
        <v>39</v>
      </c>
      <c r="Y1447" t="s">
        <v>150</v>
      </c>
      <c r="Z1447" t="s">
        <v>155</v>
      </c>
      <c r="AB1447" t="str">
        <f t="shared" si="66"/>
        <v>41316</v>
      </c>
    </row>
    <row r="1448" ht="14.25" spans="1:28">
      <c r="A1448" s="5" t="s">
        <v>28</v>
      </c>
      <c r="B1448" s="5" t="s">
        <v>697</v>
      </c>
      <c r="C1448" s="5">
        <v>2027</v>
      </c>
      <c r="D1448" s="5" t="s">
        <v>30</v>
      </c>
      <c r="E1448" t="s">
        <v>1132</v>
      </c>
      <c r="F1448" t="s">
        <v>1133</v>
      </c>
      <c r="G1448" t="s">
        <v>89</v>
      </c>
      <c r="H1448" t="s">
        <v>1134</v>
      </c>
      <c r="I1448" t="s">
        <v>147</v>
      </c>
      <c r="J1448" t="s">
        <v>36</v>
      </c>
      <c r="K1448">
        <v>1090</v>
      </c>
      <c r="O1448" t="s">
        <v>37</v>
      </c>
      <c r="P1448" t="s">
        <v>44</v>
      </c>
      <c r="U1448" s="9" t="s">
        <v>148</v>
      </c>
      <c r="V1448" t="s">
        <v>149</v>
      </c>
      <c r="W1448" t="s">
        <v>138</v>
      </c>
      <c r="X1448" t="s">
        <v>39</v>
      </c>
      <c r="Y1448" t="s">
        <v>150</v>
      </c>
      <c r="Z1448" t="s">
        <v>155</v>
      </c>
      <c r="AB1448" t="str">
        <f t="shared" si="66"/>
        <v>41316</v>
      </c>
    </row>
    <row r="1449" ht="14.25" spans="1:28">
      <c r="A1449" s="5" t="s">
        <v>28</v>
      </c>
      <c r="B1449" s="5" t="s">
        <v>697</v>
      </c>
      <c r="C1449" s="5">
        <v>2027</v>
      </c>
      <c r="D1449" s="5" t="s">
        <v>30</v>
      </c>
      <c r="E1449" t="s">
        <v>1132</v>
      </c>
      <c r="F1449" t="s">
        <v>1133</v>
      </c>
      <c r="G1449" t="s">
        <v>89</v>
      </c>
      <c r="H1449" t="s">
        <v>1134</v>
      </c>
      <c r="I1449" t="s">
        <v>147</v>
      </c>
      <c r="J1449" t="s">
        <v>36</v>
      </c>
      <c r="K1449">
        <v>1090</v>
      </c>
      <c r="O1449" t="s">
        <v>37</v>
      </c>
      <c r="P1449" t="s">
        <v>45</v>
      </c>
      <c r="U1449" s="9" t="s">
        <v>148</v>
      </c>
      <c r="V1449" t="s">
        <v>149</v>
      </c>
      <c r="W1449" t="s">
        <v>138</v>
      </c>
      <c r="X1449" t="s">
        <v>39</v>
      </c>
      <c r="Y1449" t="s">
        <v>150</v>
      </c>
      <c r="Z1449" t="s">
        <v>155</v>
      </c>
      <c r="AB1449" t="str">
        <f t="shared" si="66"/>
        <v>41316</v>
      </c>
    </row>
    <row r="1450" ht="14.25" spans="1:28">
      <c r="A1450" s="5" t="s">
        <v>28</v>
      </c>
      <c r="B1450" s="5" t="s">
        <v>697</v>
      </c>
      <c r="C1450" s="5">
        <v>2027</v>
      </c>
      <c r="D1450" s="5" t="s">
        <v>30</v>
      </c>
      <c r="E1450" t="s">
        <v>1132</v>
      </c>
      <c r="F1450" t="s">
        <v>1133</v>
      </c>
      <c r="G1450" t="s">
        <v>89</v>
      </c>
      <c r="H1450" t="s">
        <v>1134</v>
      </c>
      <c r="I1450" t="s">
        <v>147</v>
      </c>
      <c r="J1450" t="s">
        <v>36</v>
      </c>
      <c r="K1450">
        <v>1090</v>
      </c>
      <c r="O1450" t="s">
        <v>37</v>
      </c>
      <c r="P1450" t="s">
        <v>46</v>
      </c>
      <c r="U1450" s="9" t="s">
        <v>148</v>
      </c>
      <c r="V1450" t="s">
        <v>149</v>
      </c>
      <c r="W1450" t="s">
        <v>138</v>
      </c>
      <c r="X1450" t="s">
        <v>39</v>
      </c>
      <c r="Y1450" t="s">
        <v>150</v>
      </c>
      <c r="Z1450" t="s">
        <v>155</v>
      </c>
      <c r="AB1450" t="str">
        <f t="shared" si="66"/>
        <v>41316</v>
      </c>
    </row>
    <row r="1451" ht="14.25" spans="1:28">
      <c r="A1451" s="5" t="s">
        <v>28</v>
      </c>
      <c r="B1451" s="5" t="s">
        <v>697</v>
      </c>
      <c r="C1451" s="5">
        <v>2027</v>
      </c>
      <c r="D1451" s="5" t="s">
        <v>30</v>
      </c>
      <c r="E1451" t="s">
        <v>1135</v>
      </c>
      <c r="F1451" t="s">
        <v>1133</v>
      </c>
      <c r="G1451" t="s">
        <v>92</v>
      </c>
      <c r="H1451" t="s">
        <v>1136</v>
      </c>
      <c r="I1451" t="s">
        <v>147</v>
      </c>
      <c r="J1451" t="s">
        <v>36</v>
      </c>
      <c r="K1451">
        <v>1090</v>
      </c>
      <c r="O1451" t="s">
        <v>37</v>
      </c>
      <c r="P1451" t="s">
        <v>38</v>
      </c>
      <c r="R1451">
        <f t="shared" si="67"/>
        <v>0</v>
      </c>
      <c r="S1451">
        <f>SUMIFS([1]Sheet1!$T:$T,[1]Sheet1!$I:$I,E1451,[1]Sheet1!$C:$C,A1451)</f>
        <v>60</v>
      </c>
      <c r="T1451">
        <f t="shared" si="68"/>
        <v>-60</v>
      </c>
      <c r="U1451" s="9" t="s">
        <v>148</v>
      </c>
      <c r="V1451" t="s">
        <v>149</v>
      </c>
      <c r="W1451" t="s">
        <v>138</v>
      </c>
      <c r="X1451" t="s">
        <v>94</v>
      </c>
      <c r="Y1451" t="s">
        <v>150</v>
      </c>
      <c r="Z1451" t="s">
        <v>155</v>
      </c>
      <c r="AB1451" t="str">
        <f t="shared" si="66"/>
        <v>41316</v>
      </c>
    </row>
    <row r="1452" ht="14.25" spans="1:28">
      <c r="A1452" s="5" t="s">
        <v>28</v>
      </c>
      <c r="B1452" s="5" t="s">
        <v>697</v>
      </c>
      <c r="C1452" s="5">
        <v>2027</v>
      </c>
      <c r="D1452" s="5" t="s">
        <v>30</v>
      </c>
      <c r="E1452" t="s">
        <v>1135</v>
      </c>
      <c r="F1452" t="s">
        <v>1133</v>
      </c>
      <c r="G1452" t="s">
        <v>92</v>
      </c>
      <c r="H1452" t="s">
        <v>1136</v>
      </c>
      <c r="I1452" t="s">
        <v>147</v>
      </c>
      <c r="J1452" t="s">
        <v>36</v>
      </c>
      <c r="K1452">
        <v>1090</v>
      </c>
      <c r="O1452" t="s">
        <v>37</v>
      </c>
      <c r="P1452" t="s">
        <v>42</v>
      </c>
      <c r="U1452" s="9" t="s">
        <v>148</v>
      </c>
      <c r="V1452" t="s">
        <v>149</v>
      </c>
      <c r="W1452" t="s">
        <v>138</v>
      </c>
      <c r="X1452" t="s">
        <v>94</v>
      </c>
      <c r="Y1452" t="s">
        <v>150</v>
      </c>
      <c r="Z1452" t="s">
        <v>155</v>
      </c>
      <c r="AB1452" t="str">
        <f t="shared" si="66"/>
        <v>41316</v>
      </c>
    </row>
    <row r="1453" ht="14.25" spans="1:28">
      <c r="A1453" s="5" t="s">
        <v>28</v>
      </c>
      <c r="B1453" s="5" t="s">
        <v>697</v>
      </c>
      <c r="C1453" s="5">
        <v>2027</v>
      </c>
      <c r="D1453" s="5" t="s">
        <v>30</v>
      </c>
      <c r="E1453" t="s">
        <v>1135</v>
      </c>
      <c r="F1453" t="s">
        <v>1133</v>
      </c>
      <c r="G1453" t="s">
        <v>92</v>
      </c>
      <c r="H1453" t="s">
        <v>1136</v>
      </c>
      <c r="I1453" t="s">
        <v>147</v>
      </c>
      <c r="J1453" t="s">
        <v>36</v>
      </c>
      <c r="K1453">
        <v>1090</v>
      </c>
      <c r="O1453" t="s">
        <v>37</v>
      </c>
      <c r="P1453" t="s">
        <v>43</v>
      </c>
      <c r="U1453" s="9" t="s">
        <v>148</v>
      </c>
      <c r="V1453" t="s">
        <v>149</v>
      </c>
      <c r="W1453" t="s">
        <v>138</v>
      </c>
      <c r="X1453" t="s">
        <v>94</v>
      </c>
      <c r="Y1453" t="s">
        <v>150</v>
      </c>
      <c r="Z1453" t="s">
        <v>155</v>
      </c>
      <c r="AB1453" t="str">
        <f t="shared" si="66"/>
        <v>41316</v>
      </c>
    </row>
    <row r="1454" ht="14.25" spans="1:28">
      <c r="A1454" s="5" t="s">
        <v>28</v>
      </c>
      <c r="B1454" s="5" t="s">
        <v>697</v>
      </c>
      <c r="C1454" s="5">
        <v>2027</v>
      </c>
      <c r="D1454" s="5" t="s">
        <v>30</v>
      </c>
      <c r="E1454" t="s">
        <v>1135</v>
      </c>
      <c r="F1454" t="s">
        <v>1133</v>
      </c>
      <c r="G1454" t="s">
        <v>92</v>
      </c>
      <c r="H1454" t="s">
        <v>1136</v>
      </c>
      <c r="I1454" t="s">
        <v>147</v>
      </c>
      <c r="J1454" t="s">
        <v>36</v>
      </c>
      <c r="K1454">
        <v>1090</v>
      </c>
      <c r="O1454" t="s">
        <v>37</v>
      </c>
      <c r="P1454" t="s">
        <v>44</v>
      </c>
      <c r="U1454" s="9" t="s">
        <v>148</v>
      </c>
      <c r="V1454" t="s">
        <v>149</v>
      </c>
      <c r="W1454" t="s">
        <v>138</v>
      </c>
      <c r="X1454" t="s">
        <v>94</v>
      </c>
      <c r="Y1454" t="s">
        <v>150</v>
      </c>
      <c r="Z1454" t="s">
        <v>155</v>
      </c>
      <c r="AB1454" t="str">
        <f t="shared" si="66"/>
        <v>41316</v>
      </c>
    </row>
    <row r="1455" ht="14.25" spans="1:28">
      <c r="A1455" s="5" t="s">
        <v>28</v>
      </c>
      <c r="B1455" s="5" t="s">
        <v>697</v>
      </c>
      <c r="C1455" s="5">
        <v>2027</v>
      </c>
      <c r="D1455" s="5" t="s">
        <v>30</v>
      </c>
      <c r="E1455" t="s">
        <v>1135</v>
      </c>
      <c r="F1455" t="s">
        <v>1133</v>
      </c>
      <c r="G1455" t="s">
        <v>92</v>
      </c>
      <c r="H1455" t="s">
        <v>1136</v>
      </c>
      <c r="I1455" t="s">
        <v>147</v>
      </c>
      <c r="J1455" t="s">
        <v>36</v>
      </c>
      <c r="K1455">
        <v>1090</v>
      </c>
      <c r="O1455" t="s">
        <v>37</v>
      </c>
      <c r="P1455" t="s">
        <v>45</v>
      </c>
      <c r="U1455" s="9" t="s">
        <v>148</v>
      </c>
      <c r="V1455" t="s">
        <v>149</v>
      </c>
      <c r="W1455" t="s">
        <v>138</v>
      </c>
      <c r="X1455" t="s">
        <v>94</v>
      </c>
      <c r="Y1455" t="s">
        <v>150</v>
      </c>
      <c r="Z1455" t="s">
        <v>155</v>
      </c>
      <c r="AB1455" t="str">
        <f t="shared" si="66"/>
        <v>41316</v>
      </c>
    </row>
    <row r="1456" ht="14.25" spans="1:28">
      <c r="A1456" s="5" t="s">
        <v>28</v>
      </c>
      <c r="B1456" s="5" t="s">
        <v>697</v>
      </c>
      <c r="C1456" s="5">
        <v>2027</v>
      </c>
      <c r="D1456" s="5" t="s">
        <v>30</v>
      </c>
      <c r="E1456" t="s">
        <v>1135</v>
      </c>
      <c r="F1456" t="s">
        <v>1133</v>
      </c>
      <c r="G1456" t="s">
        <v>92</v>
      </c>
      <c r="H1456" t="s">
        <v>1136</v>
      </c>
      <c r="I1456" t="s">
        <v>147</v>
      </c>
      <c r="J1456" t="s">
        <v>36</v>
      </c>
      <c r="K1456">
        <v>1090</v>
      </c>
      <c r="O1456" t="s">
        <v>37</v>
      </c>
      <c r="P1456" t="s">
        <v>46</v>
      </c>
      <c r="U1456" s="9" t="s">
        <v>148</v>
      </c>
      <c r="V1456" t="s">
        <v>149</v>
      </c>
      <c r="W1456" t="s">
        <v>138</v>
      </c>
      <c r="X1456" t="s">
        <v>94</v>
      </c>
      <c r="Y1456" t="s">
        <v>150</v>
      </c>
      <c r="Z1456" t="s">
        <v>155</v>
      </c>
      <c r="AB1456" t="str">
        <f t="shared" si="66"/>
        <v>41316</v>
      </c>
    </row>
    <row r="1457" ht="14.25" spans="1:28">
      <c r="A1457" s="5" t="s">
        <v>28</v>
      </c>
      <c r="B1457" s="5" t="s">
        <v>697</v>
      </c>
      <c r="C1457" s="5">
        <v>2027</v>
      </c>
      <c r="D1457" s="5" t="s">
        <v>30</v>
      </c>
      <c r="E1457" t="s">
        <v>1137</v>
      </c>
      <c r="F1457" t="s">
        <v>1133</v>
      </c>
      <c r="G1457" t="s">
        <v>1138</v>
      </c>
      <c r="H1457" t="s">
        <v>1139</v>
      </c>
      <c r="I1457" t="s">
        <v>147</v>
      </c>
      <c r="J1457" t="s">
        <v>36</v>
      </c>
      <c r="K1457">
        <v>1090</v>
      </c>
      <c r="O1457" t="s">
        <v>37</v>
      </c>
      <c r="P1457" t="s">
        <v>38</v>
      </c>
      <c r="R1457">
        <f t="shared" si="67"/>
        <v>0</v>
      </c>
      <c r="S1457">
        <f>SUMIFS([1]Sheet1!$T:$T,[1]Sheet1!$I:$I,E1457,[1]Sheet1!$C:$C,A1457)</f>
        <v>0</v>
      </c>
      <c r="T1457">
        <f t="shared" si="68"/>
        <v>0</v>
      </c>
      <c r="U1457" s="9" t="s">
        <v>148</v>
      </c>
      <c r="V1457" t="s">
        <v>149</v>
      </c>
      <c r="W1457" t="s">
        <v>138</v>
      </c>
      <c r="Y1457" t="s">
        <v>150</v>
      </c>
      <c r="Z1457" t="s">
        <v>155</v>
      </c>
      <c r="AB1457" t="str">
        <f t="shared" si="66"/>
        <v>41316</v>
      </c>
    </row>
    <row r="1458" ht="14.25" spans="1:28">
      <c r="A1458" s="5" t="s">
        <v>28</v>
      </c>
      <c r="B1458" s="5" t="s">
        <v>697</v>
      </c>
      <c r="C1458" s="5">
        <v>2027</v>
      </c>
      <c r="D1458" s="5" t="s">
        <v>30</v>
      </c>
      <c r="E1458" t="s">
        <v>1137</v>
      </c>
      <c r="F1458" t="s">
        <v>1133</v>
      </c>
      <c r="G1458" t="s">
        <v>1138</v>
      </c>
      <c r="H1458" t="s">
        <v>1139</v>
      </c>
      <c r="I1458" t="s">
        <v>147</v>
      </c>
      <c r="J1458" t="s">
        <v>36</v>
      </c>
      <c r="K1458">
        <v>1090</v>
      </c>
      <c r="O1458" t="s">
        <v>37</v>
      </c>
      <c r="P1458" t="s">
        <v>42</v>
      </c>
      <c r="U1458" s="9" t="s">
        <v>148</v>
      </c>
      <c r="V1458" t="s">
        <v>149</v>
      </c>
      <c r="W1458" t="s">
        <v>138</v>
      </c>
      <c r="Y1458" t="s">
        <v>150</v>
      </c>
      <c r="Z1458" t="s">
        <v>155</v>
      </c>
      <c r="AB1458" t="str">
        <f t="shared" si="66"/>
        <v>41316</v>
      </c>
    </row>
    <row r="1459" ht="14.25" spans="1:28">
      <c r="A1459" s="5" t="s">
        <v>28</v>
      </c>
      <c r="B1459" s="5" t="s">
        <v>697</v>
      </c>
      <c r="C1459" s="5">
        <v>2027</v>
      </c>
      <c r="D1459" s="5" t="s">
        <v>30</v>
      </c>
      <c r="E1459" t="s">
        <v>1137</v>
      </c>
      <c r="F1459" t="s">
        <v>1133</v>
      </c>
      <c r="G1459" t="s">
        <v>1138</v>
      </c>
      <c r="H1459" t="s">
        <v>1139</v>
      </c>
      <c r="I1459" t="s">
        <v>147</v>
      </c>
      <c r="J1459" t="s">
        <v>36</v>
      </c>
      <c r="K1459">
        <v>1090</v>
      </c>
      <c r="O1459" t="s">
        <v>37</v>
      </c>
      <c r="P1459" t="s">
        <v>43</v>
      </c>
      <c r="U1459" s="9" t="s">
        <v>148</v>
      </c>
      <c r="V1459" t="s">
        <v>149</v>
      </c>
      <c r="W1459" t="s">
        <v>138</v>
      </c>
      <c r="Y1459" t="s">
        <v>150</v>
      </c>
      <c r="Z1459" t="s">
        <v>155</v>
      </c>
      <c r="AB1459" t="str">
        <f t="shared" ref="AB1459:AB1522" si="69">MID(E1459,6,5)</f>
        <v>41316</v>
      </c>
    </row>
    <row r="1460" ht="14.25" spans="1:28">
      <c r="A1460" s="5" t="s">
        <v>28</v>
      </c>
      <c r="B1460" s="5" t="s">
        <v>697</v>
      </c>
      <c r="C1460" s="5">
        <v>2027</v>
      </c>
      <c r="D1460" s="5" t="s">
        <v>30</v>
      </c>
      <c r="E1460" t="s">
        <v>1137</v>
      </c>
      <c r="F1460" t="s">
        <v>1133</v>
      </c>
      <c r="G1460" t="s">
        <v>1138</v>
      </c>
      <c r="H1460" t="s">
        <v>1139</v>
      </c>
      <c r="I1460" t="s">
        <v>147</v>
      </c>
      <c r="J1460" t="s">
        <v>36</v>
      </c>
      <c r="K1460">
        <v>1090</v>
      </c>
      <c r="O1460" t="s">
        <v>37</v>
      </c>
      <c r="P1460" t="s">
        <v>44</v>
      </c>
      <c r="U1460" s="9" t="s">
        <v>148</v>
      </c>
      <c r="V1460" t="s">
        <v>149</v>
      </c>
      <c r="W1460" t="s">
        <v>138</v>
      </c>
      <c r="Y1460" t="s">
        <v>150</v>
      </c>
      <c r="Z1460" t="s">
        <v>155</v>
      </c>
      <c r="AB1460" t="str">
        <f t="shared" si="69"/>
        <v>41316</v>
      </c>
    </row>
    <row r="1461" ht="14.25" spans="1:28">
      <c r="A1461" s="5" t="s">
        <v>28</v>
      </c>
      <c r="B1461" s="5" t="s">
        <v>697</v>
      </c>
      <c r="C1461" s="5">
        <v>2027</v>
      </c>
      <c r="D1461" s="5" t="s">
        <v>30</v>
      </c>
      <c r="E1461" t="s">
        <v>1137</v>
      </c>
      <c r="F1461" t="s">
        <v>1133</v>
      </c>
      <c r="G1461" t="s">
        <v>1138</v>
      </c>
      <c r="H1461" t="s">
        <v>1139</v>
      </c>
      <c r="I1461" t="s">
        <v>147</v>
      </c>
      <c r="J1461" t="s">
        <v>36</v>
      </c>
      <c r="K1461">
        <v>1090</v>
      </c>
      <c r="O1461" t="s">
        <v>37</v>
      </c>
      <c r="P1461" t="s">
        <v>45</v>
      </c>
      <c r="U1461" s="9" t="s">
        <v>148</v>
      </c>
      <c r="V1461" t="s">
        <v>149</v>
      </c>
      <c r="W1461" t="s">
        <v>138</v>
      </c>
      <c r="Y1461" t="s">
        <v>150</v>
      </c>
      <c r="Z1461" t="s">
        <v>155</v>
      </c>
      <c r="AB1461" t="str">
        <f t="shared" si="69"/>
        <v>41316</v>
      </c>
    </row>
    <row r="1462" ht="14.25" spans="1:28">
      <c r="A1462" s="5" t="s">
        <v>28</v>
      </c>
      <c r="B1462" s="5" t="s">
        <v>697</v>
      </c>
      <c r="C1462" s="5">
        <v>2027</v>
      </c>
      <c r="D1462" s="5" t="s">
        <v>30</v>
      </c>
      <c r="E1462" t="s">
        <v>1137</v>
      </c>
      <c r="F1462" t="s">
        <v>1133</v>
      </c>
      <c r="G1462" t="s">
        <v>1138</v>
      </c>
      <c r="H1462" t="s">
        <v>1139</v>
      </c>
      <c r="I1462" t="s">
        <v>147</v>
      </c>
      <c r="J1462" t="s">
        <v>36</v>
      </c>
      <c r="K1462">
        <v>1090</v>
      </c>
      <c r="O1462" t="s">
        <v>37</v>
      </c>
      <c r="P1462" t="s">
        <v>46</v>
      </c>
      <c r="U1462" s="9" t="s">
        <v>148</v>
      </c>
      <c r="V1462" t="s">
        <v>149</v>
      </c>
      <c r="W1462" t="s">
        <v>138</v>
      </c>
      <c r="Y1462" t="s">
        <v>150</v>
      </c>
      <c r="Z1462" t="s">
        <v>155</v>
      </c>
      <c r="AB1462" t="str">
        <f t="shared" si="69"/>
        <v>41316</v>
      </c>
    </row>
    <row r="1463" ht="14.25" spans="1:28">
      <c r="A1463" s="5" t="s">
        <v>28</v>
      </c>
      <c r="B1463" s="5" t="s">
        <v>697</v>
      </c>
      <c r="C1463" s="5">
        <v>2027</v>
      </c>
      <c r="D1463" s="5" t="s">
        <v>30</v>
      </c>
      <c r="E1463" t="s">
        <v>1140</v>
      </c>
      <c r="F1463" t="s">
        <v>1141</v>
      </c>
      <c r="G1463" t="s">
        <v>1142</v>
      </c>
      <c r="H1463" t="s">
        <v>1143</v>
      </c>
      <c r="I1463" t="s">
        <v>119</v>
      </c>
      <c r="J1463" t="s">
        <v>36</v>
      </c>
      <c r="K1463">
        <v>1390</v>
      </c>
      <c r="O1463" t="s">
        <v>37</v>
      </c>
      <c r="P1463" t="s">
        <v>38</v>
      </c>
      <c r="R1463">
        <f t="shared" si="67"/>
        <v>0</v>
      </c>
      <c r="S1463">
        <f>SUMIFS([1]Sheet1!$T:$T,[1]Sheet1!$I:$I,E1463,[1]Sheet1!$C:$C,A1463)</f>
        <v>0</v>
      </c>
      <c r="T1463">
        <f t="shared" si="68"/>
        <v>0</v>
      </c>
      <c r="U1463" s="9" t="s">
        <v>148</v>
      </c>
      <c r="V1463" t="s">
        <v>233</v>
      </c>
      <c r="W1463" t="s">
        <v>138</v>
      </c>
      <c r="X1463" t="s">
        <v>94</v>
      </c>
      <c r="Y1463" t="s">
        <v>1144</v>
      </c>
      <c r="Z1463" t="s">
        <v>155</v>
      </c>
      <c r="AA1463" t="s">
        <v>1144</v>
      </c>
      <c r="AB1463" t="str">
        <f t="shared" si="69"/>
        <v>42288</v>
      </c>
    </row>
    <row r="1464" ht="14.25" spans="1:28">
      <c r="A1464" s="5" t="s">
        <v>28</v>
      </c>
      <c r="B1464" s="5" t="s">
        <v>697</v>
      </c>
      <c r="C1464" s="5">
        <v>2027</v>
      </c>
      <c r="D1464" s="5" t="s">
        <v>30</v>
      </c>
      <c r="E1464" t="s">
        <v>1140</v>
      </c>
      <c r="F1464" t="s">
        <v>1141</v>
      </c>
      <c r="G1464" t="s">
        <v>1142</v>
      </c>
      <c r="H1464" t="s">
        <v>1143</v>
      </c>
      <c r="I1464" t="s">
        <v>119</v>
      </c>
      <c r="J1464" t="s">
        <v>36</v>
      </c>
      <c r="K1464">
        <v>1390</v>
      </c>
      <c r="O1464" t="s">
        <v>37</v>
      </c>
      <c r="P1464" t="s">
        <v>42</v>
      </c>
      <c r="U1464" s="9" t="s">
        <v>148</v>
      </c>
      <c r="V1464" t="s">
        <v>233</v>
      </c>
      <c r="W1464" t="s">
        <v>138</v>
      </c>
      <c r="X1464" t="s">
        <v>94</v>
      </c>
      <c r="Y1464" t="s">
        <v>1144</v>
      </c>
      <c r="Z1464" t="s">
        <v>155</v>
      </c>
      <c r="AA1464" t="s">
        <v>1144</v>
      </c>
      <c r="AB1464" t="str">
        <f t="shared" si="69"/>
        <v>42288</v>
      </c>
    </row>
    <row r="1465" ht="14.25" spans="1:28">
      <c r="A1465" s="5" t="s">
        <v>28</v>
      </c>
      <c r="B1465" s="5" t="s">
        <v>697</v>
      </c>
      <c r="C1465" s="5">
        <v>2027</v>
      </c>
      <c r="D1465" s="5" t="s">
        <v>30</v>
      </c>
      <c r="E1465" t="s">
        <v>1140</v>
      </c>
      <c r="F1465" t="s">
        <v>1141</v>
      </c>
      <c r="G1465" t="s">
        <v>1142</v>
      </c>
      <c r="H1465" t="s">
        <v>1143</v>
      </c>
      <c r="I1465" t="s">
        <v>119</v>
      </c>
      <c r="J1465" t="s">
        <v>36</v>
      </c>
      <c r="K1465">
        <v>1390</v>
      </c>
      <c r="O1465" t="s">
        <v>37</v>
      </c>
      <c r="P1465" t="s">
        <v>43</v>
      </c>
      <c r="U1465" s="9" t="s">
        <v>148</v>
      </c>
      <c r="V1465" t="s">
        <v>233</v>
      </c>
      <c r="W1465" t="s">
        <v>138</v>
      </c>
      <c r="X1465" t="s">
        <v>94</v>
      </c>
      <c r="Y1465" t="s">
        <v>1144</v>
      </c>
      <c r="Z1465" t="s">
        <v>155</v>
      </c>
      <c r="AA1465" t="s">
        <v>1144</v>
      </c>
      <c r="AB1465" t="str">
        <f t="shared" si="69"/>
        <v>42288</v>
      </c>
    </row>
    <row r="1466" ht="14.25" spans="1:28">
      <c r="A1466" s="5" t="s">
        <v>28</v>
      </c>
      <c r="B1466" s="5" t="s">
        <v>697</v>
      </c>
      <c r="C1466" s="5">
        <v>2027</v>
      </c>
      <c r="D1466" s="5" t="s">
        <v>30</v>
      </c>
      <c r="E1466" t="s">
        <v>1140</v>
      </c>
      <c r="F1466" t="s">
        <v>1141</v>
      </c>
      <c r="G1466" t="s">
        <v>1142</v>
      </c>
      <c r="H1466" t="s">
        <v>1143</v>
      </c>
      <c r="I1466" t="s">
        <v>119</v>
      </c>
      <c r="J1466" t="s">
        <v>36</v>
      </c>
      <c r="K1466">
        <v>1390</v>
      </c>
      <c r="O1466" t="s">
        <v>37</v>
      </c>
      <c r="P1466" t="s">
        <v>44</v>
      </c>
      <c r="U1466" s="9" t="s">
        <v>148</v>
      </c>
      <c r="V1466" t="s">
        <v>233</v>
      </c>
      <c r="W1466" t="s">
        <v>138</v>
      </c>
      <c r="X1466" t="s">
        <v>94</v>
      </c>
      <c r="Y1466" t="s">
        <v>1144</v>
      </c>
      <c r="Z1466" t="s">
        <v>155</v>
      </c>
      <c r="AA1466" t="s">
        <v>1144</v>
      </c>
      <c r="AB1466" t="str">
        <f t="shared" si="69"/>
        <v>42288</v>
      </c>
    </row>
    <row r="1467" ht="14.25" spans="1:28">
      <c r="A1467" s="5" t="s">
        <v>28</v>
      </c>
      <c r="B1467" s="5" t="s">
        <v>697</v>
      </c>
      <c r="C1467" s="5">
        <v>2027</v>
      </c>
      <c r="D1467" s="5" t="s">
        <v>30</v>
      </c>
      <c r="E1467" t="s">
        <v>1140</v>
      </c>
      <c r="F1467" t="s">
        <v>1141</v>
      </c>
      <c r="G1467" t="s">
        <v>1142</v>
      </c>
      <c r="H1467" t="s">
        <v>1143</v>
      </c>
      <c r="I1467" t="s">
        <v>119</v>
      </c>
      <c r="J1467" t="s">
        <v>36</v>
      </c>
      <c r="K1467">
        <v>1390</v>
      </c>
      <c r="O1467" t="s">
        <v>37</v>
      </c>
      <c r="P1467" t="s">
        <v>45</v>
      </c>
      <c r="U1467" s="9" t="s">
        <v>148</v>
      </c>
      <c r="V1467" t="s">
        <v>233</v>
      </c>
      <c r="W1467" t="s">
        <v>138</v>
      </c>
      <c r="X1467" t="s">
        <v>94</v>
      </c>
      <c r="Y1467" t="s">
        <v>1144</v>
      </c>
      <c r="Z1467" t="s">
        <v>155</v>
      </c>
      <c r="AA1467" t="s">
        <v>1144</v>
      </c>
      <c r="AB1467" t="str">
        <f t="shared" si="69"/>
        <v>42288</v>
      </c>
    </row>
    <row r="1468" ht="14.25" spans="1:28">
      <c r="A1468" s="5" t="s">
        <v>28</v>
      </c>
      <c r="B1468" s="5" t="s">
        <v>697</v>
      </c>
      <c r="C1468" s="5">
        <v>2027</v>
      </c>
      <c r="D1468" s="5" t="s">
        <v>30</v>
      </c>
      <c r="E1468" t="s">
        <v>1140</v>
      </c>
      <c r="F1468" t="s">
        <v>1141</v>
      </c>
      <c r="G1468" t="s">
        <v>1142</v>
      </c>
      <c r="H1468" t="s">
        <v>1143</v>
      </c>
      <c r="I1468" t="s">
        <v>119</v>
      </c>
      <c r="J1468" t="s">
        <v>36</v>
      </c>
      <c r="K1468">
        <v>1390</v>
      </c>
      <c r="O1468" t="s">
        <v>37</v>
      </c>
      <c r="P1468" t="s">
        <v>46</v>
      </c>
      <c r="U1468" s="9" t="s">
        <v>148</v>
      </c>
      <c r="V1468" t="s">
        <v>233</v>
      </c>
      <c r="W1468" t="s">
        <v>138</v>
      </c>
      <c r="X1468" t="s">
        <v>94</v>
      </c>
      <c r="Y1468" t="s">
        <v>1144</v>
      </c>
      <c r="Z1468" t="s">
        <v>155</v>
      </c>
      <c r="AA1468" t="s">
        <v>1144</v>
      </c>
      <c r="AB1468" t="str">
        <f t="shared" si="69"/>
        <v>42288</v>
      </c>
    </row>
    <row r="1469" ht="14.25" spans="1:28">
      <c r="A1469" s="5" t="s">
        <v>28</v>
      </c>
      <c r="B1469" s="5" t="s">
        <v>697</v>
      </c>
      <c r="C1469" s="5">
        <v>2027</v>
      </c>
      <c r="D1469" s="5" t="s">
        <v>30</v>
      </c>
      <c r="E1469" t="s">
        <v>1145</v>
      </c>
      <c r="F1469" t="s">
        <v>1141</v>
      </c>
      <c r="G1469" t="s">
        <v>100</v>
      </c>
      <c r="H1469" t="s">
        <v>1146</v>
      </c>
      <c r="I1469" t="s">
        <v>119</v>
      </c>
      <c r="J1469" t="s">
        <v>36</v>
      </c>
      <c r="K1469">
        <v>1390</v>
      </c>
      <c r="O1469" t="s">
        <v>37</v>
      </c>
      <c r="P1469" t="s">
        <v>38</v>
      </c>
      <c r="R1469">
        <f t="shared" si="67"/>
        <v>0</v>
      </c>
      <c r="S1469">
        <f>SUMIFS([1]Sheet1!$T:$T,[1]Sheet1!$I:$I,E1469,[1]Sheet1!$C:$C,A1469)</f>
        <v>50</v>
      </c>
      <c r="T1469">
        <f t="shared" si="68"/>
        <v>-50</v>
      </c>
      <c r="U1469" s="9" t="s">
        <v>148</v>
      </c>
      <c r="V1469" t="s">
        <v>233</v>
      </c>
      <c r="W1469" t="s">
        <v>138</v>
      </c>
      <c r="X1469" t="s">
        <v>102</v>
      </c>
      <c r="Y1469" t="s">
        <v>1144</v>
      </c>
      <c r="Z1469" t="s">
        <v>155</v>
      </c>
      <c r="AA1469" t="s">
        <v>1144</v>
      </c>
      <c r="AB1469" t="str">
        <f t="shared" si="69"/>
        <v>42288</v>
      </c>
    </row>
    <row r="1470" ht="14.25" spans="1:28">
      <c r="A1470" s="5" t="s">
        <v>28</v>
      </c>
      <c r="B1470" s="5" t="s">
        <v>697</v>
      </c>
      <c r="C1470" s="5">
        <v>2027</v>
      </c>
      <c r="D1470" s="5" t="s">
        <v>30</v>
      </c>
      <c r="E1470" t="s">
        <v>1145</v>
      </c>
      <c r="F1470" t="s">
        <v>1141</v>
      </c>
      <c r="G1470" t="s">
        <v>100</v>
      </c>
      <c r="H1470" t="s">
        <v>1146</v>
      </c>
      <c r="I1470" t="s">
        <v>119</v>
      </c>
      <c r="J1470" t="s">
        <v>36</v>
      </c>
      <c r="K1470">
        <v>1390</v>
      </c>
      <c r="O1470" t="s">
        <v>37</v>
      </c>
      <c r="P1470" t="s">
        <v>42</v>
      </c>
      <c r="U1470" s="9" t="s">
        <v>148</v>
      </c>
      <c r="V1470" t="s">
        <v>233</v>
      </c>
      <c r="W1470" t="s">
        <v>138</v>
      </c>
      <c r="X1470" t="s">
        <v>102</v>
      </c>
      <c r="Y1470" t="s">
        <v>1144</v>
      </c>
      <c r="Z1470" t="s">
        <v>155</v>
      </c>
      <c r="AA1470" t="s">
        <v>1144</v>
      </c>
      <c r="AB1470" t="str">
        <f t="shared" si="69"/>
        <v>42288</v>
      </c>
    </row>
    <row r="1471" ht="14.25" spans="1:28">
      <c r="A1471" s="5" t="s">
        <v>28</v>
      </c>
      <c r="B1471" s="5" t="s">
        <v>697</v>
      </c>
      <c r="C1471" s="5">
        <v>2027</v>
      </c>
      <c r="D1471" s="5" t="s">
        <v>30</v>
      </c>
      <c r="E1471" t="s">
        <v>1145</v>
      </c>
      <c r="F1471" t="s">
        <v>1141</v>
      </c>
      <c r="G1471" t="s">
        <v>100</v>
      </c>
      <c r="H1471" t="s">
        <v>1146</v>
      </c>
      <c r="I1471" t="s">
        <v>119</v>
      </c>
      <c r="J1471" t="s">
        <v>36</v>
      </c>
      <c r="K1471">
        <v>1390</v>
      </c>
      <c r="O1471" t="s">
        <v>37</v>
      </c>
      <c r="P1471" t="s">
        <v>43</v>
      </c>
      <c r="U1471" s="9" t="s">
        <v>148</v>
      </c>
      <c r="V1471" t="s">
        <v>233</v>
      </c>
      <c r="W1471" t="s">
        <v>138</v>
      </c>
      <c r="X1471" t="s">
        <v>102</v>
      </c>
      <c r="Y1471" t="s">
        <v>1144</v>
      </c>
      <c r="Z1471" t="s">
        <v>155</v>
      </c>
      <c r="AA1471" t="s">
        <v>1144</v>
      </c>
      <c r="AB1471" t="str">
        <f t="shared" si="69"/>
        <v>42288</v>
      </c>
    </row>
    <row r="1472" ht="14.25" spans="1:28">
      <c r="A1472" s="5" t="s">
        <v>28</v>
      </c>
      <c r="B1472" s="5" t="s">
        <v>697</v>
      </c>
      <c r="C1472" s="5">
        <v>2027</v>
      </c>
      <c r="D1472" s="5" t="s">
        <v>30</v>
      </c>
      <c r="E1472" t="s">
        <v>1145</v>
      </c>
      <c r="F1472" t="s">
        <v>1141</v>
      </c>
      <c r="G1472" t="s">
        <v>100</v>
      </c>
      <c r="H1472" t="s">
        <v>1146</v>
      </c>
      <c r="I1472" t="s">
        <v>119</v>
      </c>
      <c r="J1472" t="s">
        <v>36</v>
      </c>
      <c r="K1472">
        <v>1390</v>
      </c>
      <c r="O1472" t="s">
        <v>37</v>
      </c>
      <c r="P1472" t="s">
        <v>44</v>
      </c>
      <c r="U1472" s="9" t="s">
        <v>148</v>
      </c>
      <c r="V1472" t="s">
        <v>233</v>
      </c>
      <c r="W1472" t="s">
        <v>138</v>
      </c>
      <c r="X1472" t="s">
        <v>102</v>
      </c>
      <c r="Y1472" t="s">
        <v>1144</v>
      </c>
      <c r="Z1472" t="s">
        <v>155</v>
      </c>
      <c r="AA1472" t="s">
        <v>1144</v>
      </c>
      <c r="AB1472" t="str">
        <f t="shared" si="69"/>
        <v>42288</v>
      </c>
    </row>
    <row r="1473" ht="14.25" spans="1:28">
      <c r="A1473" s="5" t="s">
        <v>28</v>
      </c>
      <c r="B1473" s="5" t="s">
        <v>697</v>
      </c>
      <c r="C1473" s="5">
        <v>2027</v>
      </c>
      <c r="D1473" s="5" t="s">
        <v>30</v>
      </c>
      <c r="E1473" t="s">
        <v>1145</v>
      </c>
      <c r="F1473" t="s">
        <v>1141</v>
      </c>
      <c r="G1473" t="s">
        <v>100</v>
      </c>
      <c r="H1473" t="s">
        <v>1146</v>
      </c>
      <c r="I1473" t="s">
        <v>119</v>
      </c>
      <c r="J1473" t="s">
        <v>36</v>
      </c>
      <c r="K1473">
        <v>1390</v>
      </c>
      <c r="O1473" t="s">
        <v>37</v>
      </c>
      <c r="P1473" t="s">
        <v>45</v>
      </c>
      <c r="U1473" s="9" t="s">
        <v>148</v>
      </c>
      <c r="V1473" t="s">
        <v>233</v>
      </c>
      <c r="W1473" t="s">
        <v>138</v>
      </c>
      <c r="X1473" t="s">
        <v>102</v>
      </c>
      <c r="Y1473" t="s">
        <v>1144</v>
      </c>
      <c r="Z1473" t="s">
        <v>155</v>
      </c>
      <c r="AA1473" t="s">
        <v>1144</v>
      </c>
      <c r="AB1473" t="str">
        <f t="shared" si="69"/>
        <v>42288</v>
      </c>
    </row>
    <row r="1474" ht="14.25" spans="1:28">
      <c r="A1474" s="5" t="s">
        <v>28</v>
      </c>
      <c r="B1474" s="5" t="s">
        <v>697</v>
      </c>
      <c r="C1474" s="5">
        <v>2027</v>
      </c>
      <c r="D1474" s="5" t="s">
        <v>30</v>
      </c>
      <c r="E1474" t="s">
        <v>1145</v>
      </c>
      <c r="F1474" t="s">
        <v>1141</v>
      </c>
      <c r="G1474" t="s">
        <v>100</v>
      </c>
      <c r="H1474" t="s">
        <v>1146</v>
      </c>
      <c r="I1474" t="s">
        <v>119</v>
      </c>
      <c r="J1474" t="s">
        <v>36</v>
      </c>
      <c r="K1474">
        <v>1390</v>
      </c>
      <c r="O1474" t="s">
        <v>37</v>
      </c>
      <c r="P1474" t="s">
        <v>46</v>
      </c>
      <c r="U1474" s="9" t="s">
        <v>148</v>
      </c>
      <c r="V1474" t="s">
        <v>233</v>
      </c>
      <c r="W1474" t="s">
        <v>138</v>
      </c>
      <c r="X1474" t="s">
        <v>102</v>
      </c>
      <c r="Y1474" t="s">
        <v>1144</v>
      </c>
      <c r="Z1474" t="s">
        <v>155</v>
      </c>
      <c r="AA1474" t="s">
        <v>1144</v>
      </c>
      <c r="AB1474" t="str">
        <f t="shared" si="69"/>
        <v>42288</v>
      </c>
    </row>
    <row r="1475" ht="14.25" spans="1:28">
      <c r="A1475" s="5" t="s">
        <v>28</v>
      </c>
      <c r="B1475" s="5" t="s">
        <v>697</v>
      </c>
      <c r="C1475" s="5">
        <v>2027</v>
      </c>
      <c r="D1475" s="5" t="s">
        <v>30</v>
      </c>
      <c r="E1475" t="s">
        <v>1147</v>
      </c>
      <c r="F1475" t="s">
        <v>1148</v>
      </c>
      <c r="G1475" t="s">
        <v>1064</v>
      </c>
      <c r="H1475" t="s">
        <v>1149</v>
      </c>
      <c r="I1475" t="s">
        <v>112</v>
      </c>
      <c r="J1475" t="s">
        <v>67</v>
      </c>
      <c r="K1475">
        <v>1190</v>
      </c>
      <c r="O1475" t="s">
        <v>68</v>
      </c>
      <c r="P1475" t="s">
        <v>69</v>
      </c>
      <c r="R1475">
        <f t="shared" ref="R1474:R1537" si="70">SUMIFS(Q:Q,E:E,E1475)</f>
        <v>0</v>
      </c>
      <c r="S1475">
        <f>SUMIFS([1]Sheet1!$T:$T,[1]Sheet1!$I:$I,E1475,[1]Sheet1!$C:$C,A1475)</f>
        <v>40</v>
      </c>
      <c r="T1475">
        <f t="shared" ref="T1474:T1537" si="71">R1475-S1475</f>
        <v>-40</v>
      </c>
      <c r="U1475" s="9" t="s">
        <v>136</v>
      </c>
      <c r="V1475" t="s">
        <v>1150</v>
      </c>
      <c r="W1475" t="s">
        <v>138</v>
      </c>
      <c r="X1475" t="s">
        <v>62</v>
      </c>
      <c r="Y1475" t="s">
        <v>1066</v>
      </c>
      <c r="Z1475" t="s">
        <v>71</v>
      </c>
      <c r="AB1475" t="str">
        <f t="shared" si="69"/>
        <v>42352</v>
      </c>
    </row>
    <row r="1476" ht="14.25" spans="1:28">
      <c r="A1476" s="5" t="s">
        <v>28</v>
      </c>
      <c r="B1476" s="5" t="s">
        <v>697</v>
      </c>
      <c r="C1476" s="5">
        <v>2027</v>
      </c>
      <c r="D1476" s="5" t="s">
        <v>30</v>
      </c>
      <c r="E1476" t="s">
        <v>1147</v>
      </c>
      <c r="F1476" t="s">
        <v>1148</v>
      </c>
      <c r="G1476" t="s">
        <v>1064</v>
      </c>
      <c r="H1476" t="s">
        <v>1149</v>
      </c>
      <c r="I1476" t="s">
        <v>112</v>
      </c>
      <c r="J1476" t="s">
        <v>67</v>
      </c>
      <c r="K1476">
        <v>1190</v>
      </c>
      <c r="O1476" t="s">
        <v>68</v>
      </c>
      <c r="P1476" t="s">
        <v>72</v>
      </c>
      <c r="U1476" s="9" t="s">
        <v>136</v>
      </c>
      <c r="V1476" t="s">
        <v>1150</v>
      </c>
      <c r="W1476" t="s">
        <v>138</v>
      </c>
      <c r="X1476" t="s">
        <v>62</v>
      </c>
      <c r="Y1476" t="s">
        <v>1066</v>
      </c>
      <c r="Z1476" t="s">
        <v>71</v>
      </c>
      <c r="AB1476" t="str">
        <f t="shared" si="69"/>
        <v>42352</v>
      </c>
    </row>
    <row r="1477" ht="14.25" spans="1:28">
      <c r="A1477" s="5" t="s">
        <v>28</v>
      </c>
      <c r="B1477" s="5" t="s">
        <v>697</v>
      </c>
      <c r="C1477" s="5">
        <v>2027</v>
      </c>
      <c r="D1477" s="5" t="s">
        <v>30</v>
      </c>
      <c r="E1477" t="s">
        <v>1147</v>
      </c>
      <c r="F1477" t="s">
        <v>1148</v>
      </c>
      <c r="G1477" t="s">
        <v>1064</v>
      </c>
      <c r="H1477" t="s">
        <v>1149</v>
      </c>
      <c r="I1477" t="s">
        <v>112</v>
      </c>
      <c r="J1477" t="s">
        <v>67</v>
      </c>
      <c r="K1477">
        <v>1190</v>
      </c>
      <c r="O1477" t="s">
        <v>68</v>
      </c>
      <c r="P1477" t="s">
        <v>73</v>
      </c>
      <c r="U1477" s="9" t="s">
        <v>136</v>
      </c>
      <c r="V1477" t="s">
        <v>1150</v>
      </c>
      <c r="W1477" t="s">
        <v>138</v>
      </c>
      <c r="X1477" t="s">
        <v>62</v>
      </c>
      <c r="Y1477" t="s">
        <v>1066</v>
      </c>
      <c r="Z1477" t="s">
        <v>71</v>
      </c>
      <c r="AB1477" t="str">
        <f t="shared" si="69"/>
        <v>42352</v>
      </c>
    </row>
    <row r="1478" ht="14.25" spans="1:28">
      <c r="A1478" s="5" t="s">
        <v>28</v>
      </c>
      <c r="B1478" s="5" t="s">
        <v>697</v>
      </c>
      <c r="C1478" s="5">
        <v>2027</v>
      </c>
      <c r="D1478" s="5" t="s">
        <v>30</v>
      </c>
      <c r="E1478" t="s">
        <v>1147</v>
      </c>
      <c r="F1478" t="s">
        <v>1148</v>
      </c>
      <c r="G1478" t="s">
        <v>1064</v>
      </c>
      <c r="H1478" t="s">
        <v>1149</v>
      </c>
      <c r="I1478" t="s">
        <v>112</v>
      </c>
      <c r="J1478" t="s">
        <v>67</v>
      </c>
      <c r="K1478">
        <v>1190</v>
      </c>
      <c r="O1478" t="s">
        <v>68</v>
      </c>
      <c r="P1478" t="s">
        <v>74</v>
      </c>
      <c r="U1478" s="9" t="s">
        <v>136</v>
      </c>
      <c r="V1478" t="s">
        <v>1150</v>
      </c>
      <c r="W1478" t="s">
        <v>138</v>
      </c>
      <c r="X1478" t="s">
        <v>62</v>
      </c>
      <c r="Y1478" t="s">
        <v>1066</v>
      </c>
      <c r="Z1478" t="s">
        <v>71</v>
      </c>
      <c r="AB1478" t="str">
        <f t="shared" si="69"/>
        <v>42352</v>
      </c>
    </row>
    <row r="1479" ht="14.25" spans="1:28">
      <c r="A1479" s="5" t="s">
        <v>28</v>
      </c>
      <c r="B1479" s="5" t="s">
        <v>697</v>
      </c>
      <c r="C1479" s="5">
        <v>2027</v>
      </c>
      <c r="D1479" s="5" t="s">
        <v>30</v>
      </c>
      <c r="E1479" t="s">
        <v>1147</v>
      </c>
      <c r="F1479" t="s">
        <v>1148</v>
      </c>
      <c r="G1479" t="s">
        <v>1064</v>
      </c>
      <c r="H1479" t="s">
        <v>1149</v>
      </c>
      <c r="I1479" t="s">
        <v>112</v>
      </c>
      <c r="J1479" t="s">
        <v>67</v>
      </c>
      <c r="K1479">
        <v>1190</v>
      </c>
      <c r="O1479" t="s">
        <v>68</v>
      </c>
      <c r="P1479" t="s">
        <v>75</v>
      </c>
      <c r="U1479" s="9" t="s">
        <v>136</v>
      </c>
      <c r="V1479" t="s">
        <v>1150</v>
      </c>
      <c r="W1479" t="s">
        <v>138</v>
      </c>
      <c r="X1479" t="s">
        <v>62</v>
      </c>
      <c r="Y1479" t="s">
        <v>1066</v>
      </c>
      <c r="Z1479" t="s">
        <v>71</v>
      </c>
      <c r="AB1479" t="str">
        <f t="shared" si="69"/>
        <v>42352</v>
      </c>
    </row>
    <row r="1480" ht="14.25" spans="1:28">
      <c r="A1480" s="5" t="s">
        <v>28</v>
      </c>
      <c r="B1480" s="5" t="s">
        <v>697</v>
      </c>
      <c r="C1480" s="5">
        <v>2027</v>
      </c>
      <c r="D1480" s="5" t="s">
        <v>30</v>
      </c>
      <c r="E1480" t="s">
        <v>1147</v>
      </c>
      <c r="F1480" t="s">
        <v>1148</v>
      </c>
      <c r="G1480" t="s">
        <v>1064</v>
      </c>
      <c r="H1480" t="s">
        <v>1149</v>
      </c>
      <c r="I1480" t="s">
        <v>112</v>
      </c>
      <c r="J1480" t="s">
        <v>67</v>
      </c>
      <c r="K1480">
        <v>1190</v>
      </c>
      <c r="O1480" t="s">
        <v>68</v>
      </c>
      <c r="P1480" t="s">
        <v>76</v>
      </c>
      <c r="U1480" s="9" t="s">
        <v>136</v>
      </c>
      <c r="V1480" t="s">
        <v>1150</v>
      </c>
      <c r="W1480" t="s">
        <v>138</v>
      </c>
      <c r="X1480" t="s">
        <v>62</v>
      </c>
      <c r="Y1480" t="s">
        <v>1066</v>
      </c>
      <c r="Z1480" t="s">
        <v>71</v>
      </c>
      <c r="AB1480" t="str">
        <f t="shared" si="69"/>
        <v>42352</v>
      </c>
    </row>
    <row r="1481" ht="14.25" spans="1:28">
      <c r="A1481" s="5" t="s">
        <v>28</v>
      </c>
      <c r="B1481" s="5" t="s">
        <v>697</v>
      </c>
      <c r="C1481" s="5">
        <v>2027</v>
      </c>
      <c r="D1481" s="5" t="s">
        <v>30</v>
      </c>
      <c r="E1481" t="s">
        <v>1147</v>
      </c>
      <c r="F1481" t="s">
        <v>1148</v>
      </c>
      <c r="G1481" t="s">
        <v>1064</v>
      </c>
      <c r="H1481" t="s">
        <v>1149</v>
      </c>
      <c r="I1481" t="s">
        <v>112</v>
      </c>
      <c r="J1481" t="s">
        <v>67</v>
      </c>
      <c r="K1481">
        <v>1190</v>
      </c>
      <c r="O1481" t="s">
        <v>68</v>
      </c>
      <c r="P1481" t="s">
        <v>77</v>
      </c>
      <c r="U1481" s="9" t="s">
        <v>136</v>
      </c>
      <c r="V1481" t="s">
        <v>1150</v>
      </c>
      <c r="W1481" t="s">
        <v>138</v>
      </c>
      <c r="X1481" t="s">
        <v>62</v>
      </c>
      <c r="Y1481" t="s">
        <v>1066</v>
      </c>
      <c r="Z1481" t="s">
        <v>71</v>
      </c>
      <c r="AB1481" t="str">
        <f t="shared" si="69"/>
        <v>42352</v>
      </c>
    </row>
    <row r="1482" ht="14.25" spans="1:28">
      <c r="A1482" s="5" t="s">
        <v>28</v>
      </c>
      <c r="B1482" s="5" t="s">
        <v>697</v>
      </c>
      <c r="C1482" s="5">
        <v>2027</v>
      </c>
      <c r="D1482" s="5" t="s">
        <v>30</v>
      </c>
      <c r="E1482" t="s">
        <v>1147</v>
      </c>
      <c r="F1482" t="s">
        <v>1148</v>
      </c>
      <c r="G1482" t="s">
        <v>1064</v>
      </c>
      <c r="H1482" t="s">
        <v>1149</v>
      </c>
      <c r="I1482" t="s">
        <v>112</v>
      </c>
      <c r="J1482" t="s">
        <v>67</v>
      </c>
      <c r="K1482">
        <v>1190</v>
      </c>
      <c r="O1482" t="s">
        <v>68</v>
      </c>
      <c r="P1482" t="s">
        <v>78</v>
      </c>
      <c r="U1482" s="9" t="s">
        <v>136</v>
      </c>
      <c r="V1482" t="s">
        <v>1150</v>
      </c>
      <c r="W1482" t="s">
        <v>138</v>
      </c>
      <c r="X1482" t="s">
        <v>62</v>
      </c>
      <c r="Y1482" t="s">
        <v>1066</v>
      </c>
      <c r="Z1482" t="s">
        <v>71</v>
      </c>
      <c r="AB1482" t="str">
        <f t="shared" si="69"/>
        <v>42352</v>
      </c>
    </row>
    <row r="1483" ht="14.25" spans="1:28">
      <c r="A1483" s="5" t="s">
        <v>28</v>
      </c>
      <c r="B1483" s="5" t="s">
        <v>697</v>
      </c>
      <c r="C1483" s="5">
        <v>2027</v>
      </c>
      <c r="D1483" s="5" t="s">
        <v>30</v>
      </c>
      <c r="E1483" t="s">
        <v>1147</v>
      </c>
      <c r="F1483" t="s">
        <v>1148</v>
      </c>
      <c r="G1483" t="s">
        <v>1064</v>
      </c>
      <c r="H1483" t="s">
        <v>1149</v>
      </c>
      <c r="I1483" t="s">
        <v>112</v>
      </c>
      <c r="J1483" t="s">
        <v>67</v>
      </c>
      <c r="K1483">
        <v>1190</v>
      </c>
      <c r="O1483" t="s">
        <v>68</v>
      </c>
      <c r="P1483" t="s">
        <v>79</v>
      </c>
      <c r="U1483" s="9" t="s">
        <v>136</v>
      </c>
      <c r="V1483" t="s">
        <v>1150</v>
      </c>
      <c r="W1483" t="s">
        <v>138</v>
      </c>
      <c r="X1483" t="s">
        <v>62</v>
      </c>
      <c r="Y1483" t="s">
        <v>1066</v>
      </c>
      <c r="Z1483" t="s">
        <v>71</v>
      </c>
      <c r="AB1483" t="str">
        <f t="shared" si="69"/>
        <v>42352</v>
      </c>
    </row>
    <row r="1484" ht="14.25" spans="1:28">
      <c r="A1484" s="5" t="s">
        <v>28</v>
      </c>
      <c r="B1484" s="5" t="s">
        <v>697</v>
      </c>
      <c r="C1484" s="5">
        <v>2027</v>
      </c>
      <c r="D1484" s="5" t="s">
        <v>30</v>
      </c>
      <c r="E1484" t="s">
        <v>1151</v>
      </c>
      <c r="F1484" t="s">
        <v>1152</v>
      </c>
      <c r="G1484" t="s">
        <v>100</v>
      </c>
      <c r="H1484" t="s">
        <v>1153</v>
      </c>
      <c r="I1484" t="s">
        <v>119</v>
      </c>
      <c r="J1484" t="s">
        <v>76</v>
      </c>
      <c r="K1484">
        <v>1590</v>
      </c>
      <c r="O1484" t="s">
        <v>68</v>
      </c>
      <c r="P1484" t="s">
        <v>69</v>
      </c>
      <c r="R1484">
        <f t="shared" si="70"/>
        <v>0</v>
      </c>
      <c r="S1484">
        <f>SUMIFS([1]Sheet1!$T:$T,[1]Sheet1!$I:$I,E1484,[1]Sheet1!$C:$C,A1484)</f>
        <v>300</v>
      </c>
      <c r="T1484">
        <f t="shared" si="71"/>
        <v>-300</v>
      </c>
      <c r="U1484" s="9" t="s">
        <v>136</v>
      </c>
      <c r="V1484" t="s">
        <v>137</v>
      </c>
      <c r="W1484" t="s">
        <v>138</v>
      </c>
      <c r="X1484" t="s">
        <v>102</v>
      </c>
      <c r="Y1484" t="s">
        <v>1154</v>
      </c>
      <c r="Z1484" t="s">
        <v>140</v>
      </c>
      <c r="AA1484" t="s">
        <v>1155</v>
      </c>
      <c r="AB1484" t="str">
        <f t="shared" si="69"/>
        <v>42525</v>
      </c>
    </row>
    <row r="1485" ht="14.25" spans="1:28">
      <c r="A1485" s="5" t="s">
        <v>28</v>
      </c>
      <c r="B1485" s="5" t="s">
        <v>697</v>
      </c>
      <c r="C1485" s="5">
        <v>2027</v>
      </c>
      <c r="D1485" s="5" t="s">
        <v>30</v>
      </c>
      <c r="E1485" t="s">
        <v>1151</v>
      </c>
      <c r="F1485" t="s">
        <v>1152</v>
      </c>
      <c r="G1485" t="s">
        <v>100</v>
      </c>
      <c r="H1485" t="s">
        <v>1153</v>
      </c>
      <c r="I1485" t="s">
        <v>119</v>
      </c>
      <c r="J1485" t="s">
        <v>76</v>
      </c>
      <c r="K1485">
        <v>1590</v>
      </c>
      <c r="O1485" t="s">
        <v>68</v>
      </c>
      <c r="P1485" t="s">
        <v>72</v>
      </c>
      <c r="U1485" s="9" t="s">
        <v>136</v>
      </c>
      <c r="V1485" t="s">
        <v>137</v>
      </c>
      <c r="W1485" t="s">
        <v>138</v>
      </c>
      <c r="X1485" t="s">
        <v>102</v>
      </c>
      <c r="Y1485" t="s">
        <v>1154</v>
      </c>
      <c r="Z1485" t="s">
        <v>140</v>
      </c>
      <c r="AA1485" t="s">
        <v>1155</v>
      </c>
      <c r="AB1485" t="str">
        <f t="shared" si="69"/>
        <v>42525</v>
      </c>
    </row>
    <row r="1486" ht="14.25" spans="1:28">
      <c r="A1486" s="5" t="s">
        <v>28</v>
      </c>
      <c r="B1486" s="5" t="s">
        <v>697</v>
      </c>
      <c r="C1486" s="5">
        <v>2027</v>
      </c>
      <c r="D1486" s="5" t="s">
        <v>30</v>
      </c>
      <c r="E1486" t="s">
        <v>1151</v>
      </c>
      <c r="F1486" t="s">
        <v>1152</v>
      </c>
      <c r="G1486" t="s">
        <v>100</v>
      </c>
      <c r="H1486" t="s">
        <v>1153</v>
      </c>
      <c r="I1486" t="s">
        <v>119</v>
      </c>
      <c r="J1486" t="s">
        <v>76</v>
      </c>
      <c r="K1486">
        <v>1590</v>
      </c>
      <c r="O1486" t="s">
        <v>68</v>
      </c>
      <c r="P1486" t="s">
        <v>73</v>
      </c>
      <c r="U1486" s="9" t="s">
        <v>136</v>
      </c>
      <c r="V1486" t="s">
        <v>137</v>
      </c>
      <c r="W1486" t="s">
        <v>138</v>
      </c>
      <c r="X1486" t="s">
        <v>102</v>
      </c>
      <c r="Y1486" t="s">
        <v>1154</v>
      </c>
      <c r="Z1486" t="s">
        <v>140</v>
      </c>
      <c r="AA1486" t="s">
        <v>1155</v>
      </c>
      <c r="AB1486" t="str">
        <f t="shared" si="69"/>
        <v>42525</v>
      </c>
    </row>
    <row r="1487" ht="14.25" spans="1:28">
      <c r="A1487" s="5" t="s">
        <v>28</v>
      </c>
      <c r="B1487" s="5" t="s">
        <v>697</v>
      </c>
      <c r="C1487" s="5">
        <v>2027</v>
      </c>
      <c r="D1487" s="5" t="s">
        <v>30</v>
      </c>
      <c r="E1487" t="s">
        <v>1151</v>
      </c>
      <c r="F1487" t="s">
        <v>1152</v>
      </c>
      <c r="G1487" t="s">
        <v>100</v>
      </c>
      <c r="H1487" t="s">
        <v>1153</v>
      </c>
      <c r="I1487" t="s">
        <v>119</v>
      </c>
      <c r="J1487" t="s">
        <v>76</v>
      </c>
      <c r="K1487">
        <v>1590</v>
      </c>
      <c r="O1487" t="s">
        <v>68</v>
      </c>
      <c r="P1487" t="s">
        <v>74</v>
      </c>
      <c r="U1487" s="9" t="s">
        <v>136</v>
      </c>
      <c r="V1487" t="s">
        <v>137</v>
      </c>
      <c r="W1487" t="s">
        <v>138</v>
      </c>
      <c r="X1487" t="s">
        <v>102</v>
      </c>
      <c r="Y1487" t="s">
        <v>1154</v>
      </c>
      <c r="Z1487" t="s">
        <v>140</v>
      </c>
      <c r="AA1487" t="s">
        <v>1155</v>
      </c>
      <c r="AB1487" t="str">
        <f t="shared" si="69"/>
        <v>42525</v>
      </c>
    </row>
    <row r="1488" ht="14.25" spans="1:28">
      <c r="A1488" s="5" t="s">
        <v>28</v>
      </c>
      <c r="B1488" s="5" t="s">
        <v>697</v>
      </c>
      <c r="C1488" s="5">
        <v>2027</v>
      </c>
      <c r="D1488" s="5" t="s">
        <v>30</v>
      </c>
      <c r="E1488" t="s">
        <v>1151</v>
      </c>
      <c r="F1488" t="s">
        <v>1152</v>
      </c>
      <c r="G1488" t="s">
        <v>100</v>
      </c>
      <c r="H1488" t="s">
        <v>1153</v>
      </c>
      <c r="I1488" t="s">
        <v>119</v>
      </c>
      <c r="J1488" t="s">
        <v>76</v>
      </c>
      <c r="K1488">
        <v>1590</v>
      </c>
      <c r="O1488" t="s">
        <v>68</v>
      </c>
      <c r="P1488" t="s">
        <v>75</v>
      </c>
      <c r="U1488" s="9" t="s">
        <v>136</v>
      </c>
      <c r="V1488" t="s">
        <v>137</v>
      </c>
      <c r="W1488" t="s">
        <v>138</v>
      </c>
      <c r="X1488" t="s">
        <v>102</v>
      </c>
      <c r="Y1488" t="s">
        <v>1154</v>
      </c>
      <c r="Z1488" t="s">
        <v>140</v>
      </c>
      <c r="AA1488" t="s">
        <v>1155</v>
      </c>
      <c r="AB1488" t="str">
        <f t="shared" si="69"/>
        <v>42525</v>
      </c>
    </row>
    <row r="1489" ht="14.25" spans="1:28">
      <c r="A1489" s="5" t="s">
        <v>28</v>
      </c>
      <c r="B1489" s="5" t="s">
        <v>697</v>
      </c>
      <c r="C1489" s="5">
        <v>2027</v>
      </c>
      <c r="D1489" s="5" t="s">
        <v>30</v>
      </c>
      <c r="E1489" t="s">
        <v>1151</v>
      </c>
      <c r="F1489" t="s">
        <v>1152</v>
      </c>
      <c r="G1489" t="s">
        <v>100</v>
      </c>
      <c r="H1489" t="s">
        <v>1153</v>
      </c>
      <c r="I1489" t="s">
        <v>119</v>
      </c>
      <c r="J1489" t="s">
        <v>76</v>
      </c>
      <c r="K1489">
        <v>1590</v>
      </c>
      <c r="O1489" t="s">
        <v>68</v>
      </c>
      <c r="P1489" t="s">
        <v>76</v>
      </c>
      <c r="U1489" s="9" t="s">
        <v>136</v>
      </c>
      <c r="V1489" t="s">
        <v>137</v>
      </c>
      <c r="W1489" t="s">
        <v>138</v>
      </c>
      <c r="X1489" t="s">
        <v>102</v>
      </c>
      <c r="Y1489" t="s">
        <v>1154</v>
      </c>
      <c r="Z1489" t="s">
        <v>140</v>
      </c>
      <c r="AA1489" t="s">
        <v>1155</v>
      </c>
      <c r="AB1489" t="str">
        <f t="shared" si="69"/>
        <v>42525</v>
      </c>
    </row>
    <row r="1490" ht="14.25" spans="1:28">
      <c r="A1490" s="5" t="s">
        <v>28</v>
      </c>
      <c r="B1490" s="5" t="s">
        <v>697</v>
      </c>
      <c r="C1490" s="5">
        <v>2027</v>
      </c>
      <c r="D1490" s="5" t="s">
        <v>30</v>
      </c>
      <c r="E1490" t="s">
        <v>1151</v>
      </c>
      <c r="F1490" t="s">
        <v>1152</v>
      </c>
      <c r="G1490" t="s">
        <v>100</v>
      </c>
      <c r="H1490" t="s">
        <v>1153</v>
      </c>
      <c r="I1490" t="s">
        <v>119</v>
      </c>
      <c r="J1490" t="s">
        <v>76</v>
      </c>
      <c r="K1490">
        <v>1590</v>
      </c>
      <c r="O1490" t="s">
        <v>68</v>
      </c>
      <c r="P1490" t="s">
        <v>77</v>
      </c>
      <c r="U1490" s="9" t="s">
        <v>136</v>
      </c>
      <c r="V1490" t="s">
        <v>137</v>
      </c>
      <c r="W1490" t="s">
        <v>138</v>
      </c>
      <c r="X1490" t="s">
        <v>102</v>
      </c>
      <c r="Y1490" t="s">
        <v>1154</v>
      </c>
      <c r="Z1490" t="s">
        <v>140</v>
      </c>
      <c r="AA1490" t="s">
        <v>1155</v>
      </c>
      <c r="AB1490" t="str">
        <f t="shared" si="69"/>
        <v>42525</v>
      </c>
    </row>
    <row r="1491" ht="14.25" spans="1:28">
      <c r="A1491" s="5" t="s">
        <v>28</v>
      </c>
      <c r="B1491" s="5" t="s">
        <v>697</v>
      </c>
      <c r="C1491" s="5">
        <v>2027</v>
      </c>
      <c r="D1491" s="5" t="s">
        <v>30</v>
      </c>
      <c r="E1491" t="s">
        <v>1151</v>
      </c>
      <c r="F1491" t="s">
        <v>1152</v>
      </c>
      <c r="G1491" t="s">
        <v>100</v>
      </c>
      <c r="H1491" t="s">
        <v>1153</v>
      </c>
      <c r="I1491" t="s">
        <v>119</v>
      </c>
      <c r="J1491" t="s">
        <v>76</v>
      </c>
      <c r="K1491">
        <v>1590</v>
      </c>
      <c r="O1491" t="s">
        <v>68</v>
      </c>
      <c r="P1491" t="s">
        <v>78</v>
      </c>
      <c r="U1491" s="9" t="s">
        <v>136</v>
      </c>
      <c r="V1491" t="s">
        <v>137</v>
      </c>
      <c r="W1491" t="s">
        <v>138</v>
      </c>
      <c r="X1491" t="s">
        <v>102</v>
      </c>
      <c r="Y1491" t="s">
        <v>1154</v>
      </c>
      <c r="Z1491" t="s">
        <v>140</v>
      </c>
      <c r="AA1491" t="s">
        <v>1155</v>
      </c>
      <c r="AB1491" t="str">
        <f t="shared" si="69"/>
        <v>42525</v>
      </c>
    </row>
    <row r="1492" ht="14.25" spans="1:28">
      <c r="A1492" s="5" t="s">
        <v>28</v>
      </c>
      <c r="B1492" s="5" t="s">
        <v>697</v>
      </c>
      <c r="C1492" s="5">
        <v>2027</v>
      </c>
      <c r="D1492" s="5" t="s">
        <v>30</v>
      </c>
      <c r="E1492" t="s">
        <v>1151</v>
      </c>
      <c r="F1492" t="s">
        <v>1152</v>
      </c>
      <c r="G1492" t="s">
        <v>100</v>
      </c>
      <c r="H1492" t="s">
        <v>1153</v>
      </c>
      <c r="I1492" t="s">
        <v>119</v>
      </c>
      <c r="J1492" t="s">
        <v>76</v>
      </c>
      <c r="K1492">
        <v>1590</v>
      </c>
      <c r="O1492" t="s">
        <v>68</v>
      </c>
      <c r="P1492" t="s">
        <v>79</v>
      </c>
      <c r="U1492" s="9" t="s">
        <v>136</v>
      </c>
      <c r="V1492" t="s">
        <v>137</v>
      </c>
      <c r="W1492" t="s">
        <v>138</v>
      </c>
      <c r="X1492" t="s">
        <v>102</v>
      </c>
      <c r="Y1492" t="s">
        <v>1154</v>
      </c>
      <c r="Z1492" t="s">
        <v>140</v>
      </c>
      <c r="AA1492" t="s">
        <v>1155</v>
      </c>
      <c r="AB1492" t="str">
        <f t="shared" si="69"/>
        <v>42525</v>
      </c>
    </row>
    <row r="1493" ht="14.25" spans="1:28">
      <c r="A1493" s="5" t="s">
        <v>28</v>
      </c>
      <c r="B1493" s="5" t="s">
        <v>697</v>
      </c>
      <c r="C1493" s="5">
        <v>2027</v>
      </c>
      <c r="D1493" s="5" t="s">
        <v>30</v>
      </c>
      <c r="E1493" t="s">
        <v>1151</v>
      </c>
      <c r="F1493" t="s">
        <v>1152</v>
      </c>
      <c r="G1493" t="s">
        <v>100</v>
      </c>
      <c r="H1493" t="s">
        <v>1153</v>
      </c>
      <c r="I1493" t="s">
        <v>119</v>
      </c>
      <c r="J1493" t="s">
        <v>74</v>
      </c>
      <c r="K1493">
        <v>1590</v>
      </c>
      <c r="O1493" t="s">
        <v>68</v>
      </c>
      <c r="P1493" t="s">
        <v>69</v>
      </c>
      <c r="U1493" s="9" t="s">
        <v>136</v>
      </c>
      <c r="V1493" t="s">
        <v>137</v>
      </c>
      <c r="W1493" t="s">
        <v>138</v>
      </c>
      <c r="X1493" t="s">
        <v>102</v>
      </c>
      <c r="Y1493" t="s">
        <v>1154</v>
      </c>
      <c r="Z1493" t="s">
        <v>140</v>
      </c>
      <c r="AA1493" t="s">
        <v>1155</v>
      </c>
      <c r="AB1493" t="str">
        <f t="shared" si="69"/>
        <v>42525</v>
      </c>
    </row>
    <row r="1494" ht="14.25" spans="1:28">
      <c r="A1494" s="5" t="s">
        <v>28</v>
      </c>
      <c r="B1494" s="5" t="s">
        <v>697</v>
      </c>
      <c r="C1494" s="5">
        <v>2027</v>
      </c>
      <c r="D1494" s="5" t="s">
        <v>30</v>
      </c>
      <c r="E1494" t="s">
        <v>1151</v>
      </c>
      <c r="F1494" t="s">
        <v>1152</v>
      </c>
      <c r="G1494" t="s">
        <v>100</v>
      </c>
      <c r="H1494" t="s">
        <v>1153</v>
      </c>
      <c r="I1494" t="s">
        <v>119</v>
      </c>
      <c r="J1494" t="s">
        <v>74</v>
      </c>
      <c r="K1494">
        <v>1590</v>
      </c>
      <c r="O1494" t="s">
        <v>68</v>
      </c>
      <c r="P1494" t="s">
        <v>72</v>
      </c>
      <c r="U1494" s="9" t="s">
        <v>136</v>
      </c>
      <c r="V1494" t="s">
        <v>137</v>
      </c>
      <c r="W1494" t="s">
        <v>138</v>
      </c>
      <c r="X1494" t="s">
        <v>102</v>
      </c>
      <c r="Y1494" t="s">
        <v>1154</v>
      </c>
      <c r="Z1494" t="s">
        <v>140</v>
      </c>
      <c r="AA1494" t="s">
        <v>1155</v>
      </c>
      <c r="AB1494" t="str">
        <f t="shared" si="69"/>
        <v>42525</v>
      </c>
    </row>
    <row r="1495" ht="14.25" spans="1:28">
      <c r="A1495" s="5" t="s">
        <v>28</v>
      </c>
      <c r="B1495" s="5" t="s">
        <v>697</v>
      </c>
      <c r="C1495" s="5">
        <v>2027</v>
      </c>
      <c r="D1495" s="5" t="s">
        <v>30</v>
      </c>
      <c r="E1495" t="s">
        <v>1151</v>
      </c>
      <c r="F1495" t="s">
        <v>1152</v>
      </c>
      <c r="G1495" t="s">
        <v>100</v>
      </c>
      <c r="H1495" t="s">
        <v>1153</v>
      </c>
      <c r="I1495" t="s">
        <v>119</v>
      </c>
      <c r="J1495" t="s">
        <v>74</v>
      </c>
      <c r="K1495">
        <v>1590</v>
      </c>
      <c r="O1495" t="s">
        <v>68</v>
      </c>
      <c r="P1495" t="s">
        <v>73</v>
      </c>
      <c r="U1495" s="9" t="s">
        <v>136</v>
      </c>
      <c r="V1495" t="s">
        <v>137</v>
      </c>
      <c r="W1495" t="s">
        <v>138</v>
      </c>
      <c r="X1495" t="s">
        <v>102</v>
      </c>
      <c r="Y1495" t="s">
        <v>1154</v>
      </c>
      <c r="Z1495" t="s">
        <v>140</v>
      </c>
      <c r="AA1495" t="s">
        <v>1155</v>
      </c>
      <c r="AB1495" t="str">
        <f t="shared" si="69"/>
        <v>42525</v>
      </c>
    </row>
    <row r="1496" ht="14.25" spans="1:28">
      <c r="A1496" s="5" t="s">
        <v>28</v>
      </c>
      <c r="B1496" s="5" t="s">
        <v>697</v>
      </c>
      <c r="C1496" s="5">
        <v>2027</v>
      </c>
      <c r="D1496" s="5" t="s">
        <v>30</v>
      </c>
      <c r="E1496" t="s">
        <v>1151</v>
      </c>
      <c r="F1496" t="s">
        <v>1152</v>
      </c>
      <c r="G1496" t="s">
        <v>100</v>
      </c>
      <c r="H1496" t="s">
        <v>1153</v>
      </c>
      <c r="I1496" t="s">
        <v>119</v>
      </c>
      <c r="J1496" t="s">
        <v>74</v>
      </c>
      <c r="K1496">
        <v>1590</v>
      </c>
      <c r="O1496" t="s">
        <v>68</v>
      </c>
      <c r="P1496" t="s">
        <v>74</v>
      </c>
      <c r="U1496" s="9" t="s">
        <v>136</v>
      </c>
      <c r="V1496" t="s">
        <v>137</v>
      </c>
      <c r="W1496" t="s">
        <v>138</v>
      </c>
      <c r="X1496" t="s">
        <v>102</v>
      </c>
      <c r="Y1496" t="s">
        <v>1154</v>
      </c>
      <c r="Z1496" t="s">
        <v>140</v>
      </c>
      <c r="AA1496" t="s">
        <v>1155</v>
      </c>
      <c r="AB1496" t="str">
        <f t="shared" si="69"/>
        <v>42525</v>
      </c>
    </row>
    <row r="1497" ht="14.25" spans="1:28">
      <c r="A1497" s="5" t="s">
        <v>28</v>
      </c>
      <c r="B1497" s="5" t="s">
        <v>697</v>
      </c>
      <c r="C1497" s="5">
        <v>2027</v>
      </c>
      <c r="D1497" s="5" t="s">
        <v>30</v>
      </c>
      <c r="E1497" t="s">
        <v>1151</v>
      </c>
      <c r="F1497" t="s">
        <v>1152</v>
      </c>
      <c r="G1497" t="s">
        <v>100</v>
      </c>
      <c r="H1497" t="s">
        <v>1153</v>
      </c>
      <c r="I1497" t="s">
        <v>119</v>
      </c>
      <c r="J1497" t="s">
        <v>74</v>
      </c>
      <c r="K1497">
        <v>1590</v>
      </c>
      <c r="O1497" t="s">
        <v>68</v>
      </c>
      <c r="P1497" t="s">
        <v>75</v>
      </c>
      <c r="U1497" s="9" t="s">
        <v>136</v>
      </c>
      <c r="V1497" t="s">
        <v>137</v>
      </c>
      <c r="W1497" t="s">
        <v>138</v>
      </c>
      <c r="X1497" t="s">
        <v>102</v>
      </c>
      <c r="Y1497" t="s">
        <v>1154</v>
      </c>
      <c r="Z1497" t="s">
        <v>140</v>
      </c>
      <c r="AA1497" t="s">
        <v>1155</v>
      </c>
      <c r="AB1497" t="str">
        <f t="shared" si="69"/>
        <v>42525</v>
      </c>
    </row>
    <row r="1498" ht="14.25" spans="1:28">
      <c r="A1498" s="5" t="s">
        <v>28</v>
      </c>
      <c r="B1498" s="5" t="s">
        <v>697</v>
      </c>
      <c r="C1498" s="5">
        <v>2027</v>
      </c>
      <c r="D1498" s="5" t="s">
        <v>30</v>
      </c>
      <c r="E1498" t="s">
        <v>1151</v>
      </c>
      <c r="F1498" t="s">
        <v>1152</v>
      </c>
      <c r="G1498" t="s">
        <v>100</v>
      </c>
      <c r="H1498" t="s">
        <v>1153</v>
      </c>
      <c r="I1498" t="s">
        <v>119</v>
      </c>
      <c r="J1498" t="s">
        <v>74</v>
      </c>
      <c r="K1498">
        <v>1590</v>
      </c>
      <c r="O1498" t="s">
        <v>68</v>
      </c>
      <c r="P1498" t="s">
        <v>76</v>
      </c>
      <c r="U1498" s="9" t="s">
        <v>136</v>
      </c>
      <c r="V1498" t="s">
        <v>137</v>
      </c>
      <c r="W1498" t="s">
        <v>138</v>
      </c>
      <c r="X1498" t="s">
        <v>102</v>
      </c>
      <c r="Y1498" t="s">
        <v>1154</v>
      </c>
      <c r="Z1498" t="s">
        <v>140</v>
      </c>
      <c r="AA1498" t="s">
        <v>1155</v>
      </c>
      <c r="AB1498" t="str">
        <f t="shared" si="69"/>
        <v>42525</v>
      </c>
    </row>
    <row r="1499" ht="14.25" spans="1:28">
      <c r="A1499" s="5" t="s">
        <v>28</v>
      </c>
      <c r="B1499" s="5" t="s">
        <v>697</v>
      </c>
      <c r="C1499" s="5">
        <v>2027</v>
      </c>
      <c r="D1499" s="5" t="s">
        <v>30</v>
      </c>
      <c r="E1499" t="s">
        <v>1151</v>
      </c>
      <c r="F1499" t="s">
        <v>1152</v>
      </c>
      <c r="G1499" t="s">
        <v>100</v>
      </c>
      <c r="H1499" t="s">
        <v>1153</v>
      </c>
      <c r="I1499" t="s">
        <v>119</v>
      </c>
      <c r="J1499" t="s">
        <v>74</v>
      </c>
      <c r="K1499">
        <v>1590</v>
      </c>
      <c r="O1499" t="s">
        <v>68</v>
      </c>
      <c r="P1499" t="s">
        <v>77</v>
      </c>
      <c r="U1499" s="9" t="s">
        <v>136</v>
      </c>
      <c r="V1499" t="s">
        <v>137</v>
      </c>
      <c r="W1499" t="s">
        <v>138</v>
      </c>
      <c r="X1499" t="s">
        <v>102</v>
      </c>
      <c r="Y1499" t="s">
        <v>1154</v>
      </c>
      <c r="Z1499" t="s">
        <v>140</v>
      </c>
      <c r="AA1499" t="s">
        <v>1155</v>
      </c>
      <c r="AB1499" t="str">
        <f t="shared" si="69"/>
        <v>42525</v>
      </c>
    </row>
    <row r="1500" ht="14.25" spans="1:28">
      <c r="A1500" s="5" t="s">
        <v>28</v>
      </c>
      <c r="B1500" s="5" t="s">
        <v>697</v>
      </c>
      <c r="C1500" s="5">
        <v>2027</v>
      </c>
      <c r="D1500" s="5" t="s">
        <v>30</v>
      </c>
      <c r="E1500" t="s">
        <v>1151</v>
      </c>
      <c r="F1500" t="s">
        <v>1152</v>
      </c>
      <c r="G1500" t="s">
        <v>100</v>
      </c>
      <c r="H1500" t="s">
        <v>1153</v>
      </c>
      <c r="I1500" t="s">
        <v>119</v>
      </c>
      <c r="J1500" t="s">
        <v>74</v>
      </c>
      <c r="K1500">
        <v>1590</v>
      </c>
      <c r="O1500" t="s">
        <v>68</v>
      </c>
      <c r="P1500" t="s">
        <v>78</v>
      </c>
      <c r="U1500" s="9" t="s">
        <v>136</v>
      </c>
      <c r="V1500" t="s">
        <v>137</v>
      </c>
      <c r="W1500" t="s">
        <v>138</v>
      </c>
      <c r="X1500" t="s">
        <v>102</v>
      </c>
      <c r="Y1500" t="s">
        <v>1154</v>
      </c>
      <c r="Z1500" t="s">
        <v>140</v>
      </c>
      <c r="AA1500" t="s">
        <v>1155</v>
      </c>
      <c r="AB1500" t="str">
        <f t="shared" si="69"/>
        <v>42525</v>
      </c>
    </row>
    <row r="1501" ht="14.25" spans="1:28">
      <c r="A1501" s="5" t="s">
        <v>28</v>
      </c>
      <c r="B1501" s="5" t="s">
        <v>697</v>
      </c>
      <c r="C1501" s="5">
        <v>2027</v>
      </c>
      <c r="D1501" s="5" t="s">
        <v>30</v>
      </c>
      <c r="E1501" t="s">
        <v>1151</v>
      </c>
      <c r="F1501" t="s">
        <v>1152</v>
      </c>
      <c r="G1501" t="s">
        <v>100</v>
      </c>
      <c r="H1501" t="s">
        <v>1153</v>
      </c>
      <c r="I1501" t="s">
        <v>119</v>
      </c>
      <c r="J1501" t="s">
        <v>74</v>
      </c>
      <c r="K1501">
        <v>1590</v>
      </c>
      <c r="O1501" t="s">
        <v>68</v>
      </c>
      <c r="P1501" t="s">
        <v>79</v>
      </c>
      <c r="U1501" s="9" t="s">
        <v>136</v>
      </c>
      <c r="V1501" t="s">
        <v>137</v>
      </c>
      <c r="W1501" t="s">
        <v>138</v>
      </c>
      <c r="X1501" t="s">
        <v>102</v>
      </c>
      <c r="Y1501" t="s">
        <v>1154</v>
      </c>
      <c r="Z1501" t="s">
        <v>140</v>
      </c>
      <c r="AA1501" t="s">
        <v>1155</v>
      </c>
      <c r="AB1501" t="str">
        <f t="shared" si="69"/>
        <v>42525</v>
      </c>
    </row>
    <row r="1502" ht="14.25" spans="1:28">
      <c r="A1502" s="5" t="s">
        <v>28</v>
      </c>
      <c r="B1502" s="5" t="s">
        <v>697</v>
      </c>
      <c r="C1502" s="5">
        <v>2027</v>
      </c>
      <c r="D1502" s="5" t="s">
        <v>30</v>
      </c>
      <c r="E1502" t="s">
        <v>1156</v>
      </c>
      <c r="F1502" t="s">
        <v>1152</v>
      </c>
      <c r="G1502" t="s">
        <v>1157</v>
      </c>
      <c r="H1502" t="s">
        <v>1158</v>
      </c>
      <c r="I1502" t="s">
        <v>119</v>
      </c>
      <c r="J1502" t="s">
        <v>74</v>
      </c>
      <c r="K1502">
        <v>1590</v>
      </c>
      <c r="O1502" t="s">
        <v>68</v>
      </c>
      <c r="P1502" t="s">
        <v>69</v>
      </c>
      <c r="R1502">
        <f t="shared" si="70"/>
        <v>0</v>
      </c>
      <c r="S1502">
        <f>SUMIFS([1]Sheet1!$T:$T,[1]Sheet1!$I:$I,E1502,[1]Sheet1!$C:$C,A1502)</f>
        <v>150</v>
      </c>
      <c r="T1502">
        <f t="shared" si="71"/>
        <v>-150</v>
      </c>
      <c r="U1502" s="9" t="s">
        <v>136</v>
      </c>
      <c r="V1502" t="s">
        <v>137</v>
      </c>
      <c r="W1502" t="s">
        <v>138</v>
      </c>
      <c r="X1502" t="s">
        <v>70</v>
      </c>
      <c r="Y1502" t="s">
        <v>1154</v>
      </c>
      <c r="Z1502" t="s">
        <v>140</v>
      </c>
      <c r="AA1502" t="s">
        <v>1155</v>
      </c>
      <c r="AB1502" t="str">
        <f t="shared" si="69"/>
        <v>42525</v>
      </c>
    </row>
    <row r="1503" ht="14.25" spans="1:28">
      <c r="A1503" s="5" t="s">
        <v>28</v>
      </c>
      <c r="B1503" s="5" t="s">
        <v>697</v>
      </c>
      <c r="C1503" s="5">
        <v>2027</v>
      </c>
      <c r="D1503" s="5" t="s">
        <v>30</v>
      </c>
      <c r="E1503" t="s">
        <v>1156</v>
      </c>
      <c r="F1503" t="s">
        <v>1152</v>
      </c>
      <c r="G1503" t="s">
        <v>1157</v>
      </c>
      <c r="H1503" t="s">
        <v>1158</v>
      </c>
      <c r="I1503" t="s">
        <v>119</v>
      </c>
      <c r="J1503" t="s">
        <v>74</v>
      </c>
      <c r="K1503">
        <v>1590</v>
      </c>
      <c r="O1503" t="s">
        <v>68</v>
      </c>
      <c r="P1503" t="s">
        <v>72</v>
      </c>
      <c r="U1503" s="9" t="s">
        <v>136</v>
      </c>
      <c r="V1503" t="s">
        <v>137</v>
      </c>
      <c r="W1503" t="s">
        <v>138</v>
      </c>
      <c r="X1503" t="s">
        <v>70</v>
      </c>
      <c r="Y1503" t="s">
        <v>1154</v>
      </c>
      <c r="Z1503" t="s">
        <v>140</v>
      </c>
      <c r="AA1503" t="s">
        <v>1155</v>
      </c>
      <c r="AB1503" t="str">
        <f t="shared" si="69"/>
        <v>42525</v>
      </c>
    </row>
    <row r="1504" ht="14.25" spans="1:28">
      <c r="A1504" s="5" t="s">
        <v>28</v>
      </c>
      <c r="B1504" s="5" t="s">
        <v>697</v>
      </c>
      <c r="C1504" s="5">
        <v>2027</v>
      </c>
      <c r="D1504" s="5" t="s">
        <v>30</v>
      </c>
      <c r="E1504" t="s">
        <v>1156</v>
      </c>
      <c r="F1504" t="s">
        <v>1152</v>
      </c>
      <c r="G1504" t="s">
        <v>1157</v>
      </c>
      <c r="H1504" t="s">
        <v>1158</v>
      </c>
      <c r="I1504" t="s">
        <v>119</v>
      </c>
      <c r="J1504" t="s">
        <v>74</v>
      </c>
      <c r="K1504">
        <v>1590</v>
      </c>
      <c r="O1504" t="s">
        <v>68</v>
      </c>
      <c r="P1504" t="s">
        <v>73</v>
      </c>
      <c r="U1504" s="9" t="s">
        <v>136</v>
      </c>
      <c r="V1504" t="s">
        <v>137</v>
      </c>
      <c r="W1504" t="s">
        <v>138</v>
      </c>
      <c r="X1504" t="s">
        <v>70</v>
      </c>
      <c r="Y1504" t="s">
        <v>1154</v>
      </c>
      <c r="Z1504" t="s">
        <v>140</v>
      </c>
      <c r="AA1504" t="s">
        <v>1155</v>
      </c>
      <c r="AB1504" t="str">
        <f t="shared" si="69"/>
        <v>42525</v>
      </c>
    </row>
    <row r="1505" ht="14.25" spans="1:28">
      <c r="A1505" s="5" t="s">
        <v>28</v>
      </c>
      <c r="B1505" s="5" t="s">
        <v>697</v>
      </c>
      <c r="C1505" s="5">
        <v>2027</v>
      </c>
      <c r="D1505" s="5" t="s">
        <v>30</v>
      </c>
      <c r="E1505" t="s">
        <v>1156</v>
      </c>
      <c r="F1505" t="s">
        <v>1152</v>
      </c>
      <c r="G1505" t="s">
        <v>1157</v>
      </c>
      <c r="H1505" t="s">
        <v>1158</v>
      </c>
      <c r="I1505" t="s">
        <v>119</v>
      </c>
      <c r="J1505" t="s">
        <v>74</v>
      </c>
      <c r="K1505">
        <v>1590</v>
      </c>
      <c r="O1505" t="s">
        <v>68</v>
      </c>
      <c r="P1505" t="s">
        <v>74</v>
      </c>
      <c r="U1505" s="9" t="s">
        <v>136</v>
      </c>
      <c r="V1505" t="s">
        <v>137</v>
      </c>
      <c r="W1505" t="s">
        <v>138</v>
      </c>
      <c r="X1505" t="s">
        <v>70</v>
      </c>
      <c r="Y1505" t="s">
        <v>1154</v>
      </c>
      <c r="Z1505" t="s">
        <v>140</v>
      </c>
      <c r="AA1505" t="s">
        <v>1155</v>
      </c>
      <c r="AB1505" t="str">
        <f t="shared" si="69"/>
        <v>42525</v>
      </c>
    </row>
    <row r="1506" ht="14.25" spans="1:28">
      <c r="A1506" s="5" t="s">
        <v>28</v>
      </c>
      <c r="B1506" s="5" t="s">
        <v>697</v>
      </c>
      <c r="C1506" s="5">
        <v>2027</v>
      </c>
      <c r="D1506" s="5" t="s">
        <v>30</v>
      </c>
      <c r="E1506" t="s">
        <v>1156</v>
      </c>
      <c r="F1506" t="s">
        <v>1152</v>
      </c>
      <c r="G1506" t="s">
        <v>1157</v>
      </c>
      <c r="H1506" t="s">
        <v>1158</v>
      </c>
      <c r="I1506" t="s">
        <v>119</v>
      </c>
      <c r="J1506" t="s">
        <v>74</v>
      </c>
      <c r="K1506">
        <v>1590</v>
      </c>
      <c r="O1506" t="s">
        <v>68</v>
      </c>
      <c r="P1506" t="s">
        <v>75</v>
      </c>
      <c r="U1506" s="9" t="s">
        <v>136</v>
      </c>
      <c r="V1506" t="s">
        <v>137</v>
      </c>
      <c r="W1506" t="s">
        <v>138</v>
      </c>
      <c r="X1506" t="s">
        <v>70</v>
      </c>
      <c r="Y1506" t="s">
        <v>1154</v>
      </c>
      <c r="Z1506" t="s">
        <v>140</v>
      </c>
      <c r="AA1506" t="s">
        <v>1155</v>
      </c>
      <c r="AB1506" t="str">
        <f t="shared" si="69"/>
        <v>42525</v>
      </c>
    </row>
    <row r="1507" ht="14.25" spans="1:28">
      <c r="A1507" s="5" t="s">
        <v>28</v>
      </c>
      <c r="B1507" s="5" t="s">
        <v>697</v>
      </c>
      <c r="C1507" s="5">
        <v>2027</v>
      </c>
      <c r="D1507" s="5" t="s">
        <v>30</v>
      </c>
      <c r="E1507" t="s">
        <v>1156</v>
      </c>
      <c r="F1507" t="s">
        <v>1152</v>
      </c>
      <c r="G1507" t="s">
        <v>1157</v>
      </c>
      <c r="H1507" t="s">
        <v>1158</v>
      </c>
      <c r="I1507" t="s">
        <v>119</v>
      </c>
      <c r="J1507" t="s">
        <v>74</v>
      </c>
      <c r="K1507">
        <v>1590</v>
      </c>
      <c r="O1507" t="s">
        <v>68</v>
      </c>
      <c r="P1507" t="s">
        <v>76</v>
      </c>
      <c r="U1507" s="9" t="s">
        <v>136</v>
      </c>
      <c r="V1507" t="s">
        <v>137</v>
      </c>
      <c r="W1507" t="s">
        <v>138</v>
      </c>
      <c r="X1507" t="s">
        <v>70</v>
      </c>
      <c r="Y1507" t="s">
        <v>1154</v>
      </c>
      <c r="Z1507" t="s">
        <v>140</v>
      </c>
      <c r="AA1507" t="s">
        <v>1155</v>
      </c>
      <c r="AB1507" t="str">
        <f t="shared" si="69"/>
        <v>42525</v>
      </c>
    </row>
    <row r="1508" ht="14.25" spans="1:28">
      <c r="A1508" s="5" t="s">
        <v>28</v>
      </c>
      <c r="B1508" s="5" t="s">
        <v>697</v>
      </c>
      <c r="C1508" s="5">
        <v>2027</v>
      </c>
      <c r="D1508" s="5" t="s">
        <v>30</v>
      </c>
      <c r="E1508" t="s">
        <v>1156</v>
      </c>
      <c r="F1508" t="s">
        <v>1152</v>
      </c>
      <c r="G1508" t="s">
        <v>1157</v>
      </c>
      <c r="H1508" t="s">
        <v>1158</v>
      </c>
      <c r="I1508" t="s">
        <v>119</v>
      </c>
      <c r="J1508" t="s">
        <v>74</v>
      </c>
      <c r="K1508">
        <v>1590</v>
      </c>
      <c r="O1508" t="s">
        <v>68</v>
      </c>
      <c r="P1508" t="s">
        <v>77</v>
      </c>
      <c r="U1508" s="9" t="s">
        <v>136</v>
      </c>
      <c r="V1508" t="s">
        <v>137</v>
      </c>
      <c r="W1508" t="s">
        <v>138</v>
      </c>
      <c r="X1508" t="s">
        <v>70</v>
      </c>
      <c r="Y1508" t="s">
        <v>1154</v>
      </c>
      <c r="Z1508" t="s">
        <v>140</v>
      </c>
      <c r="AA1508" t="s">
        <v>1155</v>
      </c>
      <c r="AB1508" t="str">
        <f t="shared" si="69"/>
        <v>42525</v>
      </c>
    </row>
    <row r="1509" ht="14.25" spans="1:28">
      <c r="A1509" s="5" t="s">
        <v>28</v>
      </c>
      <c r="B1509" s="5" t="s">
        <v>697</v>
      </c>
      <c r="C1509" s="5">
        <v>2027</v>
      </c>
      <c r="D1509" s="5" t="s">
        <v>30</v>
      </c>
      <c r="E1509" t="s">
        <v>1156</v>
      </c>
      <c r="F1509" t="s">
        <v>1152</v>
      </c>
      <c r="G1509" t="s">
        <v>1157</v>
      </c>
      <c r="H1509" t="s">
        <v>1158</v>
      </c>
      <c r="I1509" t="s">
        <v>119</v>
      </c>
      <c r="J1509" t="s">
        <v>74</v>
      </c>
      <c r="K1509">
        <v>1590</v>
      </c>
      <c r="O1509" t="s">
        <v>68</v>
      </c>
      <c r="P1509" t="s">
        <v>78</v>
      </c>
      <c r="U1509" s="9" t="s">
        <v>136</v>
      </c>
      <c r="V1509" t="s">
        <v>137</v>
      </c>
      <c r="W1509" t="s">
        <v>138</v>
      </c>
      <c r="X1509" t="s">
        <v>70</v>
      </c>
      <c r="Y1509" t="s">
        <v>1154</v>
      </c>
      <c r="Z1509" t="s">
        <v>140</v>
      </c>
      <c r="AA1509" t="s">
        <v>1155</v>
      </c>
      <c r="AB1509" t="str">
        <f t="shared" si="69"/>
        <v>42525</v>
      </c>
    </row>
    <row r="1510" ht="14.25" spans="1:28">
      <c r="A1510" s="5" t="s">
        <v>28</v>
      </c>
      <c r="B1510" s="5" t="s">
        <v>697</v>
      </c>
      <c r="C1510" s="5">
        <v>2027</v>
      </c>
      <c r="D1510" s="5" t="s">
        <v>30</v>
      </c>
      <c r="E1510" t="s">
        <v>1156</v>
      </c>
      <c r="F1510" t="s">
        <v>1152</v>
      </c>
      <c r="G1510" t="s">
        <v>1157</v>
      </c>
      <c r="H1510" t="s">
        <v>1158</v>
      </c>
      <c r="I1510" t="s">
        <v>119</v>
      </c>
      <c r="J1510" t="s">
        <v>74</v>
      </c>
      <c r="K1510">
        <v>1590</v>
      </c>
      <c r="O1510" t="s">
        <v>68</v>
      </c>
      <c r="P1510" t="s">
        <v>79</v>
      </c>
      <c r="U1510" s="9" t="s">
        <v>136</v>
      </c>
      <c r="V1510" t="s">
        <v>137</v>
      </c>
      <c r="W1510" t="s">
        <v>138</v>
      </c>
      <c r="X1510" t="s">
        <v>70</v>
      </c>
      <c r="Y1510" t="s">
        <v>1154</v>
      </c>
      <c r="Z1510" t="s">
        <v>140</v>
      </c>
      <c r="AA1510" t="s">
        <v>1155</v>
      </c>
      <c r="AB1510" t="str">
        <f t="shared" si="69"/>
        <v>42525</v>
      </c>
    </row>
    <row r="1511" ht="14.25" spans="1:28">
      <c r="A1511" s="5" t="s">
        <v>28</v>
      </c>
      <c r="B1511" s="5" t="s">
        <v>697</v>
      </c>
      <c r="C1511" s="5">
        <v>2027</v>
      </c>
      <c r="D1511" s="5" t="s">
        <v>30</v>
      </c>
      <c r="E1511" t="s">
        <v>1159</v>
      </c>
      <c r="F1511" t="s">
        <v>1160</v>
      </c>
      <c r="G1511" t="s">
        <v>92</v>
      </c>
      <c r="H1511" t="s">
        <v>1161</v>
      </c>
      <c r="I1511" t="s">
        <v>119</v>
      </c>
      <c r="J1511" t="s">
        <v>36</v>
      </c>
      <c r="K1511">
        <v>1390</v>
      </c>
      <c r="O1511" t="s">
        <v>37</v>
      </c>
      <c r="P1511" t="s">
        <v>38</v>
      </c>
      <c r="R1511">
        <f t="shared" si="70"/>
        <v>0</v>
      </c>
      <c r="S1511">
        <f>SUMIFS([1]Sheet1!$T:$T,[1]Sheet1!$I:$I,E1511,[1]Sheet1!$C:$C,A1511)</f>
        <v>0</v>
      </c>
      <c r="T1511">
        <f t="shared" si="71"/>
        <v>0</v>
      </c>
      <c r="U1511" s="9" t="s">
        <v>148</v>
      </c>
      <c r="V1511" t="s">
        <v>233</v>
      </c>
      <c r="W1511" t="s">
        <v>138</v>
      </c>
      <c r="X1511" t="s">
        <v>94</v>
      </c>
      <c r="Y1511" t="s">
        <v>1144</v>
      </c>
      <c r="Z1511" t="s">
        <v>155</v>
      </c>
      <c r="AA1511" t="s">
        <v>1144</v>
      </c>
      <c r="AB1511" t="str">
        <f t="shared" si="69"/>
        <v>42526</v>
      </c>
    </row>
    <row r="1512" ht="14.25" spans="1:28">
      <c r="A1512" s="5" t="s">
        <v>28</v>
      </c>
      <c r="B1512" s="5" t="s">
        <v>697</v>
      </c>
      <c r="C1512" s="5">
        <v>2027</v>
      </c>
      <c r="D1512" s="5" t="s">
        <v>30</v>
      </c>
      <c r="E1512" t="s">
        <v>1159</v>
      </c>
      <c r="F1512" t="s">
        <v>1160</v>
      </c>
      <c r="G1512" t="s">
        <v>92</v>
      </c>
      <c r="H1512" t="s">
        <v>1161</v>
      </c>
      <c r="I1512" t="s">
        <v>119</v>
      </c>
      <c r="J1512" t="s">
        <v>36</v>
      </c>
      <c r="K1512">
        <v>1390</v>
      </c>
      <c r="O1512" t="s">
        <v>37</v>
      </c>
      <c r="P1512" t="s">
        <v>42</v>
      </c>
      <c r="U1512" s="9" t="s">
        <v>148</v>
      </c>
      <c r="V1512" t="s">
        <v>233</v>
      </c>
      <c r="W1512" t="s">
        <v>138</v>
      </c>
      <c r="X1512" t="s">
        <v>94</v>
      </c>
      <c r="Y1512" t="s">
        <v>1144</v>
      </c>
      <c r="Z1512" t="s">
        <v>155</v>
      </c>
      <c r="AA1512" t="s">
        <v>1144</v>
      </c>
      <c r="AB1512" t="str">
        <f t="shared" si="69"/>
        <v>42526</v>
      </c>
    </row>
    <row r="1513" ht="14.25" spans="1:28">
      <c r="A1513" s="5" t="s">
        <v>28</v>
      </c>
      <c r="B1513" s="5" t="s">
        <v>697</v>
      </c>
      <c r="C1513" s="5">
        <v>2027</v>
      </c>
      <c r="D1513" s="5" t="s">
        <v>30</v>
      </c>
      <c r="E1513" t="s">
        <v>1159</v>
      </c>
      <c r="F1513" t="s">
        <v>1160</v>
      </c>
      <c r="G1513" t="s">
        <v>92</v>
      </c>
      <c r="H1513" t="s">
        <v>1161</v>
      </c>
      <c r="I1513" t="s">
        <v>119</v>
      </c>
      <c r="J1513" t="s">
        <v>36</v>
      </c>
      <c r="K1513">
        <v>1390</v>
      </c>
      <c r="O1513" t="s">
        <v>37</v>
      </c>
      <c r="P1513" t="s">
        <v>43</v>
      </c>
      <c r="U1513" s="9" t="s">
        <v>148</v>
      </c>
      <c r="V1513" t="s">
        <v>233</v>
      </c>
      <c r="W1513" t="s">
        <v>138</v>
      </c>
      <c r="X1513" t="s">
        <v>94</v>
      </c>
      <c r="Y1513" t="s">
        <v>1144</v>
      </c>
      <c r="Z1513" t="s">
        <v>155</v>
      </c>
      <c r="AA1513" t="s">
        <v>1144</v>
      </c>
      <c r="AB1513" t="str">
        <f t="shared" si="69"/>
        <v>42526</v>
      </c>
    </row>
    <row r="1514" ht="14.25" spans="1:28">
      <c r="A1514" s="5" t="s">
        <v>28</v>
      </c>
      <c r="B1514" s="5" t="s">
        <v>697</v>
      </c>
      <c r="C1514" s="5">
        <v>2027</v>
      </c>
      <c r="D1514" s="5" t="s">
        <v>30</v>
      </c>
      <c r="E1514" t="s">
        <v>1159</v>
      </c>
      <c r="F1514" t="s">
        <v>1160</v>
      </c>
      <c r="G1514" t="s">
        <v>92</v>
      </c>
      <c r="H1514" t="s">
        <v>1161</v>
      </c>
      <c r="I1514" t="s">
        <v>119</v>
      </c>
      <c r="J1514" t="s">
        <v>36</v>
      </c>
      <c r="K1514">
        <v>1390</v>
      </c>
      <c r="O1514" t="s">
        <v>37</v>
      </c>
      <c r="P1514" t="s">
        <v>44</v>
      </c>
      <c r="U1514" s="9" t="s">
        <v>148</v>
      </c>
      <c r="V1514" t="s">
        <v>233</v>
      </c>
      <c r="W1514" t="s">
        <v>138</v>
      </c>
      <c r="X1514" t="s">
        <v>94</v>
      </c>
      <c r="Y1514" t="s">
        <v>1144</v>
      </c>
      <c r="Z1514" t="s">
        <v>155</v>
      </c>
      <c r="AA1514" t="s">
        <v>1144</v>
      </c>
      <c r="AB1514" t="str">
        <f t="shared" si="69"/>
        <v>42526</v>
      </c>
    </row>
    <row r="1515" ht="14.25" spans="1:28">
      <c r="A1515" s="5" t="s">
        <v>28</v>
      </c>
      <c r="B1515" s="5" t="s">
        <v>697</v>
      </c>
      <c r="C1515" s="5">
        <v>2027</v>
      </c>
      <c r="D1515" s="5" t="s">
        <v>30</v>
      </c>
      <c r="E1515" t="s">
        <v>1159</v>
      </c>
      <c r="F1515" t="s">
        <v>1160</v>
      </c>
      <c r="G1515" t="s">
        <v>92</v>
      </c>
      <c r="H1515" t="s">
        <v>1161</v>
      </c>
      <c r="I1515" t="s">
        <v>119</v>
      </c>
      <c r="J1515" t="s">
        <v>36</v>
      </c>
      <c r="K1515">
        <v>1390</v>
      </c>
      <c r="O1515" t="s">
        <v>37</v>
      </c>
      <c r="P1515" t="s">
        <v>45</v>
      </c>
      <c r="U1515" s="9" t="s">
        <v>148</v>
      </c>
      <c r="V1515" t="s">
        <v>233</v>
      </c>
      <c r="W1515" t="s">
        <v>138</v>
      </c>
      <c r="X1515" t="s">
        <v>94</v>
      </c>
      <c r="Y1515" t="s">
        <v>1144</v>
      </c>
      <c r="Z1515" t="s">
        <v>155</v>
      </c>
      <c r="AA1515" t="s">
        <v>1144</v>
      </c>
      <c r="AB1515" t="str">
        <f t="shared" si="69"/>
        <v>42526</v>
      </c>
    </row>
    <row r="1516" ht="14.25" spans="1:28">
      <c r="A1516" s="5" t="s">
        <v>28</v>
      </c>
      <c r="B1516" s="5" t="s">
        <v>697</v>
      </c>
      <c r="C1516" s="5">
        <v>2027</v>
      </c>
      <c r="D1516" s="5" t="s">
        <v>30</v>
      </c>
      <c r="E1516" t="s">
        <v>1159</v>
      </c>
      <c r="F1516" t="s">
        <v>1160</v>
      </c>
      <c r="G1516" t="s">
        <v>92</v>
      </c>
      <c r="H1516" t="s">
        <v>1161</v>
      </c>
      <c r="I1516" t="s">
        <v>119</v>
      </c>
      <c r="J1516" t="s">
        <v>36</v>
      </c>
      <c r="K1516">
        <v>1390</v>
      </c>
      <c r="O1516" t="s">
        <v>37</v>
      </c>
      <c r="P1516" t="s">
        <v>46</v>
      </c>
      <c r="U1516" s="9" t="s">
        <v>148</v>
      </c>
      <c r="V1516" t="s">
        <v>233</v>
      </c>
      <c r="W1516" t="s">
        <v>138</v>
      </c>
      <c r="X1516" t="s">
        <v>94</v>
      </c>
      <c r="Y1516" t="s">
        <v>1144</v>
      </c>
      <c r="Z1516" t="s">
        <v>155</v>
      </c>
      <c r="AA1516" t="s">
        <v>1144</v>
      </c>
      <c r="AB1516" t="str">
        <f t="shared" si="69"/>
        <v>42526</v>
      </c>
    </row>
    <row r="1517" ht="14.25" spans="1:28">
      <c r="A1517" s="5" t="s">
        <v>28</v>
      </c>
      <c r="B1517" s="5" t="s">
        <v>697</v>
      </c>
      <c r="C1517" s="5">
        <v>2027</v>
      </c>
      <c r="D1517" s="5" t="s">
        <v>30</v>
      </c>
      <c r="E1517" t="s">
        <v>1162</v>
      </c>
      <c r="F1517" t="s">
        <v>1160</v>
      </c>
      <c r="G1517" t="s">
        <v>96</v>
      </c>
      <c r="H1517" t="s">
        <v>1163</v>
      </c>
      <c r="I1517" t="s">
        <v>119</v>
      </c>
      <c r="J1517" t="s">
        <v>36</v>
      </c>
      <c r="K1517">
        <v>1390</v>
      </c>
      <c r="O1517" t="s">
        <v>37</v>
      </c>
      <c r="P1517" t="s">
        <v>38</v>
      </c>
      <c r="R1517">
        <f t="shared" si="70"/>
        <v>0</v>
      </c>
      <c r="S1517">
        <f>SUMIFS([1]Sheet1!$T:$T,[1]Sheet1!$I:$I,E1517,[1]Sheet1!$C:$C,A1517)</f>
        <v>0</v>
      </c>
      <c r="T1517">
        <f t="shared" si="71"/>
        <v>0</v>
      </c>
      <c r="U1517" s="9" t="s">
        <v>148</v>
      </c>
      <c r="V1517" t="s">
        <v>233</v>
      </c>
      <c r="W1517" t="s">
        <v>138</v>
      </c>
      <c r="X1517" t="s">
        <v>54</v>
      </c>
      <c r="Y1517" t="s">
        <v>1144</v>
      </c>
      <c r="Z1517" t="s">
        <v>155</v>
      </c>
      <c r="AA1517" t="s">
        <v>1144</v>
      </c>
      <c r="AB1517" t="str">
        <f t="shared" si="69"/>
        <v>42526</v>
      </c>
    </row>
    <row r="1518" ht="14.25" spans="1:28">
      <c r="A1518" s="5" t="s">
        <v>28</v>
      </c>
      <c r="B1518" s="5" t="s">
        <v>697</v>
      </c>
      <c r="C1518" s="5">
        <v>2027</v>
      </c>
      <c r="D1518" s="5" t="s">
        <v>30</v>
      </c>
      <c r="E1518" t="s">
        <v>1162</v>
      </c>
      <c r="F1518" t="s">
        <v>1160</v>
      </c>
      <c r="G1518" t="s">
        <v>96</v>
      </c>
      <c r="H1518" t="s">
        <v>1163</v>
      </c>
      <c r="I1518" t="s">
        <v>119</v>
      </c>
      <c r="J1518" t="s">
        <v>36</v>
      </c>
      <c r="K1518">
        <v>1390</v>
      </c>
      <c r="O1518" t="s">
        <v>37</v>
      </c>
      <c r="P1518" t="s">
        <v>42</v>
      </c>
      <c r="U1518" s="9" t="s">
        <v>148</v>
      </c>
      <c r="V1518" t="s">
        <v>233</v>
      </c>
      <c r="W1518" t="s">
        <v>138</v>
      </c>
      <c r="X1518" t="s">
        <v>54</v>
      </c>
      <c r="Y1518" t="s">
        <v>1144</v>
      </c>
      <c r="Z1518" t="s">
        <v>155</v>
      </c>
      <c r="AA1518" t="s">
        <v>1144</v>
      </c>
      <c r="AB1518" t="str">
        <f t="shared" si="69"/>
        <v>42526</v>
      </c>
    </row>
    <row r="1519" ht="14.25" spans="1:28">
      <c r="A1519" s="5" t="s">
        <v>28</v>
      </c>
      <c r="B1519" s="5" t="s">
        <v>697</v>
      </c>
      <c r="C1519" s="5">
        <v>2027</v>
      </c>
      <c r="D1519" s="5" t="s">
        <v>30</v>
      </c>
      <c r="E1519" t="s">
        <v>1162</v>
      </c>
      <c r="F1519" t="s">
        <v>1160</v>
      </c>
      <c r="G1519" t="s">
        <v>96</v>
      </c>
      <c r="H1519" t="s">
        <v>1163</v>
      </c>
      <c r="I1519" t="s">
        <v>119</v>
      </c>
      <c r="J1519" t="s">
        <v>36</v>
      </c>
      <c r="K1519">
        <v>1390</v>
      </c>
      <c r="O1519" t="s">
        <v>37</v>
      </c>
      <c r="P1519" t="s">
        <v>43</v>
      </c>
      <c r="U1519" s="9" t="s">
        <v>148</v>
      </c>
      <c r="V1519" t="s">
        <v>233</v>
      </c>
      <c r="W1519" t="s">
        <v>138</v>
      </c>
      <c r="X1519" t="s">
        <v>54</v>
      </c>
      <c r="Y1519" t="s">
        <v>1144</v>
      </c>
      <c r="Z1519" t="s">
        <v>155</v>
      </c>
      <c r="AA1519" t="s">
        <v>1144</v>
      </c>
      <c r="AB1519" t="str">
        <f t="shared" si="69"/>
        <v>42526</v>
      </c>
    </row>
    <row r="1520" ht="14.25" spans="1:28">
      <c r="A1520" s="5" t="s">
        <v>28</v>
      </c>
      <c r="B1520" s="5" t="s">
        <v>697</v>
      </c>
      <c r="C1520" s="5">
        <v>2027</v>
      </c>
      <c r="D1520" s="5" t="s">
        <v>30</v>
      </c>
      <c r="E1520" t="s">
        <v>1162</v>
      </c>
      <c r="F1520" t="s">
        <v>1160</v>
      </c>
      <c r="G1520" t="s">
        <v>96</v>
      </c>
      <c r="H1520" t="s">
        <v>1163</v>
      </c>
      <c r="I1520" t="s">
        <v>119</v>
      </c>
      <c r="J1520" t="s">
        <v>36</v>
      </c>
      <c r="K1520">
        <v>1390</v>
      </c>
      <c r="O1520" t="s">
        <v>37</v>
      </c>
      <c r="P1520" t="s">
        <v>44</v>
      </c>
      <c r="U1520" s="9" t="s">
        <v>148</v>
      </c>
      <c r="V1520" t="s">
        <v>233</v>
      </c>
      <c r="W1520" t="s">
        <v>138</v>
      </c>
      <c r="X1520" t="s">
        <v>54</v>
      </c>
      <c r="Y1520" t="s">
        <v>1144</v>
      </c>
      <c r="Z1520" t="s">
        <v>155</v>
      </c>
      <c r="AA1520" t="s">
        <v>1144</v>
      </c>
      <c r="AB1520" t="str">
        <f t="shared" si="69"/>
        <v>42526</v>
      </c>
    </row>
    <row r="1521" ht="14.25" spans="1:28">
      <c r="A1521" s="5" t="s">
        <v>28</v>
      </c>
      <c r="B1521" s="5" t="s">
        <v>697</v>
      </c>
      <c r="C1521" s="5">
        <v>2027</v>
      </c>
      <c r="D1521" s="5" t="s">
        <v>30</v>
      </c>
      <c r="E1521" t="s">
        <v>1162</v>
      </c>
      <c r="F1521" t="s">
        <v>1160</v>
      </c>
      <c r="G1521" t="s">
        <v>96</v>
      </c>
      <c r="H1521" t="s">
        <v>1163</v>
      </c>
      <c r="I1521" t="s">
        <v>119</v>
      </c>
      <c r="J1521" t="s">
        <v>36</v>
      </c>
      <c r="K1521">
        <v>1390</v>
      </c>
      <c r="O1521" t="s">
        <v>37</v>
      </c>
      <c r="P1521" t="s">
        <v>45</v>
      </c>
      <c r="U1521" s="9" t="s">
        <v>148</v>
      </c>
      <c r="V1521" t="s">
        <v>233</v>
      </c>
      <c r="W1521" t="s">
        <v>138</v>
      </c>
      <c r="X1521" t="s">
        <v>54</v>
      </c>
      <c r="Y1521" t="s">
        <v>1144</v>
      </c>
      <c r="Z1521" t="s">
        <v>155</v>
      </c>
      <c r="AA1521" t="s">
        <v>1144</v>
      </c>
      <c r="AB1521" t="str">
        <f t="shared" si="69"/>
        <v>42526</v>
      </c>
    </row>
    <row r="1522" ht="14.25" spans="1:28">
      <c r="A1522" s="5" t="s">
        <v>28</v>
      </c>
      <c r="B1522" s="5" t="s">
        <v>697</v>
      </c>
      <c r="C1522" s="5">
        <v>2027</v>
      </c>
      <c r="D1522" s="5" t="s">
        <v>30</v>
      </c>
      <c r="E1522" t="s">
        <v>1162</v>
      </c>
      <c r="F1522" t="s">
        <v>1160</v>
      </c>
      <c r="G1522" t="s">
        <v>96</v>
      </c>
      <c r="H1522" t="s">
        <v>1163</v>
      </c>
      <c r="I1522" t="s">
        <v>119</v>
      </c>
      <c r="J1522" t="s">
        <v>36</v>
      </c>
      <c r="K1522">
        <v>1390</v>
      </c>
      <c r="O1522" t="s">
        <v>37</v>
      </c>
      <c r="P1522" t="s">
        <v>46</v>
      </c>
      <c r="U1522" s="9" t="s">
        <v>148</v>
      </c>
      <c r="V1522" t="s">
        <v>233</v>
      </c>
      <c r="W1522" t="s">
        <v>138</v>
      </c>
      <c r="X1522" t="s">
        <v>54</v>
      </c>
      <c r="Y1522" t="s">
        <v>1144</v>
      </c>
      <c r="Z1522" t="s">
        <v>155</v>
      </c>
      <c r="AA1522" t="s">
        <v>1144</v>
      </c>
      <c r="AB1522" t="str">
        <f t="shared" si="69"/>
        <v>42526</v>
      </c>
    </row>
    <row r="1523" ht="14.25" spans="1:28">
      <c r="A1523" s="5" t="s">
        <v>28</v>
      </c>
      <c r="B1523" s="5" t="s">
        <v>697</v>
      </c>
      <c r="C1523" s="5">
        <v>2027</v>
      </c>
      <c r="D1523" s="5" t="s">
        <v>30</v>
      </c>
      <c r="E1523" t="s">
        <v>1164</v>
      </c>
      <c r="F1523" t="s">
        <v>1165</v>
      </c>
      <c r="G1523" t="s">
        <v>923</v>
      </c>
      <c r="H1523" t="s">
        <v>1166</v>
      </c>
      <c r="I1523" t="s">
        <v>119</v>
      </c>
      <c r="J1523" t="s">
        <v>36</v>
      </c>
      <c r="K1523">
        <v>790</v>
      </c>
      <c r="O1523" t="s">
        <v>37</v>
      </c>
      <c r="P1523" t="s">
        <v>38</v>
      </c>
      <c r="R1523">
        <f t="shared" si="70"/>
        <v>0</v>
      </c>
      <c r="S1523">
        <f>SUMIFS([1]Sheet1!$T:$T,[1]Sheet1!$I:$I,E1523,[1]Sheet1!$C:$C,A1523)</f>
        <v>80</v>
      </c>
      <c r="T1523">
        <f t="shared" si="71"/>
        <v>-80</v>
      </c>
      <c r="U1523" s="9" t="s">
        <v>148</v>
      </c>
      <c r="V1523" t="s">
        <v>184</v>
      </c>
      <c r="W1523" t="s">
        <v>138</v>
      </c>
      <c r="X1523" t="s">
        <v>70</v>
      </c>
      <c r="Y1523" t="s">
        <v>1047</v>
      </c>
      <c r="Z1523" t="s">
        <v>41</v>
      </c>
      <c r="AA1523" t="s">
        <v>1167</v>
      </c>
      <c r="AB1523" t="str">
        <f t="shared" ref="AB1523:AB1586" si="72">MID(E1523,6,5)</f>
        <v>42837</v>
      </c>
    </row>
    <row r="1524" ht="14.25" spans="1:28">
      <c r="A1524" s="5" t="s">
        <v>28</v>
      </c>
      <c r="B1524" s="5" t="s">
        <v>697</v>
      </c>
      <c r="C1524" s="5">
        <v>2027</v>
      </c>
      <c r="D1524" s="5" t="s">
        <v>30</v>
      </c>
      <c r="E1524" t="s">
        <v>1164</v>
      </c>
      <c r="F1524" t="s">
        <v>1165</v>
      </c>
      <c r="G1524" t="s">
        <v>923</v>
      </c>
      <c r="H1524" t="s">
        <v>1166</v>
      </c>
      <c r="I1524" t="s">
        <v>119</v>
      </c>
      <c r="J1524" t="s">
        <v>36</v>
      </c>
      <c r="K1524">
        <v>790</v>
      </c>
      <c r="O1524" t="s">
        <v>37</v>
      </c>
      <c r="P1524" t="s">
        <v>42</v>
      </c>
      <c r="U1524" s="9" t="s">
        <v>148</v>
      </c>
      <c r="V1524" t="s">
        <v>184</v>
      </c>
      <c r="W1524" t="s">
        <v>138</v>
      </c>
      <c r="X1524" t="s">
        <v>70</v>
      </c>
      <c r="Y1524" t="s">
        <v>1047</v>
      </c>
      <c r="Z1524" t="s">
        <v>41</v>
      </c>
      <c r="AA1524" t="s">
        <v>1167</v>
      </c>
      <c r="AB1524" t="str">
        <f t="shared" si="72"/>
        <v>42837</v>
      </c>
    </row>
    <row r="1525" ht="14.25" spans="1:28">
      <c r="A1525" s="5" t="s">
        <v>28</v>
      </c>
      <c r="B1525" s="5" t="s">
        <v>697</v>
      </c>
      <c r="C1525" s="5">
        <v>2027</v>
      </c>
      <c r="D1525" s="5" t="s">
        <v>30</v>
      </c>
      <c r="E1525" t="s">
        <v>1164</v>
      </c>
      <c r="F1525" t="s">
        <v>1165</v>
      </c>
      <c r="G1525" t="s">
        <v>923</v>
      </c>
      <c r="H1525" t="s">
        <v>1166</v>
      </c>
      <c r="I1525" t="s">
        <v>119</v>
      </c>
      <c r="J1525" t="s">
        <v>36</v>
      </c>
      <c r="K1525">
        <v>790</v>
      </c>
      <c r="O1525" t="s">
        <v>37</v>
      </c>
      <c r="P1525" t="s">
        <v>43</v>
      </c>
      <c r="U1525" s="9" t="s">
        <v>148</v>
      </c>
      <c r="V1525" t="s">
        <v>184</v>
      </c>
      <c r="W1525" t="s">
        <v>138</v>
      </c>
      <c r="X1525" t="s">
        <v>70</v>
      </c>
      <c r="Y1525" t="s">
        <v>1047</v>
      </c>
      <c r="Z1525" t="s">
        <v>41</v>
      </c>
      <c r="AA1525" t="s">
        <v>1167</v>
      </c>
      <c r="AB1525" t="str">
        <f t="shared" si="72"/>
        <v>42837</v>
      </c>
    </row>
    <row r="1526" ht="14.25" spans="1:28">
      <c r="A1526" s="5" t="s">
        <v>28</v>
      </c>
      <c r="B1526" s="5" t="s">
        <v>697</v>
      </c>
      <c r="C1526" s="5">
        <v>2027</v>
      </c>
      <c r="D1526" s="5" t="s">
        <v>30</v>
      </c>
      <c r="E1526" t="s">
        <v>1164</v>
      </c>
      <c r="F1526" t="s">
        <v>1165</v>
      </c>
      <c r="G1526" t="s">
        <v>923</v>
      </c>
      <c r="H1526" t="s">
        <v>1166</v>
      </c>
      <c r="I1526" t="s">
        <v>119</v>
      </c>
      <c r="J1526" t="s">
        <v>36</v>
      </c>
      <c r="K1526">
        <v>790</v>
      </c>
      <c r="O1526" t="s">
        <v>37</v>
      </c>
      <c r="P1526" t="s">
        <v>44</v>
      </c>
      <c r="U1526" s="9" t="s">
        <v>148</v>
      </c>
      <c r="V1526" t="s">
        <v>184</v>
      </c>
      <c r="W1526" t="s">
        <v>138</v>
      </c>
      <c r="X1526" t="s">
        <v>70</v>
      </c>
      <c r="Y1526" t="s">
        <v>1047</v>
      </c>
      <c r="Z1526" t="s">
        <v>41</v>
      </c>
      <c r="AA1526" t="s">
        <v>1167</v>
      </c>
      <c r="AB1526" t="str">
        <f t="shared" si="72"/>
        <v>42837</v>
      </c>
    </row>
    <row r="1527" ht="14.25" spans="1:28">
      <c r="A1527" s="5" t="s">
        <v>28</v>
      </c>
      <c r="B1527" s="5" t="s">
        <v>697</v>
      </c>
      <c r="C1527" s="5">
        <v>2027</v>
      </c>
      <c r="D1527" s="5" t="s">
        <v>30</v>
      </c>
      <c r="E1527" t="s">
        <v>1164</v>
      </c>
      <c r="F1527" t="s">
        <v>1165</v>
      </c>
      <c r="G1527" t="s">
        <v>923</v>
      </c>
      <c r="H1527" t="s">
        <v>1166</v>
      </c>
      <c r="I1527" t="s">
        <v>119</v>
      </c>
      <c r="J1527" t="s">
        <v>36</v>
      </c>
      <c r="K1527">
        <v>790</v>
      </c>
      <c r="O1527" t="s">
        <v>37</v>
      </c>
      <c r="P1527" t="s">
        <v>45</v>
      </c>
      <c r="U1527" s="9" t="s">
        <v>148</v>
      </c>
      <c r="V1527" t="s">
        <v>184</v>
      </c>
      <c r="W1527" t="s">
        <v>138</v>
      </c>
      <c r="X1527" t="s">
        <v>70</v>
      </c>
      <c r="Y1527" t="s">
        <v>1047</v>
      </c>
      <c r="Z1527" t="s">
        <v>41</v>
      </c>
      <c r="AA1527" t="s">
        <v>1167</v>
      </c>
      <c r="AB1527" t="str">
        <f t="shared" si="72"/>
        <v>42837</v>
      </c>
    </row>
    <row r="1528" ht="14.25" spans="1:28">
      <c r="A1528" s="5" t="s">
        <v>28</v>
      </c>
      <c r="B1528" s="5" t="s">
        <v>697</v>
      </c>
      <c r="C1528" s="5">
        <v>2027</v>
      </c>
      <c r="D1528" s="5" t="s">
        <v>30</v>
      </c>
      <c r="E1528" t="s">
        <v>1164</v>
      </c>
      <c r="F1528" t="s">
        <v>1165</v>
      </c>
      <c r="G1528" t="s">
        <v>923</v>
      </c>
      <c r="H1528" t="s">
        <v>1166</v>
      </c>
      <c r="I1528" t="s">
        <v>119</v>
      </c>
      <c r="J1528" t="s">
        <v>36</v>
      </c>
      <c r="K1528">
        <v>790</v>
      </c>
      <c r="O1528" t="s">
        <v>37</v>
      </c>
      <c r="P1528" t="s">
        <v>46</v>
      </c>
      <c r="U1528" s="9" t="s">
        <v>148</v>
      </c>
      <c r="V1528" t="s">
        <v>184</v>
      </c>
      <c r="W1528" t="s">
        <v>138</v>
      </c>
      <c r="X1528" t="s">
        <v>70</v>
      </c>
      <c r="Y1528" t="s">
        <v>1047</v>
      </c>
      <c r="Z1528" t="s">
        <v>41</v>
      </c>
      <c r="AA1528" t="s">
        <v>1167</v>
      </c>
      <c r="AB1528" t="str">
        <f t="shared" si="72"/>
        <v>42837</v>
      </c>
    </row>
    <row r="1529" ht="14.25" spans="1:28">
      <c r="A1529" s="5" t="s">
        <v>28</v>
      </c>
      <c r="B1529" s="5" t="s">
        <v>697</v>
      </c>
      <c r="C1529" s="5">
        <v>2027</v>
      </c>
      <c r="D1529" s="5" t="s">
        <v>30</v>
      </c>
      <c r="E1529" t="s">
        <v>1168</v>
      </c>
      <c r="F1529" t="s">
        <v>1165</v>
      </c>
      <c r="G1529" t="s">
        <v>100</v>
      </c>
      <c r="H1529" t="s">
        <v>1169</v>
      </c>
      <c r="I1529" t="s">
        <v>119</v>
      </c>
      <c r="J1529" t="s">
        <v>36</v>
      </c>
      <c r="K1529">
        <v>790</v>
      </c>
      <c r="O1529" t="s">
        <v>37</v>
      </c>
      <c r="P1529" t="s">
        <v>38</v>
      </c>
      <c r="R1529">
        <f t="shared" si="70"/>
        <v>0</v>
      </c>
      <c r="S1529">
        <f>SUMIFS([1]Sheet1!$T:$T,[1]Sheet1!$I:$I,E1529,[1]Sheet1!$C:$C,A1529)</f>
        <v>200</v>
      </c>
      <c r="T1529">
        <f t="shared" si="71"/>
        <v>-200</v>
      </c>
      <c r="U1529" s="9" t="s">
        <v>148</v>
      </c>
      <c r="V1529" t="s">
        <v>184</v>
      </c>
      <c r="W1529" t="s">
        <v>138</v>
      </c>
      <c r="X1529" t="s">
        <v>102</v>
      </c>
      <c r="Y1529" t="s">
        <v>1047</v>
      </c>
      <c r="Z1529" t="s">
        <v>41</v>
      </c>
      <c r="AA1529" t="s">
        <v>1167</v>
      </c>
      <c r="AB1529" t="str">
        <f t="shared" si="72"/>
        <v>42837</v>
      </c>
    </row>
    <row r="1530" ht="14.25" spans="1:28">
      <c r="A1530" s="5" t="s">
        <v>28</v>
      </c>
      <c r="B1530" s="5" t="s">
        <v>697</v>
      </c>
      <c r="C1530" s="5">
        <v>2027</v>
      </c>
      <c r="D1530" s="5" t="s">
        <v>30</v>
      </c>
      <c r="E1530" t="s">
        <v>1168</v>
      </c>
      <c r="F1530" t="s">
        <v>1165</v>
      </c>
      <c r="G1530" t="s">
        <v>100</v>
      </c>
      <c r="H1530" t="s">
        <v>1169</v>
      </c>
      <c r="I1530" t="s">
        <v>119</v>
      </c>
      <c r="J1530" t="s">
        <v>36</v>
      </c>
      <c r="K1530">
        <v>790</v>
      </c>
      <c r="O1530" t="s">
        <v>37</v>
      </c>
      <c r="P1530" t="s">
        <v>42</v>
      </c>
      <c r="U1530" s="9" t="s">
        <v>148</v>
      </c>
      <c r="V1530" t="s">
        <v>184</v>
      </c>
      <c r="W1530" t="s">
        <v>138</v>
      </c>
      <c r="X1530" t="s">
        <v>102</v>
      </c>
      <c r="Y1530" t="s">
        <v>1047</v>
      </c>
      <c r="Z1530" t="s">
        <v>41</v>
      </c>
      <c r="AA1530" t="s">
        <v>1167</v>
      </c>
      <c r="AB1530" t="str">
        <f t="shared" si="72"/>
        <v>42837</v>
      </c>
    </row>
    <row r="1531" ht="14.25" spans="1:28">
      <c r="A1531" s="5" t="s">
        <v>28</v>
      </c>
      <c r="B1531" s="5" t="s">
        <v>697</v>
      </c>
      <c r="C1531" s="5">
        <v>2027</v>
      </c>
      <c r="D1531" s="5" t="s">
        <v>30</v>
      </c>
      <c r="E1531" t="s">
        <v>1168</v>
      </c>
      <c r="F1531" t="s">
        <v>1165</v>
      </c>
      <c r="G1531" t="s">
        <v>100</v>
      </c>
      <c r="H1531" t="s">
        <v>1169</v>
      </c>
      <c r="I1531" t="s">
        <v>119</v>
      </c>
      <c r="J1531" t="s">
        <v>36</v>
      </c>
      <c r="K1531">
        <v>790</v>
      </c>
      <c r="O1531" t="s">
        <v>37</v>
      </c>
      <c r="P1531" t="s">
        <v>43</v>
      </c>
      <c r="U1531" s="9" t="s">
        <v>148</v>
      </c>
      <c r="V1531" t="s">
        <v>184</v>
      </c>
      <c r="W1531" t="s">
        <v>138</v>
      </c>
      <c r="X1531" t="s">
        <v>102</v>
      </c>
      <c r="Y1531" t="s">
        <v>1047</v>
      </c>
      <c r="Z1531" t="s">
        <v>41</v>
      </c>
      <c r="AA1531" t="s">
        <v>1167</v>
      </c>
      <c r="AB1531" t="str">
        <f t="shared" si="72"/>
        <v>42837</v>
      </c>
    </row>
    <row r="1532" ht="14.25" spans="1:28">
      <c r="A1532" s="5" t="s">
        <v>28</v>
      </c>
      <c r="B1532" s="5" t="s">
        <v>697</v>
      </c>
      <c r="C1532" s="5">
        <v>2027</v>
      </c>
      <c r="D1532" s="5" t="s">
        <v>30</v>
      </c>
      <c r="E1532" t="s">
        <v>1168</v>
      </c>
      <c r="F1532" t="s">
        <v>1165</v>
      </c>
      <c r="G1532" t="s">
        <v>100</v>
      </c>
      <c r="H1532" t="s">
        <v>1169</v>
      </c>
      <c r="I1532" t="s">
        <v>119</v>
      </c>
      <c r="J1532" t="s">
        <v>36</v>
      </c>
      <c r="K1532">
        <v>790</v>
      </c>
      <c r="O1532" t="s">
        <v>37</v>
      </c>
      <c r="P1532" t="s">
        <v>44</v>
      </c>
      <c r="U1532" s="9" t="s">
        <v>148</v>
      </c>
      <c r="V1532" t="s">
        <v>184</v>
      </c>
      <c r="W1532" t="s">
        <v>138</v>
      </c>
      <c r="X1532" t="s">
        <v>102</v>
      </c>
      <c r="Y1532" t="s">
        <v>1047</v>
      </c>
      <c r="Z1532" t="s">
        <v>41</v>
      </c>
      <c r="AA1532" t="s">
        <v>1167</v>
      </c>
      <c r="AB1532" t="str">
        <f t="shared" si="72"/>
        <v>42837</v>
      </c>
    </row>
    <row r="1533" ht="14.25" spans="1:28">
      <c r="A1533" s="5" t="s">
        <v>28</v>
      </c>
      <c r="B1533" s="5" t="s">
        <v>697</v>
      </c>
      <c r="C1533" s="5">
        <v>2027</v>
      </c>
      <c r="D1533" s="5" t="s">
        <v>30</v>
      </c>
      <c r="E1533" t="s">
        <v>1168</v>
      </c>
      <c r="F1533" t="s">
        <v>1165</v>
      </c>
      <c r="G1533" t="s">
        <v>100</v>
      </c>
      <c r="H1533" t="s">
        <v>1169</v>
      </c>
      <c r="I1533" t="s">
        <v>119</v>
      </c>
      <c r="J1533" t="s">
        <v>36</v>
      </c>
      <c r="K1533">
        <v>790</v>
      </c>
      <c r="O1533" t="s">
        <v>37</v>
      </c>
      <c r="P1533" t="s">
        <v>45</v>
      </c>
      <c r="U1533" s="9" t="s">
        <v>148</v>
      </c>
      <c r="V1533" t="s">
        <v>184</v>
      </c>
      <c r="W1533" t="s">
        <v>138</v>
      </c>
      <c r="X1533" t="s">
        <v>102</v>
      </c>
      <c r="Y1533" t="s">
        <v>1047</v>
      </c>
      <c r="Z1533" t="s">
        <v>41</v>
      </c>
      <c r="AA1533" t="s">
        <v>1167</v>
      </c>
      <c r="AB1533" t="str">
        <f t="shared" si="72"/>
        <v>42837</v>
      </c>
    </row>
    <row r="1534" ht="14.25" spans="1:28">
      <c r="A1534" s="5" t="s">
        <v>28</v>
      </c>
      <c r="B1534" s="5" t="s">
        <v>697</v>
      </c>
      <c r="C1534" s="5">
        <v>2027</v>
      </c>
      <c r="D1534" s="5" t="s">
        <v>30</v>
      </c>
      <c r="E1534" t="s">
        <v>1168</v>
      </c>
      <c r="F1534" t="s">
        <v>1165</v>
      </c>
      <c r="G1534" t="s">
        <v>100</v>
      </c>
      <c r="H1534" t="s">
        <v>1169</v>
      </c>
      <c r="I1534" t="s">
        <v>119</v>
      </c>
      <c r="J1534" t="s">
        <v>36</v>
      </c>
      <c r="K1534">
        <v>790</v>
      </c>
      <c r="O1534" t="s">
        <v>37</v>
      </c>
      <c r="P1534" t="s">
        <v>46</v>
      </c>
      <c r="U1534" s="9" t="s">
        <v>148</v>
      </c>
      <c r="V1534" t="s">
        <v>184</v>
      </c>
      <c r="W1534" t="s">
        <v>138</v>
      </c>
      <c r="X1534" t="s">
        <v>102</v>
      </c>
      <c r="Y1534" t="s">
        <v>1047</v>
      </c>
      <c r="Z1534" t="s">
        <v>41</v>
      </c>
      <c r="AA1534" t="s">
        <v>1167</v>
      </c>
      <c r="AB1534" t="str">
        <f t="shared" si="72"/>
        <v>42837</v>
      </c>
    </row>
    <row r="1535" ht="14.25" spans="1:28">
      <c r="A1535" s="5" t="s">
        <v>28</v>
      </c>
      <c r="B1535" s="5" t="s">
        <v>697</v>
      </c>
      <c r="C1535" s="5">
        <v>2027</v>
      </c>
      <c r="D1535" s="5" t="s">
        <v>30</v>
      </c>
      <c r="E1535" t="s">
        <v>1170</v>
      </c>
      <c r="F1535" t="s">
        <v>1165</v>
      </c>
      <c r="G1535" t="s">
        <v>254</v>
      </c>
      <c r="H1535" t="s">
        <v>1171</v>
      </c>
      <c r="I1535" t="s">
        <v>119</v>
      </c>
      <c r="J1535" t="s">
        <v>36</v>
      </c>
      <c r="K1535">
        <v>790</v>
      </c>
      <c r="O1535" t="s">
        <v>37</v>
      </c>
      <c r="P1535" t="s">
        <v>38</v>
      </c>
      <c r="R1535">
        <f t="shared" si="70"/>
        <v>0</v>
      </c>
      <c r="S1535">
        <f>SUMIFS([1]Sheet1!$T:$T,[1]Sheet1!$I:$I,E1535,[1]Sheet1!$C:$C,A1535)</f>
        <v>300</v>
      </c>
      <c r="T1535">
        <f t="shared" si="71"/>
        <v>-300</v>
      </c>
      <c r="U1535" s="9" t="s">
        <v>148</v>
      </c>
      <c r="V1535" t="s">
        <v>184</v>
      </c>
      <c r="W1535" t="s">
        <v>138</v>
      </c>
      <c r="X1535" t="s">
        <v>86</v>
      </c>
      <c r="Y1535" t="s">
        <v>1047</v>
      </c>
      <c r="Z1535" t="s">
        <v>41</v>
      </c>
      <c r="AA1535" t="s">
        <v>1167</v>
      </c>
      <c r="AB1535" t="str">
        <f t="shared" si="72"/>
        <v>42837</v>
      </c>
    </row>
    <row r="1536" ht="14.25" spans="1:28">
      <c r="A1536" s="5" t="s">
        <v>28</v>
      </c>
      <c r="B1536" s="5" t="s">
        <v>697</v>
      </c>
      <c r="C1536" s="5">
        <v>2027</v>
      </c>
      <c r="D1536" s="5" t="s">
        <v>30</v>
      </c>
      <c r="E1536" t="s">
        <v>1170</v>
      </c>
      <c r="F1536" t="s">
        <v>1165</v>
      </c>
      <c r="G1536" t="s">
        <v>254</v>
      </c>
      <c r="H1536" t="s">
        <v>1171</v>
      </c>
      <c r="I1536" t="s">
        <v>119</v>
      </c>
      <c r="J1536" t="s">
        <v>36</v>
      </c>
      <c r="K1536">
        <v>790</v>
      </c>
      <c r="O1536" t="s">
        <v>37</v>
      </c>
      <c r="P1536" t="s">
        <v>42</v>
      </c>
      <c r="U1536" s="9" t="s">
        <v>148</v>
      </c>
      <c r="V1536" t="s">
        <v>184</v>
      </c>
      <c r="W1536" t="s">
        <v>138</v>
      </c>
      <c r="X1536" t="s">
        <v>86</v>
      </c>
      <c r="Y1536" t="s">
        <v>1047</v>
      </c>
      <c r="Z1536" t="s">
        <v>41</v>
      </c>
      <c r="AA1536" t="s">
        <v>1167</v>
      </c>
      <c r="AB1536" t="str">
        <f t="shared" si="72"/>
        <v>42837</v>
      </c>
    </row>
    <row r="1537" ht="14.25" spans="1:28">
      <c r="A1537" s="5" t="s">
        <v>28</v>
      </c>
      <c r="B1537" s="5" t="s">
        <v>697</v>
      </c>
      <c r="C1537" s="5">
        <v>2027</v>
      </c>
      <c r="D1537" s="5" t="s">
        <v>30</v>
      </c>
      <c r="E1537" t="s">
        <v>1170</v>
      </c>
      <c r="F1537" t="s">
        <v>1165</v>
      </c>
      <c r="G1537" t="s">
        <v>254</v>
      </c>
      <c r="H1537" t="s">
        <v>1171</v>
      </c>
      <c r="I1537" t="s">
        <v>119</v>
      </c>
      <c r="J1537" t="s">
        <v>36</v>
      </c>
      <c r="K1537">
        <v>790</v>
      </c>
      <c r="O1537" t="s">
        <v>37</v>
      </c>
      <c r="P1537" t="s">
        <v>43</v>
      </c>
      <c r="U1537" s="9" t="s">
        <v>148</v>
      </c>
      <c r="V1537" t="s">
        <v>184</v>
      </c>
      <c r="W1537" t="s">
        <v>138</v>
      </c>
      <c r="X1537" t="s">
        <v>86</v>
      </c>
      <c r="Y1537" t="s">
        <v>1047</v>
      </c>
      <c r="Z1537" t="s">
        <v>41</v>
      </c>
      <c r="AA1537" t="s">
        <v>1167</v>
      </c>
      <c r="AB1537" t="str">
        <f t="shared" si="72"/>
        <v>42837</v>
      </c>
    </row>
    <row r="1538" ht="14.25" spans="1:28">
      <c r="A1538" s="5" t="s">
        <v>28</v>
      </c>
      <c r="B1538" s="5" t="s">
        <v>697</v>
      </c>
      <c r="C1538" s="5">
        <v>2027</v>
      </c>
      <c r="D1538" s="5" t="s">
        <v>30</v>
      </c>
      <c r="E1538" t="s">
        <v>1170</v>
      </c>
      <c r="F1538" t="s">
        <v>1165</v>
      </c>
      <c r="G1538" t="s">
        <v>254</v>
      </c>
      <c r="H1538" t="s">
        <v>1171</v>
      </c>
      <c r="I1538" t="s">
        <v>119</v>
      </c>
      <c r="J1538" t="s">
        <v>36</v>
      </c>
      <c r="K1538">
        <v>790</v>
      </c>
      <c r="O1538" t="s">
        <v>37</v>
      </c>
      <c r="P1538" t="s">
        <v>44</v>
      </c>
      <c r="U1538" s="9" t="s">
        <v>148</v>
      </c>
      <c r="V1538" t="s">
        <v>184</v>
      </c>
      <c r="W1538" t="s">
        <v>138</v>
      </c>
      <c r="X1538" t="s">
        <v>86</v>
      </c>
      <c r="Y1538" t="s">
        <v>1047</v>
      </c>
      <c r="Z1538" t="s">
        <v>41</v>
      </c>
      <c r="AA1538" t="s">
        <v>1167</v>
      </c>
      <c r="AB1538" t="str">
        <f t="shared" si="72"/>
        <v>42837</v>
      </c>
    </row>
    <row r="1539" ht="14.25" spans="1:28">
      <c r="A1539" s="5" t="s">
        <v>28</v>
      </c>
      <c r="B1539" s="5" t="s">
        <v>697</v>
      </c>
      <c r="C1539" s="5">
        <v>2027</v>
      </c>
      <c r="D1539" s="5" t="s">
        <v>30</v>
      </c>
      <c r="E1539" t="s">
        <v>1170</v>
      </c>
      <c r="F1539" t="s">
        <v>1165</v>
      </c>
      <c r="G1539" t="s">
        <v>254</v>
      </c>
      <c r="H1539" t="s">
        <v>1171</v>
      </c>
      <c r="I1539" t="s">
        <v>119</v>
      </c>
      <c r="J1539" t="s">
        <v>36</v>
      </c>
      <c r="K1539">
        <v>790</v>
      </c>
      <c r="O1539" t="s">
        <v>37</v>
      </c>
      <c r="P1539" t="s">
        <v>45</v>
      </c>
      <c r="U1539" s="9" t="s">
        <v>148</v>
      </c>
      <c r="V1539" t="s">
        <v>184</v>
      </c>
      <c r="W1539" t="s">
        <v>138</v>
      </c>
      <c r="X1539" t="s">
        <v>86</v>
      </c>
      <c r="Y1539" t="s">
        <v>1047</v>
      </c>
      <c r="Z1539" t="s">
        <v>41</v>
      </c>
      <c r="AA1539" t="s">
        <v>1167</v>
      </c>
      <c r="AB1539" t="str">
        <f t="shared" si="72"/>
        <v>42837</v>
      </c>
    </row>
    <row r="1540" ht="14.25" spans="1:28">
      <c r="A1540" s="5" t="s">
        <v>28</v>
      </c>
      <c r="B1540" s="5" t="s">
        <v>697</v>
      </c>
      <c r="C1540" s="5">
        <v>2027</v>
      </c>
      <c r="D1540" s="5" t="s">
        <v>30</v>
      </c>
      <c r="E1540" t="s">
        <v>1170</v>
      </c>
      <c r="F1540" t="s">
        <v>1165</v>
      </c>
      <c r="G1540" t="s">
        <v>254</v>
      </c>
      <c r="H1540" t="s">
        <v>1171</v>
      </c>
      <c r="I1540" t="s">
        <v>119</v>
      </c>
      <c r="J1540" t="s">
        <v>36</v>
      </c>
      <c r="K1540">
        <v>790</v>
      </c>
      <c r="O1540" t="s">
        <v>37</v>
      </c>
      <c r="P1540" t="s">
        <v>46</v>
      </c>
      <c r="U1540" s="9" t="s">
        <v>148</v>
      </c>
      <c r="V1540" t="s">
        <v>184</v>
      </c>
      <c r="W1540" t="s">
        <v>138</v>
      </c>
      <c r="X1540" t="s">
        <v>86</v>
      </c>
      <c r="Y1540" t="s">
        <v>1047</v>
      </c>
      <c r="Z1540" t="s">
        <v>41</v>
      </c>
      <c r="AA1540" t="s">
        <v>1167</v>
      </c>
      <c r="AB1540" t="str">
        <f t="shared" si="72"/>
        <v>42837</v>
      </c>
    </row>
    <row r="1541" ht="14.25" spans="1:28">
      <c r="A1541" s="5" t="s">
        <v>28</v>
      </c>
      <c r="B1541" s="5" t="s">
        <v>697</v>
      </c>
      <c r="C1541" s="5">
        <v>2027</v>
      </c>
      <c r="D1541" s="5" t="s">
        <v>30</v>
      </c>
      <c r="E1541" t="s">
        <v>1172</v>
      </c>
      <c r="F1541" t="s">
        <v>1173</v>
      </c>
      <c r="G1541" t="s">
        <v>1174</v>
      </c>
      <c r="H1541" t="s">
        <v>1175</v>
      </c>
      <c r="I1541" t="s">
        <v>119</v>
      </c>
      <c r="J1541" t="s">
        <v>36</v>
      </c>
      <c r="K1541">
        <v>4990</v>
      </c>
      <c r="O1541" t="s">
        <v>37</v>
      </c>
      <c r="P1541" t="s">
        <v>38</v>
      </c>
      <c r="R1541">
        <f t="shared" ref="R1538:R1601" si="73">SUMIFS(Q:Q,E:E,E1541)</f>
        <v>0</v>
      </c>
      <c r="S1541">
        <f>SUMIFS([1]Sheet1!$T:$T,[1]Sheet1!$I:$I,E1541,[1]Sheet1!$C:$C,A1541)</f>
        <v>20</v>
      </c>
      <c r="T1541">
        <f t="shared" ref="T1538:T1601" si="74">R1541-S1541</f>
        <v>-20</v>
      </c>
      <c r="U1541" s="9" t="s">
        <v>242</v>
      </c>
      <c r="V1541" t="s">
        <v>242</v>
      </c>
      <c r="W1541" t="s">
        <v>138</v>
      </c>
      <c r="X1541" t="s">
        <v>1106</v>
      </c>
      <c r="Y1541" t="s">
        <v>1176</v>
      </c>
      <c r="Z1541" t="s">
        <v>41</v>
      </c>
      <c r="AB1541" t="str">
        <f t="shared" si="72"/>
        <v>44296</v>
      </c>
    </row>
    <row r="1542" ht="14.25" spans="1:28">
      <c r="A1542" s="5" t="s">
        <v>28</v>
      </c>
      <c r="B1542" s="5" t="s">
        <v>697</v>
      </c>
      <c r="C1542" s="5">
        <v>2027</v>
      </c>
      <c r="D1542" s="5" t="s">
        <v>30</v>
      </c>
      <c r="E1542" t="s">
        <v>1172</v>
      </c>
      <c r="F1542" t="s">
        <v>1173</v>
      </c>
      <c r="G1542" t="s">
        <v>1174</v>
      </c>
      <c r="H1542" t="s">
        <v>1175</v>
      </c>
      <c r="I1542" t="s">
        <v>119</v>
      </c>
      <c r="J1542" t="s">
        <v>36</v>
      </c>
      <c r="K1542">
        <v>4990</v>
      </c>
      <c r="O1542" t="s">
        <v>37</v>
      </c>
      <c r="P1542" t="s">
        <v>42</v>
      </c>
      <c r="U1542" s="9" t="s">
        <v>242</v>
      </c>
      <c r="V1542" t="s">
        <v>242</v>
      </c>
      <c r="W1542" t="s">
        <v>138</v>
      </c>
      <c r="X1542" t="s">
        <v>1106</v>
      </c>
      <c r="Y1542" t="s">
        <v>1176</v>
      </c>
      <c r="Z1542" t="s">
        <v>41</v>
      </c>
      <c r="AB1542" t="str">
        <f t="shared" si="72"/>
        <v>44296</v>
      </c>
    </row>
    <row r="1543" ht="14.25" spans="1:28">
      <c r="A1543" s="5" t="s">
        <v>28</v>
      </c>
      <c r="B1543" s="5" t="s">
        <v>697</v>
      </c>
      <c r="C1543" s="5">
        <v>2027</v>
      </c>
      <c r="D1543" s="5" t="s">
        <v>30</v>
      </c>
      <c r="E1543" t="s">
        <v>1172</v>
      </c>
      <c r="F1543" t="s">
        <v>1173</v>
      </c>
      <c r="G1543" t="s">
        <v>1174</v>
      </c>
      <c r="H1543" t="s">
        <v>1175</v>
      </c>
      <c r="I1543" t="s">
        <v>119</v>
      </c>
      <c r="J1543" t="s">
        <v>36</v>
      </c>
      <c r="K1543">
        <v>4990</v>
      </c>
      <c r="O1543" t="s">
        <v>37</v>
      </c>
      <c r="P1543" t="s">
        <v>43</v>
      </c>
      <c r="U1543" s="9" t="s">
        <v>242</v>
      </c>
      <c r="V1543" t="s">
        <v>242</v>
      </c>
      <c r="W1543" t="s">
        <v>138</v>
      </c>
      <c r="X1543" t="s">
        <v>1106</v>
      </c>
      <c r="Y1543" t="s">
        <v>1176</v>
      </c>
      <c r="Z1543" t="s">
        <v>41</v>
      </c>
      <c r="AB1543" t="str">
        <f t="shared" si="72"/>
        <v>44296</v>
      </c>
    </row>
    <row r="1544" ht="14.25" spans="1:28">
      <c r="A1544" s="5" t="s">
        <v>28</v>
      </c>
      <c r="B1544" s="5" t="s">
        <v>697</v>
      </c>
      <c r="C1544" s="5">
        <v>2027</v>
      </c>
      <c r="D1544" s="5" t="s">
        <v>30</v>
      </c>
      <c r="E1544" t="s">
        <v>1172</v>
      </c>
      <c r="F1544" t="s">
        <v>1173</v>
      </c>
      <c r="G1544" t="s">
        <v>1174</v>
      </c>
      <c r="H1544" t="s">
        <v>1175</v>
      </c>
      <c r="I1544" t="s">
        <v>119</v>
      </c>
      <c r="J1544" t="s">
        <v>36</v>
      </c>
      <c r="K1544">
        <v>4990</v>
      </c>
      <c r="O1544" t="s">
        <v>37</v>
      </c>
      <c r="P1544" t="s">
        <v>44</v>
      </c>
      <c r="U1544" s="9" t="s">
        <v>242</v>
      </c>
      <c r="V1544" t="s">
        <v>242</v>
      </c>
      <c r="W1544" t="s">
        <v>138</v>
      </c>
      <c r="X1544" t="s">
        <v>1106</v>
      </c>
      <c r="Y1544" t="s">
        <v>1176</v>
      </c>
      <c r="Z1544" t="s">
        <v>41</v>
      </c>
      <c r="AB1544" t="str">
        <f t="shared" si="72"/>
        <v>44296</v>
      </c>
    </row>
    <row r="1545" ht="14.25" spans="1:28">
      <c r="A1545" s="5" t="s">
        <v>28</v>
      </c>
      <c r="B1545" s="5" t="s">
        <v>697</v>
      </c>
      <c r="C1545" s="5">
        <v>2027</v>
      </c>
      <c r="D1545" s="5" t="s">
        <v>30</v>
      </c>
      <c r="E1545" t="s">
        <v>1172</v>
      </c>
      <c r="F1545" t="s">
        <v>1173</v>
      </c>
      <c r="G1545" t="s">
        <v>1174</v>
      </c>
      <c r="H1545" t="s">
        <v>1175</v>
      </c>
      <c r="I1545" t="s">
        <v>119</v>
      </c>
      <c r="J1545" t="s">
        <v>36</v>
      </c>
      <c r="K1545">
        <v>4990</v>
      </c>
      <c r="O1545" t="s">
        <v>37</v>
      </c>
      <c r="P1545" t="s">
        <v>45</v>
      </c>
      <c r="U1545" s="9" t="s">
        <v>242</v>
      </c>
      <c r="V1545" t="s">
        <v>242</v>
      </c>
      <c r="W1545" t="s">
        <v>138</v>
      </c>
      <c r="X1545" t="s">
        <v>1106</v>
      </c>
      <c r="Y1545" t="s">
        <v>1176</v>
      </c>
      <c r="Z1545" t="s">
        <v>41</v>
      </c>
      <c r="AB1545" t="str">
        <f t="shared" si="72"/>
        <v>44296</v>
      </c>
    </row>
    <row r="1546" ht="14.25" spans="1:28">
      <c r="A1546" s="5" t="s">
        <v>28</v>
      </c>
      <c r="B1546" s="5" t="s">
        <v>697</v>
      </c>
      <c r="C1546" s="5">
        <v>2027</v>
      </c>
      <c r="D1546" s="5" t="s">
        <v>30</v>
      </c>
      <c r="E1546" t="s">
        <v>1172</v>
      </c>
      <c r="F1546" t="s">
        <v>1173</v>
      </c>
      <c r="G1546" t="s">
        <v>1174</v>
      </c>
      <c r="H1546" t="s">
        <v>1175</v>
      </c>
      <c r="I1546" t="s">
        <v>119</v>
      </c>
      <c r="J1546" t="s">
        <v>36</v>
      </c>
      <c r="K1546">
        <v>4990</v>
      </c>
      <c r="O1546" t="s">
        <v>37</v>
      </c>
      <c r="P1546" t="s">
        <v>46</v>
      </c>
      <c r="U1546" s="9" t="s">
        <v>242</v>
      </c>
      <c r="V1546" t="s">
        <v>242</v>
      </c>
      <c r="W1546" t="s">
        <v>138</v>
      </c>
      <c r="X1546" t="s">
        <v>1106</v>
      </c>
      <c r="Y1546" t="s">
        <v>1176</v>
      </c>
      <c r="Z1546" t="s">
        <v>41</v>
      </c>
      <c r="AB1546" t="str">
        <f t="shared" si="72"/>
        <v>44296</v>
      </c>
    </row>
    <row r="1547" ht="14.25" spans="1:28">
      <c r="A1547" s="5" t="s">
        <v>28</v>
      </c>
      <c r="B1547" s="5" t="s">
        <v>697</v>
      </c>
      <c r="C1547" s="5">
        <v>2027</v>
      </c>
      <c r="D1547" s="5" t="s">
        <v>30</v>
      </c>
      <c r="E1547" t="s">
        <v>1177</v>
      </c>
      <c r="F1547" t="s">
        <v>64</v>
      </c>
      <c r="G1547" t="s">
        <v>1178</v>
      </c>
      <c r="H1547" t="s">
        <v>1179</v>
      </c>
      <c r="I1547" t="s">
        <v>112</v>
      </c>
      <c r="J1547" t="s">
        <v>67</v>
      </c>
      <c r="K1547">
        <v>1190</v>
      </c>
      <c r="O1547" t="s">
        <v>68</v>
      </c>
      <c r="P1547" t="s">
        <v>69</v>
      </c>
      <c r="R1547">
        <f t="shared" si="73"/>
        <v>0</v>
      </c>
      <c r="S1547">
        <f>SUMIFS([1]Sheet1!$T:$T,[1]Sheet1!$I:$I,E1547,[1]Sheet1!$C:$C,A1547)</f>
        <v>40</v>
      </c>
      <c r="T1547">
        <f t="shared" si="74"/>
        <v>-40</v>
      </c>
      <c r="U1547" s="9" t="s">
        <v>136</v>
      </c>
      <c r="V1547" t="s">
        <v>1150</v>
      </c>
      <c r="W1547" t="s">
        <v>138</v>
      </c>
      <c r="X1547" t="s">
        <v>39</v>
      </c>
      <c r="Y1547" t="s">
        <v>920</v>
      </c>
      <c r="Z1547" t="s">
        <v>71</v>
      </c>
      <c r="AB1547" t="str">
        <f t="shared" si="72"/>
        <v>44353</v>
      </c>
    </row>
    <row r="1548" ht="14.25" spans="1:28">
      <c r="A1548" s="5" t="s">
        <v>28</v>
      </c>
      <c r="B1548" s="5" t="s">
        <v>697</v>
      </c>
      <c r="C1548" s="5">
        <v>2027</v>
      </c>
      <c r="D1548" s="5" t="s">
        <v>30</v>
      </c>
      <c r="E1548" t="s">
        <v>1177</v>
      </c>
      <c r="F1548" t="s">
        <v>64</v>
      </c>
      <c r="G1548" t="s">
        <v>1178</v>
      </c>
      <c r="H1548" t="s">
        <v>1179</v>
      </c>
      <c r="I1548" t="s">
        <v>112</v>
      </c>
      <c r="J1548" t="s">
        <v>67</v>
      </c>
      <c r="K1548">
        <v>1190</v>
      </c>
      <c r="O1548" t="s">
        <v>68</v>
      </c>
      <c r="P1548" t="s">
        <v>72</v>
      </c>
      <c r="U1548" s="9" t="s">
        <v>136</v>
      </c>
      <c r="V1548" t="s">
        <v>1150</v>
      </c>
      <c r="W1548" t="s">
        <v>138</v>
      </c>
      <c r="X1548" t="s">
        <v>39</v>
      </c>
      <c r="Y1548" t="s">
        <v>920</v>
      </c>
      <c r="Z1548" t="s">
        <v>71</v>
      </c>
      <c r="AB1548" t="str">
        <f t="shared" si="72"/>
        <v>44353</v>
      </c>
    </row>
    <row r="1549" ht="14.25" spans="1:28">
      <c r="A1549" s="5" t="s">
        <v>28</v>
      </c>
      <c r="B1549" s="5" t="s">
        <v>697</v>
      </c>
      <c r="C1549" s="5">
        <v>2027</v>
      </c>
      <c r="D1549" s="5" t="s">
        <v>30</v>
      </c>
      <c r="E1549" t="s">
        <v>1177</v>
      </c>
      <c r="F1549" t="s">
        <v>64</v>
      </c>
      <c r="G1549" t="s">
        <v>1178</v>
      </c>
      <c r="H1549" t="s">
        <v>1179</v>
      </c>
      <c r="I1549" t="s">
        <v>112</v>
      </c>
      <c r="J1549" t="s">
        <v>67</v>
      </c>
      <c r="K1549">
        <v>1190</v>
      </c>
      <c r="O1549" t="s">
        <v>68</v>
      </c>
      <c r="P1549" t="s">
        <v>73</v>
      </c>
      <c r="U1549" s="9" t="s">
        <v>136</v>
      </c>
      <c r="V1549" t="s">
        <v>1150</v>
      </c>
      <c r="W1549" t="s">
        <v>138</v>
      </c>
      <c r="X1549" t="s">
        <v>39</v>
      </c>
      <c r="Y1549" t="s">
        <v>920</v>
      </c>
      <c r="Z1549" t="s">
        <v>71</v>
      </c>
      <c r="AB1549" t="str">
        <f t="shared" si="72"/>
        <v>44353</v>
      </c>
    </row>
    <row r="1550" ht="14.25" spans="1:28">
      <c r="A1550" s="5" t="s">
        <v>28</v>
      </c>
      <c r="B1550" s="5" t="s">
        <v>697</v>
      </c>
      <c r="C1550" s="5">
        <v>2027</v>
      </c>
      <c r="D1550" s="5" t="s">
        <v>30</v>
      </c>
      <c r="E1550" t="s">
        <v>1177</v>
      </c>
      <c r="F1550" t="s">
        <v>64</v>
      </c>
      <c r="G1550" t="s">
        <v>1178</v>
      </c>
      <c r="H1550" t="s">
        <v>1179</v>
      </c>
      <c r="I1550" t="s">
        <v>112</v>
      </c>
      <c r="J1550" t="s">
        <v>67</v>
      </c>
      <c r="K1550">
        <v>1190</v>
      </c>
      <c r="O1550" t="s">
        <v>68</v>
      </c>
      <c r="P1550" t="s">
        <v>74</v>
      </c>
      <c r="U1550" s="9" t="s">
        <v>136</v>
      </c>
      <c r="V1550" t="s">
        <v>1150</v>
      </c>
      <c r="W1550" t="s">
        <v>138</v>
      </c>
      <c r="X1550" t="s">
        <v>39</v>
      </c>
      <c r="Y1550" t="s">
        <v>920</v>
      </c>
      <c r="Z1550" t="s">
        <v>71</v>
      </c>
      <c r="AB1550" t="str">
        <f t="shared" si="72"/>
        <v>44353</v>
      </c>
    </row>
    <row r="1551" ht="14.25" spans="1:28">
      <c r="A1551" s="5" t="s">
        <v>28</v>
      </c>
      <c r="B1551" s="5" t="s">
        <v>697</v>
      </c>
      <c r="C1551" s="5">
        <v>2027</v>
      </c>
      <c r="D1551" s="5" t="s">
        <v>30</v>
      </c>
      <c r="E1551" t="s">
        <v>1177</v>
      </c>
      <c r="F1551" t="s">
        <v>64</v>
      </c>
      <c r="G1551" t="s">
        <v>1178</v>
      </c>
      <c r="H1551" t="s">
        <v>1179</v>
      </c>
      <c r="I1551" t="s">
        <v>112</v>
      </c>
      <c r="J1551" t="s">
        <v>67</v>
      </c>
      <c r="K1551">
        <v>1190</v>
      </c>
      <c r="O1551" t="s">
        <v>68</v>
      </c>
      <c r="P1551" t="s">
        <v>75</v>
      </c>
      <c r="U1551" s="9" t="s">
        <v>136</v>
      </c>
      <c r="V1551" t="s">
        <v>1150</v>
      </c>
      <c r="W1551" t="s">
        <v>138</v>
      </c>
      <c r="X1551" t="s">
        <v>39</v>
      </c>
      <c r="Y1551" t="s">
        <v>920</v>
      </c>
      <c r="Z1551" t="s">
        <v>71</v>
      </c>
      <c r="AB1551" t="str">
        <f t="shared" si="72"/>
        <v>44353</v>
      </c>
    </row>
    <row r="1552" ht="14.25" spans="1:28">
      <c r="A1552" s="5" t="s">
        <v>28</v>
      </c>
      <c r="B1552" s="5" t="s">
        <v>697</v>
      </c>
      <c r="C1552" s="5">
        <v>2027</v>
      </c>
      <c r="D1552" s="5" t="s">
        <v>30</v>
      </c>
      <c r="E1552" t="s">
        <v>1177</v>
      </c>
      <c r="F1552" t="s">
        <v>64</v>
      </c>
      <c r="G1552" t="s">
        <v>1178</v>
      </c>
      <c r="H1552" t="s">
        <v>1179</v>
      </c>
      <c r="I1552" t="s">
        <v>112</v>
      </c>
      <c r="J1552" t="s">
        <v>67</v>
      </c>
      <c r="K1552">
        <v>1190</v>
      </c>
      <c r="O1552" t="s">
        <v>68</v>
      </c>
      <c r="P1552" t="s">
        <v>76</v>
      </c>
      <c r="U1552" s="9" t="s">
        <v>136</v>
      </c>
      <c r="V1552" t="s">
        <v>1150</v>
      </c>
      <c r="W1552" t="s">
        <v>138</v>
      </c>
      <c r="X1552" t="s">
        <v>39</v>
      </c>
      <c r="Y1552" t="s">
        <v>920</v>
      </c>
      <c r="Z1552" t="s">
        <v>71</v>
      </c>
      <c r="AB1552" t="str">
        <f t="shared" si="72"/>
        <v>44353</v>
      </c>
    </row>
    <row r="1553" ht="14.25" spans="1:28">
      <c r="A1553" s="5" t="s">
        <v>28</v>
      </c>
      <c r="B1553" s="5" t="s">
        <v>697</v>
      </c>
      <c r="C1553" s="5">
        <v>2027</v>
      </c>
      <c r="D1553" s="5" t="s">
        <v>30</v>
      </c>
      <c r="E1553" t="s">
        <v>1177</v>
      </c>
      <c r="F1553" t="s">
        <v>64</v>
      </c>
      <c r="G1553" t="s">
        <v>1178</v>
      </c>
      <c r="H1553" t="s">
        <v>1179</v>
      </c>
      <c r="I1553" t="s">
        <v>112</v>
      </c>
      <c r="J1553" t="s">
        <v>67</v>
      </c>
      <c r="K1553">
        <v>1190</v>
      </c>
      <c r="O1553" t="s">
        <v>68</v>
      </c>
      <c r="P1553" t="s">
        <v>77</v>
      </c>
      <c r="U1553" s="9" t="s">
        <v>136</v>
      </c>
      <c r="V1553" t="s">
        <v>1150</v>
      </c>
      <c r="W1553" t="s">
        <v>138</v>
      </c>
      <c r="X1553" t="s">
        <v>39</v>
      </c>
      <c r="Y1553" t="s">
        <v>920</v>
      </c>
      <c r="Z1553" t="s">
        <v>71</v>
      </c>
      <c r="AB1553" t="str">
        <f t="shared" si="72"/>
        <v>44353</v>
      </c>
    </row>
    <row r="1554" ht="14.25" spans="1:28">
      <c r="A1554" s="5" t="s">
        <v>28</v>
      </c>
      <c r="B1554" s="5" t="s">
        <v>697</v>
      </c>
      <c r="C1554" s="5">
        <v>2027</v>
      </c>
      <c r="D1554" s="5" t="s">
        <v>30</v>
      </c>
      <c r="E1554" t="s">
        <v>1177</v>
      </c>
      <c r="F1554" t="s">
        <v>64</v>
      </c>
      <c r="G1554" t="s">
        <v>1178</v>
      </c>
      <c r="H1554" t="s">
        <v>1179</v>
      </c>
      <c r="I1554" t="s">
        <v>112</v>
      </c>
      <c r="J1554" t="s">
        <v>67</v>
      </c>
      <c r="K1554">
        <v>1190</v>
      </c>
      <c r="O1554" t="s">
        <v>68</v>
      </c>
      <c r="P1554" t="s">
        <v>78</v>
      </c>
      <c r="U1554" s="9" t="s">
        <v>136</v>
      </c>
      <c r="V1554" t="s">
        <v>1150</v>
      </c>
      <c r="W1554" t="s">
        <v>138</v>
      </c>
      <c r="X1554" t="s">
        <v>39</v>
      </c>
      <c r="Y1554" t="s">
        <v>920</v>
      </c>
      <c r="Z1554" t="s">
        <v>71</v>
      </c>
      <c r="AB1554" t="str">
        <f t="shared" si="72"/>
        <v>44353</v>
      </c>
    </row>
    <row r="1555" ht="14.25" spans="1:28">
      <c r="A1555" s="5" t="s">
        <v>28</v>
      </c>
      <c r="B1555" s="5" t="s">
        <v>697</v>
      </c>
      <c r="C1555" s="5">
        <v>2027</v>
      </c>
      <c r="D1555" s="5" t="s">
        <v>30</v>
      </c>
      <c r="E1555" t="s">
        <v>1177</v>
      </c>
      <c r="F1555" t="s">
        <v>64</v>
      </c>
      <c r="G1555" t="s">
        <v>1178</v>
      </c>
      <c r="H1555" t="s">
        <v>1179</v>
      </c>
      <c r="I1555" t="s">
        <v>112</v>
      </c>
      <c r="J1555" t="s">
        <v>67</v>
      </c>
      <c r="K1555">
        <v>1190</v>
      </c>
      <c r="O1555" t="s">
        <v>68</v>
      </c>
      <c r="P1555" t="s">
        <v>79</v>
      </c>
      <c r="U1555" s="9" t="s">
        <v>136</v>
      </c>
      <c r="V1555" t="s">
        <v>1150</v>
      </c>
      <c r="W1555" t="s">
        <v>138</v>
      </c>
      <c r="X1555" t="s">
        <v>39</v>
      </c>
      <c r="Y1555" t="s">
        <v>920</v>
      </c>
      <c r="Z1555" t="s">
        <v>71</v>
      </c>
      <c r="AB1555" t="str">
        <f t="shared" si="72"/>
        <v>44353</v>
      </c>
    </row>
    <row r="1556" ht="14.25" spans="1:28">
      <c r="A1556" s="5" t="s">
        <v>28</v>
      </c>
      <c r="B1556" s="5" t="s">
        <v>697</v>
      </c>
      <c r="C1556" s="5">
        <v>2027</v>
      </c>
      <c r="D1556" s="5" t="s">
        <v>30</v>
      </c>
      <c r="E1556" t="s">
        <v>1180</v>
      </c>
      <c r="F1556" t="s">
        <v>1181</v>
      </c>
      <c r="G1556" t="s">
        <v>65</v>
      </c>
      <c r="H1556" t="s">
        <v>1182</v>
      </c>
      <c r="I1556" t="s">
        <v>119</v>
      </c>
      <c r="J1556" t="s">
        <v>74</v>
      </c>
      <c r="K1556">
        <v>1590</v>
      </c>
      <c r="O1556" t="s">
        <v>68</v>
      </c>
      <c r="P1556" t="s">
        <v>69</v>
      </c>
      <c r="R1556">
        <f t="shared" si="73"/>
        <v>0</v>
      </c>
      <c r="S1556">
        <f>SUMIFS([1]Sheet1!$T:$T,[1]Sheet1!$I:$I,E1556,[1]Sheet1!$C:$C,A1556)</f>
        <v>0</v>
      </c>
      <c r="T1556">
        <f t="shared" si="74"/>
        <v>0</v>
      </c>
      <c r="U1556" s="9" t="s">
        <v>136</v>
      </c>
      <c r="V1556" t="s">
        <v>137</v>
      </c>
      <c r="W1556" t="s">
        <v>138</v>
      </c>
      <c r="X1556" t="s">
        <v>70</v>
      </c>
      <c r="Y1556" t="s">
        <v>1183</v>
      </c>
      <c r="Z1556" t="s">
        <v>1184</v>
      </c>
      <c r="AB1556" t="str">
        <f t="shared" si="72"/>
        <v>44675</v>
      </c>
    </row>
    <row r="1557" ht="14.25" spans="1:28">
      <c r="A1557" s="5" t="s">
        <v>28</v>
      </c>
      <c r="B1557" s="5" t="s">
        <v>697</v>
      </c>
      <c r="C1557" s="5">
        <v>2027</v>
      </c>
      <c r="D1557" s="5" t="s">
        <v>30</v>
      </c>
      <c r="E1557" t="s">
        <v>1180</v>
      </c>
      <c r="F1557" t="s">
        <v>1181</v>
      </c>
      <c r="G1557" t="s">
        <v>65</v>
      </c>
      <c r="H1557" t="s">
        <v>1182</v>
      </c>
      <c r="I1557" t="s">
        <v>119</v>
      </c>
      <c r="J1557" t="s">
        <v>74</v>
      </c>
      <c r="K1557">
        <v>1590</v>
      </c>
      <c r="O1557" t="s">
        <v>68</v>
      </c>
      <c r="P1557" t="s">
        <v>72</v>
      </c>
      <c r="U1557" s="9" t="s">
        <v>136</v>
      </c>
      <c r="V1557" t="s">
        <v>137</v>
      </c>
      <c r="W1557" t="s">
        <v>138</v>
      </c>
      <c r="X1557" t="s">
        <v>70</v>
      </c>
      <c r="Y1557" t="s">
        <v>1183</v>
      </c>
      <c r="Z1557" t="s">
        <v>1184</v>
      </c>
      <c r="AB1557" t="str">
        <f t="shared" si="72"/>
        <v>44675</v>
      </c>
    </row>
    <row r="1558" ht="14.25" spans="1:28">
      <c r="A1558" s="5" t="s">
        <v>28</v>
      </c>
      <c r="B1558" s="5" t="s">
        <v>697</v>
      </c>
      <c r="C1558" s="5">
        <v>2027</v>
      </c>
      <c r="D1558" s="5" t="s">
        <v>30</v>
      </c>
      <c r="E1558" t="s">
        <v>1180</v>
      </c>
      <c r="F1558" t="s">
        <v>1181</v>
      </c>
      <c r="G1558" t="s">
        <v>65</v>
      </c>
      <c r="H1558" t="s">
        <v>1182</v>
      </c>
      <c r="I1558" t="s">
        <v>119</v>
      </c>
      <c r="J1558" t="s">
        <v>74</v>
      </c>
      <c r="K1558">
        <v>1590</v>
      </c>
      <c r="O1558" t="s">
        <v>68</v>
      </c>
      <c r="P1558" t="s">
        <v>73</v>
      </c>
      <c r="U1558" s="9" t="s">
        <v>136</v>
      </c>
      <c r="V1558" t="s">
        <v>137</v>
      </c>
      <c r="W1558" t="s">
        <v>138</v>
      </c>
      <c r="X1558" t="s">
        <v>70</v>
      </c>
      <c r="Y1558" t="s">
        <v>1183</v>
      </c>
      <c r="Z1558" t="s">
        <v>1184</v>
      </c>
      <c r="AB1558" t="str">
        <f t="shared" si="72"/>
        <v>44675</v>
      </c>
    </row>
    <row r="1559" ht="14.25" spans="1:28">
      <c r="A1559" s="5" t="s">
        <v>28</v>
      </c>
      <c r="B1559" s="5" t="s">
        <v>697</v>
      </c>
      <c r="C1559" s="5">
        <v>2027</v>
      </c>
      <c r="D1559" s="5" t="s">
        <v>30</v>
      </c>
      <c r="E1559" t="s">
        <v>1180</v>
      </c>
      <c r="F1559" t="s">
        <v>1181</v>
      </c>
      <c r="G1559" t="s">
        <v>65</v>
      </c>
      <c r="H1559" t="s">
        <v>1182</v>
      </c>
      <c r="I1559" t="s">
        <v>119</v>
      </c>
      <c r="J1559" t="s">
        <v>74</v>
      </c>
      <c r="K1559">
        <v>1590</v>
      </c>
      <c r="O1559" t="s">
        <v>68</v>
      </c>
      <c r="P1559" t="s">
        <v>74</v>
      </c>
      <c r="U1559" s="9" t="s">
        <v>136</v>
      </c>
      <c r="V1559" t="s">
        <v>137</v>
      </c>
      <c r="W1559" t="s">
        <v>138</v>
      </c>
      <c r="X1559" t="s">
        <v>70</v>
      </c>
      <c r="Y1559" t="s">
        <v>1183</v>
      </c>
      <c r="Z1559" t="s">
        <v>1184</v>
      </c>
      <c r="AB1559" t="str">
        <f t="shared" si="72"/>
        <v>44675</v>
      </c>
    </row>
    <row r="1560" ht="14.25" spans="1:28">
      <c r="A1560" s="5" t="s">
        <v>28</v>
      </c>
      <c r="B1560" s="5" t="s">
        <v>697</v>
      </c>
      <c r="C1560" s="5">
        <v>2027</v>
      </c>
      <c r="D1560" s="5" t="s">
        <v>30</v>
      </c>
      <c r="E1560" t="s">
        <v>1180</v>
      </c>
      <c r="F1560" t="s">
        <v>1181</v>
      </c>
      <c r="G1560" t="s">
        <v>65</v>
      </c>
      <c r="H1560" t="s">
        <v>1182</v>
      </c>
      <c r="I1560" t="s">
        <v>119</v>
      </c>
      <c r="J1560" t="s">
        <v>74</v>
      </c>
      <c r="K1560">
        <v>1590</v>
      </c>
      <c r="O1560" t="s">
        <v>68</v>
      </c>
      <c r="P1560" t="s">
        <v>75</v>
      </c>
      <c r="U1560" s="9" t="s">
        <v>136</v>
      </c>
      <c r="V1560" t="s">
        <v>137</v>
      </c>
      <c r="W1560" t="s">
        <v>138</v>
      </c>
      <c r="X1560" t="s">
        <v>70</v>
      </c>
      <c r="Y1560" t="s">
        <v>1183</v>
      </c>
      <c r="Z1560" t="s">
        <v>1184</v>
      </c>
      <c r="AB1560" t="str">
        <f t="shared" si="72"/>
        <v>44675</v>
      </c>
    </row>
    <row r="1561" ht="14.25" spans="1:28">
      <c r="A1561" s="5" t="s">
        <v>28</v>
      </c>
      <c r="B1561" s="5" t="s">
        <v>697</v>
      </c>
      <c r="C1561" s="5">
        <v>2027</v>
      </c>
      <c r="D1561" s="5" t="s">
        <v>30</v>
      </c>
      <c r="E1561" t="s">
        <v>1180</v>
      </c>
      <c r="F1561" t="s">
        <v>1181</v>
      </c>
      <c r="G1561" t="s">
        <v>65</v>
      </c>
      <c r="H1561" t="s">
        <v>1182</v>
      </c>
      <c r="I1561" t="s">
        <v>119</v>
      </c>
      <c r="J1561" t="s">
        <v>74</v>
      </c>
      <c r="K1561">
        <v>1590</v>
      </c>
      <c r="O1561" t="s">
        <v>68</v>
      </c>
      <c r="P1561" t="s">
        <v>76</v>
      </c>
      <c r="U1561" s="9" t="s">
        <v>136</v>
      </c>
      <c r="V1561" t="s">
        <v>137</v>
      </c>
      <c r="W1561" t="s">
        <v>138</v>
      </c>
      <c r="X1561" t="s">
        <v>70</v>
      </c>
      <c r="Y1561" t="s">
        <v>1183</v>
      </c>
      <c r="Z1561" t="s">
        <v>1184</v>
      </c>
      <c r="AB1561" t="str">
        <f t="shared" si="72"/>
        <v>44675</v>
      </c>
    </row>
    <row r="1562" ht="14.25" spans="1:28">
      <c r="A1562" s="5" t="s">
        <v>28</v>
      </c>
      <c r="B1562" s="5" t="s">
        <v>697</v>
      </c>
      <c r="C1562" s="5">
        <v>2027</v>
      </c>
      <c r="D1562" s="5" t="s">
        <v>30</v>
      </c>
      <c r="E1562" t="s">
        <v>1180</v>
      </c>
      <c r="F1562" t="s">
        <v>1181</v>
      </c>
      <c r="G1562" t="s">
        <v>65</v>
      </c>
      <c r="H1562" t="s">
        <v>1182</v>
      </c>
      <c r="I1562" t="s">
        <v>119</v>
      </c>
      <c r="J1562" t="s">
        <v>74</v>
      </c>
      <c r="K1562">
        <v>1590</v>
      </c>
      <c r="O1562" t="s">
        <v>68</v>
      </c>
      <c r="P1562" t="s">
        <v>77</v>
      </c>
      <c r="U1562" s="9" t="s">
        <v>136</v>
      </c>
      <c r="V1562" t="s">
        <v>137</v>
      </c>
      <c r="W1562" t="s">
        <v>138</v>
      </c>
      <c r="X1562" t="s">
        <v>70</v>
      </c>
      <c r="Y1562" t="s">
        <v>1183</v>
      </c>
      <c r="Z1562" t="s">
        <v>1184</v>
      </c>
      <c r="AB1562" t="str">
        <f t="shared" si="72"/>
        <v>44675</v>
      </c>
    </row>
    <row r="1563" ht="14.25" spans="1:28">
      <c r="A1563" s="5" t="s">
        <v>28</v>
      </c>
      <c r="B1563" s="5" t="s">
        <v>697</v>
      </c>
      <c r="C1563" s="5">
        <v>2027</v>
      </c>
      <c r="D1563" s="5" t="s">
        <v>30</v>
      </c>
      <c r="E1563" t="s">
        <v>1180</v>
      </c>
      <c r="F1563" t="s">
        <v>1181</v>
      </c>
      <c r="G1563" t="s">
        <v>65</v>
      </c>
      <c r="H1563" t="s">
        <v>1182</v>
      </c>
      <c r="I1563" t="s">
        <v>119</v>
      </c>
      <c r="J1563" t="s">
        <v>74</v>
      </c>
      <c r="K1563">
        <v>1590</v>
      </c>
      <c r="O1563" t="s">
        <v>68</v>
      </c>
      <c r="P1563" t="s">
        <v>78</v>
      </c>
      <c r="U1563" s="9" t="s">
        <v>136</v>
      </c>
      <c r="V1563" t="s">
        <v>137</v>
      </c>
      <c r="W1563" t="s">
        <v>138</v>
      </c>
      <c r="X1563" t="s">
        <v>70</v>
      </c>
      <c r="Y1563" t="s">
        <v>1183</v>
      </c>
      <c r="Z1563" t="s">
        <v>1184</v>
      </c>
      <c r="AB1563" t="str">
        <f t="shared" si="72"/>
        <v>44675</v>
      </c>
    </row>
    <row r="1564" ht="14.25" spans="1:28">
      <c r="A1564" s="5" t="s">
        <v>28</v>
      </c>
      <c r="B1564" s="5" t="s">
        <v>697</v>
      </c>
      <c r="C1564" s="5">
        <v>2027</v>
      </c>
      <c r="D1564" s="5" t="s">
        <v>30</v>
      </c>
      <c r="E1564" t="s">
        <v>1180</v>
      </c>
      <c r="F1564" t="s">
        <v>1181</v>
      </c>
      <c r="G1564" t="s">
        <v>65</v>
      </c>
      <c r="H1564" t="s">
        <v>1182</v>
      </c>
      <c r="I1564" t="s">
        <v>119</v>
      </c>
      <c r="J1564" t="s">
        <v>74</v>
      </c>
      <c r="K1564">
        <v>1590</v>
      </c>
      <c r="O1564" t="s">
        <v>68</v>
      </c>
      <c r="P1564" t="s">
        <v>79</v>
      </c>
      <c r="U1564" s="9" t="s">
        <v>136</v>
      </c>
      <c r="V1564" t="s">
        <v>137</v>
      </c>
      <c r="W1564" t="s">
        <v>138</v>
      </c>
      <c r="X1564" t="s">
        <v>70</v>
      </c>
      <c r="Y1564" t="s">
        <v>1183</v>
      </c>
      <c r="Z1564" t="s">
        <v>1184</v>
      </c>
      <c r="AB1564" t="str">
        <f t="shared" si="72"/>
        <v>44675</v>
      </c>
    </row>
    <row r="1565" ht="14.25" spans="1:28">
      <c r="A1565" s="5" t="s">
        <v>28</v>
      </c>
      <c r="B1565" s="5" t="s">
        <v>697</v>
      </c>
      <c r="C1565" s="5">
        <v>2027</v>
      </c>
      <c r="D1565" s="5" t="s">
        <v>30</v>
      </c>
      <c r="E1565" t="s">
        <v>1185</v>
      </c>
      <c r="F1565" t="s">
        <v>1181</v>
      </c>
      <c r="G1565" t="s">
        <v>100</v>
      </c>
      <c r="H1565" t="s">
        <v>1186</v>
      </c>
      <c r="I1565" t="s">
        <v>119</v>
      </c>
      <c r="J1565" t="s">
        <v>74</v>
      </c>
      <c r="K1565">
        <v>1590</v>
      </c>
      <c r="O1565" t="s">
        <v>68</v>
      </c>
      <c r="P1565" t="s">
        <v>69</v>
      </c>
      <c r="R1565">
        <f t="shared" si="73"/>
        <v>0</v>
      </c>
      <c r="S1565">
        <f>SUMIFS([1]Sheet1!$T:$T,[1]Sheet1!$I:$I,E1565,[1]Sheet1!$C:$C,A1565)</f>
        <v>0</v>
      </c>
      <c r="T1565">
        <f t="shared" si="74"/>
        <v>0</v>
      </c>
      <c r="U1565" s="9" t="s">
        <v>136</v>
      </c>
      <c r="V1565" t="s">
        <v>137</v>
      </c>
      <c r="W1565" t="s">
        <v>138</v>
      </c>
      <c r="X1565" t="s">
        <v>102</v>
      </c>
      <c r="Y1565" t="s">
        <v>1183</v>
      </c>
      <c r="Z1565" t="s">
        <v>1184</v>
      </c>
      <c r="AB1565" t="str">
        <f t="shared" si="72"/>
        <v>44675</v>
      </c>
    </row>
    <row r="1566" ht="14.25" spans="1:28">
      <c r="A1566" s="5" t="s">
        <v>28</v>
      </c>
      <c r="B1566" s="5" t="s">
        <v>697</v>
      </c>
      <c r="C1566" s="5">
        <v>2027</v>
      </c>
      <c r="D1566" s="5" t="s">
        <v>30</v>
      </c>
      <c r="E1566" t="s">
        <v>1185</v>
      </c>
      <c r="F1566" t="s">
        <v>1181</v>
      </c>
      <c r="G1566" t="s">
        <v>100</v>
      </c>
      <c r="H1566" t="s">
        <v>1186</v>
      </c>
      <c r="I1566" t="s">
        <v>119</v>
      </c>
      <c r="J1566" t="s">
        <v>74</v>
      </c>
      <c r="K1566">
        <v>1590</v>
      </c>
      <c r="O1566" t="s">
        <v>68</v>
      </c>
      <c r="P1566" t="s">
        <v>72</v>
      </c>
      <c r="U1566" s="9" t="s">
        <v>136</v>
      </c>
      <c r="V1566" t="s">
        <v>137</v>
      </c>
      <c r="W1566" t="s">
        <v>138</v>
      </c>
      <c r="X1566" t="s">
        <v>102</v>
      </c>
      <c r="Y1566" t="s">
        <v>1183</v>
      </c>
      <c r="Z1566" t="s">
        <v>1184</v>
      </c>
      <c r="AB1566" t="str">
        <f t="shared" si="72"/>
        <v>44675</v>
      </c>
    </row>
    <row r="1567" ht="14.25" spans="1:28">
      <c r="A1567" s="5" t="s">
        <v>28</v>
      </c>
      <c r="B1567" s="5" t="s">
        <v>697</v>
      </c>
      <c r="C1567" s="5">
        <v>2027</v>
      </c>
      <c r="D1567" s="5" t="s">
        <v>30</v>
      </c>
      <c r="E1567" t="s">
        <v>1185</v>
      </c>
      <c r="F1567" t="s">
        <v>1181</v>
      </c>
      <c r="G1567" t="s">
        <v>100</v>
      </c>
      <c r="H1567" t="s">
        <v>1186</v>
      </c>
      <c r="I1567" t="s">
        <v>119</v>
      </c>
      <c r="J1567" t="s">
        <v>74</v>
      </c>
      <c r="K1567">
        <v>1590</v>
      </c>
      <c r="O1567" t="s">
        <v>68</v>
      </c>
      <c r="P1567" t="s">
        <v>73</v>
      </c>
      <c r="U1567" s="9" t="s">
        <v>136</v>
      </c>
      <c r="V1567" t="s">
        <v>137</v>
      </c>
      <c r="W1567" t="s">
        <v>138</v>
      </c>
      <c r="X1567" t="s">
        <v>102</v>
      </c>
      <c r="Y1567" t="s">
        <v>1183</v>
      </c>
      <c r="Z1567" t="s">
        <v>1184</v>
      </c>
      <c r="AB1567" t="str">
        <f t="shared" si="72"/>
        <v>44675</v>
      </c>
    </row>
    <row r="1568" ht="14.25" spans="1:28">
      <c r="A1568" s="5" t="s">
        <v>28</v>
      </c>
      <c r="B1568" s="5" t="s">
        <v>697</v>
      </c>
      <c r="C1568" s="5">
        <v>2027</v>
      </c>
      <c r="D1568" s="5" t="s">
        <v>30</v>
      </c>
      <c r="E1568" t="s">
        <v>1185</v>
      </c>
      <c r="F1568" t="s">
        <v>1181</v>
      </c>
      <c r="G1568" t="s">
        <v>100</v>
      </c>
      <c r="H1568" t="s">
        <v>1186</v>
      </c>
      <c r="I1568" t="s">
        <v>119</v>
      </c>
      <c r="J1568" t="s">
        <v>74</v>
      </c>
      <c r="K1568">
        <v>1590</v>
      </c>
      <c r="O1568" t="s">
        <v>68</v>
      </c>
      <c r="P1568" t="s">
        <v>74</v>
      </c>
      <c r="U1568" s="9" t="s">
        <v>136</v>
      </c>
      <c r="V1568" t="s">
        <v>137</v>
      </c>
      <c r="W1568" t="s">
        <v>138</v>
      </c>
      <c r="X1568" t="s">
        <v>102</v>
      </c>
      <c r="Y1568" t="s">
        <v>1183</v>
      </c>
      <c r="Z1568" t="s">
        <v>1184</v>
      </c>
      <c r="AB1568" t="str">
        <f t="shared" si="72"/>
        <v>44675</v>
      </c>
    </row>
    <row r="1569" ht="14.25" spans="1:28">
      <c r="A1569" s="5" t="s">
        <v>28</v>
      </c>
      <c r="B1569" s="5" t="s">
        <v>697</v>
      </c>
      <c r="C1569" s="5">
        <v>2027</v>
      </c>
      <c r="D1569" s="5" t="s">
        <v>30</v>
      </c>
      <c r="E1569" t="s">
        <v>1185</v>
      </c>
      <c r="F1569" t="s">
        <v>1181</v>
      </c>
      <c r="G1569" t="s">
        <v>100</v>
      </c>
      <c r="H1569" t="s">
        <v>1186</v>
      </c>
      <c r="I1569" t="s">
        <v>119</v>
      </c>
      <c r="J1569" t="s">
        <v>74</v>
      </c>
      <c r="K1569">
        <v>1590</v>
      </c>
      <c r="O1569" t="s">
        <v>68</v>
      </c>
      <c r="P1569" t="s">
        <v>75</v>
      </c>
      <c r="U1569" s="9" t="s">
        <v>136</v>
      </c>
      <c r="V1569" t="s">
        <v>137</v>
      </c>
      <c r="W1569" t="s">
        <v>138</v>
      </c>
      <c r="X1569" t="s">
        <v>102</v>
      </c>
      <c r="Y1569" t="s">
        <v>1183</v>
      </c>
      <c r="Z1569" t="s">
        <v>1184</v>
      </c>
      <c r="AB1569" t="str">
        <f t="shared" si="72"/>
        <v>44675</v>
      </c>
    </row>
    <row r="1570" ht="14.25" spans="1:28">
      <c r="A1570" s="5" t="s">
        <v>28</v>
      </c>
      <c r="B1570" s="5" t="s">
        <v>697</v>
      </c>
      <c r="C1570" s="5">
        <v>2027</v>
      </c>
      <c r="D1570" s="5" t="s">
        <v>30</v>
      </c>
      <c r="E1570" t="s">
        <v>1185</v>
      </c>
      <c r="F1570" t="s">
        <v>1181</v>
      </c>
      <c r="G1570" t="s">
        <v>100</v>
      </c>
      <c r="H1570" t="s">
        <v>1186</v>
      </c>
      <c r="I1570" t="s">
        <v>119</v>
      </c>
      <c r="J1570" t="s">
        <v>74</v>
      </c>
      <c r="K1570">
        <v>1590</v>
      </c>
      <c r="O1570" t="s">
        <v>68</v>
      </c>
      <c r="P1570" t="s">
        <v>76</v>
      </c>
      <c r="U1570" s="9" t="s">
        <v>136</v>
      </c>
      <c r="V1570" t="s">
        <v>137</v>
      </c>
      <c r="W1570" t="s">
        <v>138</v>
      </c>
      <c r="X1570" t="s">
        <v>102</v>
      </c>
      <c r="Y1570" t="s">
        <v>1183</v>
      </c>
      <c r="Z1570" t="s">
        <v>1184</v>
      </c>
      <c r="AB1570" t="str">
        <f t="shared" si="72"/>
        <v>44675</v>
      </c>
    </row>
    <row r="1571" ht="14.25" spans="1:28">
      <c r="A1571" s="5" t="s">
        <v>28</v>
      </c>
      <c r="B1571" s="5" t="s">
        <v>697</v>
      </c>
      <c r="C1571" s="5">
        <v>2027</v>
      </c>
      <c r="D1571" s="5" t="s">
        <v>30</v>
      </c>
      <c r="E1571" t="s">
        <v>1185</v>
      </c>
      <c r="F1571" t="s">
        <v>1181</v>
      </c>
      <c r="G1571" t="s">
        <v>100</v>
      </c>
      <c r="H1571" t="s">
        <v>1186</v>
      </c>
      <c r="I1571" t="s">
        <v>119</v>
      </c>
      <c r="J1571" t="s">
        <v>74</v>
      </c>
      <c r="K1571">
        <v>1590</v>
      </c>
      <c r="O1571" t="s">
        <v>68</v>
      </c>
      <c r="P1571" t="s">
        <v>77</v>
      </c>
      <c r="U1571" s="9" t="s">
        <v>136</v>
      </c>
      <c r="V1571" t="s">
        <v>137</v>
      </c>
      <c r="W1571" t="s">
        <v>138</v>
      </c>
      <c r="X1571" t="s">
        <v>102</v>
      </c>
      <c r="Y1571" t="s">
        <v>1183</v>
      </c>
      <c r="Z1571" t="s">
        <v>1184</v>
      </c>
      <c r="AB1571" t="str">
        <f t="shared" si="72"/>
        <v>44675</v>
      </c>
    </row>
    <row r="1572" ht="14.25" spans="1:28">
      <c r="A1572" s="5" t="s">
        <v>28</v>
      </c>
      <c r="B1572" s="5" t="s">
        <v>697</v>
      </c>
      <c r="C1572" s="5">
        <v>2027</v>
      </c>
      <c r="D1572" s="5" t="s">
        <v>30</v>
      </c>
      <c r="E1572" t="s">
        <v>1185</v>
      </c>
      <c r="F1572" t="s">
        <v>1181</v>
      </c>
      <c r="G1572" t="s">
        <v>100</v>
      </c>
      <c r="H1572" t="s">
        <v>1186</v>
      </c>
      <c r="I1572" t="s">
        <v>119</v>
      </c>
      <c r="J1572" t="s">
        <v>74</v>
      </c>
      <c r="K1572">
        <v>1590</v>
      </c>
      <c r="O1572" t="s">
        <v>68</v>
      </c>
      <c r="P1572" t="s">
        <v>78</v>
      </c>
      <c r="U1572" s="9" t="s">
        <v>136</v>
      </c>
      <c r="V1572" t="s">
        <v>137</v>
      </c>
      <c r="W1572" t="s">
        <v>138</v>
      </c>
      <c r="X1572" t="s">
        <v>102</v>
      </c>
      <c r="Y1572" t="s">
        <v>1183</v>
      </c>
      <c r="Z1572" t="s">
        <v>1184</v>
      </c>
      <c r="AB1572" t="str">
        <f t="shared" si="72"/>
        <v>44675</v>
      </c>
    </row>
    <row r="1573" ht="14.25" spans="1:28">
      <c r="A1573" s="5" t="s">
        <v>28</v>
      </c>
      <c r="B1573" s="5" t="s">
        <v>697</v>
      </c>
      <c r="C1573" s="5">
        <v>2027</v>
      </c>
      <c r="D1573" s="5" t="s">
        <v>30</v>
      </c>
      <c r="E1573" t="s">
        <v>1185</v>
      </c>
      <c r="F1573" t="s">
        <v>1181</v>
      </c>
      <c r="G1573" t="s">
        <v>100</v>
      </c>
      <c r="H1573" t="s">
        <v>1186</v>
      </c>
      <c r="I1573" t="s">
        <v>119</v>
      </c>
      <c r="J1573" t="s">
        <v>74</v>
      </c>
      <c r="K1573">
        <v>1590</v>
      </c>
      <c r="O1573" t="s">
        <v>68</v>
      </c>
      <c r="P1573" t="s">
        <v>79</v>
      </c>
      <c r="U1573" s="9" t="s">
        <v>136</v>
      </c>
      <c r="V1573" t="s">
        <v>137</v>
      </c>
      <c r="W1573" t="s">
        <v>138</v>
      </c>
      <c r="X1573" t="s">
        <v>102</v>
      </c>
      <c r="Y1573" t="s">
        <v>1183</v>
      </c>
      <c r="Z1573" t="s">
        <v>1184</v>
      </c>
      <c r="AB1573" t="str">
        <f t="shared" si="72"/>
        <v>44675</v>
      </c>
    </row>
    <row r="1574" ht="14.25" spans="1:28">
      <c r="A1574" s="5" t="s">
        <v>28</v>
      </c>
      <c r="B1574" s="5" t="s">
        <v>697</v>
      </c>
      <c r="C1574" s="5">
        <v>2027</v>
      </c>
      <c r="D1574" s="5" t="s">
        <v>30</v>
      </c>
      <c r="E1574" t="s">
        <v>1187</v>
      </c>
      <c r="F1574" t="s">
        <v>1188</v>
      </c>
      <c r="G1574" t="s">
        <v>48</v>
      </c>
      <c r="H1574" t="s">
        <v>1189</v>
      </c>
      <c r="I1574" t="s">
        <v>119</v>
      </c>
      <c r="J1574" t="s">
        <v>74</v>
      </c>
      <c r="K1574">
        <v>1990</v>
      </c>
      <c r="O1574" t="s">
        <v>68</v>
      </c>
      <c r="P1574" t="s">
        <v>69</v>
      </c>
      <c r="R1574">
        <f t="shared" si="73"/>
        <v>0</v>
      </c>
      <c r="S1574">
        <f>SUMIFS([1]Sheet1!$T:$T,[1]Sheet1!$I:$I,E1574,[1]Sheet1!$C:$C,A1574)</f>
        <v>12</v>
      </c>
      <c r="T1574">
        <f t="shared" si="74"/>
        <v>-12</v>
      </c>
      <c r="U1574" s="9" t="s">
        <v>136</v>
      </c>
      <c r="V1574" t="s">
        <v>137</v>
      </c>
      <c r="W1574" t="s">
        <v>138</v>
      </c>
      <c r="X1574" t="s">
        <v>50</v>
      </c>
      <c r="Y1574" t="s">
        <v>1190</v>
      </c>
      <c r="Z1574" t="s">
        <v>1191</v>
      </c>
      <c r="AB1574" t="str">
        <f t="shared" si="72"/>
        <v>45300</v>
      </c>
    </row>
    <row r="1575" ht="14.25" spans="1:28">
      <c r="A1575" s="5" t="s">
        <v>28</v>
      </c>
      <c r="B1575" s="5" t="s">
        <v>697</v>
      </c>
      <c r="C1575" s="5">
        <v>2027</v>
      </c>
      <c r="D1575" s="5" t="s">
        <v>30</v>
      </c>
      <c r="E1575" t="s">
        <v>1187</v>
      </c>
      <c r="F1575" t="s">
        <v>1188</v>
      </c>
      <c r="G1575" t="s">
        <v>48</v>
      </c>
      <c r="H1575" t="s">
        <v>1189</v>
      </c>
      <c r="I1575" t="s">
        <v>119</v>
      </c>
      <c r="J1575" t="s">
        <v>74</v>
      </c>
      <c r="K1575">
        <v>1990</v>
      </c>
      <c r="O1575" t="s">
        <v>68</v>
      </c>
      <c r="P1575" t="s">
        <v>72</v>
      </c>
      <c r="U1575" s="9" t="s">
        <v>136</v>
      </c>
      <c r="V1575" t="s">
        <v>137</v>
      </c>
      <c r="W1575" t="s">
        <v>138</v>
      </c>
      <c r="X1575" t="s">
        <v>50</v>
      </c>
      <c r="Y1575" t="s">
        <v>1190</v>
      </c>
      <c r="Z1575" t="s">
        <v>1191</v>
      </c>
      <c r="AB1575" t="str">
        <f t="shared" si="72"/>
        <v>45300</v>
      </c>
    </row>
    <row r="1576" ht="14.25" spans="1:28">
      <c r="A1576" s="5" t="s">
        <v>28</v>
      </c>
      <c r="B1576" s="5" t="s">
        <v>697</v>
      </c>
      <c r="C1576" s="5">
        <v>2027</v>
      </c>
      <c r="D1576" s="5" t="s">
        <v>30</v>
      </c>
      <c r="E1576" t="s">
        <v>1187</v>
      </c>
      <c r="F1576" t="s">
        <v>1188</v>
      </c>
      <c r="G1576" t="s">
        <v>48</v>
      </c>
      <c r="H1576" t="s">
        <v>1189</v>
      </c>
      <c r="I1576" t="s">
        <v>119</v>
      </c>
      <c r="J1576" t="s">
        <v>74</v>
      </c>
      <c r="K1576">
        <v>1990</v>
      </c>
      <c r="O1576" t="s">
        <v>68</v>
      </c>
      <c r="P1576" t="s">
        <v>73</v>
      </c>
      <c r="U1576" s="9" t="s">
        <v>136</v>
      </c>
      <c r="V1576" t="s">
        <v>137</v>
      </c>
      <c r="W1576" t="s">
        <v>138</v>
      </c>
      <c r="X1576" t="s">
        <v>50</v>
      </c>
      <c r="Y1576" t="s">
        <v>1190</v>
      </c>
      <c r="Z1576" t="s">
        <v>1191</v>
      </c>
      <c r="AB1576" t="str">
        <f t="shared" si="72"/>
        <v>45300</v>
      </c>
    </row>
    <row r="1577" ht="14.25" spans="1:28">
      <c r="A1577" s="5" t="s">
        <v>28</v>
      </c>
      <c r="B1577" s="5" t="s">
        <v>697</v>
      </c>
      <c r="C1577" s="5">
        <v>2027</v>
      </c>
      <c r="D1577" s="5" t="s">
        <v>30</v>
      </c>
      <c r="E1577" t="s">
        <v>1187</v>
      </c>
      <c r="F1577" t="s">
        <v>1188</v>
      </c>
      <c r="G1577" t="s">
        <v>48</v>
      </c>
      <c r="H1577" t="s">
        <v>1189</v>
      </c>
      <c r="I1577" t="s">
        <v>119</v>
      </c>
      <c r="J1577" t="s">
        <v>74</v>
      </c>
      <c r="K1577">
        <v>1990</v>
      </c>
      <c r="O1577" t="s">
        <v>68</v>
      </c>
      <c r="P1577" t="s">
        <v>74</v>
      </c>
      <c r="U1577" s="9" t="s">
        <v>136</v>
      </c>
      <c r="V1577" t="s">
        <v>137</v>
      </c>
      <c r="W1577" t="s">
        <v>138</v>
      </c>
      <c r="X1577" t="s">
        <v>50</v>
      </c>
      <c r="Y1577" t="s">
        <v>1190</v>
      </c>
      <c r="Z1577" t="s">
        <v>1191</v>
      </c>
      <c r="AB1577" t="str">
        <f t="shared" si="72"/>
        <v>45300</v>
      </c>
    </row>
    <row r="1578" ht="14.25" spans="1:28">
      <c r="A1578" s="5" t="s">
        <v>28</v>
      </c>
      <c r="B1578" s="5" t="s">
        <v>697</v>
      </c>
      <c r="C1578" s="5">
        <v>2027</v>
      </c>
      <c r="D1578" s="5" t="s">
        <v>30</v>
      </c>
      <c r="E1578" t="s">
        <v>1187</v>
      </c>
      <c r="F1578" t="s">
        <v>1188</v>
      </c>
      <c r="G1578" t="s">
        <v>48</v>
      </c>
      <c r="H1578" t="s">
        <v>1189</v>
      </c>
      <c r="I1578" t="s">
        <v>119</v>
      </c>
      <c r="J1578" t="s">
        <v>74</v>
      </c>
      <c r="K1578">
        <v>1990</v>
      </c>
      <c r="O1578" t="s">
        <v>68</v>
      </c>
      <c r="P1578" t="s">
        <v>75</v>
      </c>
      <c r="U1578" s="9" t="s">
        <v>136</v>
      </c>
      <c r="V1578" t="s">
        <v>137</v>
      </c>
      <c r="W1578" t="s">
        <v>138</v>
      </c>
      <c r="X1578" t="s">
        <v>50</v>
      </c>
      <c r="Y1578" t="s">
        <v>1190</v>
      </c>
      <c r="Z1578" t="s">
        <v>1191</v>
      </c>
      <c r="AB1578" t="str">
        <f t="shared" si="72"/>
        <v>45300</v>
      </c>
    </row>
    <row r="1579" ht="14.25" spans="1:28">
      <c r="A1579" s="5" t="s">
        <v>28</v>
      </c>
      <c r="B1579" s="5" t="s">
        <v>697</v>
      </c>
      <c r="C1579" s="5">
        <v>2027</v>
      </c>
      <c r="D1579" s="5" t="s">
        <v>30</v>
      </c>
      <c r="E1579" t="s">
        <v>1187</v>
      </c>
      <c r="F1579" t="s">
        <v>1188</v>
      </c>
      <c r="G1579" t="s">
        <v>48</v>
      </c>
      <c r="H1579" t="s">
        <v>1189</v>
      </c>
      <c r="I1579" t="s">
        <v>119</v>
      </c>
      <c r="J1579" t="s">
        <v>74</v>
      </c>
      <c r="K1579">
        <v>1990</v>
      </c>
      <c r="O1579" t="s">
        <v>68</v>
      </c>
      <c r="P1579" t="s">
        <v>76</v>
      </c>
      <c r="U1579" s="9" t="s">
        <v>136</v>
      </c>
      <c r="V1579" t="s">
        <v>137</v>
      </c>
      <c r="W1579" t="s">
        <v>138</v>
      </c>
      <c r="X1579" t="s">
        <v>50</v>
      </c>
      <c r="Y1579" t="s">
        <v>1190</v>
      </c>
      <c r="Z1579" t="s">
        <v>1191</v>
      </c>
      <c r="AB1579" t="str">
        <f t="shared" si="72"/>
        <v>45300</v>
      </c>
    </row>
    <row r="1580" ht="14.25" spans="1:28">
      <c r="A1580" s="5" t="s">
        <v>28</v>
      </c>
      <c r="B1580" s="5" t="s">
        <v>697</v>
      </c>
      <c r="C1580" s="5">
        <v>2027</v>
      </c>
      <c r="D1580" s="5" t="s">
        <v>30</v>
      </c>
      <c r="E1580" t="s">
        <v>1187</v>
      </c>
      <c r="F1580" t="s">
        <v>1188</v>
      </c>
      <c r="G1580" t="s">
        <v>48</v>
      </c>
      <c r="H1580" t="s">
        <v>1189</v>
      </c>
      <c r="I1580" t="s">
        <v>119</v>
      </c>
      <c r="J1580" t="s">
        <v>74</v>
      </c>
      <c r="K1580">
        <v>1990</v>
      </c>
      <c r="O1580" t="s">
        <v>68</v>
      </c>
      <c r="P1580" t="s">
        <v>77</v>
      </c>
      <c r="U1580" s="9" t="s">
        <v>136</v>
      </c>
      <c r="V1580" t="s">
        <v>137</v>
      </c>
      <c r="W1580" t="s">
        <v>138</v>
      </c>
      <c r="X1580" t="s">
        <v>50</v>
      </c>
      <c r="Y1580" t="s">
        <v>1190</v>
      </c>
      <c r="Z1580" t="s">
        <v>1191</v>
      </c>
      <c r="AB1580" t="str">
        <f t="shared" si="72"/>
        <v>45300</v>
      </c>
    </row>
    <row r="1581" ht="14.25" spans="1:28">
      <c r="A1581" s="5" t="s">
        <v>28</v>
      </c>
      <c r="B1581" s="5" t="s">
        <v>697</v>
      </c>
      <c r="C1581" s="5">
        <v>2027</v>
      </c>
      <c r="D1581" s="5" t="s">
        <v>30</v>
      </c>
      <c r="E1581" t="s">
        <v>1187</v>
      </c>
      <c r="F1581" t="s">
        <v>1188</v>
      </c>
      <c r="G1581" t="s">
        <v>48</v>
      </c>
      <c r="H1581" t="s">
        <v>1189</v>
      </c>
      <c r="I1581" t="s">
        <v>119</v>
      </c>
      <c r="J1581" t="s">
        <v>74</v>
      </c>
      <c r="K1581">
        <v>1990</v>
      </c>
      <c r="O1581" t="s">
        <v>68</v>
      </c>
      <c r="P1581" t="s">
        <v>78</v>
      </c>
      <c r="U1581" s="9" t="s">
        <v>136</v>
      </c>
      <c r="V1581" t="s">
        <v>137</v>
      </c>
      <c r="W1581" t="s">
        <v>138</v>
      </c>
      <c r="X1581" t="s">
        <v>50</v>
      </c>
      <c r="Y1581" t="s">
        <v>1190</v>
      </c>
      <c r="Z1581" t="s">
        <v>1191</v>
      </c>
      <c r="AB1581" t="str">
        <f t="shared" si="72"/>
        <v>45300</v>
      </c>
    </row>
    <row r="1582" ht="14.25" spans="1:28">
      <c r="A1582" s="5" t="s">
        <v>28</v>
      </c>
      <c r="B1582" s="5" t="s">
        <v>697</v>
      </c>
      <c r="C1582" s="5">
        <v>2027</v>
      </c>
      <c r="D1582" s="5" t="s">
        <v>30</v>
      </c>
      <c r="E1582" t="s">
        <v>1187</v>
      </c>
      <c r="F1582" t="s">
        <v>1188</v>
      </c>
      <c r="G1582" t="s">
        <v>48</v>
      </c>
      <c r="H1582" t="s">
        <v>1189</v>
      </c>
      <c r="I1582" t="s">
        <v>119</v>
      </c>
      <c r="J1582" t="s">
        <v>74</v>
      </c>
      <c r="K1582">
        <v>1990</v>
      </c>
      <c r="O1582" t="s">
        <v>68</v>
      </c>
      <c r="P1582" t="s">
        <v>79</v>
      </c>
      <c r="U1582" s="9" t="s">
        <v>136</v>
      </c>
      <c r="V1582" t="s">
        <v>137</v>
      </c>
      <c r="W1582" t="s">
        <v>138</v>
      </c>
      <c r="X1582" t="s">
        <v>50</v>
      </c>
      <c r="Y1582" t="s">
        <v>1190</v>
      </c>
      <c r="Z1582" t="s">
        <v>1191</v>
      </c>
      <c r="AB1582" t="str">
        <f t="shared" si="72"/>
        <v>45300</v>
      </c>
    </row>
    <row r="1583" ht="14.25" spans="1:28">
      <c r="A1583" s="5" t="s">
        <v>28</v>
      </c>
      <c r="B1583" s="5" t="s">
        <v>697</v>
      </c>
      <c r="C1583" s="5">
        <v>2027</v>
      </c>
      <c r="D1583" s="5" t="s">
        <v>30</v>
      </c>
      <c r="E1583" t="s">
        <v>1192</v>
      </c>
      <c r="F1583" t="s">
        <v>1193</v>
      </c>
      <c r="G1583" t="s">
        <v>1194</v>
      </c>
      <c r="H1583" t="s">
        <v>1195</v>
      </c>
      <c r="I1583" t="s">
        <v>147</v>
      </c>
      <c r="J1583" t="s">
        <v>36</v>
      </c>
      <c r="K1583">
        <v>1390</v>
      </c>
      <c r="O1583" t="s">
        <v>37</v>
      </c>
      <c r="P1583" t="s">
        <v>38</v>
      </c>
      <c r="R1583">
        <f t="shared" si="73"/>
        <v>0</v>
      </c>
      <c r="S1583">
        <f>SUMIFS([1]Sheet1!$T:$T,[1]Sheet1!$I:$I,E1583,[1]Sheet1!$C:$C,A1583)</f>
        <v>0</v>
      </c>
      <c r="T1583">
        <f t="shared" si="74"/>
        <v>0</v>
      </c>
      <c r="U1583" s="9" t="s">
        <v>148</v>
      </c>
      <c r="V1583" t="s">
        <v>164</v>
      </c>
      <c r="W1583" t="s">
        <v>138</v>
      </c>
      <c r="X1583" t="s">
        <v>503</v>
      </c>
      <c r="Y1583" t="s">
        <v>827</v>
      </c>
      <c r="Z1583" t="s">
        <v>41</v>
      </c>
      <c r="AB1583" t="str">
        <f t="shared" si="72"/>
        <v>45654</v>
      </c>
    </row>
    <row r="1584" ht="14.25" spans="1:28">
      <c r="A1584" s="5" t="s">
        <v>28</v>
      </c>
      <c r="B1584" s="5" t="s">
        <v>697</v>
      </c>
      <c r="C1584" s="5">
        <v>2027</v>
      </c>
      <c r="D1584" s="5" t="s">
        <v>30</v>
      </c>
      <c r="E1584" t="s">
        <v>1192</v>
      </c>
      <c r="F1584" t="s">
        <v>1193</v>
      </c>
      <c r="G1584" t="s">
        <v>1194</v>
      </c>
      <c r="H1584" t="s">
        <v>1195</v>
      </c>
      <c r="I1584" t="s">
        <v>147</v>
      </c>
      <c r="J1584" t="s">
        <v>36</v>
      </c>
      <c r="K1584">
        <v>1390</v>
      </c>
      <c r="O1584" t="s">
        <v>37</v>
      </c>
      <c r="P1584" t="s">
        <v>42</v>
      </c>
      <c r="U1584" s="9" t="s">
        <v>148</v>
      </c>
      <c r="V1584" t="s">
        <v>164</v>
      </c>
      <c r="W1584" t="s">
        <v>138</v>
      </c>
      <c r="X1584" t="s">
        <v>503</v>
      </c>
      <c r="Y1584" t="s">
        <v>827</v>
      </c>
      <c r="Z1584" t="s">
        <v>41</v>
      </c>
      <c r="AB1584" t="str">
        <f t="shared" si="72"/>
        <v>45654</v>
      </c>
    </row>
    <row r="1585" ht="14.25" spans="1:28">
      <c r="A1585" s="5" t="s">
        <v>28</v>
      </c>
      <c r="B1585" s="5" t="s">
        <v>697</v>
      </c>
      <c r="C1585" s="5">
        <v>2027</v>
      </c>
      <c r="D1585" s="5" t="s">
        <v>30</v>
      </c>
      <c r="E1585" t="s">
        <v>1192</v>
      </c>
      <c r="F1585" t="s">
        <v>1193</v>
      </c>
      <c r="G1585" t="s">
        <v>1194</v>
      </c>
      <c r="H1585" t="s">
        <v>1195</v>
      </c>
      <c r="I1585" t="s">
        <v>147</v>
      </c>
      <c r="J1585" t="s">
        <v>36</v>
      </c>
      <c r="K1585">
        <v>1390</v>
      </c>
      <c r="O1585" t="s">
        <v>37</v>
      </c>
      <c r="P1585" t="s">
        <v>43</v>
      </c>
      <c r="U1585" s="9" t="s">
        <v>148</v>
      </c>
      <c r="V1585" t="s">
        <v>164</v>
      </c>
      <c r="W1585" t="s">
        <v>138</v>
      </c>
      <c r="X1585" t="s">
        <v>503</v>
      </c>
      <c r="Y1585" t="s">
        <v>827</v>
      </c>
      <c r="Z1585" t="s">
        <v>41</v>
      </c>
      <c r="AB1585" t="str">
        <f t="shared" si="72"/>
        <v>45654</v>
      </c>
    </row>
    <row r="1586" ht="14.25" spans="1:28">
      <c r="A1586" s="5" t="s">
        <v>28</v>
      </c>
      <c r="B1586" s="5" t="s">
        <v>697</v>
      </c>
      <c r="C1586" s="5">
        <v>2027</v>
      </c>
      <c r="D1586" s="5" t="s">
        <v>30</v>
      </c>
      <c r="E1586" t="s">
        <v>1192</v>
      </c>
      <c r="F1586" t="s">
        <v>1193</v>
      </c>
      <c r="G1586" t="s">
        <v>1194</v>
      </c>
      <c r="H1586" t="s">
        <v>1195</v>
      </c>
      <c r="I1586" t="s">
        <v>147</v>
      </c>
      <c r="J1586" t="s">
        <v>36</v>
      </c>
      <c r="K1586">
        <v>1390</v>
      </c>
      <c r="O1586" t="s">
        <v>37</v>
      </c>
      <c r="P1586" t="s">
        <v>44</v>
      </c>
      <c r="U1586" s="9" t="s">
        <v>148</v>
      </c>
      <c r="V1586" t="s">
        <v>164</v>
      </c>
      <c r="W1586" t="s">
        <v>138</v>
      </c>
      <c r="X1586" t="s">
        <v>503</v>
      </c>
      <c r="Y1586" t="s">
        <v>827</v>
      </c>
      <c r="Z1586" t="s">
        <v>41</v>
      </c>
      <c r="AB1586" t="str">
        <f t="shared" si="72"/>
        <v>45654</v>
      </c>
    </row>
    <row r="1587" ht="14.25" spans="1:28">
      <c r="A1587" s="5" t="s">
        <v>28</v>
      </c>
      <c r="B1587" s="5" t="s">
        <v>697</v>
      </c>
      <c r="C1587" s="5">
        <v>2027</v>
      </c>
      <c r="D1587" s="5" t="s">
        <v>30</v>
      </c>
      <c r="E1587" t="s">
        <v>1192</v>
      </c>
      <c r="F1587" t="s">
        <v>1193</v>
      </c>
      <c r="G1587" t="s">
        <v>1194</v>
      </c>
      <c r="H1587" t="s">
        <v>1195</v>
      </c>
      <c r="I1587" t="s">
        <v>147</v>
      </c>
      <c r="J1587" t="s">
        <v>36</v>
      </c>
      <c r="K1587">
        <v>1390</v>
      </c>
      <c r="O1587" t="s">
        <v>37</v>
      </c>
      <c r="P1587" t="s">
        <v>45</v>
      </c>
      <c r="U1587" s="9" t="s">
        <v>148</v>
      </c>
      <c r="V1587" t="s">
        <v>164</v>
      </c>
      <c r="W1587" t="s">
        <v>138</v>
      </c>
      <c r="X1587" t="s">
        <v>503</v>
      </c>
      <c r="Y1587" t="s">
        <v>827</v>
      </c>
      <c r="Z1587" t="s">
        <v>41</v>
      </c>
      <c r="AB1587" t="str">
        <f t="shared" ref="AB1587:AB1650" si="75">MID(E1587,6,5)</f>
        <v>45654</v>
      </c>
    </row>
    <row r="1588" ht="14.25" spans="1:28">
      <c r="A1588" s="5" t="s">
        <v>28</v>
      </c>
      <c r="B1588" s="5" t="s">
        <v>697</v>
      </c>
      <c r="C1588" s="5">
        <v>2027</v>
      </c>
      <c r="D1588" s="5" t="s">
        <v>30</v>
      </c>
      <c r="E1588" t="s">
        <v>1192</v>
      </c>
      <c r="F1588" t="s">
        <v>1193</v>
      </c>
      <c r="G1588" t="s">
        <v>1194</v>
      </c>
      <c r="H1588" t="s">
        <v>1195</v>
      </c>
      <c r="I1588" t="s">
        <v>147</v>
      </c>
      <c r="J1588" t="s">
        <v>36</v>
      </c>
      <c r="K1588">
        <v>1390</v>
      </c>
      <c r="O1588" t="s">
        <v>37</v>
      </c>
      <c r="P1588" t="s">
        <v>46</v>
      </c>
      <c r="U1588" s="9" t="s">
        <v>148</v>
      </c>
      <c r="V1588" t="s">
        <v>164</v>
      </c>
      <c r="W1588" t="s">
        <v>138</v>
      </c>
      <c r="X1588" t="s">
        <v>503</v>
      </c>
      <c r="Y1588" t="s">
        <v>827</v>
      </c>
      <c r="Z1588" t="s">
        <v>41</v>
      </c>
      <c r="AB1588" t="str">
        <f t="shared" si="75"/>
        <v>45654</v>
      </c>
    </row>
    <row r="1589" ht="14.25" spans="1:28">
      <c r="A1589" s="5" t="s">
        <v>28</v>
      </c>
      <c r="B1589" s="5" t="s">
        <v>697</v>
      </c>
      <c r="C1589" s="5">
        <v>2027</v>
      </c>
      <c r="D1589" s="5" t="s">
        <v>30</v>
      </c>
      <c r="E1589" t="s">
        <v>1196</v>
      </c>
      <c r="F1589" t="s">
        <v>1193</v>
      </c>
      <c r="G1589" t="s">
        <v>100</v>
      </c>
      <c r="H1589" t="s">
        <v>1197</v>
      </c>
      <c r="I1589" t="s">
        <v>147</v>
      </c>
      <c r="J1589" t="s">
        <v>36</v>
      </c>
      <c r="K1589">
        <v>1390</v>
      </c>
      <c r="O1589" t="s">
        <v>37</v>
      </c>
      <c r="P1589" t="s">
        <v>38</v>
      </c>
      <c r="R1589">
        <f t="shared" si="73"/>
        <v>0</v>
      </c>
      <c r="S1589">
        <f>SUMIFS([1]Sheet1!$T:$T,[1]Sheet1!$I:$I,E1589,[1]Sheet1!$C:$C,A1589)</f>
        <v>0</v>
      </c>
      <c r="T1589">
        <f t="shared" si="74"/>
        <v>0</v>
      </c>
      <c r="U1589" s="9" t="s">
        <v>148</v>
      </c>
      <c r="V1589" t="s">
        <v>164</v>
      </c>
      <c r="W1589" t="s">
        <v>138</v>
      </c>
      <c r="X1589" t="s">
        <v>102</v>
      </c>
      <c r="Y1589" t="s">
        <v>827</v>
      </c>
      <c r="Z1589" t="s">
        <v>41</v>
      </c>
      <c r="AB1589" t="str">
        <f t="shared" si="75"/>
        <v>45654</v>
      </c>
    </row>
    <row r="1590" ht="14.25" spans="1:28">
      <c r="A1590" s="5" t="s">
        <v>28</v>
      </c>
      <c r="B1590" s="5" t="s">
        <v>697</v>
      </c>
      <c r="C1590" s="5">
        <v>2027</v>
      </c>
      <c r="D1590" s="5" t="s">
        <v>30</v>
      </c>
      <c r="E1590" t="s">
        <v>1196</v>
      </c>
      <c r="F1590" t="s">
        <v>1193</v>
      </c>
      <c r="G1590" t="s">
        <v>100</v>
      </c>
      <c r="H1590" t="s">
        <v>1197</v>
      </c>
      <c r="I1590" t="s">
        <v>147</v>
      </c>
      <c r="J1590" t="s">
        <v>36</v>
      </c>
      <c r="K1590">
        <v>1390</v>
      </c>
      <c r="O1590" t="s">
        <v>37</v>
      </c>
      <c r="P1590" t="s">
        <v>42</v>
      </c>
      <c r="U1590" s="9" t="s">
        <v>148</v>
      </c>
      <c r="V1590" t="s">
        <v>164</v>
      </c>
      <c r="W1590" t="s">
        <v>138</v>
      </c>
      <c r="X1590" t="s">
        <v>102</v>
      </c>
      <c r="Y1590" t="s">
        <v>827</v>
      </c>
      <c r="Z1590" t="s">
        <v>41</v>
      </c>
      <c r="AB1590" t="str">
        <f t="shared" si="75"/>
        <v>45654</v>
      </c>
    </row>
    <row r="1591" ht="14.25" spans="1:28">
      <c r="A1591" s="5" t="s">
        <v>28</v>
      </c>
      <c r="B1591" s="5" t="s">
        <v>697</v>
      </c>
      <c r="C1591" s="5">
        <v>2027</v>
      </c>
      <c r="D1591" s="5" t="s">
        <v>30</v>
      </c>
      <c r="E1591" t="s">
        <v>1196</v>
      </c>
      <c r="F1591" t="s">
        <v>1193</v>
      </c>
      <c r="G1591" t="s">
        <v>100</v>
      </c>
      <c r="H1591" t="s">
        <v>1197</v>
      </c>
      <c r="I1591" t="s">
        <v>147</v>
      </c>
      <c r="J1591" t="s">
        <v>36</v>
      </c>
      <c r="K1591">
        <v>1390</v>
      </c>
      <c r="O1591" t="s">
        <v>37</v>
      </c>
      <c r="P1591" t="s">
        <v>43</v>
      </c>
      <c r="U1591" s="9" t="s">
        <v>148</v>
      </c>
      <c r="V1591" t="s">
        <v>164</v>
      </c>
      <c r="W1591" t="s">
        <v>138</v>
      </c>
      <c r="X1591" t="s">
        <v>102</v>
      </c>
      <c r="Y1591" t="s">
        <v>827</v>
      </c>
      <c r="Z1591" t="s">
        <v>41</v>
      </c>
      <c r="AB1591" t="str">
        <f t="shared" si="75"/>
        <v>45654</v>
      </c>
    </row>
    <row r="1592" ht="14.25" spans="1:28">
      <c r="A1592" s="5" t="s">
        <v>28</v>
      </c>
      <c r="B1592" s="5" t="s">
        <v>697</v>
      </c>
      <c r="C1592" s="5">
        <v>2027</v>
      </c>
      <c r="D1592" s="5" t="s">
        <v>30</v>
      </c>
      <c r="E1592" t="s">
        <v>1196</v>
      </c>
      <c r="F1592" t="s">
        <v>1193</v>
      </c>
      <c r="G1592" t="s">
        <v>100</v>
      </c>
      <c r="H1592" t="s">
        <v>1197</v>
      </c>
      <c r="I1592" t="s">
        <v>147</v>
      </c>
      <c r="J1592" t="s">
        <v>36</v>
      </c>
      <c r="K1592">
        <v>1390</v>
      </c>
      <c r="O1592" t="s">
        <v>37</v>
      </c>
      <c r="P1592" t="s">
        <v>44</v>
      </c>
      <c r="U1592" s="9" t="s">
        <v>148</v>
      </c>
      <c r="V1592" t="s">
        <v>164</v>
      </c>
      <c r="W1592" t="s">
        <v>138</v>
      </c>
      <c r="X1592" t="s">
        <v>102</v>
      </c>
      <c r="Y1592" t="s">
        <v>827</v>
      </c>
      <c r="Z1592" t="s">
        <v>41</v>
      </c>
      <c r="AB1592" t="str">
        <f t="shared" si="75"/>
        <v>45654</v>
      </c>
    </row>
    <row r="1593" ht="14.25" spans="1:28">
      <c r="A1593" s="5" t="s">
        <v>28</v>
      </c>
      <c r="B1593" s="5" t="s">
        <v>697</v>
      </c>
      <c r="C1593" s="5">
        <v>2027</v>
      </c>
      <c r="D1593" s="5" t="s">
        <v>30</v>
      </c>
      <c r="E1593" t="s">
        <v>1196</v>
      </c>
      <c r="F1593" t="s">
        <v>1193</v>
      </c>
      <c r="G1593" t="s">
        <v>100</v>
      </c>
      <c r="H1593" t="s">
        <v>1197</v>
      </c>
      <c r="I1593" t="s">
        <v>147</v>
      </c>
      <c r="J1593" t="s">
        <v>36</v>
      </c>
      <c r="K1593">
        <v>1390</v>
      </c>
      <c r="O1593" t="s">
        <v>37</v>
      </c>
      <c r="P1593" t="s">
        <v>45</v>
      </c>
      <c r="U1593" s="9" t="s">
        <v>148</v>
      </c>
      <c r="V1593" t="s">
        <v>164</v>
      </c>
      <c r="W1593" t="s">
        <v>138</v>
      </c>
      <c r="X1593" t="s">
        <v>102</v>
      </c>
      <c r="Y1593" t="s">
        <v>827</v>
      </c>
      <c r="Z1593" t="s">
        <v>41</v>
      </c>
      <c r="AB1593" t="str">
        <f t="shared" si="75"/>
        <v>45654</v>
      </c>
    </row>
    <row r="1594" ht="14.25" spans="1:28">
      <c r="A1594" s="5" t="s">
        <v>28</v>
      </c>
      <c r="B1594" s="5" t="s">
        <v>697</v>
      </c>
      <c r="C1594" s="5">
        <v>2027</v>
      </c>
      <c r="D1594" s="5" t="s">
        <v>30</v>
      </c>
      <c r="E1594" t="s">
        <v>1196</v>
      </c>
      <c r="F1594" t="s">
        <v>1193</v>
      </c>
      <c r="G1594" t="s">
        <v>100</v>
      </c>
      <c r="H1594" t="s">
        <v>1197</v>
      </c>
      <c r="I1594" t="s">
        <v>147</v>
      </c>
      <c r="J1594" t="s">
        <v>36</v>
      </c>
      <c r="K1594">
        <v>1390</v>
      </c>
      <c r="O1594" t="s">
        <v>37</v>
      </c>
      <c r="P1594" t="s">
        <v>46</v>
      </c>
      <c r="U1594" s="9" t="s">
        <v>148</v>
      </c>
      <c r="V1594" t="s">
        <v>164</v>
      </c>
      <c r="W1594" t="s">
        <v>138</v>
      </c>
      <c r="X1594" t="s">
        <v>102</v>
      </c>
      <c r="Y1594" t="s">
        <v>827</v>
      </c>
      <c r="Z1594" t="s">
        <v>41</v>
      </c>
      <c r="AB1594" t="str">
        <f t="shared" si="75"/>
        <v>45654</v>
      </c>
    </row>
    <row r="1595" ht="14.25" spans="1:28">
      <c r="A1595" s="5" t="s">
        <v>28</v>
      </c>
      <c r="B1595" s="5" t="s">
        <v>697</v>
      </c>
      <c r="C1595" s="5">
        <v>2027</v>
      </c>
      <c r="D1595" s="5" t="s">
        <v>30</v>
      </c>
      <c r="E1595" t="s">
        <v>1198</v>
      </c>
      <c r="F1595" t="s">
        <v>1199</v>
      </c>
      <c r="G1595" t="s">
        <v>1200</v>
      </c>
      <c r="H1595" t="s">
        <v>1201</v>
      </c>
      <c r="I1595" t="s">
        <v>119</v>
      </c>
      <c r="J1595" t="s">
        <v>74</v>
      </c>
      <c r="K1595">
        <v>1590</v>
      </c>
      <c r="O1595" t="s">
        <v>68</v>
      </c>
      <c r="P1595" t="s">
        <v>69</v>
      </c>
      <c r="R1595">
        <f t="shared" si="73"/>
        <v>0</v>
      </c>
      <c r="S1595">
        <f>SUMIFS([1]Sheet1!$T:$T,[1]Sheet1!$I:$I,E1595,[1]Sheet1!$C:$C,A1595)</f>
        <v>60</v>
      </c>
      <c r="T1595">
        <f t="shared" si="74"/>
        <v>-60</v>
      </c>
      <c r="U1595" s="9" t="s">
        <v>136</v>
      </c>
      <c r="V1595" t="s">
        <v>137</v>
      </c>
      <c r="W1595" t="s">
        <v>138</v>
      </c>
      <c r="X1595" t="s">
        <v>308</v>
      </c>
      <c r="Y1595" t="s">
        <v>1202</v>
      </c>
      <c r="Z1595" t="s">
        <v>71</v>
      </c>
      <c r="AB1595" t="str">
        <f t="shared" si="75"/>
        <v>46059</v>
      </c>
    </row>
    <row r="1596" ht="14.25" spans="1:28">
      <c r="A1596" s="5" t="s">
        <v>28</v>
      </c>
      <c r="B1596" s="5" t="s">
        <v>697</v>
      </c>
      <c r="C1596" s="5">
        <v>2027</v>
      </c>
      <c r="D1596" s="5" t="s">
        <v>30</v>
      </c>
      <c r="E1596" t="s">
        <v>1198</v>
      </c>
      <c r="F1596" t="s">
        <v>1199</v>
      </c>
      <c r="G1596" t="s">
        <v>1200</v>
      </c>
      <c r="H1596" t="s">
        <v>1201</v>
      </c>
      <c r="I1596" t="s">
        <v>119</v>
      </c>
      <c r="J1596" t="s">
        <v>74</v>
      </c>
      <c r="K1596">
        <v>1590</v>
      </c>
      <c r="O1596" t="s">
        <v>68</v>
      </c>
      <c r="P1596" t="s">
        <v>72</v>
      </c>
      <c r="U1596" s="9" t="s">
        <v>136</v>
      </c>
      <c r="V1596" t="s">
        <v>137</v>
      </c>
      <c r="W1596" t="s">
        <v>138</v>
      </c>
      <c r="X1596" t="s">
        <v>308</v>
      </c>
      <c r="Y1596" t="s">
        <v>1202</v>
      </c>
      <c r="Z1596" t="s">
        <v>71</v>
      </c>
      <c r="AB1596" t="str">
        <f t="shared" si="75"/>
        <v>46059</v>
      </c>
    </row>
    <row r="1597" ht="14.25" spans="1:28">
      <c r="A1597" s="5" t="s">
        <v>28</v>
      </c>
      <c r="B1597" s="5" t="s">
        <v>697</v>
      </c>
      <c r="C1597" s="5">
        <v>2027</v>
      </c>
      <c r="D1597" s="5" t="s">
        <v>30</v>
      </c>
      <c r="E1597" t="s">
        <v>1198</v>
      </c>
      <c r="F1597" t="s">
        <v>1199</v>
      </c>
      <c r="G1597" t="s">
        <v>1200</v>
      </c>
      <c r="H1597" t="s">
        <v>1201</v>
      </c>
      <c r="I1597" t="s">
        <v>119</v>
      </c>
      <c r="J1597" t="s">
        <v>74</v>
      </c>
      <c r="K1597">
        <v>1590</v>
      </c>
      <c r="O1597" t="s">
        <v>68</v>
      </c>
      <c r="P1597" t="s">
        <v>73</v>
      </c>
      <c r="U1597" s="9" t="s">
        <v>136</v>
      </c>
      <c r="V1597" t="s">
        <v>137</v>
      </c>
      <c r="W1597" t="s">
        <v>138</v>
      </c>
      <c r="X1597" t="s">
        <v>308</v>
      </c>
      <c r="Y1597" t="s">
        <v>1202</v>
      </c>
      <c r="Z1597" t="s">
        <v>71</v>
      </c>
      <c r="AB1597" t="str">
        <f t="shared" si="75"/>
        <v>46059</v>
      </c>
    </row>
    <row r="1598" ht="14.25" spans="1:28">
      <c r="A1598" s="5" t="s">
        <v>28</v>
      </c>
      <c r="B1598" s="5" t="s">
        <v>697</v>
      </c>
      <c r="C1598" s="5">
        <v>2027</v>
      </c>
      <c r="D1598" s="5" t="s">
        <v>30</v>
      </c>
      <c r="E1598" t="s">
        <v>1198</v>
      </c>
      <c r="F1598" t="s">
        <v>1199</v>
      </c>
      <c r="G1598" t="s">
        <v>1200</v>
      </c>
      <c r="H1598" t="s">
        <v>1201</v>
      </c>
      <c r="I1598" t="s">
        <v>119</v>
      </c>
      <c r="J1598" t="s">
        <v>74</v>
      </c>
      <c r="K1598">
        <v>1590</v>
      </c>
      <c r="O1598" t="s">
        <v>68</v>
      </c>
      <c r="P1598" t="s">
        <v>74</v>
      </c>
      <c r="U1598" s="9" t="s">
        <v>136</v>
      </c>
      <c r="V1598" t="s">
        <v>137</v>
      </c>
      <c r="W1598" t="s">
        <v>138</v>
      </c>
      <c r="X1598" t="s">
        <v>308</v>
      </c>
      <c r="Y1598" t="s">
        <v>1202</v>
      </c>
      <c r="Z1598" t="s">
        <v>71</v>
      </c>
      <c r="AB1598" t="str">
        <f t="shared" si="75"/>
        <v>46059</v>
      </c>
    </row>
    <row r="1599" ht="14.25" spans="1:28">
      <c r="A1599" s="5" t="s">
        <v>28</v>
      </c>
      <c r="B1599" s="5" t="s">
        <v>697</v>
      </c>
      <c r="C1599" s="5">
        <v>2027</v>
      </c>
      <c r="D1599" s="5" t="s">
        <v>30</v>
      </c>
      <c r="E1599" t="s">
        <v>1198</v>
      </c>
      <c r="F1599" t="s">
        <v>1199</v>
      </c>
      <c r="G1599" t="s">
        <v>1200</v>
      </c>
      <c r="H1599" t="s">
        <v>1201</v>
      </c>
      <c r="I1599" t="s">
        <v>119</v>
      </c>
      <c r="J1599" t="s">
        <v>74</v>
      </c>
      <c r="K1599">
        <v>1590</v>
      </c>
      <c r="O1599" t="s">
        <v>68</v>
      </c>
      <c r="P1599" t="s">
        <v>75</v>
      </c>
      <c r="U1599" s="9" t="s">
        <v>136</v>
      </c>
      <c r="V1599" t="s">
        <v>137</v>
      </c>
      <c r="W1599" t="s">
        <v>138</v>
      </c>
      <c r="X1599" t="s">
        <v>308</v>
      </c>
      <c r="Y1599" t="s">
        <v>1202</v>
      </c>
      <c r="Z1599" t="s">
        <v>71</v>
      </c>
      <c r="AB1599" t="str">
        <f t="shared" si="75"/>
        <v>46059</v>
      </c>
    </row>
    <row r="1600" ht="14.25" spans="1:28">
      <c r="A1600" s="5" t="s">
        <v>28</v>
      </c>
      <c r="B1600" s="5" t="s">
        <v>697</v>
      </c>
      <c r="C1600" s="5">
        <v>2027</v>
      </c>
      <c r="D1600" s="5" t="s">
        <v>30</v>
      </c>
      <c r="E1600" t="s">
        <v>1198</v>
      </c>
      <c r="F1600" t="s">
        <v>1199</v>
      </c>
      <c r="G1600" t="s">
        <v>1200</v>
      </c>
      <c r="H1600" t="s">
        <v>1201</v>
      </c>
      <c r="I1600" t="s">
        <v>119</v>
      </c>
      <c r="J1600" t="s">
        <v>74</v>
      </c>
      <c r="K1600">
        <v>1590</v>
      </c>
      <c r="O1600" t="s">
        <v>68</v>
      </c>
      <c r="P1600" t="s">
        <v>76</v>
      </c>
      <c r="U1600" s="9" t="s">
        <v>136</v>
      </c>
      <c r="V1600" t="s">
        <v>137</v>
      </c>
      <c r="W1600" t="s">
        <v>138</v>
      </c>
      <c r="X1600" t="s">
        <v>308</v>
      </c>
      <c r="Y1600" t="s">
        <v>1202</v>
      </c>
      <c r="Z1600" t="s">
        <v>71</v>
      </c>
      <c r="AB1600" t="str">
        <f t="shared" si="75"/>
        <v>46059</v>
      </c>
    </row>
    <row r="1601" ht="14.25" spans="1:28">
      <c r="A1601" s="5" t="s">
        <v>28</v>
      </c>
      <c r="B1601" s="5" t="s">
        <v>697</v>
      </c>
      <c r="C1601" s="5">
        <v>2027</v>
      </c>
      <c r="D1601" s="5" t="s">
        <v>30</v>
      </c>
      <c r="E1601" t="s">
        <v>1198</v>
      </c>
      <c r="F1601" t="s">
        <v>1199</v>
      </c>
      <c r="G1601" t="s">
        <v>1200</v>
      </c>
      <c r="H1601" t="s">
        <v>1201</v>
      </c>
      <c r="I1601" t="s">
        <v>119</v>
      </c>
      <c r="J1601" t="s">
        <v>74</v>
      </c>
      <c r="K1601">
        <v>1590</v>
      </c>
      <c r="O1601" t="s">
        <v>68</v>
      </c>
      <c r="P1601" t="s">
        <v>77</v>
      </c>
      <c r="U1601" s="9" t="s">
        <v>136</v>
      </c>
      <c r="V1601" t="s">
        <v>137</v>
      </c>
      <c r="W1601" t="s">
        <v>138</v>
      </c>
      <c r="X1601" t="s">
        <v>308</v>
      </c>
      <c r="Y1601" t="s">
        <v>1202</v>
      </c>
      <c r="Z1601" t="s">
        <v>71</v>
      </c>
      <c r="AB1601" t="str">
        <f t="shared" si="75"/>
        <v>46059</v>
      </c>
    </row>
    <row r="1602" ht="14.25" spans="1:28">
      <c r="A1602" s="5" t="s">
        <v>28</v>
      </c>
      <c r="B1602" s="5" t="s">
        <v>697</v>
      </c>
      <c r="C1602" s="5">
        <v>2027</v>
      </c>
      <c r="D1602" s="5" t="s">
        <v>30</v>
      </c>
      <c r="E1602" t="s">
        <v>1198</v>
      </c>
      <c r="F1602" t="s">
        <v>1199</v>
      </c>
      <c r="G1602" t="s">
        <v>1200</v>
      </c>
      <c r="H1602" t="s">
        <v>1201</v>
      </c>
      <c r="I1602" t="s">
        <v>119</v>
      </c>
      <c r="J1602" t="s">
        <v>74</v>
      </c>
      <c r="K1602">
        <v>1590</v>
      </c>
      <c r="O1602" t="s">
        <v>68</v>
      </c>
      <c r="P1602" t="s">
        <v>78</v>
      </c>
      <c r="U1602" s="9" t="s">
        <v>136</v>
      </c>
      <c r="V1602" t="s">
        <v>137</v>
      </c>
      <c r="W1602" t="s">
        <v>138</v>
      </c>
      <c r="X1602" t="s">
        <v>308</v>
      </c>
      <c r="Y1602" t="s">
        <v>1202</v>
      </c>
      <c r="Z1602" t="s">
        <v>71</v>
      </c>
      <c r="AB1602" t="str">
        <f t="shared" si="75"/>
        <v>46059</v>
      </c>
    </row>
    <row r="1603" ht="14.25" spans="1:28">
      <c r="A1603" s="5" t="s">
        <v>28</v>
      </c>
      <c r="B1603" s="5" t="s">
        <v>697</v>
      </c>
      <c r="C1603" s="5">
        <v>2027</v>
      </c>
      <c r="D1603" s="5" t="s">
        <v>30</v>
      </c>
      <c r="E1603" t="s">
        <v>1198</v>
      </c>
      <c r="F1603" t="s">
        <v>1199</v>
      </c>
      <c r="G1603" t="s">
        <v>1200</v>
      </c>
      <c r="H1603" t="s">
        <v>1201</v>
      </c>
      <c r="I1603" t="s">
        <v>119</v>
      </c>
      <c r="J1603" t="s">
        <v>74</v>
      </c>
      <c r="K1603">
        <v>1590</v>
      </c>
      <c r="O1603" t="s">
        <v>68</v>
      </c>
      <c r="P1603" t="s">
        <v>79</v>
      </c>
      <c r="U1603" s="9" t="s">
        <v>136</v>
      </c>
      <c r="V1603" t="s">
        <v>137</v>
      </c>
      <c r="W1603" t="s">
        <v>138</v>
      </c>
      <c r="X1603" t="s">
        <v>308</v>
      </c>
      <c r="Y1603" t="s">
        <v>1202</v>
      </c>
      <c r="Z1603" t="s">
        <v>71</v>
      </c>
      <c r="AB1603" t="str">
        <f t="shared" si="75"/>
        <v>46059</v>
      </c>
    </row>
    <row r="1604" ht="14.25" spans="1:28">
      <c r="A1604" s="5" t="s">
        <v>28</v>
      </c>
      <c r="B1604" s="5" t="s">
        <v>697</v>
      </c>
      <c r="C1604" s="5">
        <v>2027</v>
      </c>
      <c r="D1604" s="5" t="s">
        <v>30</v>
      </c>
      <c r="E1604" t="s">
        <v>1203</v>
      </c>
      <c r="F1604" t="s">
        <v>1204</v>
      </c>
      <c r="G1604" t="s">
        <v>1205</v>
      </c>
      <c r="H1604" t="s">
        <v>1206</v>
      </c>
      <c r="I1604" t="s">
        <v>147</v>
      </c>
      <c r="J1604" t="s">
        <v>74</v>
      </c>
      <c r="K1604">
        <v>1590</v>
      </c>
      <c r="O1604" t="s">
        <v>68</v>
      </c>
      <c r="P1604" t="s">
        <v>69</v>
      </c>
      <c r="R1604">
        <f t="shared" ref="R1602:R1665" si="76">SUMIFS(Q:Q,E:E,E1604)</f>
        <v>0</v>
      </c>
      <c r="S1604">
        <f>SUMIFS([1]Sheet1!$T:$T,[1]Sheet1!$I:$I,E1604,[1]Sheet1!$C:$C,A1604)</f>
        <v>60</v>
      </c>
      <c r="T1604">
        <f t="shared" ref="T1602:T1665" si="77">R1604-S1604</f>
        <v>-60</v>
      </c>
      <c r="U1604" s="9" t="s">
        <v>136</v>
      </c>
      <c r="V1604" t="s">
        <v>137</v>
      </c>
      <c r="W1604" t="s">
        <v>138</v>
      </c>
      <c r="X1604" t="s">
        <v>332</v>
      </c>
      <c r="Y1604" t="s">
        <v>1207</v>
      </c>
      <c r="Z1604" t="s">
        <v>1208</v>
      </c>
      <c r="AB1604" t="str">
        <f t="shared" si="75"/>
        <v>46064</v>
      </c>
    </row>
    <row r="1605" ht="14.25" spans="1:28">
      <c r="A1605" s="5" t="s">
        <v>28</v>
      </c>
      <c r="B1605" s="5" t="s">
        <v>697</v>
      </c>
      <c r="C1605" s="5">
        <v>2027</v>
      </c>
      <c r="D1605" s="5" t="s">
        <v>30</v>
      </c>
      <c r="E1605" t="s">
        <v>1203</v>
      </c>
      <c r="F1605" t="s">
        <v>1204</v>
      </c>
      <c r="G1605" t="s">
        <v>1205</v>
      </c>
      <c r="H1605" t="s">
        <v>1206</v>
      </c>
      <c r="I1605" t="s">
        <v>147</v>
      </c>
      <c r="J1605" t="s">
        <v>74</v>
      </c>
      <c r="K1605">
        <v>1590</v>
      </c>
      <c r="O1605" t="s">
        <v>68</v>
      </c>
      <c r="P1605" t="s">
        <v>72</v>
      </c>
      <c r="U1605" s="9" t="s">
        <v>136</v>
      </c>
      <c r="V1605" t="s">
        <v>137</v>
      </c>
      <c r="W1605" t="s">
        <v>138</v>
      </c>
      <c r="X1605" t="s">
        <v>332</v>
      </c>
      <c r="Y1605" t="s">
        <v>1207</v>
      </c>
      <c r="Z1605" t="s">
        <v>1208</v>
      </c>
      <c r="AB1605" t="str">
        <f t="shared" si="75"/>
        <v>46064</v>
      </c>
    </row>
    <row r="1606" ht="14.25" spans="1:28">
      <c r="A1606" s="5" t="s">
        <v>28</v>
      </c>
      <c r="B1606" s="5" t="s">
        <v>697</v>
      </c>
      <c r="C1606" s="5">
        <v>2027</v>
      </c>
      <c r="D1606" s="5" t="s">
        <v>30</v>
      </c>
      <c r="E1606" t="s">
        <v>1203</v>
      </c>
      <c r="F1606" t="s">
        <v>1204</v>
      </c>
      <c r="G1606" t="s">
        <v>1205</v>
      </c>
      <c r="H1606" t="s">
        <v>1206</v>
      </c>
      <c r="I1606" t="s">
        <v>147</v>
      </c>
      <c r="J1606" t="s">
        <v>74</v>
      </c>
      <c r="K1606">
        <v>1590</v>
      </c>
      <c r="O1606" t="s">
        <v>68</v>
      </c>
      <c r="P1606" t="s">
        <v>73</v>
      </c>
      <c r="U1606" s="9" t="s">
        <v>136</v>
      </c>
      <c r="V1606" t="s">
        <v>137</v>
      </c>
      <c r="W1606" t="s">
        <v>138</v>
      </c>
      <c r="X1606" t="s">
        <v>332</v>
      </c>
      <c r="Y1606" t="s">
        <v>1207</v>
      </c>
      <c r="Z1606" t="s">
        <v>1208</v>
      </c>
      <c r="AB1606" t="str">
        <f t="shared" si="75"/>
        <v>46064</v>
      </c>
    </row>
    <row r="1607" ht="14.25" spans="1:28">
      <c r="A1607" s="5" t="s">
        <v>28</v>
      </c>
      <c r="B1607" s="5" t="s">
        <v>697</v>
      </c>
      <c r="C1607" s="5">
        <v>2027</v>
      </c>
      <c r="D1607" s="5" t="s">
        <v>30</v>
      </c>
      <c r="E1607" t="s">
        <v>1203</v>
      </c>
      <c r="F1607" t="s">
        <v>1204</v>
      </c>
      <c r="G1607" t="s">
        <v>1205</v>
      </c>
      <c r="H1607" t="s">
        <v>1206</v>
      </c>
      <c r="I1607" t="s">
        <v>147</v>
      </c>
      <c r="J1607" t="s">
        <v>74</v>
      </c>
      <c r="K1607">
        <v>1590</v>
      </c>
      <c r="O1607" t="s">
        <v>68</v>
      </c>
      <c r="P1607" t="s">
        <v>74</v>
      </c>
      <c r="U1607" s="9" t="s">
        <v>136</v>
      </c>
      <c r="V1607" t="s">
        <v>137</v>
      </c>
      <c r="W1607" t="s">
        <v>138</v>
      </c>
      <c r="X1607" t="s">
        <v>332</v>
      </c>
      <c r="Y1607" t="s">
        <v>1207</v>
      </c>
      <c r="Z1607" t="s">
        <v>1208</v>
      </c>
      <c r="AB1607" t="str">
        <f t="shared" si="75"/>
        <v>46064</v>
      </c>
    </row>
    <row r="1608" ht="14.25" spans="1:28">
      <c r="A1608" s="5" t="s">
        <v>28</v>
      </c>
      <c r="B1608" s="5" t="s">
        <v>697</v>
      </c>
      <c r="C1608" s="5">
        <v>2027</v>
      </c>
      <c r="D1608" s="5" t="s">
        <v>30</v>
      </c>
      <c r="E1608" t="s">
        <v>1203</v>
      </c>
      <c r="F1608" t="s">
        <v>1204</v>
      </c>
      <c r="G1608" t="s">
        <v>1205</v>
      </c>
      <c r="H1608" t="s">
        <v>1206</v>
      </c>
      <c r="I1608" t="s">
        <v>147</v>
      </c>
      <c r="J1608" t="s">
        <v>74</v>
      </c>
      <c r="K1608">
        <v>1590</v>
      </c>
      <c r="O1608" t="s">
        <v>68</v>
      </c>
      <c r="P1608" t="s">
        <v>75</v>
      </c>
      <c r="U1608" s="9" t="s">
        <v>136</v>
      </c>
      <c r="V1608" t="s">
        <v>137</v>
      </c>
      <c r="W1608" t="s">
        <v>138</v>
      </c>
      <c r="X1608" t="s">
        <v>332</v>
      </c>
      <c r="Y1608" t="s">
        <v>1207</v>
      </c>
      <c r="Z1608" t="s">
        <v>1208</v>
      </c>
      <c r="AB1608" t="str">
        <f t="shared" si="75"/>
        <v>46064</v>
      </c>
    </row>
    <row r="1609" ht="14.25" spans="1:28">
      <c r="A1609" s="5" t="s">
        <v>28</v>
      </c>
      <c r="B1609" s="5" t="s">
        <v>697</v>
      </c>
      <c r="C1609" s="5">
        <v>2027</v>
      </c>
      <c r="D1609" s="5" t="s">
        <v>30</v>
      </c>
      <c r="E1609" t="s">
        <v>1203</v>
      </c>
      <c r="F1609" t="s">
        <v>1204</v>
      </c>
      <c r="G1609" t="s">
        <v>1205</v>
      </c>
      <c r="H1609" t="s">
        <v>1206</v>
      </c>
      <c r="I1609" t="s">
        <v>147</v>
      </c>
      <c r="J1609" t="s">
        <v>74</v>
      </c>
      <c r="K1609">
        <v>1590</v>
      </c>
      <c r="O1609" t="s">
        <v>68</v>
      </c>
      <c r="P1609" t="s">
        <v>76</v>
      </c>
      <c r="U1609" s="9" t="s">
        <v>136</v>
      </c>
      <c r="V1609" t="s">
        <v>137</v>
      </c>
      <c r="W1609" t="s">
        <v>138</v>
      </c>
      <c r="X1609" t="s">
        <v>332</v>
      </c>
      <c r="Y1609" t="s">
        <v>1207</v>
      </c>
      <c r="Z1609" t="s">
        <v>1208</v>
      </c>
      <c r="AB1609" t="str">
        <f t="shared" si="75"/>
        <v>46064</v>
      </c>
    </row>
    <row r="1610" ht="14.25" spans="1:28">
      <c r="A1610" s="5" t="s">
        <v>28</v>
      </c>
      <c r="B1610" s="5" t="s">
        <v>697</v>
      </c>
      <c r="C1610" s="5">
        <v>2027</v>
      </c>
      <c r="D1610" s="5" t="s">
        <v>30</v>
      </c>
      <c r="E1610" t="s">
        <v>1203</v>
      </c>
      <c r="F1610" t="s">
        <v>1204</v>
      </c>
      <c r="G1610" t="s">
        <v>1205</v>
      </c>
      <c r="H1610" t="s">
        <v>1206</v>
      </c>
      <c r="I1610" t="s">
        <v>147</v>
      </c>
      <c r="J1610" t="s">
        <v>74</v>
      </c>
      <c r="K1610">
        <v>1590</v>
      </c>
      <c r="O1610" t="s">
        <v>68</v>
      </c>
      <c r="P1610" t="s">
        <v>77</v>
      </c>
      <c r="U1610" s="9" t="s">
        <v>136</v>
      </c>
      <c r="V1610" t="s">
        <v>137</v>
      </c>
      <c r="W1610" t="s">
        <v>138</v>
      </c>
      <c r="X1610" t="s">
        <v>332</v>
      </c>
      <c r="Y1610" t="s">
        <v>1207</v>
      </c>
      <c r="Z1610" t="s">
        <v>1208</v>
      </c>
      <c r="AB1610" t="str">
        <f t="shared" si="75"/>
        <v>46064</v>
      </c>
    </row>
    <row r="1611" ht="14.25" spans="1:28">
      <c r="A1611" s="5" t="s">
        <v>28</v>
      </c>
      <c r="B1611" s="5" t="s">
        <v>697</v>
      </c>
      <c r="C1611" s="5">
        <v>2027</v>
      </c>
      <c r="D1611" s="5" t="s">
        <v>30</v>
      </c>
      <c r="E1611" t="s">
        <v>1203</v>
      </c>
      <c r="F1611" t="s">
        <v>1204</v>
      </c>
      <c r="G1611" t="s">
        <v>1205</v>
      </c>
      <c r="H1611" t="s">
        <v>1206</v>
      </c>
      <c r="I1611" t="s">
        <v>147</v>
      </c>
      <c r="J1611" t="s">
        <v>74</v>
      </c>
      <c r="K1611">
        <v>1590</v>
      </c>
      <c r="O1611" t="s">
        <v>68</v>
      </c>
      <c r="P1611" t="s">
        <v>78</v>
      </c>
      <c r="U1611" s="9" t="s">
        <v>136</v>
      </c>
      <c r="V1611" t="s">
        <v>137</v>
      </c>
      <c r="W1611" t="s">
        <v>138</v>
      </c>
      <c r="X1611" t="s">
        <v>332</v>
      </c>
      <c r="Y1611" t="s">
        <v>1207</v>
      </c>
      <c r="Z1611" t="s">
        <v>1208</v>
      </c>
      <c r="AB1611" t="str">
        <f t="shared" si="75"/>
        <v>46064</v>
      </c>
    </row>
    <row r="1612" ht="14.25" spans="1:28">
      <c r="A1612" s="5" t="s">
        <v>28</v>
      </c>
      <c r="B1612" s="5" t="s">
        <v>697</v>
      </c>
      <c r="C1612" s="5">
        <v>2027</v>
      </c>
      <c r="D1612" s="5" t="s">
        <v>30</v>
      </c>
      <c r="E1612" t="s">
        <v>1203</v>
      </c>
      <c r="F1612" t="s">
        <v>1204</v>
      </c>
      <c r="G1612" t="s">
        <v>1205</v>
      </c>
      <c r="H1612" t="s">
        <v>1206</v>
      </c>
      <c r="I1612" t="s">
        <v>147</v>
      </c>
      <c r="J1612" t="s">
        <v>74</v>
      </c>
      <c r="K1612">
        <v>1590</v>
      </c>
      <c r="O1612" t="s">
        <v>68</v>
      </c>
      <c r="P1612" t="s">
        <v>79</v>
      </c>
      <c r="U1612" s="9" t="s">
        <v>136</v>
      </c>
      <c r="V1612" t="s">
        <v>137</v>
      </c>
      <c r="W1612" t="s">
        <v>138</v>
      </c>
      <c r="X1612" t="s">
        <v>332</v>
      </c>
      <c r="Y1612" t="s">
        <v>1207</v>
      </c>
      <c r="Z1612" t="s">
        <v>1208</v>
      </c>
      <c r="AB1612" t="str">
        <f t="shared" si="75"/>
        <v>46064</v>
      </c>
    </row>
    <row r="1613" ht="14.25" spans="1:28">
      <c r="A1613" s="5" t="s">
        <v>28</v>
      </c>
      <c r="B1613" s="5" t="s">
        <v>697</v>
      </c>
      <c r="C1613" s="5">
        <v>2027</v>
      </c>
      <c r="D1613" s="5" t="s">
        <v>30</v>
      </c>
      <c r="E1613" t="s">
        <v>1209</v>
      </c>
      <c r="F1613" t="s">
        <v>1210</v>
      </c>
      <c r="G1613" t="s">
        <v>1211</v>
      </c>
      <c r="H1613" t="s">
        <v>1212</v>
      </c>
      <c r="I1613" t="s">
        <v>147</v>
      </c>
      <c r="J1613" t="s">
        <v>74</v>
      </c>
      <c r="K1613">
        <v>1790</v>
      </c>
      <c r="O1613" t="s">
        <v>68</v>
      </c>
      <c r="P1613" t="s">
        <v>69</v>
      </c>
      <c r="R1613">
        <f t="shared" si="76"/>
        <v>0</v>
      </c>
      <c r="S1613">
        <f>SUMIFS([1]Sheet1!$T:$T,[1]Sheet1!$I:$I,E1613,[1]Sheet1!$C:$C,A1613)</f>
        <v>60</v>
      </c>
      <c r="T1613">
        <f t="shared" si="77"/>
        <v>-60</v>
      </c>
      <c r="U1613" s="9" t="s">
        <v>136</v>
      </c>
      <c r="V1613" t="s">
        <v>137</v>
      </c>
      <c r="W1613" t="s">
        <v>138</v>
      </c>
      <c r="X1613" t="s">
        <v>332</v>
      </c>
      <c r="Y1613" t="s">
        <v>1213</v>
      </c>
      <c r="Z1613" t="s">
        <v>1214</v>
      </c>
      <c r="AB1613" t="str">
        <f t="shared" si="75"/>
        <v>46075</v>
      </c>
    </row>
    <row r="1614" ht="14.25" spans="1:28">
      <c r="A1614" s="5" t="s">
        <v>28</v>
      </c>
      <c r="B1614" s="5" t="s">
        <v>697</v>
      </c>
      <c r="C1614" s="5">
        <v>2027</v>
      </c>
      <c r="D1614" s="5" t="s">
        <v>30</v>
      </c>
      <c r="E1614" t="s">
        <v>1209</v>
      </c>
      <c r="F1614" t="s">
        <v>1210</v>
      </c>
      <c r="G1614" t="s">
        <v>1211</v>
      </c>
      <c r="H1614" t="s">
        <v>1212</v>
      </c>
      <c r="I1614" t="s">
        <v>147</v>
      </c>
      <c r="J1614" t="s">
        <v>74</v>
      </c>
      <c r="K1614">
        <v>1790</v>
      </c>
      <c r="O1614" t="s">
        <v>68</v>
      </c>
      <c r="P1614" t="s">
        <v>72</v>
      </c>
      <c r="U1614" s="9" t="s">
        <v>136</v>
      </c>
      <c r="V1614" t="s">
        <v>137</v>
      </c>
      <c r="W1614" t="s">
        <v>138</v>
      </c>
      <c r="X1614" t="s">
        <v>332</v>
      </c>
      <c r="Y1614" t="s">
        <v>1213</v>
      </c>
      <c r="Z1614" t="s">
        <v>1214</v>
      </c>
      <c r="AB1614" t="str">
        <f t="shared" si="75"/>
        <v>46075</v>
      </c>
    </row>
    <row r="1615" ht="14.25" spans="1:28">
      <c r="A1615" s="5" t="s">
        <v>28</v>
      </c>
      <c r="B1615" s="5" t="s">
        <v>697</v>
      </c>
      <c r="C1615" s="5">
        <v>2027</v>
      </c>
      <c r="D1615" s="5" t="s">
        <v>30</v>
      </c>
      <c r="E1615" t="s">
        <v>1209</v>
      </c>
      <c r="F1615" t="s">
        <v>1210</v>
      </c>
      <c r="G1615" t="s">
        <v>1211</v>
      </c>
      <c r="H1615" t="s">
        <v>1212</v>
      </c>
      <c r="I1615" t="s">
        <v>147</v>
      </c>
      <c r="J1615" t="s">
        <v>74</v>
      </c>
      <c r="K1615">
        <v>1790</v>
      </c>
      <c r="O1615" t="s">
        <v>68</v>
      </c>
      <c r="P1615" t="s">
        <v>73</v>
      </c>
      <c r="U1615" s="9" t="s">
        <v>136</v>
      </c>
      <c r="V1615" t="s">
        <v>137</v>
      </c>
      <c r="W1615" t="s">
        <v>138</v>
      </c>
      <c r="X1615" t="s">
        <v>332</v>
      </c>
      <c r="Y1615" t="s">
        <v>1213</v>
      </c>
      <c r="Z1615" t="s">
        <v>1214</v>
      </c>
      <c r="AB1615" t="str">
        <f t="shared" si="75"/>
        <v>46075</v>
      </c>
    </row>
    <row r="1616" ht="14.25" spans="1:28">
      <c r="A1616" s="5" t="s">
        <v>28</v>
      </c>
      <c r="B1616" s="5" t="s">
        <v>697</v>
      </c>
      <c r="C1616" s="5">
        <v>2027</v>
      </c>
      <c r="D1616" s="5" t="s">
        <v>30</v>
      </c>
      <c r="E1616" t="s">
        <v>1209</v>
      </c>
      <c r="F1616" t="s">
        <v>1210</v>
      </c>
      <c r="G1616" t="s">
        <v>1211</v>
      </c>
      <c r="H1616" t="s">
        <v>1212</v>
      </c>
      <c r="I1616" t="s">
        <v>147</v>
      </c>
      <c r="J1616" t="s">
        <v>74</v>
      </c>
      <c r="K1616">
        <v>1790</v>
      </c>
      <c r="O1616" t="s">
        <v>68</v>
      </c>
      <c r="P1616" t="s">
        <v>74</v>
      </c>
      <c r="U1616" s="9" t="s">
        <v>136</v>
      </c>
      <c r="V1616" t="s">
        <v>137</v>
      </c>
      <c r="W1616" t="s">
        <v>138</v>
      </c>
      <c r="X1616" t="s">
        <v>332</v>
      </c>
      <c r="Y1616" t="s">
        <v>1213</v>
      </c>
      <c r="Z1616" t="s">
        <v>1214</v>
      </c>
      <c r="AB1616" t="str">
        <f t="shared" si="75"/>
        <v>46075</v>
      </c>
    </row>
    <row r="1617" ht="14.25" spans="1:28">
      <c r="A1617" s="5" t="s">
        <v>28</v>
      </c>
      <c r="B1617" s="5" t="s">
        <v>697</v>
      </c>
      <c r="C1617" s="5">
        <v>2027</v>
      </c>
      <c r="D1617" s="5" t="s">
        <v>30</v>
      </c>
      <c r="E1617" t="s">
        <v>1209</v>
      </c>
      <c r="F1617" t="s">
        <v>1210</v>
      </c>
      <c r="G1617" t="s">
        <v>1211</v>
      </c>
      <c r="H1617" t="s">
        <v>1212</v>
      </c>
      <c r="I1617" t="s">
        <v>147</v>
      </c>
      <c r="J1617" t="s">
        <v>74</v>
      </c>
      <c r="K1617">
        <v>1790</v>
      </c>
      <c r="O1617" t="s">
        <v>68</v>
      </c>
      <c r="P1617" t="s">
        <v>75</v>
      </c>
      <c r="U1617" s="9" t="s">
        <v>136</v>
      </c>
      <c r="V1617" t="s">
        <v>137</v>
      </c>
      <c r="W1617" t="s">
        <v>138</v>
      </c>
      <c r="X1617" t="s">
        <v>332</v>
      </c>
      <c r="Y1617" t="s">
        <v>1213</v>
      </c>
      <c r="Z1617" t="s">
        <v>1214</v>
      </c>
      <c r="AB1617" t="str">
        <f t="shared" si="75"/>
        <v>46075</v>
      </c>
    </row>
    <row r="1618" ht="14.25" spans="1:28">
      <c r="A1618" s="5" t="s">
        <v>28</v>
      </c>
      <c r="B1618" s="5" t="s">
        <v>697</v>
      </c>
      <c r="C1618" s="5">
        <v>2027</v>
      </c>
      <c r="D1618" s="5" t="s">
        <v>30</v>
      </c>
      <c r="E1618" t="s">
        <v>1209</v>
      </c>
      <c r="F1618" t="s">
        <v>1210</v>
      </c>
      <c r="G1618" t="s">
        <v>1211</v>
      </c>
      <c r="H1618" t="s">
        <v>1212</v>
      </c>
      <c r="I1618" t="s">
        <v>147</v>
      </c>
      <c r="J1618" t="s">
        <v>74</v>
      </c>
      <c r="K1618">
        <v>1790</v>
      </c>
      <c r="O1618" t="s">
        <v>68</v>
      </c>
      <c r="P1618" t="s">
        <v>76</v>
      </c>
      <c r="U1618" s="9" t="s">
        <v>136</v>
      </c>
      <c r="V1618" t="s">
        <v>137</v>
      </c>
      <c r="W1618" t="s">
        <v>138</v>
      </c>
      <c r="X1618" t="s">
        <v>332</v>
      </c>
      <c r="Y1618" t="s">
        <v>1213</v>
      </c>
      <c r="Z1618" t="s">
        <v>1214</v>
      </c>
      <c r="AB1618" t="str">
        <f t="shared" si="75"/>
        <v>46075</v>
      </c>
    </row>
    <row r="1619" ht="14.25" spans="1:28">
      <c r="A1619" s="5" t="s">
        <v>28</v>
      </c>
      <c r="B1619" s="5" t="s">
        <v>697</v>
      </c>
      <c r="C1619" s="5">
        <v>2027</v>
      </c>
      <c r="D1619" s="5" t="s">
        <v>30</v>
      </c>
      <c r="E1619" t="s">
        <v>1209</v>
      </c>
      <c r="F1619" t="s">
        <v>1210</v>
      </c>
      <c r="G1619" t="s">
        <v>1211</v>
      </c>
      <c r="H1619" t="s">
        <v>1212</v>
      </c>
      <c r="I1619" t="s">
        <v>147</v>
      </c>
      <c r="J1619" t="s">
        <v>74</v>
      </c>
      <c r="K1619">
        <v>1790</v>
      </c>
      <c r="O1619" t="s">
        <v>68</v>
      </c>
      <c r="P1619" t="s">
        <v>77</v>
      </c>
      <c r="U1619" s="9" t="s">
        <v>136</v>
      </c>
      <c r="V1619" t="s">
        <v>137</v>
      </c>
      <c r="W1619" t="s">
        <v>138</v>
      </c>
      <c r="X1619" t="s">
        <v>332</v>
      </c>
      <c r="Y1619" t="s">
        <v>1213</v>
      </c>
      <c r="Z1619" t="s">
        <v>1214</v>
      </c>
      <c r="AB1619" t="str">
        <f t="shared" si="75"/>
        <v>46075</v>
      </c>
    </row>
    <row r="1620" ht="14.25" spans="1:28">
      <c r="A1620" s="5" t="s">
        <v>28</v>
      </c>
      <c r="B1620" s="5" t="s">
        <v>697</v>
      </c>
      <c r="C1620" s="5">
        <v>2027</v>
      </c>
      <c r="D1620" s="5" t="s">
        <v>30</v>
      </c>
      <c r="E1620" t="s">
        <v>1209</v>
      </c>
      <c r="F1620" t="s">
        <v>1210</v>
      </c>
      <c r="G1620" t="s">
        <v>1211</v>
      </c>
      <c r="H1620" t="s">
        <v>1212</v>
      </c>
      <c r="I1620" t="s">
        <v>147</v>
      </c>
      <c r="J1620" t="s">
        <v>74</v>
      </c>
      <c r="K1620">
        <v>1790</v>
      </c>
      <c r="O1620" t="s">
        <v>68</v>
      </c>
      <c r="P1620" t="s">
        <v>78</v>
      </c>
      <c r="U1620" s="9" t="s">
        <v>136</v>
      </c>
      <c r="V1620" t="s">
        <v>137</v>
      </c>
      <c r="W1620" t="s">
        <v>138</v>
      </c>
      <c r="X1620" t="s">
        <v>332</v>
      </c>
      <c r="Y1620" t="s">
        <v>1213</v>
      </c>
      <c r="Z1620" t="s">
        <v>1214</v>
      </c>
      <c r="AB1620" t="str">
        <f t="shared" si="75"/>
        <v>46075</v>
      </c>
    </row>
    <row r="1621" ht="14.25" spans="1:28">
      <c r="A1621" s="5" t="s">
        <v>28</v>
      </c>
      <c r="B1621" s="5" t="s">
        <v>697</v>
      </c>
      <c r="C1621" s="5">
        <v>2027</v>
      </c>
      <c r="D1621" s="5" t="s">
        <v>30</v>
      </c>
      <c r="E1621" t="s">
        <v>1209</v>
      </c>
      <c r="F1621" t="s">
        <v>1210</v>
      </c>
      <c r="G1621" t="s">
        <v>1211</v>
      </c>
      <c r="H1621" t="s">
        <v>1212</v>
      </c>
      <c r="I1621" t="s">
        <v>147</v>
      </c>
      <c r="J1621" t="s">
        <v>74</v>
      </c>
      <c r="K1621">
        <v>1790</v>
      </c>
      <c r="O1621" t="s">
        <v>68</v>
      </c>
      <c r="P1621" t="s">
        <v>79</v>
      </c>
      <c r="U1621" s="9" t="s">
        <v>136</v>
      </c>
      <c r="V1621" t="s">
        <v>137</v>
      </c>
      <c r="W1621" t="s">
        <v>138</v>
      </c>
      <c r="X1621" t="s">
        <v>332</v>
      </c>
      <c r="Y1621" t="s">
        <v>1213</v>
      </c>
      <c r="Z1621" t="s">
        <v>1214</v>
      </c>
      <c r="AB1621" t="str">
        <f t="shared" si="75"/>
        <v>46075</v>
      </c>
    </row>
    <row r="1622" ht="14.25" spans="1:28">
      <c r="A1622" s="5" t="s">
        <v>28</v>
      </c>
      <c r="B1622" s="5" t="s">
        <v>697</v>
      </c>
      <c r="C1622" s="5">
        <v>2027</v>
      </c>
      <c r="D1622" s="5" t="s">
        <v>30</v>
      </c>
      <c r="E1622" t="s">
        <v>1215</v>
      </c>
      <c r="F1622" t="s">
        <v>1216</v>
      </c>
      <c r="G1622" t="s">
        <v>1217</v>
      </c>
      <c r="H1622" t="s">
        <v>1218</v>
      </c>
      <c r="I1622" t="s">
        <v>147</v>
      </c>
      <c r="J1622" t="s">
        <v>74</v>
      </c>
      <c r="K1622">
        <v>1790</v>
      </c>
      <c r="O1622" t="s">
        <v>68</v>
      </c>
      <c r="P1622" t="s">
        <v>69</v>
      </c>
      <c r="R1622">
        <f t="shared" si="76"/>
        <v>0</v>
      </c>
      <c r="S1622">
        <f>SUMIFS([1]Sheet1!$T:$T,[1]Sheet1!$I:$I,E1622,[1]Sheet1!$C:$C,A1622)</f>
        <v>0</v>
      </c>
      <c r="T1622">
        <f t="shared" si="77"/>
        <v>0</v>
      </c>
      <c r="U1622" s="9" t="s">
        <v>136</v>
      </c>
      <c r="V1622" t="s">
        <v>137</v>
      </c>
      <c r="W1622" t="s">
        <v>138</v>
      </c>
      <c r="Y1622" t="s">
        <v>1213</v>
      </c>
      <c r="Z1622" t="s">
        <v>71</v>
      </c>
      <c r="AB1622" t="str">
        <f t="shared" si="75"/>
        <v>46076</v>
      </c>
    </row>
    <row r="1623" ht="14.25" spans="1:28">
      <c r="A1623" s="5" t="s">
        <v>28</v>
      </c>
      <c r="B1623" s="5" t="s">
        <v>697</v>
      </c>
      <c r="C1623" s="5">
        <v>2027</v>
      </c>
      <c r="D1623" s="5" t="s">
        <v>30</v>
      </c>
      <c r="E1623" t="s">
        <v>1215</v>
      </c>
      <c r="F1623" t="s">
        <v>1216</v>
      </c>
      <c r="G1623" t="s">
        <v>1217</v>
      </c>
      <c r="H1623" t="s">
        <v>1218</v>
      </c>
      <c r="I1623" t="s">
        <v>147</v>
      </c>
      <c r="J1623" t="s">
        <v>74</v>
      </c>
      <c r="K1623">
        <v>1790</v>
      </c>
      <c r="O1623" t="s">
        <v>68</v>
      </c>
      <c r="P1623" t="s">
        <v>72</v>
      </c>
      <c r="U1623" s="9" t="s">
        <v>136</v>
      </c>
      <c r="V1623" t="s">
        <v>137</v>
      </c>
      <c r="W1623" t="s">
        <v>138</v>
      </c>
      <c r="Y1623" t="s">
        <v>1213</v>
      </c>
      <c r="Z1623" t="s">
        <v>71</v>
      </c>
      <c r="AB1623" t="str">
        <f t="shared" si="75"/>
        <v>46076</v>
      </c>
    </row>
    <row r="1624" ht="14.25" spans="1:28">
      <c r="A1624" s="5" t="s">
        <v>28</v>
      </c>
      <c r="B1624" s="5" t="s">
        <v>697</v>
      </c>
      <c r="C1624" s="5">
        <v>2027</v>
      </c>
      <c r="D1624" s="5" t="s">
        <v>30</v>
      </c>
      <c r="E1624" t="s">
        <v>1215</v>
      </c>
      <c r="F1624" t="s">
        <v>1216</v>
      </c>
      <c r="G1624" t="s">
        <v>1217</v>
      </c>
      <c r="H1624" t="s">
        <v>1218</v>
      </c>
      <c r="I1624" t="s">
        <v>147</v>
      </c>
      <c r="J1624" t="s">
        <v>74</v>
      </c>
      <c r="K1624">
        <v>1790</v>
      </c>
      <c r="O1624" t="s">
        <v>68</v>
      </c>
      <c r="P1624" t="s">
        <v>73</v>
      </c>
      <c r="U1624" s="9" t="s">
        <v>136</v>
      </c>
      <c r="V1624" t="s">
        <v>137</v>
      </c>
      <c r="W1624" t="s">
        <v>138</v>
      </c>
      <c r="Y1624" t="s">
        <v>1213</v>
      </c>
      <c r="Z1624" t="s">
        <v>71</v>
      </c>
      <c r="AB1624" t="str">
        <f t="shared" si="75"/>
        <v>46076</v>
      </c>
    </row>
    <row r="1625" ht="14.25" spans="1:28">
      <c r="A1625" s="5" t="s">
        <v>28</v>
      </c>
      <c r="B1625" s="5" t="s">
        <v>697</v>
      </c>
      <c r="C1625" s="5">
        <v>2027</v>
      </c>
      <c r="D1625" s="5" t="s">
        <v>30</v>
      </c>
      <c r="E1625" t="s">
        <v>1215</v>
      </c>
      <c r="F1625" t="s">
        <v>1216</v>
      </c>
      <c r="G1625" t="s">
        <v>1217</v>
      </c>
      <c r="H1625" t="s">
        <v>1218</v>
      </c>
      <c r="I1625" t="s">
        <v>147</v>
      </c>
      <c r="J1625" t="s">
        <v>74</v>
      </c>
      <c r="K1625">
        <v>1790</v>
      </c>
      <c r="O1625" t="s">
        <v>68</v>
      </c>
      <c r="P1625" t="s">
        <v>74</v>
      </c>
      <c r="U1625" s="9" t="s">
        <v>136</v>
      </c>
      <c r="V1625" t="s">
        <v>137</v>
      </c>
      <c r="W1625" t="s">
        <v>138</v>
      </c>
      <c r="Y1625" t="s">
        <v>1213</v>
      </c>
      <c r="Z1625" t="s">
        <v>71</v>
      </c>
      <c r="AB1625" t="str">
        <f t="shared" si="75"/>
        <v>46076</v>
      </c>
    </row>
    <row r="1626" ht="14.25" spans="1:28">
      <c r="A1626" s="5" t="s">
        <v>28</v>
      </c>
      <c r="B1626" s="5" t="s">
        <v>697</v>
      </c>
      <c r="C1626" s="5">
        <v>2027</v>
      </c>
      <c r="D1626" s="5" t="s">
        <v>30</v>
      </c>
      <c r="E1626" t="s">
        <v>1215</v>
      </c>
      <c r="F1626" t="s">
        <v>1216</v>
      </c>
      <c r="G1626" t="s">
        <v>1217</v>
      </c>
      <c r="H1626" t="s">
        <v>1218</v>
      </c>
      <c r="I1626" t="s">
        <v>147</v>
      </c>
      <c r="J1626" t="s">
        <v>74</v>
      </c>
      <c r="K1626">
        <v>1790</v>
      </c>
      <c r="O1626" t="s">
        <v>68</v>
      </c>
      <c r="P1626" t="s">
        <v>75</v>
      </c>
      <c r="U1626" s="9" t="s">
        <v>136</v>
      </c>
      <c r="V1626" t="s">
        <v>137</v>
      </c>
      <c r="W1626" t="s">
        <v>138</v>
      </c>
      <c r="Y1626" t="s">
        <v>1213</v>
      </c>
      <c r="Z1626" t="s">
        <v>71</v>
      </c>
      <c r="AB1626" t="str">
        <f t="shared" si="75"/>
        <v>46076</v>
      </c>
    </row>
    <row r="1627" ht="14.25" spans="1:28">
      <c r="A1627" s="5" t="s">
        <v>28</v>
      </c>
      <c r="B1627" s="5" t="s">
        <v>697</v>
      </c>
      <c r="C1627" s="5">
        <v>2027</v>
      </c>
      <c r="D1627" s="5" t="s">
        <v>30</v>
      </c>
      <c r="E1627" t="s">
        <v>1215</v>
      </c>
      <c r="F1627" t="s">
        <v>1216</v>
      </c>
      <c r="G1627" t="s">
        <v>1217</v>
      </c>
      <c r="H1627" t="s">
        <v>1218</v>
      </c>
      <c r="I1627" t="s">
        <v>147</v>
      </c>
      <c r="J1627" t="s">
        <v>74</v>
      </c>
      <c r="K1627">
        <v>1790</v>
      </c>
      <c r="O1627" t="s">
        <v>68</v>
      </c>
      <c r="P1627" t="s">
        <v>76</v>
      </c>
      <c r="U1627" s="9" t="s">
        <v>136</v>
      </c>
      <c r="V1627" t="s">
        <v>137</v>
      </c>
      <c r="W1627" t="s">
        <v>138</v>
      </c>
      <c r="Y1627" t="s">
        <v>1213</v>
      </c>
      <c r="Z1627" t="s">
        <v>71</v>
      </c>
      <c r="AB1627" t="str">
        <f t="shared" si="75"/>
        <v>46076</v>
      </c>
    </row>
    <row r="1628" ht="14.25" spans="1:28">
      <c r="A1628" s="5" t="s">
        <v>28</v>
      </c>
      <c r="B1628" s="5" t="s">
        <v>697</v>
      </c>
      <c r="C1628" s="5">
        <v>2027</v>
      </c>
      <c r="D1628" s="5" t="s">
        <v>30</v>
      </c>
      <c r="E1628" t="s">
        <v>1215</v>
      </c>
      <c r="F1628" t="s">
        <v>1216</v>
      </c>
      <c r="G1628" t="s">
        <v>1217</v>
      </c>
      <c r="H1628" t="s">
        <v>1218</v>
      </c>
      <c r="I1628" t="s">
        <v>147</v>
      </c>
      <c r="J1628" t="s">
        <v>74</v>
      </c>
      <c r="K1628">
        <v>1790</v>
      </c>
      <c r="O1628" t="s">
        <v>68</v>
      </c>
      <c r="P1628" t="s">
        <v>77</v>
      </c>
      <c r="U1628" s="9" t="s">
        <v>136</v>
      </c>
      <c r="V1628" t="s">
        <v>137</v>
      </c>
      <c r="W1628" t="s">
        <v>138</v>
      </c>
      <c r="Y1628" t="s">
        <v>1213</v>
      </c>
      <c r="Z1628" t="s">
        <v>71</v>
      </c>
      <c r="AB1628" t="str">
        <f t="shared" si="75"/>
        <v>46076</v>
      </c>
    </row>
    <row r="1629" ht="14.25" spans="1:28">
      <c r="A1629" s="5" t="s">
        <v>28</v>
      </c>
      <c r="B1629" s="5" t="s">
        <v>697</v>
      </c>
      <c r="C1629" s="5">
        <v>2027</v>
      </c>
      <c r="D1629" s="5" t="s">
        <v>30</v>
      </c>
      <c r="E1629" t="s">
        <v>1215</v>
      </c>
      <c r="F1629" t="s">
        <v>1216</v>
      </c>
      <c r="G1629" t="s">
        <v>1217</v>
      </c>
      <c r="H1629" t="s">
        <v>1218</v>
      </c>
      <c r="I1629" t="s">
        <v>147</v>
      </c>
      <c r="J1629" t="s">
        <v>74</v>
      </c>
      <c r="K1629">
        <v>1790</v>
      </c>
      <c r="O1629" t="s">
        <v>68</v>
      </c>
      <c r="P1629" t="s">
        <v>78</v>
      </c>
      <c r="U1629" s="9" t="s">
        <v>136</v>
      </c>
      <c r="V1629" t="s">
        <v>137</v>
      </c>
      <c r="W1629" t="s">
        <v>138</v>
      </c>
      <c r="Y1629" t="s">
        <v>1213</v>
      </c>
      <c r="Z1629" t="s">
        <v>71</v>
      </c>
      <c r="AB1629" t="str">
        <f t="shared" si="75"/>
        <v>46076</v>
      </c>
    </row>
    <row r="1630" ht="14.25" spans="1:28">
      <c r="A1630" s="5" t="s">
        <v>28</v>
      </c>
      <c r="B1630" s="5" t="s">
        <v>697</v>
      </c>
      <c r="C1630" s="5">
        <v>2027</v>
      </c>
      <c r="D1630" s="5" t="s">
        <v>30</v>
      </c>
      <c r="E1630" t="s">
        <v>1215</v>
      </c>
      <c r="F1630" t="s">
        <v>1216</v>
      </c>
      <c r="G1630" t="s">
        <v>1217</v>
      </c>
      <c r="H1630" t="s">
        <v>1218</v>
      </c>
      <c r="I1630" t="s">
        <v>147</v>
      </c>
      <c r="J1630" t="s">
        <v>74</v>
      </c>
      <c r="K1630">
        <v>1790</v>
      </c>
      <c r="O1630" t="s">
        <v>68</v>
      </c>
      <c r="P1630" t="s">
        <v>79</v>
      </c>
      <c r="U1630" s="9" t="s">
        <v>136</v>
      </c>
      <c r="V1630" t="s">
        <v>137</v>
      </c>
      <c r="W1630" t="s">
        <v>138</v>
      </c>
      <c r="Y1630" t="s">
        <v>1213</v>
      </c>
      <c r="Z1630" t="s">
        <v>71</v>
      </c>
      <c r="AB1630" t="str">
        <f t="shared" si="75"/>
        <v>46076</v>
      </c>
    </row>
    <row r="1631" ht="14.25" spans="1:28">
      <c r="A1631" s="5" t="s">
        <v>28</v>
      </c>
      <c r="B1631" s="5" t="s">
        <v>697</v>
      </c>
      <c r="C1631" s="5">
        <v>2027</v>
      </c>
      <c r="D1631" s="5" t="s">
        <v>30</v>
      </c>
      <c r="E1631" t="s">
        <v>1219</v>
      </c>
      <c r="F1631" t="s">
        <v>1220</v>
      </c>
      <c r="G1631" t="s">
        <v>590</v>
      </c>
      <c r="H1631" t="s">
        <v>1221</v>
      </c>
      <c r="I1631" t="s">
        <v>147</v>
      </c>
      <c r="J1631" t="s">
        <v>36</v>
      </c>
      <c r="K1631">
        <v>1390</v>
      </c>
      <c r="O1631" t="s">
        <v>37</v>
      </c>
      <c r="P1631" t="s">
        <v>38</v>
      </c>
      <c r="R1631">
        <f t="shared" si="76"/>
        <v>0</v>
      </c>
      <c r="S1631">
        <f>SUMIFS([1]Sheet1!$T:$T,[1]Sheet1!$I:$I,E1631,[1]Sheet1!$C:$C,A1631)</f>
        <v>40</v>
      </c>
      <c r="T1631">
        <f t="shared" si="77"/>
        <v>-40</v>
      </c>
      <c r="U1631" s="9" t="s">
        <v>148</v>
      </c>
      <c r="V1631" t="s">
        <v>233</v>
      </c>
      <c r="W1631" t="s">
        <v>138</v>
      </c>
      <c r="X1631" t="s">
        <v>592</v>
      </c>
      <c r="Y1631" t="s">
        <v>1190</v>
      </c>
      <c r="Z1631" t="s">
        <v>41</v>
      </c>
      <c r="AB1631" t="str">
        <f t="shared" si="75"/>
        <v>46101</v>
      </c>
    </row>
    <row r="1632" ht="14.25" spans="1:28">
      <c r="A1632" s="5" t="s">
        <v>28</v>
      </c>
      <c r="B1632" s="5" t="s">
        <v>697</v>
      </c>
      <c r="C1632" s="5">
        <v>2027</v>
      </c>
      <c r="D1632" s="5" t="s">
        <v>30</v>
      </c>
      <c r="E1632" t="s">
        <v>1219</v>
      </c>
      <c r="F1632" t="s">
        <v>1220</v>
      </c>
      <c r="G1632" t="s">
        <v>590</v>
      </c>
      <c r="H1632" t="s">
        <v>1221</v>
      </c>
      <c r="I1632" t="s">
        <v>147</v>
      </c>
      <c r="J1632" t="s">
        <v>36</v>
      </c>
      <c r="K1632">
        <v>1390</v>
      </c>
      <c r="O1632" t="s">
        <v>37</v>
      </c>
      <c r="P1632" t="s">
        <v>42</v>
      </c>
      <c r="U1632" s="9" t="s">
        <v>148</v>
      </c>
      <c r="V1632" t="s">
        <v>233</v>
      </c>
      <c r="W1632" t="s">
        <v>138</v>
      </c>
      <c r="X1632" t="s">
        <v>592</v>
      </c>
      <c r="Y1632" t="s">
        <v>1190</v>
      </c>
      <c r="Z1632" t="s">
        <v>41</v>
      </c>
      <c r="AB1632" t="str">
        <f t="shared" si="75"/>
        <v>46101</v>
      </c>
    </row>
    <row r="1633" ht="14.25" spans="1:28">
      <c r="A1633" s="5" t="s">
        <v>28</v>
      </c>
      <c r="B1633" s="5" t="s">
        <v>697</v>
      </c>
      <c r="C1633" s="5">
        <v>2027</v>
      </c>
      <c r="D1633" s="5" t="s">
        <v>30</v>
      </c>
      <c r="E1633" t="s">
        <v>1219</v>
      </c>
      <c r="F1633" t="s">
        <v>1220</v>
      </c>
      <c r="G1633" t="s">
        <v>590</v>
      </c>
      <c r="H1633" t="s">
        <v>1221</v>
      </c>
      <c r="I1633" t="s">
        <v>147</v>
      </c>
      <c r="J1633" t="s">
        <v>36</v>
      </c>
      <c r="K1633">
        <v>1390</v>
      </c>
      <c r="O1633" t="s">
        <v>37</v>
      </c>
      <c r="P1633" t="s">
        <v>43</v>
      </c>
      <c r="U1633" s="9" t="s">
        <v>148</v>
      </c>
      <c r="V1633" t="s">
        <v>233</v>
      </c>
      <c r="W1633" t="s">
        <v>138</v>
      </c>
      <c r="X1633" t="s">
        <v>592</v>
      </c>
      <c r="Y1633" t="s">
        <v>1190</v>
      </c>
      <c r="Z1633" t="s">
        <v>41</v>
      </c>
      <c r="AB1633" t="str">
        <f t="shared" si="75"/>
        <v>46101</v>
      </c>
    </row>
    <row r="1634" ht="14.25" spans="1:28">
      <c r="A1634" s="5" t="s">
        <v>28</v>
      </c>
      <c r="B1634" s="5" t="s">
        <v>697</v>
      </c>
      <c r="C1634" s="5">
        <v>2027</v>
      </c>
      <c r="D1634" s="5" t="s">
        <v>30</v>
      </c>
      <c r="E1634" t="s">
        <v>1219</v>
      </c>
      <c r="F1634" t="s">
        <v>1220</v>
      </c>
      <c r="G1634" t="s">
        <v>590</v>
      </c>
      <c r="H1634" t="s">
        <v>1221</v>
      </c>
      <c r="I1634" t="s">
        <v>147</v>
      </c>
      <c r="J1634" t="s">
        <v>36</v>
      </c>
      <c r="K1634">
        <v>1390</v>
      </c>
      <c r="O1634" t="s">
        <v>37</v>
      </c>
      <c r="P1634" t="s">
        <v>44</v>
      </c>
      <c r="U1634" s="9" t="s">
        <v>148</v>
      </c>
      <c r="V1634" t="s">
        <v>233</v>
      </c>
      <c r="W1634" t="s">
        <v>138</v>
      </c>
      <c r="X1634" t="s">
        <v>592</v>
      </c>
      <c r="Y1634" t="s">
        <v>1190</v>
      </c>
      <c r="Z1634" t="s">
        <v>41</v>
      </c>
      <c r="AB1634" t="str">
        <f t="shared" si="75"/>
        <v>46101</v>
      </c>
    </row>
    <row r="1635" ht="14.25" spans="1:28">
      <c r="A1635" s="5" t="s">
        <v>28</v>
      </c>
      <c r="B1635" s="5" t="s">
        <v>697</v>
      </c>
      <c r="C1635" s="5">
        <v>2027</v>
      </c>
      <c r="D1635" s="5" t="s">
        <v>30</v>
      </c>
      <c r="E1635" t="s">
        <v>1219</v>
      </c>
      <c r="F1635" t="s">
        <v>1220</v>
      </c>
      <c r="G1635" t="s">
        <v>590</v>
      </c>
      <c r="H1635" t="s">
        <v>1221</v>
      </c>
      <c r="I1635" t="s">
        <v>147</v>
      </c>
      <c r="J1635" t="s">
        <v>36</v>
      </c>
      <c r="K1635">
        <v>1390</v>
      </c>
      <c r="O1635" t="s">
        <v>37</v>
      </c>
      <c r="P1635" t="s">
        <v>45</v>
      </c>
      <c r="U1635" s="9" t="s">
        <v>148</v>
      </c>
      <c r="V1635" t="s">
        <v>233</v>
      </c>
      <c r="W1635" t="s">
        <v>138</v>
      </c>
      <c r="X1635" t="s">
        <v>592</v>
      </c>
      <c r="Y1635" t="s">
        <v>1190</v>
      </c>
      <c r="Z1635" t="s">
        <v>41</v>
      </c>
      <c r="AB1635" t="str">
        <f t="shared" si="75"/>
        <v>46101</v>
      </c>
    </row>
    <row r="1636" ht="14.25" spans="1:28">
      <c r="A1636" s="5" t="s">
        <v>28</v>
      </c>
      <c r="B1636" s="5" t="s">
        <v>697</v>
      </c>
      <c r="C1636" s="5">
        <v>2027</v>
      </c>
      <c r="D1636" s="5" t="s">
        <v>30</v>
      </c>
      <c r="E1636" t="s">
        <v>1219</v>
      </c>
      <c r="F1636" t="s">
        <v>1220</v>
      </c>
      <c r="G1636" t="s">
        <v>590</v>
      </c>
      <c r="H1636" t="s">
        <v>1221</v>
      </c>
      <c r="I1636" t="s">
        <v>147</v>
      </c>
      <c r="J1636" t="s">
        <v>36</v>
      </c>
      <c r="K1636">
        <v>1390</v>
      </c>
      <c r="O1636" t="s">
        <v>37</v>
      </c>
      <c r="P1636" t="s">
        <v>46</v>
      </c>
      <c r="U1636" s="9" t="s">
        <v>148</v>
      </c>
      <c r="V1636" t="s">
        <v>233</v>
      </c>
      <c r="W1636" t="s">
        <v>138</v>
      </c>
      <c r="X1636" t="s">
        <v>592</v>
      </c>
      <c r="Y1636" t="s">
        <v>1190</v>
      </c>
      <c r="Z1636" t="s">
        <v>41</v>
      </c>
      <c r="AB1636" t="str">
        <f t="shared" si="75"/>
        <v>46101</v>
      </c>
    </row>
    <row r="1637" ht="14.25" spans="1:28">
      <c r="A1637" s="5" t="s">
        <v>28</v>
      </c>
      <c r="B1637" s="5" t="s">
        <v>697</v>
      </c>
      <c r="C1637" s="5">
        <v>2027</v>
      </c>
      <c r="D1637" s="5" t="s">
        <v>30</v>
      </c>
      <c r="E1637" t="s">
        <v>1222</v>
      </c>
      <c r="F1637" t="s">
        <v>1220</v>
      </c>
      <c r="G1637" t="s">
        <v>1223</v>
      </c>
      <c r="H1637" t="s">
        <v>1224</v>
      </c>
      <c r="I1637" t="s">
        <v>147</v>
      </c>
      <c r="J1637" t="s">
        <v>36</v>
      </c>
      <c r="K1637">
        <v>1390</v>
      </c>
      <c r="O1637" t="s">
        <v>37</v>
      </c>
      <c r="P1637" t="s">
        <v>38</v>
      </c>
      <c r="R1637">
        <f t="shared" si="76"/>
        <v>0</v>
      </c>
      <c r="S1637">
        <f>SUMIFS([1]Sheet1!$T:$T,[1]Sheet1!$I:$I,E1637,[1]Sheet1!$C:$C,A1637)</f>
        <v>20</v>
      </c>
      <c r="T1637">
        <f t="shared" si="77"/>
        <v>-20</v>
      </c>
      <c r="U1637" s="9" t="s">
        <v>148</v>
      </c>
      <c r="V1637" t="s">
        <v>233</v>
      </c>
      <c r="W1637" t="s">
        <v>138</v>
      </c>
      <c r="X1637" t="s">
        <v>1225</v>
      </c>
      <c r="Y1637" t="s">
        <v>1190</v>
      </c>
      <c r="Z1637" t="s">
        <v>41</v>
      </c>
      <c r="AB1637" t="str">
        <f t="shared" si="75"/>
        <v>46101</v>
      </c>
    </row>
    <row r="1638" ht="14.25" spans="1:28">
      <c r="A1638" s="5" t="s">
        <v>28</v>
      </c>
      <c r="B1638" s="5" t="s">
        <v>697</v>
      </c>
      <c r="C1638" s="5">
        <v>2027</v>
      </c>
      <c r="D1638" s="5" t="s">
        <v>30</v>
      </c>
      <c r="E1638" t="s">
        <v>1222</v>
      </c>
      <c r="F1638" t="s">
        <v>1220</v>
      </c>
      <c r="G1638" t="s">
        <v>1223</v>
      </c>
      <c r="H1638" t="s">
        <v>1224</v>
      </c>
      <c r="I1638" t="s">
        <v>147</v>
      </c>
      <c r="J1638" t="s">
        <v>36</v>
      </c>
      <c r="K1638">
        <v>1390</v>
      </c>
      <c r="O1638" t="s">
        <v>37</v>
      </c>
      <c r="P1638" t="s">
        <v>42</v>
      </c>
      <c r="U1638" s="9" t="s">
        <v>148</v>
      </c>
      <c r="V1638" t="s">
        <v>233</v>
      </c>
      <c r="W1638" t="s">
        <v>138</v>
      </c>
      <c r="X1638" t="s">
        <v>1225</v>
      </c>
      <c r="Y1638" t="s">
        <v>1190</v>
      </c>
      <c r="Z1638" t="s">
        <v>41</v>
      </c>
      <c r="AB1638" t="str">
        <f t="shared" si="75"/>
        <v>46101</v>
      </c>
    </row>
    <row r="1639" ht="14.25" spans="1:28">
      <c r="A1639" s="5" t="s">
        <v>28</v>
      </c>
      <c r="B1639" s="5" t="s">
        <v>697</v>
      </c>
      <c r="C1639" s="5">
        <v>2027</v>
      </c>
      <c r="D1639" s="5" t="s">
        <v>30</v>
      </c>
      <c r="E1639" t="s">
        <v>1222</v>
      </c>
      <c r="F1639" t="s">
        <v>1220</v>
      </c>
      <c r="G1639" t="s">
        <v>1223</v>
      </c>
      <c r="H1639" t="s">
        <v>1224</v>
      </c>
      <c r="I1639" t="s">
        <v>147</v>
      </c>
      <c r="J1639" t="s">
        <v>36</v>
      </c>
      <c r="K1639">
        <v>1390</v>
      </c>
      <c r="O1639" t="s">
        <v>37</v>
      </c>
      <c r="P1639" t="s">
        <v>43</v>
      </c>
      <c r="U1639" s="9" t="s">
        <v>148</v>
      </c>
      <c r="V1639" t="s">
        <v>233</v>
      </c>
      <c r="W1639" t="s">
        <v>138</v>
      </c>
      <c r="X1639" t="s">
        <v>1225</v>
      </c>
      <c r="Y1639" t="s">
        <v>1190</v>
      </c>
      <c r="Z1639" t="s">
        <v>41</v>
      </c>
      <c r="AB1639" t="str">
        <f t="shared" si="75"/>
        <v>46101</v>
      </c>
    </row>
    <row r="1640" ht="14.25" spans="1:28">
      <c r="A1640" s="5" t="s">
        <v>28</v>
      </c>
      <c r="B1640" s="5" t="s">
        <v>697</v>
      </c>
      <c r="C1640" s="5">
        <v>2027</v>
      </c>
      <c r="D1640" s="5" t="s">
        <v>30</v>
      </c>
      <c r="E1640" t="s">
        <v>1222</v>
      </c>
      <c r="F1640" t="s">
        <v>1220</v>
      </c>
      <c r="G1640" t="s">
        <v>1223</v>
      </c>
      <c r="H1640" t="s">
        <v>1224</v>
      </c>
      <c r="I1640" t="s">
        <v>147</v>
      </c>
      <c r="J1640" t="s">
        <v>36</v>
      </c>
      <c r="K1640">
        <v>1390</v>
      </c>
      <c r="O1640" t="s">
        <v>37</v>
      </c>
      <c r="P1640" t="s">
        <v>44</v>
      </c>
      <c r="U1640" s="9" t="s">
        <v>148</v>
      </c>
      <c r="V1640" t="s">
        <v>233</v>
      </c>
      <c r="W1640" t="s">
        <v>138</v>
      </c>
      <c r="X1640" t="s">
        <v>1225</v>
      </c>
      <c r="Y1640" t="s">
        <v>1190</v>
      </c>
      <c r="Z1640" t="s">
        <v>41</v>
      </c>
      <c r="AB1640" t="str">
        <f t="shared" si="75"/>
        <v>46101</v>
      </c>
    </row>
    <row r="1641" ht="14.25" spans="1:28">
      <c r="A1641" s="5" t="s">
        <v>28</v>
      </c>
      <c r="B1641" s="5" t="s">
        <v>697</v>
      </c>
      <c r="C1641" s="5">
        <v>2027</v>
      </c>
      <c r="D1641" s="5" t="s">
        <v>30</v>
      </c>
      <c r="E1641" t="s">
        <v>1222</v>
      </c>
      <c r="F1641" t="s">
        <v>1220</v>
      </c>
      <c r="G1641" t="s">
        <v>1223</v>
      </c>
      <c r="H1641" t="s">
        <v>1224</v>
      </c>
      <c r="I1641" t="s">
        <v>147</v>
      </c>
      <c r="J1641" t="s">
        <v>36</v>
      </c>
      <c r="K1641">
        <v>1390</v>
      </c>
      <c r="O1641" t="s">
        <v>37</v>
      </c>
      <c r="P1641" t="s">
        <v>45</v>
      </c>
      <c r="U1641" s="9" t="s">
        <v>148</v>
      </c>
      <c r="V1641" t="s">
        <v>233</v>
      </c>
      <c r="W1641" t="s">
        <v>138</v>
      </c>
      <c r="X1641" t="s">
        <v>1225</v>
      </c>
      <c r="Y1641" t="s">
        <v>1190</v>
      </c>
      <c r="Z1641" t="s">
        <v>41</v>
      </c>
      <c r="AB1641" t="str">
        <f t="shared" si="75"/>
        <v>46101</v>
      </c>
    </row>
    <row r="1642" ht="14.25" spans="1:28">
      <c r="A1642" s="5" t="s">
        <v>28</v>
      </c>
      <c r="B1642" s="5" t="s">
        <v>697</v>
      </c>
      <c r="C1642" s="5">
        <v>2027</v>
      </c>
      <c r="D1642" s="5" t="s">
        <v>30</v>
      </c>
      <c r="E1642" t="s">
        <v>1222</v>
      </c>
      <c r="F1642" t="s">
        <v>1220</v>
      </c>
      <c r="G1642" t="s">
        <v>1223</v>
      </c>
      <c r="H1642" t="s">
        <v>1224</v>
      </c>
      <c r="I1642" t="s">
        <v>147</v>
      </c>
      <c r="J1642" t="s">
        <v>36</v>
      </c>
      <c r="K1642">
        <v>1390</v>
      </c>
      <c r="O1642" t="s">
        <v>37</v>
      </c>
      <c r="P1642" t="s">
        <v>46</v>
      </c>
      <c r="U1642" s="9" t="s">
        <v>148</v>
      </c>
      <c r="V1642" t="s">
        <v>233</v>
      </c>
      <c r="W1642" t="s">
        <v>138</v>
      </c>
      <c r="X1642" t="s">
        <v>1225</v>
      </c>
      <c r="Y1642" t="s">
        <v>1190</v>
      </c>
      <c r="Z1642" t="s">
        <v>41</v>
      </c>
      <c r="AB1642" t="str">
        <f t="shared" si="75"/>
        <v>46101</v>
      </c>
    </row>
    <row r="1643" ht="14.25" spans="1:28">
      <c r="A1643" s="5" t="s">
        <v>28</v>
      </c>
      <c r="B1643" s="5" t="s">
        <v>697</v>
      </c>
      <c r="C1643" s="5">
        <v>2027</v>
      </c>
      <c r="D1643" s="5" t="s">
        <v>30</v>
      </c>
      <c r="E1643" t="s">
        <v>1226</v>
      </c>
      <c r="F1643" t="s">
        <v>1227</v>
      </c>
      <c r="G1643" t="s">
        <v>1228</v>
      </c>
      <c r="H1643" t="s">
        <v>1229</v>
      </c>
      <c r="I1643" t="s">
        <v>147</v>
      </c>
      <c r="J1643" t="s">
        <v>36</v>
      </c>
      <c r="K1643">
        <v>990</v>
      </c>
      <c r="O1643" t="s">
        <v>37</v>
      </c>
      <c r="P1643" t="s">
        <v>38</v>
      </c>
      <c r="R1643">
        <f t="shared" si="76"/>
        <v>0</v>
      </c>
      <c r="S1643">
        <f>SUMIFS([1]Sheet1!$T:$T,[1]Sheet1!$I:$I,E1643,[1]Sheet1!$C:$C,A1643)</f>
        <v>0</v>
      </c>
      <c r="T1643">
        <f t="shared" si="77"/>
        <v>0</v>
      </c>
      <c r="U1643" s="9" t="s">
        <v>148</v>
      </c>
      <c r="V1643" t="s">
        <v>149</v>
      </c>
      <c r="W1643" t="s">
        <v>138</v>
      </c>
      <c r="X1643" t="s">
        <v>70</v>
      </c>
      <c r="Y1643" t="s">
        <v>1190</v>
      </c>
      <c r="Z1643" t="s">
        <v>41</v>
      </c>
      <c r="AB1643" t="str">
        <f t="shared" si="75"/>
        <v>46104</v>
      </c>
    </row>
    <row r="1644" ht="14.25" spans="1:28">
      <c r="A1644" s="5" t="s">
        <v>28</v>
      </c>
      <c r="B1644" s="5" t="s">
        <v>697</v>
      </c>
      <c r="C1644" s="5">
        <v>2027</v>
      </c>
      <c r="D1644" s="5" t="s">
        <v>30</v>
      </c>
      <c r="E1644" t="s">
        <v>1226</v>
      </c>
      <c r="F1644" t="s">
        <v>1227</v>
      </c>
      <c r="G1644" t="s">
        <v>1228</v>
      </c>
      <c r="H1644" t="s">
        <v>1229</v>
      </c>
      <c r="I1644" t="s">
        <v>147</v>
      </c>
      <c r="J1644" t="s">
        <v>36</v>
      </c>
      <c r="K1644">
        <v>990</v>
      </c>
      <c r="O1644" t="s">
        <v>37</v>
      </c>
      <c r="P1644" t="s">
        <v>42</v>
      </c>
      <c r="U1644" s="9" t="s">
        <v>148</v>
      </c>
      <c r="V1644" t="s">
        <v>149</v>
      </c>
      <c r="W1644" t="s">
        <v>138</v>
      </c>
      <c r="X1644" t="s">
        <v>70</v>
      </c>
      <c r="Y1644" t="s">
        <v>1190</v>
      </c>
      <c r="Z1644" t="s">
        <v>41</v>
      </c>
      <c r="AB1644" t="str">
        <f t="shared" si="75"/>
        <v>46104</v>
      </c>
    </row>
    <row r="1645" ht="14.25" spans="1:28">
      <c r="A1645" s="5" t="s">
        <v>28</v>
      </c>
      <c r="B1645" s="5" t="s">
        <v>697</v>
      </c>
      <c r="C1645" s="5">
        <v>2027</v>
      </c>
      <c r="D1645" s="5" t="s">
        <v>30</v>
      </c>
      <c r="E1645" t="s">
        <v>1226</v>
      </c>
      <c r="F1645" t="s">
        <v>1227</v>
      </c>
      <c r="G1645" t="s">
        <v>1228</v>
      </c>
      <c r="H1645" t="s">
        <v>1229</v>
      </c>
      <c r="I1645" t="s">
        <v>147</v>
      </c>
      <c r="J1645" t="s">
        <v>36</v>
      </c>
      <c r="K1645">
        <v>990</v>
      </c>
      <c r="O1645" t="s">
        <v>37</v>
      </c>
      <c r="P1645" t="s">
        <v>43</v>
      </c>
      <c r="U1645" s="9" t="s">
        <v>148</v>
      </c>
      <c r="V1645" t="s">
        <v>149</v>
      </c>
      <c r="W1645" t="s">
        <v>138</v>
      </c>
      <c r="X1645" t="s">
        <v>70</v>
      </c>
      <c r="Y1645" t="s">
        <v>1190</v>
      </c>
      <c r="Z1645" t="s">
        <v>41</v>
      </c>
      <c r="AB1645" t="str">
        <f t="shared" si="75"/>
        <v>46104</v>
      </c>
    </row>
    <row r="1646" ht="14.25" spans="1:28">
      <c r="A1646" s="5" t="s">
        <v>28</v>
      </c>
      <c r="B1646" s="5" t="s">
        <v>697</v>
      </c>
      <c r="C1646" s="5">
        <v>2027</v>
      </c>
      <c r="D1646" s="5" t="s">
        <v>30</v>
      </c>
      <c r="E1646" t="s">
        <v>1226</v>
      </c>
      <c r="F1646" t="s">
        <v>1227</v>
      </c>
      <c r="G1646" t="s">
        <v>1228</v>
      </c>
      <c r="H1646" t="s">
        <v>1229</v>
      </c>
      <c r="I1646" t="s">
        <v>147</v>
      </c>
      <c r="J1646" t="s">
        <v>36</v>
      </c>
      <c r="K1646">
        <v>990</v>
      </c>
      <c r="O1646" t="s">
        <v>37</v>
      </c>
      <c r="P1646" t="s">
        <v>44</v>
      </c>
      <c r="U1646" s="9" t="s">
        <v>148</v>
      </c>
      <c r="V1646" t="s">
        <v>149</v>
      </c>
      <c r="W1646" t="s">
        <v>138</v>
      </c>
      <c r="X1646" t="s">
        <v>70</v>
      </c>
      <c r="Y1646" t="s">
        <v>1190</v>
      </c>
      <c r="Z1646" t="s">
        <v>41</v>
      </c>
      <c r="AB1646" t="str">
        <f t="shared" si="75"/>
        <v>46104</v>
      </c>
    </row>
    <row r="1647" ht="14.25" spans="1:28">
      <c r="A1647" s="5" t="s">
        <v>28</v>
      </c>
      <c r="B1647" s="5" t="s">
        <v>697</v>
      </c>
      <c r="C1647" s="5">
        <v>2027</v>
      </c>
      <c r="D1647" s="5" t="s">
        <v>30</v>
      </c>
      <c r="E1647" t="s">
        <v>1226</v>
      </c>
      <c r="F1647" t="s">
        <v>1227</v>
      </c>
      <c r="G1647" t="s">
        <v>1228</v>
      </c>
      <c r="H1647" t="s">
        <v>1229</v>
      </c>
      <c r="I1647" t="s">
        <v>147</v>
      </c>
      <c r="J1647" t="s">
        <v>36</v>
      </c>
      <c r="K1647">
        <v>990</v>
      </c>
      <c r="O1647" t="s">
        <v>37</v>
      </c>
      <c r="P1647" t="s">
        <v>45</v>
      </c>
      <c r="U1647" s="9" t="s">
        <v>148</v>
      </c>
      <c r="V1647" t="s">
        <v>149</v>
      </c>
      <c r="W1647" t="s">
        <v>138</v>
      </c>
      <c r="X1647" t="s">
        <v>70</v>
      </c>
      <c r="Y1647" t="s">
        <v>1190</v>
      </c>
      <c r="Z1647" t="s">
        <v>41</v>
      </c>
      <c r="AB1647" t="str">
        <f t="shared" si="75"/>
        <v>46104</v>
      </c>
    </row>
    <row r="1648" ht="14.25" spans="1:28">
      <c r="A1648" s="5" t="s">
        <v>28</v>
      </c>
      <c r="B1648" s="5" t="s">
        <v>697</v>
      </c>
      <c r="C1648" s="5">
        <v>2027</v>
      </c>
      <c r="D1648" s="5" t="s">
        <v>30</v>
      </c>
      <c r="E1648" t="s">
        <v>1226</v>
      </c>
      <c r="F1648" t="s">
        <v>1227</v>
      </c>
      <c r="G1648" t="s">
        <v>1228</v>
      </c>
      <c r="H1648" t="s">
        <v>1229</v>
      </c>
      <c r="I1648" t="s">
        <v>147</v>
      </c>
      <c r="J1648" t="s">
        <v>36</v>
      </c>
      <c r="K1648">
        <v>990</v>
      </c>
      <c r="O1648" t="s">
        <v>37</v>
      </c>
      <c r="P1648" t="s">
        <v>46</v>
      </c>
      <c r="U1648" s="9" t="s">
        <v>148</v>
      </c>
      <c r="V1648" t="s">
        <v>149</v>
      </c>
      <c r="W1648" t="s">
        <v>138</v>
      </c>
      <c r="X1648" t="s">
        <v>70</v>
      </c>
      <c r="Y1648" t="s">
        <v>1190</v>
      </c>
      <c r="Z1648" t="s">
        <v>41</v>
      </c>
      <c r="AB1648" t="str">
        <f t="shared" si="75"/>
        <v>46104</v>
      </c>
    </row>
    <row r="1649" ht="14.25" spans="1:28">
      <c r="A1649" s="5" t="s">
        <v>28</v>
      </c>
      <c r="B1649" s="5" t="s">
        <v>697</v>
      </c>
      <c r="C1649" s="5">
        <v>2027</v>
      </c>
      <c r="D1649" s="5" t="s">
        <v>30</v>
      </c>
      <c r="E1649" t="s">
        <v>1230</v>
      </c>
      <c r="F1649" t="s">
        <v>1227</v>
      </c>
      <c r="G1649" t="s">
        <v>1231</v>
      </c>
      <c r="H1649" t="s">
        <v>1232</v>
      </c>
      <c r="I1649" t="s">
        <v>147</v>
      </c>
      <c r="J1649" t="s">
        <v>36</v>
      </c>
      <c r="K1649">
        <v>990</v>
      </c>
      <c r="O1649" t="s">
        <v>37</v>
      </c>
      <c r="P1649" t="s">
        <v>38</v>
      </c>
      <c r="R1649">
        <f t="shared" si="76"/>
        <v>0</v>
      </c>
      <c r="S1649">
        <f>SUMIFS([1]Sheet1!$T:$T,[1]Sheet1!$I:$I,E1649,[1]Sheet1!$C:$C,A1649)</f>
        <v>0</v>
      </c>
      <c r="T1649">
        <f t="shared" si="77"/>
        <v>0</v>
      </c>
      <c r="U1649" s="9" t="s">
        <v>148</v>
      </c>
      <c r="V1649" t="s">
        <v>149</v>
      </c>
      <c r="W1649" t="s">
        <v>138</v>
      </c>
      <c r="X1649" t="s">
        <v>39</v>
      </c>
      <c r="Y1649" t="s">
        <v>1190</v>
      </c>
      <c r="Z1649" t="s">
        <v>41</v>
      </c>
      <c r="AB1649" t="str">
        <f t="shared" si="75"/>
        <v>46104</v>
      </c>
    </row>
    <row r="1650" ht="14.25" spans="1:28">
      <c r="A1650" s="5" t="s">
        <v>28</v>
      </c>
      <c r="B1650" s="5" t="s">
        <v>697</v>
      </c>
      <c r="C1650" s="5">
        <v>2027</v>
      </c>
      <c r="D1650" s="5" t="s">
        <v>30</v>
      </c>
      <c r="E1650" t="s">
        <v>1230</v>
      </c>
      <c r="F1650" t="s">
        <v>1227</v>
      </c>
      <c r="G1650" t="s">
        <v>1231</v>
      </c>
      <c r="H1650" t="s">
        <v>1232</v>
      </c>
      <c r="I1650" t="s">
        <v>147</v>
      </c>
      <c r="J1650" t="s">
        <v>36</v>
      </c>
      <c r="K1650">
        <v>990</v>
      </c>
      <c r="O1650" t="s">
        <v>37</v>
      </c>
      <c r="P1650" t="s">
        <v>42</v>
      </c>
      <c r="U1650" s="9" t="s">
        <v>148</v>
      </c>
      <c r="V1650" t="s">
        <v>149</v>
      </c>
      <c r="W1650" t="s">
        <v>138</v>
      </c>
      <c r="X1650" t="s">
        <v>39</v>
      </c>
      <c r="Y1650" t="s">
        <v>1190</v>
      </c>
      <c r="Z1650" t="s">
        <v>41</v>
      </c>
      <c r="AB1650" t="str">
        <f t="shared" si="75"/>
        <v>46104</v>
      </c>
    </row>
    <row r="1651" ht="14.25" spans="1:28">
      <c r="A1651" s="5" t="s">
        <v>28</v>
      </c>
      <c r="B1651" s="5" t="s">
        <v>697</v>
      </c>
      <c r="C1651" s="5">
        <v>2027</v>
      </c>
      <c r="D1651" s="5" t="s">
        <v>30</v>
      </c>
      <c r="E1651" t="s">
        <v>1230</v>
      </c>
      <c r="F1651" t="s">
        <v>1227</v>
      </c>
      <c r="G1651" t="s">
        <v>1231</v>
      </c>
      <c r="H1651" t="s">
        <v>1232</v>
      </c>
      <c r="I1651" t="s">
        <v>147</v>
      </c>
      <c r="J1651" t="s">
        <v>36</v>
      </c>
      <c r="K1651">
        <v>990</v>
      </c>
      <c r="O1651" t="s">
        <v>37</v>
      </c>
      <c r="P1651" t="s">
        <v>43</v>
      </c>
      <c r="U1651" s="9" t="s">
        <v>148</v>
      </c>
      <c r="V1651" t="s">
        <v>149</v>
      </c>
      <c r="W1651" t="s">
        <v>138</v>
      </c>
      <c r="X1651" t="s">
        <v>39</v>
      </c>
      <c r="Y1651" t="s">
        <v>1190</v>
      </c>
      <c r="Z1651" t="s">
        <v>41</v>
      </c>
      <c r="AB1651" t="str">
        <f t="shared" ref="AB1651:AB1714" si="78">MID(E1651,6,5)</f>
        <v>46104</v>
      </c>
    </row>
    <row r="1652" ht="14.25" spans="1:28">
      <c r="A1652" s="5" t="s">
        <v>28</v>
      </c>
      <c r="B1652" s="5" t="s">
        <v>697</v>
      </c>
      <c r="C1652" s="5">
        <v>2027</v>
      </c>
      <c r="D1652" s="5" t="s">
        <v>30</v>
      </c>
      <c r="E1652" t="s">
        <v>1230</v>
      </c>
      <c r="F1652" t="s">
        <v>1227</v>
      </c>
      <c r="G1652" t="s">
        <v>1231</v>
      </c>
      <c r="H1652" t="s">
        <v>1232</v>
      </c>
      <c r="I1652" t="s">
        <v>147</v>
      </c>
      <c r="J1652" t="s">
        <v>36</v>
      </c>
      <c r="K1652">
        <v>990</v>
      </c>
      <c r="O1652" t="s">
        <v>37</v>
      </c>
      <c r="P1652" t="s">
        <v>44</v>
      </c>
      <c r="U1652" s="9" t="s">
        <v>148</v>
      </c>
      <c r="V1652" t="s">
        <v>149</v>
      </c>
      <c r="W1652" t="s">
        <v>138</v>
      </c>
      <c r="X1652" t="s">
        <v>39</v>
      </c>
      <c r="Y1652" t="s">
        <v>1190</v>
      </c>
      <c r="Z1652" t="s">
        <v>41</v>
      </c>
      <c r="AB1652" t="str">
        <f t="shared" si="78"/>
        <v>46104</v>
      </c>
    </row>
    <row r="1653" ht="14.25" spans="1:28">
      <c r="A1653" s="5" t="s">
        <v>28</v>
      </c>
      <c r="B1653" s="5" t="s">
        <v>697</v>
      </c>
      <c r="C1653" s="5">
        <v>2027</v>
      </c>
      <c r="D1653" s="5" t="s">
        <v>30</v>
      </c>
      <c r="E1653" t="s">
        <v>1230</v>
      </c>
      <c r="F1653" t="s">
        <v>1227</v>
      </c>
      <c r="G1653" t="s">
        <v>1231</v>
      </c>
      <c r="H1653" t="s">
        <v>1232</v>
      </c>
      <c r="I1653" t="s">
        <v>147</v>
      </c>
      <c r="J1653" t="s">
        <v>36</v>
      </c>
      <c r="K1653">
        <v>990</v>
      </c>
      <c r="O1653" t="s">
        <v>37</v>
      </c>
      <c r="P1653" t="s">
        <v>45</v>
      </c>
      <c r="U1653" s="9" t="s">
        <v>148</v>
      </c>
      <c r="V1653" t="s">
        <v>149</v>
      </c>
      <c r="W1653" t="s">
        <v>138</v>
      </c>
      <c r="X1653" t="s">
        <v>39</v>
      </c>
      <c r="Y1653" t="s">
        <v>1190</v>
      </c>
      <c r="Z1653" t="s">
        <v>41</v>
      </c>
      <c r="AB1653" t="str">
        <f t="shared" si="78"/>
        <v>46104</v>
      </c>
    </row>
    <row r="1654" ht="14.25" spans="1:28">
      <c r="A1654" s="5" t="s">
        <v>28</v>
      </c>
      <c r="B1654" s="5" t="s">
        <v>697</v>
      </c>
      <c r="C1654" s="5">
        <v>2027</v>
      </c>
      <c r="D1654" s="5" t="s">
        <v>30</v>
      </c>
      <c r="E1654" t="s">
        <v>1230</v>
      </c>
      <c r="F1654" t="s">
        <v>1227</v>
      </c>
      <c r="G1654" t="s">
        <v>1231</v>
      </c>
      <c r="H1654" t="s">
        <v>1232</v>
      </c>
      <c r="I1654" t="s">
        <v>147</v>
      </c>
      <c r="J1654" t="s">
        <v>36</v>
      </c>
      <c r="K1654">
        <v>990</v>
      </c>
      <c r="O1654" t="s">
        <v>37</v>
      </c>
      <c r="P1654" t="s">
        <v>46</v>
      </c>
      <c r="U1654" s="9" t="s">
        <v>148</v>
      </c>
      <c r="V1654" t="s">
        <v>149</v>
      </c>
      <c r="W1654" t="s">
        <v>138</v>
      </c>
      <c r="X1654" t="s">
        <v>39</v>
      </c>
      <c r="Y1654" t="s">
        <v>1190</v>
      </c>
      <c r="Z1654" t="s">
        <v>41</v>
      </c>
      <c r="AB1654" t="str">
        <f t="shared" si="78"/>
        <v>46104</v>
      </c>
    </row>
    <row r="1655" ht="14.25" spans="1:28">
      <c r="A1655" s="5" t="s">
        <v>28</v>
      </c>
      <c r="B1655" s="5" t="s">
        <v>697</v>
      </c>
      <c r="C1655" s="5">
        <v>2027</v>
      </c>
      <c r="D1655" s="5" t="s">
        <v>30</v>
      </c>
      <c r="E1655" t="s">
        <v>1233</v>
      </c>
      <c r="F1655" t="s">
        <v>1227</v>
      </c>
      <c r="G1655" t="s">
        <v>1234</v>
      </c>
      <c r="H1655" t="s">
        <v>1235</v>
      </c>
      <c r="I1655" t="s">
        <v>147</v>
      </c>
      <c r="J1655" t="s">
        <v>36</v>
      </c>
      <c r="K1655">
        <v>990</v>
      </c>
      <c r="O1655" t="s">
        <v>37</v>
      </c>
      <c r="P1655" t="s">
        <v>38</v>
      </c>
      <c r="R1655">
        <f t="shared" si="76"/>
        <v>0</v>
      </c>
      <c r="S1655">
        <f>SUMIFS([1]Sheet1!$T:$T,[1]Sheet1!$I:$I,E1655,[1]Sheet1!$C:$C,A1655)</f>
        <v>0</v>
      </c>
      <c r="T1655">
        <f t="shared" si="77"/>
        <v>0</v>
      </c>
      <c r="U1655" s="9" t="s">
        <v>148</v>
      </c>
      <c r="V1655" t="s">
        <v>149</v>
      </c>
      <c r="W1655" t="s">
        <v>138</v>
      </c>
      <c r="X1655" t="s">
        <v>39</v>
      </c>
      <c r="Y1655" t="s">
        <v>1190</v>
      </c>
      <c r="Z1655" t="s">
        <v>41</v>
      </c>
      <c r="AB1655" t="str">
        <f t="shared" si="78"/>
        <v>46104</v>
      </c>
    </row>
    <row r="1656" ht="14.25" spans="1:28">
      <c r="A1656" s="5" t="s">
        <v>28</v>
      </c>
      <c r="B1656" s="5" t="s">
        <v>697</v>
      </c>
      <c r="C1656" s="5">
        <v>2027</v>
      </c>
      <c r="D1656" s="5" t="s">
        <v>30</v>
      </c>
      <c r="E1656" t="s">
        <v>1233</v>
      </c>
      <c r="F1656" t="s">
        <v>1227</v>
      </c>
      <c r="G1656" t="s">
        <v>1234</v>
      </c>
      <c r="H1656" t="s">
        <v>1235</v>
      </c>
      <c r="I1656" t="s">
        <v>147</v>
      </c>
      <c r="J1656" t="s">
        <v>36</v>
      </c>
      <c r="K1656">
        <v>990</v>
      </c>
      <c r="O1656" t="s">
        <v>37</v>
      </c>
      <c r="P1656" t="s">
        <v>42</v>
      </c>
      <c r="U1656" s="9" t="s">
        <v>148</v>
      </c>
      <c r="V1656" t="s">
        <v>149</v>
      </c>
      <c r="W1656" t="s">
        <v>138</v>
      </c>
      <c r="X1656" t="s">
        <v>39</v>
      </c>
      <c r="Y1656" t="s">
        <v>1190</v>
      </c>
      <c r="Z1656" t="s">
        <v>41</v>
      </c>
      <c r="AB1656" t="str">
        <f t="shared" si="78"/>
        <v>46104</v>
      </c>
    </row>
    <row r="1657" ht="14.25" spans="1:28">
      <c r="A1657" s="5" t="s">
        <v>28</v>
      </c>
      <c r="B1657" s="5" t="s">
        <v>697</v>
      </c>
      <c r="C1657" s="5">
        <v>2027</v>
      </c>
      <c r="D1657" s="5" t="s">
        <v>30</v>
      </c>
      <c r="E1657" t="s">
        <v>1233</v>
      </c>
      <c r="F1657" t="s">
        <v>1227</v>
      </c>
      <c r="G1657" t="s">
        <v>1234</v>
      </c>
      <c r="H1657" t="s">
        <v>1235</v>
      </c>
      <c r="I1657" t="s">
        <v>147</v>
      </c>
      <c r="J1657" t="s">
        <v>36</v>
      </c>
      <c r="K1657">
        <v>990</v>
      </c>
      <c r="O1657" t="s">
        <v>37</v>
      </c>
      <c r="P1657" t="s">
        <v>43</v>
      </c>
      <c r="U1657" s="9" t="s">
        <v>148</v>
      </c>
      <c r="V1657" t="s">
        <v>149</v>
      </c>
      <c r="W1657" t="s">
        <v>138</v>
      </c>
      <c r="X1657" t="s">
        <v>39</v>
      </c>
      <c r="Y1657" t="s">
        <v>1190</v>
      </c>
      <c r="Z1657" t="s">
        <v>41</v>
      </c>
      <c r="AB1657" t="str">
        <f t="shared" si="78"/>
        <v>46104</v>
      </c>
    </row>
    <row r="1658" ht="14.25" spans="1:28">
      <c r="A1658" s="5" t="s">
        <v>28</v>
      </c>
      <c r="B1658" s="5" t="s">
        <v>697</v>
      </c>
      <c r="C1658" s="5">
        <v>2027</v>
      </c>
      <c r="D1658" s="5" t="s">
        <v>30</v>
      </c>
      <c r="E1658" t="s">
        <v>1233</v>
      </c>
      <c r="F1658" t="s">
        <v>1227</v>
      </c>
      <c r="G1658" t="s">
        <v>1234</v>
      </c>
      <c r="H1658" t="s">
        <v>1235</v>
      </c>
      <c r="I1658" t="s">
        <v>147</v>
      </c>
      <c r="J1658" t="s">
        <v>36</v>
      </c>
      <c r="K1658">
        <v>990</v>
      </c>
      <c r="O1658" t="s">
        <v>37</v>
      </c>
      <c r="P1658" t="s">
        <v>44</v>
      </c>
      <c r="U1658" s="9" t="s">
        <v>148</v>
      </c>
      <c r="V1658" t="s">
        <v>149</v>
      </c>
      <c r="W1658" t="s">
        <v>138</v>
      </c>
      <c r="X1658" t="s">
        <v>39</v>
      </c>
      <c r="Y1658" t="s">
        <v>1190</v>
      </c>
      <c r="Z1658" t="s">
        <v>41</v>
      </c>
      <c r="AB1658" t="str">
        <f t="shared" si="78"/>
        <v>46104</v>
      </c>
    </row>
    <row r="1659" ht="14.25" spans="1:28">
      <c r="A1659" s="5" t="s">
        <v>28</v>
      </c>
      <c r="B1659" s="5" t="s">
        <v>697</v>
      </c>
      <c r="C1659" s="5">
        <v>2027</v>
      </c>
      <c r="D1659" s="5" t="s">
        <v>30</v>
      </c>
      <c r="E1659" t="s">
        <v>1233</v>
      </c>
      <c r="F1659" t="s">
        <v>1227</v>
      </c>
      <c r="G1659" t="s">
        <v>1234</v>
      </c>
      <c r="H1659" t="s">
        <v>1235</v>
      </c>
      <c r="I1659" t="s">
        <v>147</v>
      </c>
      <c r="J1659" t="s">
        <v>36</v>
      </c>
      <c r="K1659">
        <v>990</v>
      </c>
      <c r="O1659" t="s">
        <v>37</v>
      </c>
      <c r="P1659" t="s">
        <v>45</v>
      </c>
      <c r="U1659" s="9" t="s">
        <v>148</v>
      </c>
      <c r="V1659" t="s">
        <v>149</v>
      </c>
      <c r="W1659" t="s">
        <v>138</v>
      </c>
      <c r="X1659" t="s">
        <v>39</v>
      </c>
      <c r="Y1659" t="s">
        <v>1190</v>
      </c>
      <c r="Z1659" t="s">
        <v>41</v>
      </c>
      <c r="AB1659" t="str">
        <f t="shared" si="78"/>
        <v>46104</v>
      </c>
    </row>
    <row r="1660" ht="14.25" spans="1:28">
      <c r="A1660" s="5" t="s">
        <v>28</v>
      </c>
      <c r="B1660" s="5" t="s">
        <v>697</v>
      </c>
      <c r="C1660" s="5">
        <v>2027</v>
      </c>
      <c r="D1660" s="5" t="s">
        <v>30</v>
      </c>
      <c r="E1660" t="s">
        <v>1233</v>
      </c>
      <c r="F1660" t="s">
        <v>1227</v>
      </c>
      <c r="G1660" t="s">
        <v>1234</v>
      </c>
      <c r="H1660" t="s">
        <v>1235</v>
      </c>
      <c r="I1660" t="s">
        <v>147</v>
      </c>
      <c r="J1660" t="s">
        <v>36</v>
      </c>
      <c r="K1660">
        <v>990</v>
      </c>
      <c r="O1660" t="s">
        <v>37</v>
      </c>
      <c r="P1660" t="s">
        <v>46</v>
      </c>
      <c r="U1660" s="9" t="s">
        <v>148</v>
      </c>
      <c r="V1660" t="s">
        <v>149</v>
      </c>
      <c r="W1660" t="s">
        <v>138</v>
      </c>
      <c r="X1660" t="s">
        <v>39</v>
      </c>
      <c r="Y1660" t="s">
        <v>1190</v>
      </c>
      <c r="Z1660" t="s">
        <v>41</v>
      </c>
      <c r="AB1660" t="str">
        <f t="shared" si="78"/>
        <v>46104</v>
      </c>
    </row>
    <row r="1661" ht="14.25" spans="1:28">
      <c r="A1661" s="5" t="s">
        <v>28</v>
      </c>
      <c r="B1661" s="5" t="s">
        <v>697</v>
      </c>
      <c r="C1661" s="5">
        <v>2027</v>
      </c>
      <c r="D1661" s="5" t="s">
        <v>30</v>
      </c>
      <c r="E1661" t="s">
        <v>1236</v>
      </c>
      <c r="F1661" t="s">
        <v>1227</v>
      </c>
      <c r="G1661" t="s">
        <v>1237</v>
      </c>
      <c r="H1661" t="s">
        <v>1238</v>
      </c>
      <c r="I1661" t="s">
        <v>147</v>
      </c>
      <c r="J1661" t="s">
        <v>36</v>
      </c>
      <c r="K1661">
        <v>990</v>
      </c>
      <c r="O1661" t="s">
        <v>37</v>
      </c>
      <c r="P1661" t="s">
        <v>38</v>
      </c>
      <c r="R1661">
        <f t="shared" si="76"/>
        <v>0</v>
      </c>
      <c r="S1661">
        <f>SUMIFS([1]Sheet1!$T:$T,[1]Sheet1!$I:$I,E1661,[1]Sheet1!$C:$C,A1661)</f>
        <v>0</v>
      </c>
      <c r="T1661">
        <f t="shared" si="77"/>
        <v>0</v>
      </c>
      <c r="U1661" s="9" t="s">
        <v>148</v>
      </c>
      <c r="V1661" t="s">
        <v>149</v>
      </c>
      <c r="W1661" t="s">
        <v>138</v>
      </c>
      <c r="X1661" t="s">
        <v>1239</v>
      </c>
      <c r="Y1661" t="s">
        <v>1190</v>
      </c>
      <c r="Z1661" t="s">
        <v>41</v>
      </c>
      <c r="AB1661" t="str">
        <f t="shared" si="78"/>
        <v>46104</v>
      </c>
    </row>
    <row r="1662" ht="14.25" spans="1:28">
      <c r="A1662" s="5" t="s">
        <v>28</v>
      </c>
      <c r="B1662" s="5" t="s">
        <v>697</v>
      </c>
      <c r="C1662" s="5">
        <v>2027</v>
      </c>
      <c r="D1662" s="5" t="s">
        <v>30</v>
      </c>
      <c r="E1662" t="s">
        <v>1236</v>
      </c>
      <c r="F1662" t="s">
        <v>1227</v>
      </c>
      <c r="G1662" t="s">
        <v>1237</v>
      </c>
      <c r="H1662" t="s">
        <v>1238</v>
      </c>
      <c r="I1662" t="s">
        <v>147</v>
      </c>
      <c r="J1662" t="s">
        <v>36</v>
      </c>
      <c r="K1662">
        <v>990</v>
      </c>
      <c r="O1662" t="s">
        <v>37</v>
      </c>
      <c r="P1662" t="s">
        <v>42</v>
      </c>
      <c r="U1662" s="9" t="s">
        <v>148</v>
      </c>
      <c r="V1662" t="s">
        <v>149</v>
      </c>
      <c r="W1662" t="s">
        <v>138</v>
      </c>
      <c r="X1662" t="s">
        <v>1239</v>
      </c>
      <c r="Y1662" t="s">
        <v>1190</v>
      </c>
      <c r="Z1662" t="s">
        <v>41</v>
      </c>
      <c r="AB1662" t="str">
        <f t="shared" si="78"/>
        <v>46104</v>
      </c>
    </row>
    <row r="1663" ht="14.25" spans="1:28">
      <c r="A1663" s="5" t="s">
        <v>28</v>
      </c>
      <c r="B1663" s="5" t="s">
        <v>697</v>
      </c>
      <c r="C1663" s="5">
        <v>2027</v>
      </c>
      <c r="D1663" s="5" t="s">
        <v>30</v>
      </c>
      <c r="E1663" t="s">
        <v>1236</v>
      </c>
      <c r="F1663" t="s">
        <v>1227</v>
      </c>
      <c r="G1663" t="s">
        <v>1237</v>
      </c>
      <c r="H1663" t="s">
        <v>1238</v>
      </c>
      <c r="I1663" t="s">
        <v>147</v>
      </c>
      <c r="J1663" t="s">
        <v>36</v>
      </c>
      <c r="K1663">
        <v>990</v>
      </c>
      <c r="O1663" t="s">
        <v>37</v>
      </c>
      <c r="P1663" t="s">
        <v>43</v>
      </c>
      <c r="U1663" s="9" t="s">
        <v>148</v>
      </c>
      <c r="V1663" t="s">
        <v>149</v>
      </c>
      <c r="W1663" t="s">
        <v>138</v>
      </c>
      <c r="X1663" t="s">
        <v>1239</v>
      </c>
      <c r="Y1663" t="s">
        <v>1190</v>
      </c>
      <c r="Z1663" t="s">
        <v>41</v>
      </c>
      <c r="AB1663" t="str">
        <f t="shared" si="78"/>
        <v>46104</v>
      </c>
    </row>
    <row r="1664" ht="14.25" spans="1:28">
      <c r="A1664" s="5" t="s">
        <v>28</v>
      </c>
      <c r="B1664" s="5" t="s">
        <v>697</v>
      </c>
      <c r="C1664" s="5">
        <v>2027</v>
      </c>
      <c r="D1664" s="5" t="s">
        <v>30</v>
      </c>
      <c r="E1664" t="s">
        <v>1236</v>
      </c>
      <c r="F1664" t="s">
        <v>1227</v>
      </c>
      <c r="G1664" t="s">
        <v>1237</v>
      </c>
      <c r="H1664" t="s">
        <v>1238</v>
      </c>
      <c r="I1664" t="s">
        <v>147</v>
      </c>
      <c r="J1664" t="s">
        <v>36</v>
      </c>
      <c r="K1664">
        <v>990</v>
      </c>
      <c r="O1664" t="s">
        <v>37</v>
      </c>
      <c r="P1664" t="s">
        <v>44</v>
      </c>
      <c r="U1664" s="9" t="s">
        <v>148</v>
      </c>
      <c r="V1664" t="s">
        <v>149</v>
      </c>
      <c r="W1664" t="s">
        <v>138</v>
      </c>
      <c r="X1664" t="s">
        <v>1239</v>
      </c>
      <c r="Y1664" t="s">
        <v>1190</v>
      </c>
      <c r="Z1664" t="s">
        <v>41</v>
      </c>
      <c r="AB1664" t="str">
        <f t="shared" si="78"/>
        <v>46104</v>
      </c>
    </row>
    <row r="1665" ht="14.25" spans="1:28">
      <c r="A1665" s="5" t="s">
        <v>28</v>
      </c>
      <c r="B1665" s="5" t="s">
        <v>697</v>
      </c>
      <c r="C1665" s="5">
        <v>2027</v>
      </c>
      <c r="D1665" s="5" t="s">
        <v>30</v>
      </c>
      <c r="E1665" t="s">
        <v>1236</v>
      </c>
      <c r="F1665" t="s">
        <v>1227</v>
      </c>
      <c r="G1665" t="s">
        <v>1237</v>
      </c>
      <c r="H1665" t="s">
        <v>1238</v>
      </c>
      <c r="I1665" t="s">
        <v>147</v>
      </c>
      <c r="J1665" t="s">
        <v>36</v>
      </c>
      <c r="K1665">
        <v>990</v>
      </c>
      <c r="O1665" t="s">
        <v>37</v>
      </c>
      <c r="P1665" t="s">
        <v>45</v>
      </c>
      <c r="U1665" s="9" t="s">
        <v>148</v>
      </c>
      <c r="V1665" t="s">
        <v>149</v>
      </c>
      <c r="W1665" t="s">
        <v>138</v>
      </c>
      <c r="X1665" t="s">
        <v>1239</v>
      </c>
      <c r="Y1665" t="s">
        <v>1190</v>
      </c>
      <c r="Z1665" t="s">
        <v>41</v>
      </c>
      <c r="AB1665" t="str">
        <f t="shared" si="78"/>
        <v>46104</v>
      </c>
    </row>
    <row r="1666" ht="14.25" spans="1:28">
      <c r="A1666" s="5" t="s">
        <v>28</v>
      </c>
      <c r="B1666" s="5" t="s">
        <v>697</v>
      </c>
      <c r="C1666" s="5">
        <v>2027</v>
      </c>
      <c r="D1666" s="5" t="s">
        <v>30</v>
      </c>
      <c r="E1666" t="s">
        <v>1236</v>
      </c>
      <c r="F1666" t="s">
        <v>1227</v>
      </c>
      <c r="G1666" t="s">
        <v>1237</v>
      </c>
      <c r="H1666" t="s">
        <v>1238</v>
      </c>
      <c r="I1666" t="s">
        <v>147</v>
      </c>
      <c r="J1666" t="s">
        <v>36</v>
      </c>
      <c r="K1666">
        <v>990</v>
      </c>
      <c r="O1666" t="s">
        <v>37</v>
      </c>
      <c r="P1666" t="s">
        <v>46</v>
      </c>
      <c r="U1666" s="9" t="s">
        <v>148</v>
      </c>
      <c r="V1666" t="s">
        <v>149</v>
      </c>
      <c r="W1666" t="s">
        <v>138</v>
      </c>
      <c r="X1666" t="s">
        <v>1239</v>
      </c>
      <c r="Y1666" t="s">
        <v>1190</v>
      </c>
      <c r="Z1666" t="s">
        <v>41</v>
      </c>
      <c r="AB1666" t="str">
        <f t="shared" si="78"/>
        <v>46104</v>
      </c>
    </row>
    <row r="1667" ht="14.25" spans="1:28">
      <c r="A1667" s="5" t="s">
        <v>28</v>
      </c>
      <c r="B1667" s="5" t="s">
        <v>697</v>
      </c>
      <c r="C1667" s="5">
        <v>2027</v>
      </c>
      <c r="D1667" s="5" t="s">
        <v>30</v>
      </c>
      <c r="E1667" t="s">
        <v>1240</v>
      </c>
      <c r="F1667" t="s">
        <v>1241</v>
      </c>
      <c r="G1667" t="s">
        <v>153</v>
      </c>
      <c r="H1667" t="s">
        <v>1242</v>
      </c>
      <c r="I1667" t="s">
        <v>119</v>
      </c>
      <c r="J1667" t="s">
        <v>36</v>
      </c>
      <c r="K1667">
        <v>1390</v>
      </c>
      <c r="O1667" t="s">
        <v>37</v>
      </c>
      <c r="P1667" t="s">
        <v>38</v>
      </c>
      <c r="R1667">
        <f t="shared" ref="R1666:R1729" si="79">SUMIFS(Q:Q,E:E,E1667)</f>
        <v>0</v>
      </c>
      <c r="S1667">
        <f>SUMIFS([1]Sheet1!$T:$T,[1]Sheet1!$I:$I,E1667,[1]Sheet1!$C:$C,A1667)</f>
        <v>20</v>
      </c>
      <c r="T1667">
        <f t="shared" ref="T1666:T1729" si="80">R1667-S1667</f>
        <v>-20</v>
      </c>
      <c r="U1667" s="9" t="s">
        <v>148</v>
      </c>
      <c r="V1667" t="s">
        <v>149</v>
      </c>
      <c r="W1667" t="s">
        <v>138</v>
      </c>
      <c r="X1667" t="s">
        <v>39</v>
      </c>
      <c r="Y1667" t="s">
        <v>40</v>
      </c>
      <c r="Z1667" t="s">
        <v>41</v>
      </c>
      <c r="AB1667" t="str">
        <f t="shared" si="78"/>
        <v>46113</v>
      </c>
    </row>
    <row r="1668" ht="14.25" spans="1:28">
      <c r="A1668" s="5" t="s">
        <v>28</v>
      </c>
      <c r="B1668" s="5" t="s">
        <v>697</v>
      </c>
      <c r="C1668" s="5">
        <v>2027</v>
      </c>
      <c r="D1668" s="5" t="s">
        <v>30</v>
      </c>
      <c r="E1668" t="s">
        <v>1240</v>
      </c>
      <c r="F1668" t="s">
        <v>1241</v>
      </c>
      <c r="G1668" t="s">
        <v>153</v>
      </c>
      <c r="H1668" t="s">
        <v>1242</v>
      </c>
      <c r="I1668" t="s">
        <v>119</v>
      </c>
      <c r="J1668" t="s">
        <v>36</v>
      </c>
      <c r="K1668">
        <v>1390</v>
      </c>
      <c r="O1668" t="s">
        <v>37</v>
      </c>
      <c r="P1668" t="s">
        <v>42</v>
      </c>
      <c r="U1668" s="9" t="s">
        <v>148</v>
      </c>
      <c r="V1668" t="s">
        <v>149</v>
      </c>
      <c r="W1668" t="s">
        <v>138</v>
      </c>
      <c r="X1668" t="s">
        <v>39</v>
      </c>
      <c r="Y1668" t="s">
        <v>40</v>
      </c>
      <c r="Z1668" t="s">
        <v>41</v>
      </c>
      <c r="AB1668" t="str">
        <f t="shared" si="78"/>
        <v>46113</v>
      </c>
    </row>
    <row r="1669" ht="14.25" spans="1:28">
      <c r="A1669" s="5" t="s">
        <v>28</v>
      </c>
      <c r="B1669" s="5" t="s">
        <v>697</v>
      </c>
      <c r="C1669" s="5">
        <v>2027</v>
      </c>
      <c r="D1669" s="5" t="s">
        <v>30</v>
      </c>
      <c r="E1669" t="s">
        <v>1240</v>
      </c>
      <c r="F1669" t="s">
        <v>1241</v>
      </c>
      <c r="G1669" t="s">
        <v>153</v>
      </c>
      <c r="H1669" t="s">
        <v>1242</v>
      </c>
      <c r="I1669" t="s">
        <v>119</v>
      </c>
      <c r="J1669" t="s">
        <v>36</v>
      </c>
      <c r="K1669">
        <v>1390</v>
      </c>
      <c r="O1669" t="s">
        <v>37</v>
      </c>
      <c r="P1669" t="s">
        <v>43</v>
      </c>
      <c r="U1669" s="9" t="s">
        <v>148</v>
      </c>
      <c r="V1669" t="s">
        <v>149</v>
      </c>
      <c r="W1669" t="s">
        <v>138</v>
      </c>
      <c r="X1669" t="s">
        <v>39</v>
      </c>
      <c r="Y1669" t="s">
        <v>40</v>
      </c>
      <c r="Z1669" t="s">
        <v>41</v>
      </c>
      <c r="AB1669" t="str">
        <f t="shared" si="78"/>
        <v>46113</v>
      </c>
    </row>
    <row r="1670" ht="14.25" spans="1:28">
      <c r="A1670" s="5" t="s">
        <v>28</v>
      </c>
      <c r="B1670" s="5" t="s">
        <v>697</v>
      </c>
      <c r="C1670" s="5">
        <v>2027</v>
      </c>
      <c r="D1670" s="5" t="s">
        <v>30</v>
      </c>
      <c r="E1670" t="s">
        <v>1240</v>
      </c>
      <c r="F1670" t="s">
        <v>1241</v>
      </c>
      <c r="G1670" t="s">
        <v>153</v>
      </c>
      <c r="H1670" t="s">
        <v>1242</v>
      </c>
      <c r="I1670" t="s">
        <v>119</v>
      </c>
      <c r="J1670" t="s">
        <v>36</v>
      </c>
      <c r="K1670">
        <v>1390</v>
      </c>
      <c r="O1670" t="s">
        <v>37</v>
      </c>
      <c r="P1670" t="s">
        <v>44</v>
      </c>
      <c r="U1670" s="9" t="s">
        <v>148</v>
      </c>
      <c r="V1670" t="s">
        <v>149</v>
      </c>
      <c r="W1670" t="s">
        <v>138</v>
      </c>
      <c r="X1670" t="s">
        <v>39</v>
      </c>
      <c r="Y1670" t="s">
        <v>40</v>
      </c>
      <c r="Z1670" t="s">
        <v>41</v>
      </c>
      <c r="AB1670" t="str">
        <f t="shared" si="78"/>
        <v>46113</v>
      </c>
    </row>
    <row r="1671" ht="14.25" spans="1:28">
      <c r="A1671" s="5" t="s">
        <v>28</v>
      </c>
      <c r="B1671" s="5" t="s">
        <v>697</v>
      </c>
      <c r="C1671" s="5">
        <v>2027</v>
      </c>
      <c r="D1671" s="5" t="s">
        <v>30</v>
      </c>
      <c r="E1671" t="s">
        <v>1240</v>
      </c>
      <c r="F1671" t="s">
        <v>1241</v>
      </c>
      <c r="G1671" t="s">
        <v>153</v>
      </c>
      <c r="H1671" t="s">
        <v>1242</v>
      </c>
      <c r="I1671" t="s">
        <v>119</v>
      </c>
      <c r="J1671" t="s">
        <v>36</v>
      </c>
      <c r="K1671">
        <v>1390</v>
      </c>
      <c r="O1671" t="s">
        <v>37</v>
      </c>
      <c r="P1671" t="s">
        <v>45</v>
      </c>
      <c r="U1671" s="9" t="s">
        <v>148</v>
      </c>
      <c r="V1671" t="s">
        <v>149</v>
      </c>
      <c r="W1671" t="s">
        <v>138</v>
      </c>
      <c r="X1671" t="s">
        <v>39</v>
      </c>
      <c r="Y1671" t="s">
        <v>40</v>
      </c>
      <c r="Z1671" t="s">
        <v>41</v>
      </c>
      <c r="AB1671" t="str">
        <f t="shared" si="78"/>
        <v>46113</v>
      </c>
    </row>
    <row r="1672" ht="14.25" spans="1:28">
      <c r="A1672" s="5" t="s">
        <v>28</v>
      </c>
      <c r="B1672" s="5" t="s">
        <v>697</v>
      </c>
      <c r="C1672" s="5">
        <v>2027</v>
      </c>
      <c r="D1672" s="5" t="s">
        <v>30</v>
      </c>
      <c r="E1672" t="s">
        <v>1240</v>
      </c>
      <c r="F1672" t="s">
        <v>1241</v>
      </c>
      <c r="G1672" t="s">
        <v>153</v>
      </c>
      <c r="H1672" t="s">
        <v>1242</v>
      </c>
      <c r="I1672" t="s">
        <v>119</v>
      </c>
      <c r="J1672" t="s">
        <v>36</v>
      </c>
      <c r="K1672">
        <v>1390</v>
      </c>
      <c r="O1672" t="s">
        <v>37</v>
      </c>
      <c r="P1672" t="s">
        <v>46</v>
      </c>
      <c r="U1672" s="9" t="s">
        <v>148</v>
      </c>
      <c r="V1672" t="s">
        <v>149</v>
      </c>
      <c r="W1672" t="s">
        <v>138</v>
      </c>
      <c r="X1672" t="s">
        <v>39</v>
      </c>
      <c r="Y1672" t="s">
        <v>40</v>
      </c>
      <c r="Z1672" t="s">
        <v>41</v>
      </c>
      <c r="AB1672" t="str">
        <f t="shared" si="78"/>
        <v>46113</v>
      </c>
    </row>
    <row r="1673" ht="14.25" spans="1:28">
      <c r="A1673" s="5" t="s">
        <v>28</v>
      </c>
      <c r="B1673" s="5" t="s">
        <v>697</v>
      </c>
      <c r="C1673" s="5">
        <v>2027</v>
      </c>
      <c r="D1673" s="5" t="s">
        <v>30</v>
      </c>
      <c r="E1673" t="s">
        <v>1243</v>
      </c>
      <c r="F1673" t="s">
        <v>1241</v>
      </c>
      <c r="G1673" t="s">
        <v>1244</v>
      </c>
      <c r="H1673" t="s">
        <v>1245</v>
      </c>
      <c r="I1673" t="s">
        <v>119</v>
      </c>
      <c r="J1673" t="s">
        <v>36</v>
      </c>
      <c r="K1673">
        <v>1390</v>
      </c>
      <c r="O1673" t="s">
        <v>37</v>
      </c>
      <c r="P1673" t="s">
        <v>38</v>
      </c>
      <c r="R1673">
        <f t="shared" si="79"/>
        <v>0</v>
      </c>
      <c r="S1673">
        <f>SUMIFS([1]Sheet1!$T:$T,[1]Sheet1!$I:$I,E1673,[1]Sheet1!$C:$C,A1673)</f>
        <v>20</v>
      </c>
      <c r="T1673">
        <f t="shared" si="80"/>
        <v>-20</v>
      </c>
      <c r="U1673" s="9" t="s">
        <v>148</v>
      </c>
      <c r="V1673" t="s">
        <v>149</v>
      </c>
      <c r="W1673" t="s">
        <v>138</v>
      </c>
      <c r="Y1673" t="s">
        <v>40</v>
      </c>
      <c r="Z1673" t="s">
        <v>41</v>
      </c>
      <c r="AB1673" t="str">
        <f t="shared" si="78"/>
        <v>46113</v>
      </c>
    </row>
    <row r="1674" ht="14.25" spans="1:28">
      <c r="A1674" s="5" t="s">
        <v>28</v>
      </c>
      <c r="B1674" s="5" t="s">
        <v>697</v>
      </c>
      <c r="C1674" s="5">
        <v>2027</v>
      </c>
      <c r="D1674" s="5" t="s">
        <v>30</v>
      </c>
      <c r="E1674" t="s">
        <v>1243</v>
      </c>
      <c r="F1674" t="s">
        <v>1241</v>
      </c>
      <c r="G1674" t="s">
        <v>1244</v>
      </c>
      <c r="H1674" t="s">
        <v>1245</v>
      </c>
      <c r="I1674" t="s">
        <v>119</v>
      </c>
      <c r="J1674" t="s">
        <v>36</v>
      </c>
      <c r="K1674">
        <v>1390</v>
      </c>
      <c r="O1674" t="s">
        <v>37</v>
      </c>
      <c r="P1674" t="s">
        <v>42</v>
      </c>
      <c r="U1674" s="9" t="s">
        <v>148</v>
      </c>
      <c r="V1674" t="s">
        <v>149</v>
      </c>
      <c r="W1674" t="s">
        <v>138</v>
      </c>
      <c r="Y1674" t="s">
        <v>40</v>
      </c>
      <c r="Z1674" t="s">
        <v>41</v>
      </c>
      <c r="AB1674" t="str">
        <f t="shared" si="78"/>
        <v>46113</v>
      </c>
    </row>
    <row r="1675" ht="14.25" spans="1:28">
      <c r="A1675" s="5" t="s">
        <v>28</v>
      </c>
      <c r="B1675" s="5" t="s">
        <v>697</v>
      </c>
      <c r="C1675" s="5">
        <v>2027</v>
      </c>
      <c r="D1675" s="5" t="s">
        <v>30</v>
      </c>
      <c r="E1675" t="s">
        <v>1243</v>
      </c>
      <c r="F1675" t="s">
        <v>1241</v>
      </c>
      <c r="G1675" t="s">
        <v>1244</v>
      </c>
      <c r="H1675" t="s">
        <v>1245</v>
      </c>
      <c r="I1675" t="s">
        <v>119</v>
      </c>
      <c r="J1675" t="s">
        <v>36</v>
      </c>
      <c r="K1675">
        <v>1390</v>
      </c>
      <c r="O1675" t="s">
        <v>37</v>
      </c>
      <c r="P1675" t="s">
        <v>43</v>
      </c>
      <c r="U1675" s="9" t="s">
        <v>148</v>
      </c>
      <c r="V1675" t="s">
        <v>149</v>
      </c>
      <c r="W1675" t="s">
        <v>138</v>
      </c>
      <c r="Y1675" t="s">
        <v>40</v>
      </c>
      <c r="Z1675" t="s">
        <v>41</v>
      </c>
      <c r="AB1675" t="str">
        <f t="shared" si="78"/>
        <v>46113</v>
      </c>
    </row>
    <row r="1676" ht="14.25" spans="1:28">
      <c r="A1676" s="5" t="s">
        <v>28</v>
      </c>
      <c r="B1676" s="5" t="s">
        <v>697</v>
      </c>
      <c r="C1676" s="5">
        <v>2027</v>
      </c>
      <c r="D1676" s="5" t="s">
        <v>30</v>
      </c>
      <c r="E1676" t="s">
        <v>1243</v>
      </c>
      <c r="F1676" t="s">
        <v>1241</v>
      </c>
      <c r="G1676" t="s">
        <v>1244</v>
      </c>
      <c r="H1676" t="s">
        <v>1245</v>
      </c>
      <c r="I1676" t="s">
        <v>119</v>
      </c>
      <c r="J1676" t="s">
        <v>36</v>
      </c>
      <c r="K1676">
        <v>1390</v>
      </c>
      <c r="O1676" t="s">
        <v>37</v>
      </c>
      <c r="P1676" t="s">
        <v>44</v>
      </c>
      <c r="U1676" s="9" t="s">
        <v>148</v>
      </c>
      <c r="V1676" t="s">
        <v>149</v>
      </c>
      <c r="W1676" t="s">
        <v>138</v>
      </c>
      <c r="Y1676" t="s">
        <v>40</v>
      </c>
      <c r="Z1676" t="s">
        <v>41</v>
      </c>
      <c r="AB1676" t="str">
        <f t="shared" si="78"/>
        <v>46113</v>
      </c>
    </row>
    <row r="1677" ht="14.25" spans="1:28">
      <c r="A1677" s="5" t="s">
        <v>28</v>
      </c>
      <c r="B1677" s="5" t="s">
        <v>697</v>
      </c>
      <c r="C1677" s="5">
        <v>2027</v>
      </c>
      <c r="D1677" s="5" t="s">
        <v>30</v>
      </c>
      <c r="E1677" t="s">
        <v>1243</v>
      </c>
      <c r="F1677" t="s">
        <v>1241</v>
      </c>
      <c r="G1677" t="s">
        <v>1244</v>
      </c>
      <c r="H1677" t="s">
        <v>1245</v>
      </c>
      <c r="I1677" t="s">
        <v>119</v>
      </c>
      <c r="J1677" t="s">
        <v>36</v>
      </c>
      <c r="K1677">
        <v>1390</v>
      </c>
      <c r="O1677" t="s">
        <v>37</v>
      </c>
      <c r="P1677" t="s">
        <v>45</v>
      </c>
      <c r="U1677" s="9" t="s">
        <v>148</v>
      </c>
      <c r="V1677" t="s">
        <v>149</v>
      </c>
      <c r="W1677" t="s">
        <v>138</v>
      </c>
      <c r="Y1677" t="s">
        <v>40</v>
      </c>
      <c r="Z1677" t="s">
        <v>41</v>
      </c>
      <c r="AB1677" t="str">
        <f t="shared" si="78"/>
        <v>46113</v>
      </c>
    </row>
    <row r="1678" ht="14.25" spans="1:28">
      <c r="A1678" s="5" t="s">
        <v>28</v>
      </c>
      <c r="B1678" s="5" t="s">
        <v>697</v>
      </c>
      <c r="C1678" s="5">
        <v>2027</v>
      </c>
      <c r="D1678" s="5" t="s">
        <v>30</v>
      </c>
      <c r="E1678" t="s">
        <v>1243</v>
      </c>
      <c r="F1678" t="s">
        <v>1241</v>
      </c>
      <c r="G1678" t="s">
        <v>1244</v>
      </c>
      <c r="H1678" t="s">
        <v>1245</v>
      </c>
      <c r="I1678" t="s">
        <v>119</v>
      </c>
      <c r="J1678" t="s">
        <v>36</v>
      </c>
      <c r="K1678">
        <v>1390</v>
      </c>
      <c r="O1678" t="s">
        <v>37</v>
      </c>
      <c r="P1678" t="s">
        <v>46</v>
      </c>
      <c r="U1678" s="9" t="s">
        <v>148</v>
      </c>
      <c r="V1678" t="s">
        <v>149</v>
      </c>
      <c r="W1678" t="s">
        <v>138</v>
      </c>
      <c r="Y1678" t="s">
        <v>40</v>
      </c>
      <c r="Z1678" t="s">
        <v>41</v>
      </c>
      <c r="AB1678" t="str">
        <f t="shared" si="78"/>
        <v>46113</v>
      </c>
    </row>
    <row r="1679" ht="14.25" spans="1:28">
      <c r="A1679" s="5" t="s">
        <v>28</v>
      </c>
      <c r="B1679" s="5" t="s">
        <v>697</v>
      </c>
      <c r="C1679" s="5">
        <v>2027</v>
      </c>
      <c r="D1679" s="5" t="s">
        <v>30</v>
      </c>
      <c r="E1679" t="s">
        <v>1246</v>
      </c>
      <c r="F1679" t="s">
        <v>1247</v>
      </c>
      <c r="G1679" t="s">
        <v>1231</v>
      </c>
      <c r="H1679" t="s">
        <v>1248</v>
      </c>
      <c r="I1679" t="s">
        <v>119</v>
      </c>
      <c r="J1679" t="s">
        <v>36</v>
      </c>
      <c r="K1679">
        <v>1590</v>
      </c>
      <c r="O1679" t="s">
        <v>37</v>
      </c>
      <c r="P1679" t="s">
        <v>38</v>
      </c>
      <c r="R1679">
        <f t="shared" si="79"/>
        <v>0</v>
      </c>
      <c r="S1679">
        <f>SUMIFS([1]Sheet1!$T:$T,[1]Sheet1!$I:$I,E1679,[1]Sheet1!$C:$C,A1679)</f>
        <v>40</v>
      </c>
      <c r="T1679">
        <f t="shared" si="80"/>
        <v>-40</v>
      </c>
      <c r="U1679" s="9" t="s">
        <v>148</v>
      </c>
      <c r="V1679" t="s">
        <v>233</v>
      </c>
      <c r="W1679" t="s">
        <v>138</v>
      </c>
      <c r="X1679" t="s">
        <v>39</v>
      </c>
      <c r="Y1679" t="s">
        <v>40</v>
      </c>
      <c r="Z1679" t="s">
        <v>41</v>
      </c>
      <c r="AB1679" t="str">
        <f t="shared" si="78"/>
        <v>46121</v>
      </c>
    </row>
    <row r="1680" ht="14.25" spans="1:28">
      <c r="A1680" s="5" t="s">
        <v>28</v>
      </c>
      <c r="B1680" s="5" t="s">
        <v>697</v>
      </c>
      <c r="C1680" s="5">
        <v>2027</v>
      </c>
      <c r="D1680" s="5" t="s">
        <v>30</v>
      </c>
      <c r="E1680" t="s">
        <v>1246</v>
      </c>
      <c r="F1680" t="s">
        <v>1247</v>
      </c>
      <c r="G1680" t="s">
        <v>1231</v>
      </c>
      <c r="H1680" t="s">
        <v>1248</v>
      </c>
      <c r="I1680" t="s">
        <v>119</v>
      </c>
      <c r="J1680" t="s">
        <v>36</v>
      </c>
      <c r="K1680">
        <v>1590</v>
      </c>
      <c r="O1680" t="s">
        <v>37</v>
      </c>
      <c r="P1680" t="s">
        <v>42</v>
      </c>
      <c r="U1680" s="9" t="s">
        <v>148</v>
      </c>
      <c r="V1680" t="s">
        <v>233</v>
      </c>
      <c r="W1680" t="s">
        <v>138</v>
      </c>
      <c r="X1680" t="s">
        <v>39</v>
      </c>
      <c r="Y1680" t="s">
        <v>40</v>
      </c>
      <c r="Z1680" t="s">
        <v>41</v>
      </c>
      <c r="AB1680" t="str">
        <f t="shared" si="78"/>
        <v>46121</v>
      </c>
    </row>
    <row r="1681" ht="14.25" spans="1:28">
      <c r="A1681" s="5" t="s">
        <v>28</v>
      </c>
      <c r="B1681" s="5" t="s">
        <v>697</v>
      </c>
      <c r="C1681" s="5">
        <v>2027</v>
      </c>
      <c r="D1681" s="5" t="s">
        <v>30</v>
      </c>
      <c r="E1681" t="s">
        <v>1246</v>
      </c>
      <c r="F1681" t="s">
        <v>1247</v>
      </c>
      <c r="G1681" t="s">
        <v>1231</v>
      </c>
      <c r="H1681" t="s">
        <v>1248</v>
      </c>
      <c r="I1681" t="s">
        <v>119</v>
      </c>
      <c r="J1681" t="s">
        <v>36</v>
      </c>
      <c r="K1681">
        <v>1590</v>
      </c>
      <c r="O1681" t="s">
        <v>37</v>
      </c>
      <c r="P1681" t="s">
        <v>43</v>
      </c>
      <c r="U1681" s="9" t="s">
        <v>148</v>
      </c>
      <c r="V1681" t="s">
        <v>233</v>
      </c>
      <c r="W1681" t="s">
        <v>138</v>
      </c>
      <c r="X1681" t="s">
        <v>39</v>
      </c>
      <c r="Y1681" t="s">
        <v>40</v>
      </c>
      <c r="Z1681" t="s">
        <v>41</v>
      </c>
      <c r="AB1681" t="str">
        <f t="shared" si="78"/>
        <v>46121</v>
      </c>
    </row>
    <row r="1682" ht="14.25" spans="1:28">
      <c r="A1682" s="5" t="s">
        <v>28</v>
      </c>
      <c r="B1682" s="5" t="s">
        <v>697</v>
      </c>
      <c r="C1682" s="5">
        <v>2027</v>
      </c>
      <c r="D1682" s="5" t="s">
        <v>30</v>
      </c>
      <c r="E1682" t="s">
        <v>1246</v>
      </c>
      <c r="F1682" t="s">
        <v>1247</v>
      </c>
      <c r="G1682" t="s">
        <v>1231</v>
      </c>
      <c r="H1682" t="s">
        <v>1248</v>
      </c>
      <c r="I1682" t="s">
        <v>119</v>
      </c>
      <c r="J1682" t="s">
        <v>36</v>
      </c>
      <c r="K1682">
        <v>1590</v>
      </c>
      <c r="O1682" t="s">
        <v>37</v>
      </c>
      <c r="P1682" t="s">
        <v>44</v>
      </c>
      <c r="U1682" s="9" t="s">
        <v>148</v>
      </c>
      <c r="V1682" t="s">
        <v>233</v>
      </c>
      <c r="W1682" t="s">
        <v>138</v>
      </c>
      <c r="X1682" t="s">
        <v>39</v>
      </c>
      <c r="Y1682" t="s">
        <v>40</v>
      </c>
      <c r="Z1682" t="s">
        <v>41</v>
      </c>
      <c r="AB1682" t="str">
        <f t="shared" si="78"/>
        <v>46121</v>
      </c>
    </row>
    <row r="1683" ht="14.25" spans="1:28">
      <c r="A1683" s="5" t="s">
        <v>28</v>
      </c>
      <c r="B1683" s="5" t="s">
        <v>697</v>
      </c>
      <c r="C1683" s="5">
        <v>2027</v>
      </c>
      <c r="D1683" s="5" t="s">
        <v>30</v>
      </c>
      <c r="E1683" t="s">
        <v>1246</v>
      </c>
      <c r="F1683" t="s">
        <v>1247</v>
      </c>
      <c r="G1683" t="s">
        <v>1231</v>
      </c>
      <c r="H1683" t="s">
        <v>1248</v>
      </c>
      <c r="I1683" t="s">
        <v>119</v>
      </c>
      <c r="J1683" t="s">
        <v>36</v>
      </c>
      <c r="K1683">
        <v>1590</v>
      </c>
      <c r="O1683" t="s">
        <v>37</v>
      </c>
      <c r="P1683" t="s">
        <v>45</v>
      </c>
      <c r="U1683" s="9" t="s">
        <v>148</v>
      </c>
      <c r="V1683" t="s">
        <v>233</v>
      </c>
      <c r="W1683" t="s">
        <v>138</v>
      </c>
      <c r="X1683" t="s">
        <v>39</v>
      </c>
      <c r="Y1683" t="s">
        <v>40</v>
      </c>
      <c r="Z1683" t="s">
        <v>41</v>
      </c>
      <c r="AB1683" t="str">
        <f t="shared" si="78"/>
        <v>46121</v>
      </c>
    </row>
    <row r="1684" ht="14.25" spans="1:28">
      <c r="A1684" s="5" t="s">
        <v>28</v>
      </c>
      <c r="B1684" s="5" t="s">
        <v>697</v>
      </c>
      <c r="C1684" s="5">
        <v>2027</v>
      </c>
      <c r="D1684" s="5" t="s">
        <v>30</v>
      </c>
      <c r="E1684" t="s">
        <v>1246</v>
      </c>
      <c r="F1684" t="s">
        <v>1247</v>
      </c>
      <c r="G1684" t="s">
        <v>1231</v>
      </c>
      <c r="H1684" t="s">
        <v>1248</v>
      </c>
      <c r="I1684" t="s">
        <v>119</v>
      </c>
      <c r="J1684" t="s">
        <v>36</v>
      </c>
      <c r="K1684">
        <v>1590</v>
      </c>
      <c r="O1684" t="s">
        <v>37</v>
      </c>
      <c r="P1684" t="s">
        <v>46</v>
      </c>
      <c r="U1684" s="9" t="s">
        <v>148</v>
      </c>
      <c r="V1684" t="s">
        <v>233</v>
      </c>
      <c r="W1684" t="s">
        <v>138</v>
      </c>
      <c r="X1684" t="s">
        <v>39</v>
      </c>
      <c r="Y1684" t="s">
        <v>40</v>
      </c>
      <c r="Z1684" t="s">
        <v>41</v>
      </c>
      <c r="AB1684" t="str">
        <f t="shared" si="78"/>
        <v>46121</v>
      </c>
    </row>
    <row r="1685" ht="14.25" spans="1:28">
      <c r="A1685" s="5" t="s">
        <v>28</v>
      </c>
      <c r="B1685" s="5" t="s">
        <v>697</v>
      </c>
      <c r="C1685" s="5">
        <v>2027</v>
      </c>
      <c r="D1685" s="5" t="s">
        <v>30</v>
      </c>
      <c r="E1685" t="s">
        <v>1249</v>
      </c>
      <c r="F1685" t="s">
        <v>1250</v>
      </c>
      <c r="G1685" t="s">
        <v>1178</v>
      </c>
      <c r="H1685" t="s">
        <v>1251</v>
      </c>
      <c r="I1685" t="s">
        <v>147</v>
      </c>
      <c r="J1685" t="s">
        <v>36</v>
      </c>
      <c r="K1685">
        <v>1390</v>
      </c>
      <c r="O1685" t="s">
        <v>37</v>
      </c>
      <c r="P1685" t="s">
        <v>38</v>
      </c>
      <c r="R1685">
        <f t="shared" si="79"/>
        <v>0</v>
      </c>
      <c r="S1685">
        <f>SUMIFS([1]Sheet1!$T:$T,[1]Sheet1!$I:$I,E1685,[1]Sheet1!$C:$C,A1685)</f>
        <v>30</v>
      </c>
      <c r="T1685">
        <f t="shared" si="80"/>
        <v>-30</v>
      </c>
      <c r="U1685" s="9" t="s">
        <v>148</v>
      </c>
      <c r="V1685" t="s">
        <v>149</v>
      </c>
      <c r="W1685" t="s">
        <v>138</v>
      </c>
      <c r="X1685" t="s">
        <v>39</v>
      </c>
      <c r="Y1685" t="s">
        <v>40</v>
      </c>
      <c r="Z1685" t="s">
        <v>41</v>
      </c>
      <c r="AB1685" t="str">
        <f t="shared" si="78"/>
        <v>46125</v>
      </c>
    </row>
    <row r="1686" ht="14.25" spans="1:28">
      <c r="A1686" s="5" t="s">
        <v>28</v>
      </c>
      <c r="B1686" s="5" t="s">
        <v>697</v>
      </c>
      <c r="C1686" s="5">
        <v>2027</v>
      </c>
      <c r="D1686" s="5" t="s">
        <v>30</v>
      </c>
      <c r="E1686" t="s">
        <v>1249</v>
      </c>
      <c r="F1686" t="s">
        <v>1250</v>
      </c>
      <c r="G1686" t="s">
        <v>1178</v>
      </c>
      <c r="H1686" t="s">
        <v>1251</v>
      </c>
      <c r="I1686" t="s">
        <v>147</v>
      </c>
      <c r="J1686" t="s">
        <v>36</v>
      </c>
      <c r="K1686">
        <v>1390</v>
      </c>
      <c r="O1686" t="s">
        <v>37</v>
      </c>
      <c r="P1686" t="s">
        <v>42</v>
      </c>
      <c r="U1686" s="9" t="s">
        <v>148</v>
      </c>
      <c r="V1686" t="s">
        <v>149</v>
      </c>
      <c r="W1686" t="s">
        <v>138</v>
      </c>
      <c r="X1686" t="s">
        <v>39</v>
      </c>
      <c r="Y1686" t="s">
        <v>40</v>
      </c>
      <c r="Z1686" t="s">
        <v>41</v>
      </c>
      <c r="AB1686" t="str">
        <f t="shared" si="78"/>
        <v>46125</v>
      </c>
    </row>
    <row r="1687" ht="14.25" spans="1:28">
      <c r="A1687" s="5" t="s">
        <v>28</v>
      </c>
      <c r="B1687" s="5" t="s">
        <v>697</v>
      </c>
      <c r="C1687" s="5">
        <v>2027</v>
      </c>
      <c r="D1687" s="5" t="s">
        <v>30</v>
      </c>
      <c r="E1687" t="s">
        <v>1249</v>
      </c>
      <c r="F1687" t="s">
        <v>1250</v>
      </c>
      <c r="G1687" t="s">
        <v>1178</v>
      </c>
      <c r="H1687" t="s">
        <v>1251</v>
      </c>
      <c r="I1687" t="s">
        <v>147</v>
      </c>
      <c r="J1687" t="s">
        <v>36</v>
      </c>
      <c r="K1687">
        <v>1390</v>
      </c>
      <c r="O1687" t="s">
        <v>37</v>
      </c>
      <c r="P1687" t="s">
        <v>43</v>
      </c>
      <c r="U1687" s="9" t="s">
        <v>148</v>
      </c>
      <c r="V1687" t="s">
        <v>149</v>
      </c>
      <c r="W1687" t="s">
        <v>138</v>
      </c>
      <c r="X1687" t="s">
        <v>39</v>
      </c>
      <c r="Y1687" t="s">
        <v>40</v>
      </c>
      <c r="Z1687" t="s">
        <v>41</v>
      </c>
      <c r="AB1687" t="str">
        <f t="shared" si="78"/>
        <v>46125</v>
      </c>
    </row>
    <row r="1688" ht="14.25" spans="1:28">
      <c r="A1688" s="5" t="s">
        <v>28</v>
      </c>
      <c r="B1688" s="5" t="s">
        <v>697</v>
      </c>
      <c r="C1688" s="5">
        <v>2027</v>
      </c>
      <c r="D1688" s="5" t="s">
        <v>30</v>
      </c>
      <c r="E1688" t="s">
        <v>1249</v>
      </c>
      <c r="F1688" t="s">
        <v>1250</v>
      </c>
      <c r="G1688" t="s">
        <v>1178</v>
      </c>
      <c r="H1688" t="s">
        <v>1251</v>
      </c>
      <c r="I1688" t="s">
        <v>147</v>
      </c>
      <c r="J1688" t="s">
        <v>36</v>
      </c>
      <c r="K1688">
        <v>1390</v>
      </c>
      <c r="O1688" t="s">
        <v>37</v>
      </c>
      <c r="P1688" t="s">
        <v>44</v>
      </c>
      <c r="U1688" s="9" t="s">
        <v>148</v>
      </c>
      <c r="V1688" t="s">
        <v>149</v>
      </c>
      <c r="W1688" t="s">
        <v>138</v>
      </c>
      <c r="X1688" t="s">
        <v>39</v>
      </c>
      <c r="Y1688" t="s">
        <v>40</v>
      </c>
      <c r="Z1688" t="s">
        <v>41</v>
      </c>
      <c r="AB1688" t="str">
        <f t="shared" si="78"/>
        <v>46125</v>
      </c>
    </row>
    <row r="1689" ht="14.25" spans="1:28">
      <c r="A1689" s="5" t="s">
        <v>28</v>
      </c>
      <c r="B1689" s="5" t="s">
        <v>697</v>
      </c>
      <c r="C1689" s="5">
        <v>2027</v>
      </c>
      <c r="D1689" s="5" t="s">
        <v>30</v>
      </c>
      <c r="E1689" t="s">
        <v>1249</v>
      </c>
      <c r="F1689" t="s">
        <v>1250</v>
      </c>
      <c r="G1689" t="s">
        <v>1178</v>
      </c>
      <c r="H1689" t="s">
        <v>1251</v>
      </c>
      <c r="I1689" t="s">
        <v>147</v>
      </c>
      <c r="J1689" t="s">
        <v>36</v>
      </c>
      <c r="K1689">
        <v>1390</v>
      </c>
      <c r="O1689" t="s">
        <v>37</v>
      </c>
      <c r="P1689" t="s">
        <v>45</v>
      </c>
      <c r="U1689" s="9" t="s">
        <v>148</v>
      </c>
      <c r="V1689" t="s">
        <v>149</v>
      </c>
      <c r="W1689" t="s">
        <v>138</v>
      </c>
      <c r="X1689" t="s">
        <v>39</v>
      </c>
      <c r="Y1689" t="s">
        <v>40</v>
      </c>
      <c r="Z1689" t="s">
        <v>41</v>
      </c>
      <c r="AB1689" t="str">
        <f t="shared" si="78"/>
        <v>46125</v>
      </c>
    </row>
    <row r="1690" ht="14.25" spans="1:28">
      <c r="A1690" s="5" t="s">
        <v>28</v>
      </c>
      <c r="B1690" s="5" t="s">
        <v>697</v>
      </c>
      <c r="C1690" s="5">
        <v>2027</v>
      </c>
      <c r="D1690" s="5" t="s">
        <v>30</v>
      </c>
      <c r="E1690" t="s">
        <v>1249</v>
      </c>
      <c r="F1690" t="s">
        <v>1250</v>
      </c>
      <c r="G1690" t="s">
        <v>1178</v>
      </c>
      <c r="H1690" t="s">
        <v>1251</v>
      </c>
      <c r="I1690" t="s">
        <v>147</v>
      </c>
      <c r="J1690" t="s">
        <v>36</v>
      </c>
      <c r="K1690">
        <v>1390</v>
      </c>
      <c r="O1690" t="s">
        <v>37</v>
      </c>
      <c r="P1690" t="s">
        <v>46</v>
      </c>
      <c r="U1690" s="9" t="s">
        <v>148</v>
      </c>
      <c r="V1690" t="s">
        <v>149</v>
      </c>
      <c r="W1690" t="s">
        <v>138</v>
      </c>
      <c r="X1690" t="s">
        <v>39</v>
      </c>
      <c r="Y1690" t="s">
        <v>40</v>
      </c>
      <c r="Z1690" t="s">
        <v>41</v>
      </c>
      <c r="AB1690" t="str">
        <f t="shared" si="78"/>
        <v>46125</v>
      </c>
    </row>
    <row r="1691" ht="14.25" spans="1:28">
      <c r="A1691" s="5" t="s">
        <v>28</v>
      </c>
      <c r="B1691" s="5" t="s">
        <v>697</v>
      </c>
      <c r="C1691" s="5">
        <v>2027</v>
      </c>
      <c r="D1691" s="5" t="s">
        <v>30</v>
      </c>
      <c r="E1691" t="s">
        <v>1252</v>
      </c>
      <c r="F1691" t="s">
        <v>1253</v>
      </c>
      <c r="G1691" t="s">
        <v>1254</v>
      </c>
      <c r="H1691" t="s">
        <v>1255</v>
      </c>
      <c r="I1691" t="s">
        <v>147</v>
      </c>
      <c r="J1691" t="s">
        <v>36</v>
      </c>
      <c r="K1691">
        <v>1790</v>
      </c>
      <c r="O1691" t="s">
        <v>37</v>
      </c>
      <c r="P1691" t="s">
        <v>38</v>
      </c>
      <c r="R1691">
        <f t="shared" si="79"/>
        <v>0</v>
      </c>
      <c r="S1691">
        <f>SUMIFS([1]Sheet1!$T:$T,[1]Sheet1!$I:$I,E1691,[1]Sheet1!$C:$C,A1691)</f>
        <v>0</v>
      </c>
      <c r="T1691">
        <f t="shared" si="80"/>
        <v>0</v>
      </c>
      <c r="U1691" s="9" t="s">
        <v>148</v>
      </c>
      <c r="V1691" t="s">
        <v>233</v>
      </c>
      <c r="W1691" t="s">
        <v>138</v>
      </c>
      <c r="X1691" t="s">
        <v>58</v>
      </c>
      <c r="Y1691" t="s">
        <v>40</v>
      </c>
      <c r="Z1691" t="s">
        <v>104</v>
      </c>
      <c r="AB1691" t="str">
        <f t="shared" si="78"/>
        <v>46139</v>
      </c>
    </row>
    <row r="1692" ht="14.25" spans="1:28">
      <c r="A1692" s="5" t="s">
        <v>28</v>
      </c>
      <c r="B1692" s="5" t="s">
        <v>697</v>
      </c>
      <c r="C1692" s="5">
        <v>2027</v>
      </c>
      <c r="D1692" s="5" t="s">
        <v>30</v>
      </c>
      <c r="E1692" t="s">
        <v>1252</v>
      </c>
      <c r="F1692" t="s">
        <v>1253</v>
      </c>
      <c r="G1692" t="s">
        <v>1254</v>
      </c>
      <c r="H1692" t="s">
        <v>1255</v>
      </c>
      <c r="I1692" t="s">
        <v>147</v>
      </c>
      <c r="J1692" t="s">
        <v>36</v>
      </c>
      <c r="K1692">
        <v>1790</v>
      </c>
      <c r="O1692" t="s">
        <v>37</v>
      </c>
      <c r="P1692" t="s">
        <v>42</v>
      </c>
      <c r="U1692" s="9" t="s">
        <v>148</v>
      </c>
      <c r="V1692" t="s">
        <v>233</v>
      </c>
      <c r="W1692" t="s">
        <v>138</v>
      </c>
      <c r="X1692" t="s">
        <v>58</v>
      </c>
      <c r="Y1692" t="s">
        <v>40</v>
      </c>
      <c r="Z1692" t="s">
        <v>104</v>
      </c>
      <c r="AB1692" t="str">
        <f t="shared" si="78"/>
        <v>46139</v>
      </c>
    </row>
    <row r="1693" ht="14.25" spans="1:28">
      <c r="A1693" s="5" t="s">
        <v>28</v>
      </c>
      <c r="B1693" s="5" t="s">
        <v>697</v>
      </c>
      <c r="C1693" s="5">
        <v>2027</v>
      </c>
      <c r="D1693" s="5" t="s">
        <v>30</v>
      </c>
      <c r="E1693" t="s">
        <v>1252</v>
      </c>
      <c r="F1693" t="s">
        <v>1253</v>
      </c>
      <c r="G1693" t="s">
        <v>1254</v>
      </c>
      <c r="H1693" t="s">
        <v>1255</v>
      </c>
      <c r="I1693" t="s">
        <v>147</v>
      </c>
      <c r="J1693" t="s">
        <v>36</v>
      </c>
      <c r="K1693">
        <v>1790</v>
      </c>
      <c r="O1693" t="s">
        <v>37</v>
      </c>
      <c r="P1693" t="s">
        <v>43</v>
      </c>
      <c r="U1693" s="9" t="s">
        <v>148</v>
      </c>
      <c r="V1693" t="s">
        <v>233</v>
      </c>
      <c r="W1693" t="s">
        <v>138</v>
      </c>
      <c r="X1693" t="s">
        <v>58</v>
      </c>
      <c r="Y1693" t="s">
        <v>40</v>
      </c>
      <c r="Z1693" t="s">
        <v>104</v>
      </c>
      <c r="AB1693" t="str">
        <f t="shared" si="78"/>
        <v>46139</v>
      </c>
    </row>
    <row r="1694" ht="14.25" spans="1:28">
      <c r="A1694" s="5" t="s">
        <v>28</v>
      </c>
      <c r="B1694" s="5" t="s">
        <v>697</v>
      </c>
      <c r="C1694" s="5">
        <v>2027</v>
      </c>
      <c r="D1694" s="5" t="s">
        <v>30</v>
      </c>
      <c r="E1694" t="s">
        <v>1252</v>
      </c>
      <c r="F1694" t="s">
        <v>1253</v>
      </c>
      <c r="G1694" t="s">
        <v>1254</v>
      </c>
      <c r="H1694" t="s">
        <v>1255</v>
      </c>
      <c r="I1694" t="s">
        <v>147</v>
      </c>
      <c r="J1694" t="s">
        <v>36</v>
      </c>
      <c r="K1694">
        <v>1790</v>
      </c>
      <c r="O1694" t="s">
        <v>37</v>
      </c>
      <c r="P1694" t="s">
        <v>44</v>
      </c>
      <c r="U1694" s="9" t="s">
        <v>148</v>
      </c>
      <c r="V1694" t="s">
        <v>233</v>
      </c>
      <c r="W1694" t="s">
        <v>138</v>
      </c>
      <c r="X1694" t="s">
        <v>58</v>
      </c>
      <c r="Y1694" t="s">
        <v>40</v>
      </c>
      <c r="Z1694" t="s">
        <v>104</v>
      </c>
      <c r="AB1694" t="str">
        <f t="shared" si="78"/>
        <v>46139</v>
      </c>
    </row>
    <row r="1695" ht="14.25" spans="1:28">
      <c r="A1695" s="5" t="s">
        <v>28</v>
      </c>
      <c r="B1695" s="5" t="s">
        <v>697</v>
      </c>
      <c r="C1695" s="5">
        <v>2027</v>
      </c>
      <c r="D1695" s="5" t="s">
        <v>30</v>
      </c>
      <c r="E1695" t="s">
        <v>1252</v>
      </c>
      <c r="F1695" t="s">
        <v>1253</v>
      </c>
      <c r="G1695" t="s">
        <v>1254</v>
      </c>
      <c r="H1695" t="s">
        <v>1255</v>
      </c>
      <c r="I1695" t="s">
        <v>147</v>
      </c>
      <c r="J1695" t="s">
        <v>36</v>
      </c>
      <c r="K1695">
        <v>1790</v>
      </c>
      <c r="O1695" t="s">
        <v>37</v>
      </c>
      <c r="P1695" t="s">
        <v>45</v>
      </c>
      <c r="U1695" s="9" t="s">
        <v>148</v>
      </c>
      <c r="V1695" t="s">
        <v>233</v>
      </c>
      <c r="W1695" t="s">
        <v>138</v>
      </c>
      <c r="X1695" t="s">
        <v>58</v>
      </c>
      <c r="Y1695" t="s">
        <v>40</v>
      </c>
      <c r="Z1695" t="s">
        <v>104</v>
      </c>
      <c r="AB1695" t="str">
        <f t="shared" si="78"/>
        <v>46139</v>
      </c>
    </row>
    <row r="1696" ht="14.25" spans="1:28">
      <c r="A1696" s="5" t="s">
        <v>28</v>
      </c>
      <c r="B1696" s="5" t="s">
        <v>697</v>
      </c>
      <c r="C1696" s="5">
        <v>2027</v>
      </c>
      <c r="D1696" s="5" t="s">
        <v>30</v>
      </c>
      <c r="E1696" t="s">
        <v>1252</v>
      </c>
      <c r="F1696" t="s">
        <v>1253</v>
      </c>
      <c r="G1696" t="s">
        <v>1254</v>
      </c>
      <c r="H1696" t="s">
        <v>1255</v>
      </c>
      <c r="I1696" t="s">
        <v>147</v>
      </c>
      <c r="J1696" t="s">
        <v>36</v>
      </c>
      <c r="K1696">
        <v>1790</v>
      </c>
      <c r="O1696" t="s">
        <v>37</v>
      </c>
      <c r="P1696" t="s">
        <v>46</v>
      </c>
      <c r="U1696" s="9" t="s">
        <v>148</v>
      </c>
      <c r="V1696" t="s">
        <v>233</v>
      </c>
      <c r="W1696" t="s">
        <v>138</v>
      </c>
      <c r="X1696" t="s">
        <v>58</v>
      </c>
      <c r="Y1696" t="s">
        <v>40</v>
      </c>
      <c r="Z1696" t="s">
        <v>104</v>
      </c>
      <c r="AB1696" t="str">
        <f t="shared" si="78"/>
        <v>46139</v>
      </c>
    </row>
    <row r="1697" ht="14.25" spans="1:28">
      <c r="A1697" s="5" t="s">
        <v>28</v>
      </c>
      <c r="B1697" s="5" t="s">
        <v>697</v>
      </c>
      <c r="C1697" s="5">
        <v>2027</v>
      </c>
      <c r="D1697" s="5" t="s">
        <v>30</v>
      </c>
      <c r="E1697" t="s">
        <v>1256</v>
      </c>
      <c r="F1697" t="s">
        <v>1257</v>
      </c>
      <c r="G1697" t="s">
        <v>153</v>
      </c>
      <c r="H1697" t="s">
        <v>1258</v>
      </c>
      <c r="I1697" t="s">
        <v>119</v>
      </c>
      <c r="J1697" t="s">
        <v>36</v>
      </c>
      <c r="K1697">
        <v>1390</v>
      </c>
      <c r="O1697" t="s">
        <v>37</v>
      </c>
      <c r="P1697" t="s">
        <v>38</v>
      </c>
      <c r="R1697">
        <f t="shared" si="79"/>
        <v>0</v>
      </c>
      <c r="S1697">
        <f>SUMIFS([1]Sheet1!$T:$T,[1]Sheet1!$I:$I,E1697,[1]Sheet1!$C:$C,A1697)</f>
        <v>0</v>
      </c>
      <c r="T1697">
        <f t="shared" si="80"/>
        <v>0</v>
      </c>
      <c r="U1697" s="9" t="s">
        <v>148</v>
      </c>
      <c r="V1697" t="s">
        <v>233</v>
      </c>
      <c r="W1697" t="s">
        <v>138</v>
      </c>
      <c r="X1697" t="s">
        <v>39</v>
      </c>
      <c r="Y1697" t="s">
        <v>150</v>
      </c>
      <c r="Z1697" t="s">
        <v>104</v>
      </c>
      <c r="AB1697" t="str">
        <f t="shared" si="78"/>
        <v>46144</v>
      </c>
    </row>
    <row r="1698" ht="14.25" spans="1:28">
      <c r="A1698" s="5" t="s">
        <v>28</v>
      </c>
      <c r="B1698" s="5" t="s">
        <v>697</v>
      </c>
      <c r="C1698" s="5">
        <v>2027</v>
      </c>
      <c r="D1698" s="5" t="s">
        <v>30</v>
      </c>
      <c r="E1698" t="s">
        <v>1256</v>
      </c>
      <c r="F1698" t="s">
        <v>1257</v>
      </c>
      <c r="G1698" t="s">
        <v>153</v>
      </c>
      <c r="H1698" t="s">
        <v>1258</v>
      </c>
      <c r="I1698" t="s">
        <v>119</v>
      </c>
      <c r="J1698" t="s">
        <v>36</v>
      </c>
      <c r="K1698">
        <v>1390</v>
      </c>
      <c r="O1698" t="s">
        <v>37</v>
      </c>
      <c r="P1698" t="s">
        <v>42</v>
      </c>
      <c r="U1698" s="9" t="s">
        <v>148</v>
      </c>
      <c r="V1698" t="s">
        <v>233</v>
      </c>
      <c r="W1698" t="s">
        <v>138</v>
      </c>
      <c r="X1698" t="s">
        <v>39</v>
      </c>
      <c r="Y1698" t="s">
        <v>150</v>
      </c>
      <c r="Z1698" t="s">
        <v>104</v>
      </c>
      <c r="AB1698" t="str">
        <f t="shared" si="78"/>
        <v>46144</v>
      </c>
    </row>
    <row r="1699" ht="14.25" spans="1:28">
      <c r="A1699" s="5" t="s">
        <v>28</v>
      </c>
      <c r="B1699" s="5" t="s">
        <v>697</v>
      </c>
      <c r="C1699" s="5">
        <v>2027</v>
      </c>
      <c r="D1699" s="5" t="s">
        <v>30</v>
      </c>
      <c r="E1699" t="s">
        <v>1256</v>
      </c>
      <c r="F1699" t="s">
        <v>1257</v>
      </c>
      <c r="G1699" t="s">
        <v>153</v>
      </c>
      <c r="H1699" t="s">
        <v>1258</v>
      </c>
      <c r="I1699" t="s">
        <v>119</v>
      </c>
      <c r="J1699" t="s">
        <v>36</v>
      </c>
      <c r="K1699">
        <v>1390</v>
      </c>
      <c r="O1699" t="s">
        <v>37</v>
      </c>
      <c r="P1699" t="s">
        <v>43</v>
      </c>
      <c r="U1699" s="9" t="s">
        <v>148</v>
      </c>
      <c r="V1699" t="s">
        <v>233</v>
      </c>
      <c r="W1699" t="s">
        <v>138</v>
      </c>
      <c r="X1699" t="s">
        <v>39</v>
      </c>
      <c r="Y1699" t="s">
        <v>150</v>
      </c>
      <c r="Z1699" t="s">
        <v>104</v>
      </c>
      <c r="AB1699" t="str">
        <f t="shared" si="78"/>
        <v>46144</v>
      </c>
    </row>
    <row r="1700" ht="14.25" spans="1:28">
      <c r="A1700" s="5" t="s">
        <v>28</v>
      </c>
      <c r="B1700" s="5" t="s">
        <v>697</v>
      </c>
      <c r="C1700" s="5">
        <v>2027</v>
      </c>
      <c r="D1700" s="5" t="s">
        <v>30</v>
      </c>
      <c r="E1700" t="s">
        <v>1256</v>
      </c>
      <c r="F1700" t="s">
        <v>1257</v>
      </c>
      <c r="G1700" t="s">
        <v>153</v>
      </c>
      <c r="H1700" t="s">
        <v>1258</v>
      </c>
      <c r="I1700" t="s">
        <v>119</v>
      </c>
      <c r="J1700" t="s">
        <v>36</v>
      </c>
      <c r="K1700">
        <v>1390</v>
      </c>
      <c r="O1700" t="s">
        <v>37</v>
      </c>
      <c r="P1700" t="s">
        <v>44</v>
      </c>
      <c r="U1700" s="9" t="s">
        <v>148</v>
      </c>
      <c r="V1700" t="s">
        <v>233</v>
      </c>
      <c r="W1700" t="s">
        <v>138</v>
      </c>
      <c r="X1700" t="s">
        <v>39</v>
      </c>
      <c r="Y1700" t="s">
        <v>150</v>
      </c>
      <c r="Z1700" t="s">
        <v>104</v>
      </c>
      <c r="AB1700" t="str">
        <f t="shared" si="78"/>
        <v>46144</v>
      </c>
    </row>
    <row r="1701" ht="14.25" spans="1:28">
      <c r="A1701" s="5" t="s">
        <v>28</v>
      </c>
      <c r="B1701" s="5" t="s">
        <v>697</v>
      </c>
      <c r="C1701" s="5">
        <v>2027</v>
      </c>
      <c r="D1701" s="5" t="s">
        <v>30</v>
      </c>
      <c r="E1701" t="s">
        <v>1256</v>
      </c>
      <c r="F1701" t="s">
        <v>1257</v>
      </c>
      <c r="G1701" t="s">
        <v>153</v>
      </c>
      <c r="H1701" t="s">
        <v>1258</v>
      </c>
      <c r="I1701" t="s">
        <v>119</v>
      </c>
      <c r="J1701" t="s">
        <v>36</v>
      </c>
      <c r="K1701">
        <v>1390</v>
      </c>
      <c r="O1701" t="s">
        <v>37</v>
      </c>
      <c r="P1701" t="s">
        <v>45</v>
      </c>
      <c r="U1701" s="9" t="s">
        <v>148</v>
      </c>
      <c r="V1701" t="s">
        <v>233</v>
      </c>
      <c r="W1701" t="s">
        <v>138</v>
      </c>
      <c r="X1701" t="s">
        <v>39</v>
      </c>
      <c r="Y1701" t="s">
        <v>150</v>
      </c>
      <c r="Z1701" t="s">
        <v>104</v>
      </c>
      <c r="AB1701" t="str">
        <f t="shared" si="78"/>
        <v>46144</v>
      </c>
    </row>
    <row r="1702" ht="14.25" spans="1:28">
      <c r="A1702" s="5" t="s">
        <v>28</v>
      </c>
      <c r="B1702" s="5" t="s">
        <v>697</v>
      </c>
      <c r="C1702" s="5">
        <v>2027</v>
      </c>
      <c r="D1702" s="5" t="s">
        <v>30</v>
      </c>
      <c r="E1702" t="s">
        <v>1256</v>
      </c>
      <c r="F1702" t="s">
        <v>1257</v>
      </c>
      <c r="G1702" t="s">
        <v>153</v>
      </c>
      <c r="H1702" t="s">
        <v>1258</v>
      </c>
      <c r="I1702" t="s">
        <v>119</v>
      </c>
      <c r="J1702" t="s">
        <v>36</v>
      </c>
      <c r="K1702">
        <v>1390</v>
      </c>
      <c r="O1702" t="s">
        <v>37</v>
      </c>
      <c r="P1702" t="s">
        <v>46</v>
      </c>
      <c r="U1702" s="9" t="s">
        <v>148</v>
      </c>
      <c r="V1702" t="s">
        <v>233</v>
      </c>
      <c r="W1702" t="s">
        <v>138</v>
      </c>
      <c r="X1702" t="s">
        <v>39</v>
      </c>
      <c r="Y1702" t="s">
        <v>150</v>
      </c>
      <c r="Z1702" t="s">
        <v>104</v>
      </c>
      <c r="AB1702" t="str">
        <f t="shared" si="78"/>
        <v>46144</v>
      </c>
    </row>
    <row r="1703" ht="14.25" spans="1:28">
      <c r="A1703" s="5" t="s">
        <v>28</v>
      </c>
      <c r="B1703" s="5" t="s">
        <v>697</v>
      </c>
      <c r="C1703" s="5">
        <v>2027</v>
      </c>
      <c r="D1703" s="5" t="s">
        <v>30</v>
      </c>
      <c r="E1703" t="s">
        <v>1259</v>
      </c>
      <c r="F1703" t="s">
        <v>1257</v>
      </c>
      <c r="G1703" t="s">
        <v>60</v>
      </c>
      <c r="H1703" t="s">
        <v>1260</v>
      </c>
      <c r="I1703" t="s">
        <v>119</v>
      </c>
      <c r="J1703" t="s">
        <v>36</v>
      </c>
      <c r="K1703">
        <v>1390</v>
      </c>
      <c r="O1703" t="s">
        <v>37</v>
      </c>
      <c r="P1703" t="s">
        <v>38</v>
      </c>
      <c r="R1703">
        <f t="shared" si="79"/>
        <v>0</v>
      </c>
      <c r="S1703">
        <f>SUMIFS([1]Sheet1!$T:$T,[1]Sheet1!$I:$I,E1703,[1]Sheet1!$C:$C,A1703)</f>
        <v>30</v>
      </c>
      <c r="T1703">
        <f t="shared" si="80"/>
        <v>-30</v>
      </c>
      <c r="U1703" s="9" t="s">
        <v>148</v>
      </c>
      <c r="V1703" t="s">
        <v>233</v>
      </c>
      <c r="W1703" t="s">
        <v>138</v>
      </c>
      <c r="X1703" t="s">
        <v>62</v>
      </c>
      <c r="Y1703" t="s">
        <v>150</v>
      </c>
      <c r="Z1703" t="s">
        <v>104</v>
      </c>
      <c r="AB1703" t="str">
        <f t="shared" si="78"/>
        <v>46144</v>
      </c>
    </row>
    <row r="1704" ht="14.25" spans="1:28">
      <c r="A1704" s="5" t="s">
        <v>28</v>
      </c>
      <c r="B1704" s="5" t="s">
        <v>697</v>
      </c>
      <c r="C1704" s="5">
        <v>2027</v>
      </c>
      <c r="D1704" s="5" t="s">
        <v>30</v>
      </c>
      <c r="E1704" t="s">
        <v>1259</v>
      </c>
      <c r="F1704" t="s">
        <v>1257</v>
      </c>
      <c r="G1704" t="s">
        <v>60</v>
      </c>
      <c r="H1704" t="s">
        <v>1260</v>
      </c>
      <c r="I1704" t="s">
        <v>119</v>
      </c>
      <c r="J1704" t="s">
        <v>36</v>
      </c>
      <c r="K1704">
        <v>1390</v>
      </c>
      <c r="O1704" t="s">
        <v>37</v>
      </c>
      <c r="P1704" t="s">
        <v>42</v>
      </c>
      <c r="U1704" s="9" t="s">
        <v>148</v>
      </c>
      <c r="V1704" t="s">
        <v>233</v>
      </c>
      <c r="W1704" t="s">
        <v>138</v>
      </c>
      <c r="X1704" t="s">
        <v>62</v>
      </c>
      <c r="Y1704" t="s">
        <v>150</v>
      </c>
      <c r="Z1704" t="s">
        <v>104</v>
      </c>
      <c r="AB1704" t="str">
        <f t="shared" si="78"/>
        <v>46144</v>
      </c>
    </row>
    <row r="1705" ht="14.25" spans="1:28">
      <c r="A1705" s="5" t="s">
        <v>28</v>
      </c>
      <c r="B1705" s="5" t="s">
        <v>697</v>
      </c>
      <c r="C1705" s="5">
        <v>2027</v>
      </c>
      <c r="D1705" s="5" t="s">
        <v>30</v>
      </c>
      <c r="E1705" t="s">
        <v>1259</v>
      </c>
      <c r="F1705" t="s">
        <v>1257</v>
      </c>
      <c r="G1705" t="s">
        <v>60</v>
      </c>
      <c r="H1705" t="s">
        <v>1260</v>
      </c>
      <c r="I1705" t="s">
        <v>119</v>
      </c>
      <c r="J1705" t="s">
        <v>36</v>
      </c>
      <c r="K1705">
        <v>1390</v>
      </c>
      <c r="O1705" t="s">
        <v>37</v>
      </c>
      <c r="P1705" t="s">
        <v>43</v>
      </c>
      <c r="U1705" s="9" t="s">
        <v>148</v>
      </c>
      <c r="V1705" t="s">
        <v>233</v>
      </c>
      <c r="W1705" t="s">
        <v>138</v>
      </c>
      <c r="X1705" t="s">
        <v>62</v>
      </c>
      <c r="Y1705" t="s">
        <v>150</v>
      </c>
      <c r="Z1705" t="s">
        <v>104</v>
      </c>
      <c r="AB1705" t="str">
        <f t="shared" si="78"/>
        <v>46144</v>
      </c>
    </row>
    <row r="1706" ht="14.25" spans="1:28">
      <c r="A1706" s="5" t="s">
        <v>28</v>
      </c>
      <c r="B1706" s="5" t="s">
        <v>697</v>
      </c>
      <c r="C1706" s="5">
        <v>2027</v>
      </c>
      <c r="D1706" s="5" t="s">
        <v>30</v>
      </c>
      <c r="E1706" t="s">
        <v>1259</v>
      </c>
      <c r="F1706" t="s">
        <v>1257</v>
      </c>
      <c r="G1706" t="s">
        <v>60</v>
      </c>
      <c r="H1706" t="s">
        <v>1260</v>
      </c>
      <c r="I1706" t="s">
        <v>119</v>
      </c>
      <c r="J1706" t="s">
        <v>36</v>
      </c>
      <c r="K1706">
        <v>1390</v>
      </c>
      <c r="O1706" t="s">
        <v>37</v>
      </c>
      <c r="P1706" t="s">
        <v>44</v>
      </c>
      <c r="U1706" s="9" t="s">
        <v>148</v>
      </c>
      <c r="V1706" t="s">
        <v>233</v>
      </c>
      <c r="W1706" t="s">
        <v>138</v>
      </c>
      <c r="X1706" t="s">
        <v>62</v>
      </c>
      <c r="Y1706" t="s">
        <v>150</v>
      </c>
      <c r="Z1706" t="s">
        <v>104</v>
      </c>
      <c r="AB1706" t="str">
        <f t="shared" si="78"/>
        <v>46144</v>
      </c>
    </row>
    <row r="1707" ht="14.25" spans="1:28">
      <c r="A1707" s="5" t="s">
        <v>28</v>
      </c>
      <c r="B1707" s="5" t="s">
        <v>697</v>
      </c>
      <c r="C1707" s="5">
        <v>2027</v>
      </c>
      <c r="D1707" s="5" t="s">
        <v>30</v>
      </c>
      <c r="E1707" t="s">
        <v>1259</v>
      </c>
      <c r="F1707" t="s">
        <v>1257</v>
      </c>
      <c r="G1707" t="s">
        <v>60</v>
      </c>
      <c r="H1707" t="s">
        <v>1260</v>
      </c>
      <c r="I1707" t="s">
        <v>119</v>
      </c>
      <c r="J1707" t="s">
        <v>36</v>
      </c>
      <c r="K1707">
        <v>1390</v>
      </c>
      <c r="O1707" t="s">
        <v>37</v>
      </c>
      <c r="P1707" t="s">
        <v>45</v>
      </c>
      <c r="U1707" s="9" t="s">
        <v>148</v>
      </c>
      <c r="V1707" t="s">
        <v>233</v>
      </c>
      <c r="W1707" t="s">
        <v>138</v>
      </c>
      <c r="X1707" t="s">
        <v>62</v>
      </c>
      <c r="Y1707" t="s">
        <v>150</v>
      </c>
      <c r="Z1707" t="s">
        <v>104</v>
      </c>
      <c r="AB1707" t="str">
        <f t="shared" si="78"/>
        <v>46144</v>
      </c>
    </row>
    <row r="1708" ht="14.25" spans="1:28">
      <c r="A1708" s="5" t="s">
        <v>28</v>
      </c>
      <c r="B1708" s="5" t="s">
        <v>697</v>
      </c>
      <c r="C1708" s="5">
        <v>2027</v>
      </c>
      <c r="D1708" s="5" t="s">
        <v>30</v>
      </c>
      <c r="E1708" t="s">
        <v>1259</v>
      </c>
      <c r="F1708" t="s">
        <v>1257</v>
      </c>
      <c r="G1708" t="s">
        <v>60</v>
      </c>
      <c r="H1708" t="s">
        <v>1260</v>
      </c>
      <c r="I1708" t="s">
        <v>119</v>
      </c>
      <c r="J1708" t="s">
        <v>36</v>
      </c>
      <c r="K1708">
        <v>1390</v>
      </c>
      <c r="O1708" t="s">
        <v>37</v>
      </c>
      <c r="P1708" t="s">
        <v>46</v>
      </c>
      <c r="U1708" s="9" t="s">
        <v>148</v>
      </c>
      <c r="V1708" t="s">
        <v>233</v>
      </c>
      <c r="W1708" t="s">
        <v>138</v>
      </c>
      <c r="X1708" t="s">
        <v>62</v>
      </c>
      <c r="Y1708" t="s">
        <v>150</v>
      </c>
      <c r="Z1708" t="s">
        <v>104</v>
      </c>
      <c r="AB1708" t="str">
        <f t="shared" si="78"/>
        <v>46144</v>
      </c>
    </row>
    <row r="1709" ht="14.25" spans="1:28">
      <c r="A1709" s="5" t="s">
        <v>28</v>
      </c>
      <c r="B1709" s="5" t="s">
        <v>697</v>
      </c>
      <c r="C1709" s="5">
        <v>2027</v>
      </c>
      <c r="D1709" s="5" t="s">
        <v>30</v>
      </c>
      <c r="E1709" t="s">
        <v>1261</v>
      </c>
      <c r="F1709" t="s">
        <v>1262</v>
      </c>
      <c r="G1709" t="s">
        <v>89</v>
      </c>
      <c r="H1709" t="s">
        <v>1263</v>
      </c>
      <c r="I1709" t="s">
        <v>112</v>
      </c>
      <c r="J1709" t="s">
        <v>36</v>
      </c>
      <c r="K1709">
        <v>1590</v>
      </c>
      <c r="O1709" t="s">
        <v>37</v>
      </c>
      <c r="P1709" t="s">
        <v>38</v>
      </c>
      <c r="R1709">
        <f t="shared" si="79"/>
        <v>0</v>
      </c>
      <c r="S1709">
        <f>SUMIFS([1]Sheet1!$T:$T,[1]Sheet1!$I:$I,E1709,[1]Sheet1!$C:$C,A1709)</f>
        <v>30</v>
      </c>
      <c r="T1709">
        <f t="shared" si="80"/>
        <v>-30</v>
      </c>
      <c r="U1709" s="9" t="s">
        <v>148</v>
      </c>
      <c r="V1709" t="s">
        <v>149</v>
      </c>
      <c r="W1709" t="s">
        <v>138</v>
      </c>
      <c r="X1709" t="s">
        <v>39</v>
      </c>
      <c r="Y1709" t="s">
        <v>827</v>
      </c>
      <c r="Z1709" t="s">
        <v>104</v>
      </c>
      <c r="AB1709" t="str">
        <f t="shared" si="78"/>
        <v>46147</v>
      </c>
    </row>
    <row r="1710" ht="14.25" spans="1:28">
      <c r="A1710" s="5" t="s">
        <v>28</v>
      </c>
      <c r="B1710" s="5" t="s">
        <v>697</v>
      </c>
      <c r="C1710" s="5">
        <v>2027</v>
      </c>
      <c r="D1710" s="5" t="s">
        <v>30</v>
      </c>
      <c r="E1710" t="s">
        <v>1261</v>
      </c>
      <c r="F1710" t="s">
        <v>1262</v>
      </c>
      <c r="G1710" t="s">
        <v>89</v>
      </c>
      <c r="H1710" t="s">
        <v>1263</v>
      </c>
      <c r="I1710" t="s">
        <v>112</v>
      </c>
      <c r="J1710" t="s">
        <v>36</v>
      </c>
      <c r="K1710">
        <v>1590</v>
      </c>
      <c r="O1710" t="s">
        <v>37</v>
      </c>
      <c r="P1710" t="s">
        <v>42</v>
      </c>
      <c r="U1710" s="9" t="s">
        <v>148</v>
      </c>
      <c r="V1710" t="s">
        <v>149</v>
      </c>
      <c r="W1710" t="s">
        <v>138</v>
      </c>
      <c r="X1710" t="s">
        <v>39</v>
      </c>
      <c r="Y1710" t="s">
        <v>827</v>
      </c>
      <c r="Z1710" t="s">
        <v>104</v>
      </c>
      <c r="AB1710" t="str">
        <f t="shared" si="78"/>
        <v>46147</v>
      </c>
    </row>
    <row r="1711" ht="14.25" spans="1:28">
      <c r="A1711" s="5" t="s">
        <v>28</v>
      </c>
      <c r="B1711" s="5" t="s">
        <v>697</v>
      </c>
      <c r="C1711" s="5">
        <v>2027</v>
      </c>
      <c r="D1711" s="5" t="s">
        <v>30</v>
      </c>
      <c r="E1711" t="s">
        <v>1261</v>
      </c>
      <c r="F1711" t="s">
        <v>1262</v>
      </c>
      <c r="G1711" t="s">
        <v>89</v>
      </c>
      <c r="H1711" t="s">
        <v>1263</v>
      </c>
      <c r="I1711" t="s">
        <v>112</v>
      </c>
      <c r="J1711" t="s">
        <v>36</v>
      </c>
      <c r="K1711">
        <v>1590</v>
      </c>
      <c r="O1711" t="s">
        <v>37</v>
      </c>
      <c r="P1711" t="s">
        <v>43</v>
      </c>
      <c r="U1711" s="9" t="s">
        <v>148</v>
      </c>
      <c r="V1711" t="s">
        <v>149</v>
      </c>
      <c r="W1711" t="s">
        <v>138</v>
      </c>
      <c r="X1711" t="s">
        <v>39</v>
      </c>
      <c r="Y1711" t="s">
        <v>827</v>
      </c>
      <c r="Z1711" t="s">
        <v>104</v>
      </c>
      <c r="AB1711" t="str">
        <f t="shared" si="78"/>
        <v>46147</v>
      </c>
    </row>
    <row r="1712" ht="14.25" spans="1:28">
      <c r="A1712" s="5" t="s">
        <v>28</v>
      </c>
      <c r="B1712" s="5" t="s">
        <v>697</v>
      </c>
      <c r="C1712" s="5">
        <v>2027</v>
      </c>
      <c r="D1712" s="5" t="s">
        <v>30</v>
      </c>
      <c r="E1712" t="s">
        <v>1261</v>
      </c>
      <c r="F1712" t="s">
        <v>1262</v>
      </c>
      <c r="G1712" t="s">
        <v>89</v>
      </c>
      <c r="H1712" t="s">
        <v>1263</v>
      </c>
      <c r="I1712" t="s">
        <v>112</v>
      </c>
      <c r="J1712" t="s">
        <v>36</v>
      </c>
      <c r="K1712">
        <v>1590</v>
      </c>
      <c r="O1712" t="s">
        <v>37</v>
      </c>
      <c r="P1712" t="s">
        <v>44</v>
      </c>
      <c r="U1712" s="9" t="s">
        <v>148</v>
      </c>
      <c r="V1712" t="s">
        <v>149</v>
      </c>
      <c r="W1712" t="s">
        <v>138</v>
      </c>
      <c r="X1712" t="s">
        <v>39</v>
      </c>
      <c r="Y1712" t="s">
        <v>827</v>
      </c>
      <c r="Z1712" t="s">
        <v>104</v>
      </c>
      <c r="AB1712" t="str">
        <f t="shared" si="78"/>
        <v>46147</v>
      </c>
    </row>
    <row r="1713" ht="14.25" spans="1:28">
      <c r="A1713" s="5" t="s">
        <v>28</v>
      </c>
      <c r="B1713" s="5" t="s">
        <v>697</v>
      </c>
      <c r="C1713" s="5">
        <v>2027</v>
      </c>
      <c r="D1713" s="5" t="s">
        <v>30</v>
      </c>
      <c r="E1713" t="s">
        <v>1261</v>
      </c>
      <c r="F1713" t="s">
        <v>1262</v>
      </c>
      <c r="G1713" t="s">
        <v>89</v>
      </c>
      <c r="H1713" t="s">
        <v>1263</v>
      </c>
      <c r="I1713" t="s">
        <v>112</v>
      </c>
      <c r="J1713" t="s">
        <v>36</v>
      </c>
      <c r="K1713">
        <v>1590</v>
      </c>
      <c r="O1713" t="s">
        <v>37</v>
      </c>
      <c r="P1713" t="s">
        <v>45</v>
      </c>
      <c r="U1713" s="9" t="s">
        <v>148</v>
      </c>
      <c r="V1713" t="s">
        <v>149</v>
      </c>
      <c r="W1713" t="s">
        <v>138</v>
      </c>
      <c r="X1713" t="s">
        <v>39</v>
      </c>
      <c r="Y1713" t="s">
        <v>827</v>
      </c>
      <c r="Z1713" t="s">
        <v>104</v>
      </c>
      <c r="AB1713" t="str">
        <f t="shared" si="78"/>
        <v>46147</v>
      </c>
    </row>
    <row r="1714" ht="14.25" spans="1:28">
      <c r="A1714" s="5" t="s">
        <v>28</v>
      </c>
      <c r="B1714" s="5" t="s">
        <v>697</v>
      </c>
      <c r="C1714" s="5">
        <v>2027</v>
      </c>
      <c r="D1714" s="5" t="s">
        <v>30</v>
      </c>
      <c r="E1714" t="s">
        <v>1261</v>
      </c>
      <c r="F1714" t="s">
        <v>1262</v>
      </c>
      <c r="G1714" t="s">
        <v>89</v>
      </c>
      <c r="H1714" t="s">
        <v>1263</v>
      </c>
      <c r="I1714" t="s">
        <v>112</v>
      </c>
      <c r="J1714" t="s">
        <v>36</v>
      </c>
      <c r="K1714">
        <v>1590</v>
      </c>
      <c r="O1714" t="s">
        <v>37</v>
      </c>
      <c r="P1714" t="s">
        <v>46</v>
      </c>
      <c r="U1714" s="9" t="s">
        <v>148</v>
      </c>
      <c r="V1714" t="s">
        <v>149</v>
      </c>
      <c r="W1714" t="s">
        <v>138</v>
      </c>
      <c r="X1714" t="s">
        <v>39</v>
      </c>
      <c r="Y1714" t="s">
        <v>827</v>
      </c>
      <c r="Z1714" t="s">
        <v>104</v>
      </c>
      <c r="AB1714" t="str">
        <f t="shared" si="78"/>
        <v>46147</v>
      </c>
    </row>
    <row r="1715" ht="14.25" spans="1:28">
      <c r="A1715" s="5" t="s">
        <v>28</v>
      </c>
      <c r="B1715" s="5" t="s">
        <v>697</v>
      </c>
      <c r="C1715" s="5">
        <v>2027</v>
      </c>
      <c r="D1715" s="5" t="s">
        <v>30</v>
      </c>
      <c r="E1715" t="s">
        <v>1264</v>
      </c>
      <c r="F1715" t="s">
        <v>1262</v>
      </c>
      <c r="G1715" t="s">
        <v>1194</v>
      </c>
      <c r="H1715" t="s">
        <v>1265</v>
      </c>
      <c r="I1715" t="s">
        <v>112</v>
      </c>
      <c r="J1715" t="s">
        <v>36</v>
      </c>
      <c r="K1715">
        <v>1590</v>
      </c>
      <c r="O1715" t="s">
        <v>37</v>
      </c>
      <c r="P1715" t="s">
        <v>38</v>
      </c>
      <c r="R1715">
        <f t="shared" si="79"/>
        <v>0</v>
      </c>
      <c r="S1715">
        <f>SUMIFS([1]Sheet1!$T:$T,[1]Sheet1!$I:$I,E1715,[1]Sheet1!$C:$C,A1715)</f>
        <v>10</v>
      </c>
      <c r="T1715">
        <f t="shared" si="80"/>
        <v>-10</v>
      </c>
      <c r="U1715" s="9" t="s">
        <v>148</v>
      </c>
      <c r="V1715" t="s">
        <v>149</v>
      </c>
      <c r="W1715" t="s">
        <v>138</v>
      </c>
      <c r="X1715" t="s">
        <v>503</v>
      </c>
      <c r="Y1715" t="s">
        <v>827</v>
      </c>
      <c r="Z1715" t="s">
        <v>104</v>
      </c>
      <c r="AB1715" t="str">
        <f t="shared" ref="AB1715:AB1778" si="81">MID(E1715,6,5)</f>
        <v>46147</v>
      </c>
    </row>
    <row r="1716" ht="14.25" spans="1:28">
      <c r="A1716" s="5" t="s">
        <v>28</v>
      </c>
      <c r="B1716" s="5" t="s">
        <v>697</v>
      </c>
      <c r="C1716" s="5">
        <v>2027</v>
      </c>
      <c r="D1716" s="5" t="s">
        <v>30</v>
      </c>
      <c r="E1716" t="s">
        <v>1264</v>
      </c>
      <c r="F1716" t="s">
        <v>1262</v>
      </c>
      <c r="G1716" t="s">
        <v>1194</v>
      </c>
      <c r="H1716" t="s">
        <v>1265</v>
      </c>
      <c r="I1716" t="s">
        <v>112</v>
      </c>
      <c r="J1716" t="s">
        <v>36</v>
      </c>
      <c r="K1716">
        <v>1590</v>
      </c>
      <c r="O1716" t="s">
        <v>37</v>
      </c>
      <c r="P1716" t="s">
        <v>42</v>
      </c>
      <c r="U1716" s="9" t="s">
        <v>148</v>
      </c>
      <c r="V1716" t="s">
        <v>149</v>
      </c>
      <c r="W1716" t="s">
        <v>138</v>
      </c>
      <c r="X1716" t="s">
        <v>503</v>
      </c>
      <c r="Y1716" t="s">
        <v>827</v>
      </c>
      <c r="Z1716" t="s">
        <v>104</v>
      </c>
      <c r="AB1716" t="str">
        <f t="shared" si="81"/>
        <v>46147</v>
      </c>
    </row>
    <row r="1717" ht="14.25" spans="1:28">
      <c r="A1717" s="5" t="s">
        <v>28</v>
      </c>
      <c r="B1717" s="5" t="s">
        <v>697</v>
      </c>
      <c r="C1717" s="5">
        <v>2027</v>
      </c>
      <c r="D1717" s="5" t="s">
        <v>30</v>
      </c>
      <c r="E1717" t="s">
        <v>1264</v>
      </c>
      <c r="F1717" t="s">
        <v>1262</v>
      </c>
      <c r="G1717" t="s">
        <v>1194</v>
      </c>
      <c r="H1717" t="s">
        <v>1265</v>
      </c>
      <c r="I1717" t="s">
        <v>112</v>
      </c>
      <c r="J1717" t="s">
        <v>36</v>
      </c>
      <c r="K1717">
        <v>1590</v>
      </c>
      <c r="O1717" t="s">
        <v>37</v>
      </c>
      <c r="P1717" t="s">
        <v>43</v>
      </c>
      <c r="U1717" s="9" t="s">
        <v>148</v>
      </c>
      <c r="V1717" t="s">
        <v>149</v>
      </c>
      <c r="W1717" t="s">
        <v>138</v>
      </c>
      <c r="X1717" t="s">
        <v>503</v>
      </c>
      <c r="Y1717" t="s">
        <v>827</v>
      </c>
      <c r="Z1717" t="s">
        <v>104</v>
      </c>
      <c r="AB1717" t="str">
        <f t="shared" si="81"/>
        <v>46147</v>
      </c>
    </row>
    <row r="1718" ht="14.25" spans="1:28">
      <c r="A1718" s="5" t="s">
        <v>28</v>
      </c>
      <c r="B1718" s="5" t="s">
        <v>697</v>
      </c>
      <c r="C1718" s="5">
        <v>2027</v>
      </c>
      <c r="D1718" s="5" t="s">
        <v>30</v>
      </c>
      <c r="E1718" t="s">
        <v>1264</v>
      </c>
      <c r="F1718" t="s">
        <v>1262</v>
      </c>
      <c r="G1718" t="s">
        <v>1194</v>
      </c>
      <c r="H1718" t="s">
        <v>1265</v>
      </c>
      <c r="I1718" t="s">
        <v>112</v>
      </c>
      <c r="J1718" t="s">
        <v>36</v>
      </c>
      <c r="K1718">
        <v>1590</v>
      </c>
      <c r="O1718" t="s">
        <v>37</v>
      </c>
      <c r="P1718" t="s">
        <v>44</v>
      </c>
      <c r="U1718" s="9" t="s">
        <v>148</v>
      </c>
      <c r="V1718" t="s">
        <v>149</v>
      </c>
      <c r="W1718" t="s">
        <v>138</v>
      </c>
      <c r="X1718" t="s">
        <v>503</v>
      </c>
      <c r="Y1718" t="s">
        <v>827</v>
      </c>
      <c r="Z1718" t="s">
        <v>104</v>
      </c>
      <c r="AB1718" t="str">
        <f t="shared" si="81"/>
        <v>46147</v>
      </c>
    </row>
    <row r="1719" ht="14.25" spans="1:28">
      <c r="A1719" s="5" t="s">
        <v>28</v>
      </c>
      <c r="B1719" s="5" t="s">
        <v>697</v>
      </c>
      <c r="C1719" s="5">
        <v>2027</v>
      </c>
      <c r="D1719" s="5" t="s">
        <v>30</v>
      </c>
      <c r="E1719" t="s">
        <v>1264</v>
      </c>
      <c r="F1719" t="s">
        <v>1262</v>
      </c>
      <c r="G1719" t="s">
        <v>1194</v>
      </c>
      <c r="H1719" t="s">
        <v>1265</v>
      </c>
      <c r="I1719" t="s">
        <v>112</v>
      </c>
      <c r="J1719" t="s">
        <v>36</v>
      </c>
      <c r="K1719">
        <v>1590</v>
      </c>
      <c r="O1719" t="s">
        <v>37</v>
      </c>
      <c r="P1719" t="s">
        <v>45</v>
      </c>
      <c r="U1719" s="9" t="s">
        <v>148</v>
      </c>
      <c r="V1719" t="s">
        <v>149</v>
      </c>
      <c r="W1719" t="s">
        <v>138</v>
      </c>
      <c r="X1719" t="s">
        <v>503</v>
      </c>
      <c r="Y1719" t="s">
        <v>827</v>
      </c>
      <c r="Z1719" t="s">
        <v>104</v>
      </c>
      <c r="AB1719" t="str">
        <f t="shared" si="81"/>
        <v>46147</v>
      </c>
    </row>
    <row r="1720" ht="14.25" spans="1:28">
      <c r="A1720" s="5" t="s">
        <v>28</v>
      </c>
      <c r="B1720" s="5" t="s">
        <v>697</v>
      </c>
      <c r="C1720" s="5">
        <v>2027</v>
      </c>
      <c r="D1720" s="5" t="s">
        <v>30</v>
      </c>
      <c r="E1720" t="s">
        <v>1264</v>
      </c>
      <c r="F1720" t="s">
        <v>1262</v>
      </c>
      <c r="G1720" t="s">
        <v>1194</v>
      </c>
      <c r="H1720" t="s">
        <v>1265</v>
      </c>
      <c r="I1720" t="s">
        <v>112</v>
      </c>
      <c r="J1720" t="s">
        <v>36</v>
      </c>
      <c r="K1720">
        <v>1590</v>
      </c>
      <c r="O1720" t="s">
        <v>37</v>
      </c>
      <c r="P1720" t="s">
        <v>46</v>
      </c>
      <c r="U1720" s="9" t="s">
        <v>148</v>
      </c>
      <c r="V1720" t="s">
        <v>149</v>
      </c>
      <c r="W1720" t="s">
        <v>138</v>
      </c>
      <c r="X1720" t="s">
        <v>503</v>
      </c>
      <c r="Y1720" t="s">
        <v>827</v>
      </c>
      <c r="Z1720" t="s">
        <v>104</v>
      </c>
      <c r="AB1720" t="str">
        <f t="shared" si="81"/>
        <v>46147</v>
      </c>
    </row>
    <row r="1721" ht="14.25" spans="1:28">
      <c r="A1721" s="5" t="s">
        <v>28</v>
      </c>
      <c r="B1721" s="5" t="s">
        <v>697</v>
      </c>
      <c r="C1721" s="5">
        <v>2027</v>
      </c>
      <c r="D1721" s="5" t="s">
        <v>30</v>
      </c>
      <c r="E1721" t="s">
        <v>1266</v>
      </c>
      <c r="F1721" t="s">
        <v>1267</v>
      </c>
      <c r="G1721" t="s">
        <v>89</v>
      </c>
      <c r="H1721" t="s">
        <v>1268</v>
      </c>
      <c r="I1721" t="s">
        <v>147</v>
      </c>
      <c r="J1721" t="s">
        <v>36</v>
      </c>
      <c r="K1721">
        <v>1390</v>
      </c>
      <c r="O1721" t="s">
        <v>37</v>
      </c>
      <c r="P1721" t="s">
        <v>38</v>
      </c>
      <c r="R1721">
        <f t="shared" si="79"/>
        <v>0</v>
      </c>
      <c r="S1721">
        <f>SUMIFS([1]Sheet1!$T:$T,[1]Sheet1!$I:$I,E1721,[1]Sheet1!$C:$C,A1721)</f>
        <v>20</v>
      </c>
      <c r="T1721">
        <f t="shared" si="80"/>
        <v>-20</v>
      </c>
      <c r="U1721" s="9" t="s">
        <v>148</v>
      </c>
      <c r="V1721" t="s">
        <v>184</v>
      </c>
      <c r="W1721" t="s">
        <v>138</v>
      </c>
      <c r="X1721" t="s">
        <v>39</v>
      </c>
      <c r="Y1721" t="s">
        <v>827</v>
      </c>
      <c r="Z1721" t="s">
        <v>41</v>
      </c>
      <c r="AB1721" t="str">
        <f t="shared" si="81"/>
        <v>46195</v>
      </c>
    </row>
    <row r="1722" ht="14.25" spans="1:28">
      <c r="A1722" s="5" t="s">
        <v>28</v>
      </c>
      <c r="B1722" s="5" t="s">
        <v>697</v>
      </c>
      <c r="C1722" s="5">
        <v>2027</v>
      </c>
      <c r="D1722" s="5" t="s">
        <v>30</v>
      </c>
      <c r="E1722" t="s">
        <v>1266</v>
      </c>
      <c r="F1722" t="s">
        <v>1267</v>
      </c>
      <c r="G1722" t="s">
        <v>89</v>
      </c>
      <c r="H1722" t="s">
        <v>1268</v>
      </c>
      <c r="I1722" t="s">
        <v>147</v>
      </c>
      <c r="J1722" t="s">
        <v>36</v>
      </c>
      <c r="K1722">
        <v>1390</v>
      </c>
      <c r="O1722" t="s">
        <v>37</v>
      </c>
      <c r="P1722" t="s">
        <v>42</v>
      </c>
      <c r="U1722" s="9" t="s">
        <v>148</v>
      </c>
      <c r="V1722" t="s">
        <v>184</v>
      </c>
      <c r="W1722" t="s">
        <v>138</v>
      </c>
      <c r="X1722" t="s">
        <v>39</v>
      </c>
      <c r="Y1722" t="s">
        <v>827</v>
      </c>
      <c r="Z1722" t="s">
        <v>41</v>
      </c>
      <c r="AB1722" t="str">
        <f t="shared" si="81"/>
        <v>46195</v>
      </c>
    </row>
    <row r="1723" ht="14.25" spans="1:28">
      <c r="A1723" s="5" t="s">
        <v>28</v>
      </c>
      <c r="B1723" s="5" t="s">
        <v>697</v>
      </c>
      <c r="C1723" s="5">
        <v>2027</v>
      </c>
      <c r="D1723" s="5" t="s">
        <v>30</v>
      </c>
      <c r="E1723" t="s">
        <v>1266</v>
      </c>
      <c r="F1723" t="s">
        <v>1267</v>
      </c>
      <c r="G1723" t="s">
        <v>89</v>
      </c>
      <c r="H1723" t="s">
        <v>1268</v>
      </c>
      <c r="I1723" t="s">
        <v>147</v>
      </c>
      <c r="J1723" t="s">
        <v>36</v>
      </c>
      <c r="K1723">
        <v>1390</v>
      </c>
      <c r="O1723" t="s">
        <v>37</v>
      </c>
      <c r="P1723" t="s">
        <v>43</v>
      </c>
      <c r="U1723" s="9" t="s">
        <v>148</v>
      </c>
      <c r="V1723" t="s">
        <v>184</v>
      </c>
      <c r="W1723" t="s">
        <v>138</v>
      </c>
      <c r="X1723" t="s">
        <v>39</v>
      </c>
      <c r="Y1723" t="s">
        <v>827</v>
      </c>
      <c r="Z1723" t="s">
        <v>41</v>
      </c>
      <c r="AB1723" t="str">
        <f t="shared" si="81"/>
        <v>46195</v>
      </c>
    </row>
    <row r="1724" ht="14.25" spans="1:28">
      <c r="A1724" s="5" t="s">
        <v>28</v>
      </c>
      <c r="B1724" s="5" t="s">
        <v>697</v>
      </c>
      <c r="C1724" s="5">
        <v>2027</v>
      </c>
      <c r="D1724" s="5" t="s">
        <v>30</v>
      </c>
      <c r="E1724" t="s">
        <v>1266</v>
      </c>
      <c r="F1724" t="s">
        <v>1267</v>
      </c>
      <c r="G1724" t="s">
        <v>89</v>
      </c>
      <c r="H1724" t="s">
        <v>1268</v>
      </c>
      <c r="I1724" t="s">
        <v>147</v>
      </c>
      <c r="J1724" t="s">
        <v>36</v>
      </c>
      <c r="K1724">
        <v>1390</v>
      </c>
      <c r="O1724" t="s">
        <v>37</v>
      </c>
      <c r="P1724" t="s">
        <v>44</v>
      </c>
      <c r="U1724" s="9" t="s">
        <v>148</v>
      </c>
      <c r="V1724" t="s">
        <v>184</v>
      </c>
      <c r="W1724" t="s">
        <v>138</v>
      </c>
      <c r="X1724" t="s">
        <v>39</v>
      </c>
      <c r="Y1724" t="s">
        <v>827</v>
      </c>
      <c r="Z1724" t="s">
        <v>41</v>
      </c>
      <c r="AB1724" t="str">
        <f t="shared" si="81"/>
        <v>46195</v>
      </c>
    </row>
    <row r="1725" ht="14.25" spans="1:28">
      <c r="A1725" s="5" t="s">
        <v>28</v>
      </c>
      <c r="B1725" s="5" t="s">
        <v>697</v>
      </c>
      <c r="C1725" s="5">
        <v>2027</v>
      </c>
      <c r="D1725" s="5" t="s">
        <v>30</v>
      </c>
      <c r="E1725" t="s">
        <v>1266</v>
      </c>
      <c r="F1725" t="s">
        <v>1267</v>
      </c>
      <c r="G1725" t="s">
        <v>89</v>
      </c>
      <c r="H1725" t="s">
        <v>1268</v>
      </c>
      <c r="I1725" t="s">
        <v>147</v>
      </c>
      <c r="J1725" t="s">
        <v>36</v>
      </c>
      <c r="K1725">
        <v>1390</v>
      </c>
      <c r="O1725" t="s">
        <v>37</v>
      </c>
      <c r="P1725" t="s">
        <v>45</v>
      </c>
      <c r="U1725" s="9" t="s">
        <v>148</v>
      </c>
      <c r="V1725" t="s">
        <v>184</v>
      </c>
      <c r="W1725" t="s">
        <v>138</v>
      </c>
      <c r="X1725" t="s">
        <v>39</v>
      </c>
      <c r="Y1725" t="s">
        <v>827</v>
      </c>
      <c r="Z1725" t="s">
        <v>41</v>
      </c>
      <c r="AB1725" t="str">
        <f t="shared" si="81"/>
        <v>46195</v>
      </c>
    </row>
    <row r="1726" ht="14.25" spans="1:28">
      <c r="A1726" s="5" t="s">
        <v>28</v>
      </c>
      <c r="B1726" s="5" t="s">
        <v>697</v>
      </c>
      <c r="C1726" s="5">
        <v>2027</v>
      </c>
      <c r="D1726" s="5" t="s">
        <v>30</v>
      </c>
      <c r="E1726" t="s">
        <v>1266</v>
      </c>
      <c r="F1726" t="s">
        <v>1267</v>
      </c>
      <c r="G1726" t="s">
        <v>89</v>
      </c>
      <c r="H1726" t="s">
        <v>1268</v>
      </c>
      <c r="I1726" t="s">
        <v>147</v>
      </c>
      <c r="J1726" t="s">
        <v>36</v>
      </c>
      <c r="K1726">
        <v>1390</v>
      </c>
      <c r="O1726" t="s">
        <v>37</v>
      </c>
      <c r="P1726" t="s">
        <v>46</v>
      </c>
      <c r="U1726" s="9" t="s">
        <v>148</v>
      </c>
      <c r="V1726" t="s">
        <v>184</v>
      </c>
      <c r="W1726" t="s">
        <v>138</v>
      </c>
      <c r="X1726" t="s">
        <v>39</v>
      </c>
      <c r="Y1726" t="s">
        <v>827</v>
      </c>
      <c r="Z1726" t="s">
        <v>41</v>
      </c>
      <c r="AB1726" t="str">
        <f t="shared" si="81"/>
        <v>46195</v>
      </c>
    </row>
    <row r="1727" ht="14.25" spans="1:28">
      <c r="A1727" s="5" t="s">
        <v>28</v>
      </c>
      <c r="B1727" s="5" t="s">
        <v>697</v>
      </c>
      <c r="C1727" s="5">
        <v>2027</v>
      </c>
      <c r="D1727" s="5" t="s">
        <v>30</v>
      </c>
      <c r="E1727" t="s">
        <v>1269</v>
      </c>
      <c r="F1727" t="s">
        <v>1270</v>
      </c>
      <c r="G1727" t="s">
        <v>100</v>
      </c>
      <c r="H1727" t="s">
        <v>1271</v>
      </c>
      <c r="I1727" t="s">
        <v>119</v>
      </c>
      <c r="J1727" t="s">
        <v>36</v>
      </c>
      <c r="K1727">
        <v>690</v>
      </c>
      <c r="O1727" t="s">
        <v>37</v>
      </c>
      <c r="P1727" t="s">
        <v>38</v>
      </c>
      <c r="R1727">
        <f t="shared" si="79"/>
        <v>0</v>
      </c>
      <c r="S1727">
        <f>SUMIFS([1]Sheet1!$T:$T,[1]Sheet1!$I:$I,E1727,[1]Sheet1!$C:$C,A1727)</f>
        <v>0</v>
      </c>
      <c r="T1727">
        <f t="shared" si="80"/>
        <v>0</v>
      </c>
      <c r="U1727" s="9" t="s">
        <v>148</v>
      </c>
      <c r="V1727" t="s">
        <v>184</v>
      </c>
      <c r="W1727" t="s">
        <v>138</v>
      </c>
      <c r="X1727" t="s">
        <v>102</v>
      </c>
      <c r="Y1727" t="s">
        <v>1272</v>
      </c>
      <c r="Z1727" t="s">
        <v>41</v>
      </c>
      <c r="AB1727" t="str">
        <f t="shared" si="81"/>
        <v>46197</v>
      </c>
    </row>
    <row r="1728" ht="14.25" spans="1:28">
      <c r="A1728" s="5" t="s">
        <v>28</v>
      </c>
      <c r="B1728" s="5" t="s">
        <v>697</v>
      </c>
      <c r="C1728" s="5">
        <v>2027</v>
      </c>
      <c r="D1728" s="5" t="s">
        <v>30</v>
      </c>
      <c r="E1728" t="s">
        <v>1269</v>
      </c>
      <c r="F1728" t="s">
        <v>1270</v>
      </c>
      <c r="G1728" t="s">
        <v>100</v>
      </c>
      <c r="H1728" t="s">
        <v>1271</v>
      </c>
      <c r="I1728" t="s">
        <v>119</v>
      </c>
      <c r="J1728" t="s">
        <v>36</v>
      </c>
      <c r="K1728">
        <v>690</v>
      </c>
      <c r="O1728" t="s">
        <v>37</v>
      </c>
      <c r="P1728" t="s">
        <v>42</v>
      </c>
      <c r="U1728" s="9" t="s">
        <v>148</v>
      </c>
      <c r="V1728" t="s">
        <v>184</v>
      </c>
      <c r="W1728" t="s">
        <v>138</v>
      </c>
      <c r="X1728" t="s">
        <v>102</v>
      </c>
      <c r="Y1728" t="s">
        <v>1272</v>
      </c>
      <c r="Z1728" t="s">
        <v>41</v>
      </c>
      <c r="AB1728" t="str">
        <f t="shared" si="81"/>
        <v>46197</v>
      </c>
    </row>
    <row r="1729" ht="14.25" spans="1:28">
      <c r="A1729" s="5" t="s">
        <v>28</v>
      </c>
      <c r="B1729" s="5" t="s">
        <v>697</v>
      </c>
      <c r="C1729" s="5">
        <v>2027</v>
      </c>
      <c r="D1729" s="5" t="s">
        <v>30</v>
      </c>
      <c r="E1729" t="s">
        <v>1269</v>
      </c>
      <c r="F1729" t="s">
        <v>1270</v>
      </c>
      <c r="G1729" t="s">
        <v>100</v>
      </c>
      <c r="H1729" t="s">
        <v>1271</v>
      </c>
      <c r="I1729" t="s">
        <v>119</v>
      </c>
      <c r="J1729" t="s">
        <v>36</v>
      </c>
      <c r="K1729">
        <v>690</v>
      </c>
      <c r="O1729" t="s">
        <v>37</v>
      </c>
      <c r="P1729" t="s">
        <v>43</v>
      </c>
      <c r="U1729" s="9" t="s">
        <v>148</v>
      </c>
      <c r="V1729" t="s">
        <v>184</v>
      </c>
      <c r="W1729" t="s">
        <v>138</v>
      </c>
      <c r="X1729" t="s">
        <v>102</v>
      </c>
      <c r="Y1729" t="s">
        <v>1272</v>
      </c>
      <c r="Z1729" t="s">
        <v>41</v>
      </c>
      <c r="AB1729" t="str">
        <f t="shared" si="81"/>
        <v>46197</v>
      </c>
    </row>
    <row r="1730" ht="14.25" spans="1:28">
      <c r="A1730" s="5" t="s">
        <v>28</v>
      </c>
      <c r="B1730" s="5" t="s">
        <v>697</v>
      </c>
      <c r="C1730" s="5">
        <v>2027</v>
      </c>
      <c r="D1730" s="5" t="s">
        <v>30</v>
      </c>
      <c r="E1730" t="s">
        <v>1269</v>
      </c>
      <c r="F1730" t="s">
        <v>1270</v>
      </c>
      <c r="G1730" t="s">
        <v>100</v>
      </c>
      <c r="H1730" t="s">
        <v>1271</v>
      </c>
      <c r="I1730" t="s">
        <v>119</v>
      </c>
      <c r="J1730" t="s">
        <v>36</v>
      </c>
      <c r="K1730">
        <v>690</v>
      </c>
      <c r="O1730" t="s">
        <v>37</v>
      </c>
      <c r="P1730" t="s">
        <v>44</v>
      </c>
      <c r="U1730" s="9" t="s">
        <v>148</v>
      </c>
      <c r="V1730" t="s">
        <v>184</v>
      </c>
      <c r="W1730" t="s">
        <v>138</v>
      </c>
      <c r="X1730" t="s">
        <v>102</v>
      </c>
      <c r="Y1730" t="s">
        <v>1272</v>
      </c>
      <c r="Z1730" t="s">
        <v>41</v>
      </c>
      <c r="AB1730" t="str">
        <f t="shared" si="81"/>
        <v>46197</v>
      </c>
    </row>
    <row r="1731" ht="14.25" spans="1:28">
      <c r="A1731" s="5" t="s">
        <v>28</v>
      </c>
      <c r="B1731" s="5" t="s">
        <v>697</v>
      </c>
      <c r="C1731" s="5">
        <v>2027</v>
      </c>
      <c r="D1731" s="5" t="s">
        <v>30</v>
      </c>
      <c r="E1731" t="s">
        <v>1269</v>
      </c>
      <c r="F1731" t="s">
        <v>1270</v>
      </c>
      <c r="G1731" t="s">
        <v>100</v>
      </c>
      <c r="H1731" t="s">
        <v>1271</v>
      </c>
      <c r="I1731" t="s">
        <v>119</v>
      </c>
      <c r="J1731" t="s">
        <v>36</v>
      </c>
      <c r="K1731">
        <v>690</v>
      </c>
      <c r="O1731" t="s">
        <v>37</v>
      </c>
      <c r="P1731" t="s">
        <v>45</v>
      </c>
      <c r="U1731" s="9" t="s">
        <v>148</v>
      </c>
      <c r="V1731" t="s">
        <v>184</v>
      </c>
      <c r="W1731" t="s">
        <v>138</v>
      </c>
      <c r="X1731" t="s">
        <v>102</v>
      </c>
      <c r="Y1731" t="s">
        <v>1272</v>
      </c>
      <c r="Z1731" t="s">
        <v>41</v>
      </c>
      <c r="AB1731" t="str">
        <f t="shared" si="81"/>
        <v>46197</v>
      </c>
    </row>
    <row r="1732" ht="14.25" spans="1:28">
      <c r="A1732" s="5" t="s">
        <v>28</v>
      </c>
      <c r="B1732" s="5" t="s">
        <v>697</v>
      </c>
      <c r="C1732" s="5">
        <v>2027</v>
      </c>
      <c r="D1732" s="5" t="s">
        <v>30</v>
      </c>
      <c r="E1732" t="s">
        <v>1269</v>
      </c>
      <c r="F1732" t="s">
        <v>1270</v>
      </c>
      <c r="G1732" t="s">
        <v>100</v>
      </c>
      <c r="H1732" t="s">
        <v>1271</v>
      </c>
      <c r="I1732" t="s">
        <v>119</v>
      </c>
      <c r="J1732" t="s">
        <v>36</v>
      </c>
      <c r="K1732">
        <v>690</v>
      </c>
      <c r="O1732" t="s">
        <v>37</v>
      </c>
      <c r="P1732" t="s">
        <v>46</v>
      </c>
      <c r="U1732" s="9" t="s">
        <v>148</v>
      </c>
      <c r="V1732" t="s">
        <v>184</v>
      </c>
      <c r="W1732" t="s">
        <v>138</v>
      </c>
      <c r="X1732" t="s">
        <v>102</v>
      </c>
      <c r="Y1732" t="s">
        <v>1272</v>
      </c>
      <c r="Z1732" t="s">
        <v>41</v>
      </c>
      <c r="AB1732" t="str">
        <f t="shared" si="81"/>
        <v>46197</v>
      </c>
    </row>
    <row r="1733" ht="14.25" spans="1:28">
      <c r="A1733" s="5" t="s">
        <v>28</v>
      </c>
      <c r="B1733" s="5" t="s">
        <v>697</v>
      </c>
      <c r="C1733" s="5">
        <v>2027</v>
      </c>
      <c r="D1733" s="5" t="s">
        <v>30</v>
      </c>
      <c r="E1733" t="s">
        <v>1273</v>
      </c>
      <c r="F1733" t="s">
        <v>1270</v>
      </c>
      <c r="G1733" t="s">
        <v>1274</v>
      </c>
      <c r="H1733" t="s">
        <v>1275</v>
      </c>
      <c r="I1733" t="s">
        <v>119</v>
      </c>
      <c r="J1733" t="s">
        <v>36</v>
      </c>
      <c r="K1733">
        <v>690</v>
      </c>
      <c r="O1733" t="s">
        <v>37</v>
      </c>
      <c r="P1733" t="s">
        <v>38</v>
      </c>
      <c r="R1733">
        <f t="shared" ref="R1730:R1793" si="82">SUMIFS(Q:Q,E:E,E1733)</f>
        <v>0</v>
      </c>
      <c r="S1733">
        <f>SUMIFS([1]Sheet1!$T:$T,[1]Sheet1!$I:$I,E1733,[1]Sheet1!$C:$C,A1733)</f>
        <v>0</v>
      </c>
      <c r="T1733">
        <f t="shared" ref="T1730:T1793" si="83">R1733-S1733</f>
        <v>0</v>
      </c>
      <c r="U1733" s="9" t="s">
        <v>148</v>
      </c>
      <c r="V1733" t="s">
        <v>184</v>
      </c>
      <c r="W1733" t="s">
        <v>138</v>
      </c>
      <c r="X1733" t="s">
        <v>503</v>
      </c>
      <c r="Y1733" t="s">
        <v>1272</v>
      </c>
      <c r="Z1733" t="s">
        <v>41</v>
      </c>
      <c r="AB1733" t="str">
        <f t="shared" si="81"/>
        <v>46197</v>
      </c>
    </row>
    <row r="1734" ht="14.25" spans="1:28">
      <c r="A1734" s="5" t="s">
        <v>28</v>
      </c>
      <c r="B1734" s="5" t="s">
        <v>697</v>
      </c>
      <c r="C1734" s="5">
        <v>2027</v>
      </c>
      <c r="D1734" s="5" t="s">
        <v>30</v>
      </c>
      <c r="E1734" t="s">
        <v>1273</v>
      </c>
      <c r="F1734" t="s">
        <v>1270</v>
      </c>
      <c r="G1734" t="s">
        <v>1274</v>
      </c>
      <c r="H1734" t="s">
        <v>1275</v>
      </c>
      <c r="I1734" t="s">
        <v>119</v>
      </c>
      <c r="J1734" t="s">
        <v>36</v>
      </c>
      <c r="K1734">
        <v>690</v>
      </c>
      <c r="O1734" t="s">
        <v>37</v>
      </c>
      <c r="P1734" t="s">
        <v>42</v>
      </c>
      <c r="U1734" s="9" t="s">
        <v>148</v>
      </c>
      <c r="V1734" t="s">
        <v>184</v>
      </c>
      <c r="W1734" t="s">
        <v>138</v>
      </c>
      <c r="X1734" t="s">
        <v>503</v>
      </c>
      <c r="Y1734" t="s">
        <v>1272</v>
      </c>
      <c r="Z1734" t="s">
        <v>41</v>
      </c>
      <c r="AB1734" t="str">
        <f t="shared" si="81"/>
        <v>46197</v>
      </c>
    </row>
    <row r="1735" ht="14.25" spans="1:28">
      <c r="A1735" s="5" t="s">
        <v>28</v>
      </c>
      <c r="B1735" s="5" t="s">
        <v>697</v>
      </c>
      <c r="C1735" s="5">
        <v>2027</v>
      </c>
      <c r="D1735" s="5" t="s">
        <v>30</v>
      </c>
      <c r="E1735" t="s">
        <v>1273</v>
      </c>
      <c r="F1735" t="s">
        <v>1270</v>
      </c>
      <c r="G1735" t="s">
        <v>1274</v>
      </c>
      <c r="H1735" t="s">
        <v>1275</v>
      </c>
      <c r="I1735" t="s">
        <v>119</v>
      </c>
      <c r="J1735" t="s">
        <v>36</v>
      </c>
      <c r="K1735">
        <v>690</v>
      </c>
      <c r="O1735" t="s">
        <v>37</v>
      </c>
      <c r="P1735" t="s">
        <v>43</v>
      </c>
      <c r="U1735" s="9" t="s">
        <v>148</v>
      </c>
      <c r="V1735" t="s">
        <v>184</v>
      </c>
      <c r="W1735" t="s">
        <v>138</v>
      </c>
      <c r="X1735" t="s">
        <v>503</v>
      </c>
      <c r="Y1735" t="s">
        <v>1272</v>
      </c>
      <c r="Z1735" t="s">
        <v>41</v>
      </c>
      <c r="AB1735" t="str">
        <f t="shared" si="81"/>
        <v>46197</v>
      </c>
    </row>
    <row r="1736" ht="14.25" spans="1:28">
      <c r="A1736" s="5" t="s">
        <v>28</v>
      </c>
      <c r="B1736" s="5" t="s">
        <v>697</v>
      </c>
      <c r="C1736" s="5">
        <v>2027</v>
      </c>
      <c r="D1736" s="5" t="s">
        <v>30</v>
      </c>
      <c r="E1736" t="s">
        <v>1273</v>
      </c>
      <c r="F1736" t="s">
        <v>1270</v>
      </c>
      <c r="G1736" t="s">
        <v>1274</v>
      </c>
      <c r="H1736" t="s">
        <v>1275</v>
      </c>
      <c r="I1736" t="s">
        <v>119</v>
      </c>
      <c r="J1736" t="s">
        <v>36</v>
      </c>
      <c r="K1736">
        <v>690</v>
      </c>
      <c r="O1736" t="s">
        <v>37</v>
      </c>
      <c r="P1736" t="s">
        <v>44</v>
      </c>
      <c r="U1736" s="9" t="s">
        <v>148</v>
      </c>
      <c r="V1736" t="s">
        <v>184</v>
      </c>
      <c r="W1736" t="s">
        <v>138</v>
      </c>
      <c r="X1736" t="s">
        <v>503</v>
      </c>
      <c r="Y1736" t="s">
        <v>1272</v>
      </c>
      <c r="Z1736" t="s">
        <v>41</v>
      </c>
      <c r="AB1736" t="str">
        <f t="shared" si="81"/>
        <v>46197</v>
      </c>
    </row>
    <row r="1737" ht="14.25" spans="1:28">
      <c r="A1737" s="5" t="s">
        <v>28</v>
      </c>
      <c r="B1737" s="5" t="s">
        <v>697</v>
      </c>
      <c r="C1737" s="5">
        <v>2027</v>
      </c>
      <c r="D1737" s="5" t="s">
        <v>30</v>
      </c>
      <c r="E1737" t="s">
        <v>1273</v>
      </c>
      <c r="F1737" t="s">
        <v>1270</v>
      </c>
      <c r="G1737" t="s">
        <v>1274</v>
      </c>
      <c r="H1737" t="s">
        <v>1275</v>
      </c>
      <c r="I1737" t="s">
        <v>119</v>
      </c>
      <c r="J1737" t="s">
        <v>36</v>
      </c>
      <c r="K1737">
        <v>690</v>
      </c>
      <c r="O1737" t="s">
        <v>37</v>
      </c>
      <c r="P1737" t="s">
        <v>45</v>
      </c>
      <c r="U1737" s="9" t="s">
        <v>148</v>
      </c>
      <c r="V1737" t="s">
        <v>184</v>
      </c>
      <c r="W1737" t="s">
        <v>138</v>
      </c>
      <c r="X1737" t="s">
        <v>503</v>
      </c>
      <c r="Y1737" t="s">
        <v>1272</v>
      </c>
      <c r="Z1737" t="s">
        <v>41</v>
      </c>
      <c r="AB1737" t="str">
        <f t="shared" si="81"/>
        <v>46197</v>
      </c>
    </row>
    <row r="1738" ht="14.25" spans="1:28">
      <c r="A1738" s="5" t="s">
        <v>28</v>
      </c>
      <c r="B1738" s="5" t="s">
        <v>697</v>
      </c>
      <c r="C1738" s="5">
        <v>2027</v>
      </c>
      <c r="D1738" s="5" t="s">
        <v>30</v>
      </c>
      <c r="E1738" t="s">
        <v>1273</v>
      </c>
      <c r="F1738" t="s">
        <v>1270</v>
      </c>
      <c r="G1738" t="s">
        <v>1274</v>
      </c>
      <c r="H1738" t="s">
        <v>1275</v>
      </c>
      <c r="I1738" t="s">
        <v>119</v>
      </c>
      <c r="J1738" t="s">
        <v>36</v>
      </c>
      <c r="K1738">
        <v>690</v>
      </c>
      <c r="O1738" t="s">
        <v>37</v>
      </c>
      <c r="P1738" t="s">
        <v>46</v>
      </c>
      <c r="U1738" s="9" t="s">
        <v>148</v>
      </c>
      <c r="V1738" t="s">
        <v>184</v>
      </c>
      <c r="W1738" t="s">
        <v>138</v>
      </c>
      <c r="X1738" t="s">
        <v>503</v>
      </c>
      <c r="Y1738" t="s">
        <v>1272</v>
      </c>
      <c r="Z1738" t="s">
        <v>41</v>
      </c>
      <c r="AB1738" t="str">
        <f t="shared" si="81"/>
        <v>46197</v>
      </c>
    </row>
    <row r="1739" ht="14.25" spans="1:28">
      <c r="A1739" s="5" t="s">
        <v>28</v>
      </c>
      <c r="B1739" s="5" t="s">
        <v>697</v>
      </c>
      <c r="C1739" s="5">
        <v>2027</v>
      </c>
      <c r="D1739" s="5" t="s">
        <v>30</v>
      </c>
      <c r="E1739" t="s">
        <v>1276</v>
      </c>
      <c r="F1739" t="s">
        <v>1270</v>
      </c>
      <c r="G1739" t="s">
        <v>60</v>
      </c>
      <c r="H1739" t="s">
        <v>1277</v>
      </c>
      <c r="I1739" t="s">
        <v>119</v>
      </c>
      <c r="J1739" t="s">
        <v>36</v>
      </c>
      <c r="K1739">
        <v>690</v>
      </c>
      <c r="O1739" t="s">
        <v>37</v>
      </c>
      <c r="P1739" t="s">
        <v>38</v>
      </c>
      <c r="R1739">
        <f t="shared" si="82"/>
        <v>0</v>
      </c>
      <c r="S1739">
        <f>SUMIFS([1]Sheet1!$T:$T,[1]Sheet1!$I:$I,E1739,[1]Sheet1!$C:$C,A1739)</f>
        <v>0</v>
      </c>
      <c r="T1739">
        <f t="shared" si="83"/>
        <v>0</v>
      </c>
      <c r="U1739" s="9" t="s">
        <v>148</v>
      </c>
      <c r="V1739" t="s">
        <v>184</v>
      </c>
      <c r="W1739" t="s">
        <v>138</v>
      </c>
      <c r="X1739" t="s">
        <v>62</v>
      </c>
      <c r="Y1739" t="s">
        <v>1272</v>
      </c>
      <c r="Z1739" t="s">
        <v>41</v>
      </c>
      <c r="AB1739" t="str">
        <f t="shared" si="81"/>
        <v>46197</v>
      </c>
    </row>
    <row r="1740" ht="14.25" spans="1:28">
      <c r="A1740" s="5" t="s">
        <v>28</v>
      </c>
      <c r="B1740" s="5" t="s">
        <v>697</v>
      </c>
      <c r="C1740" s="5">
        <v>2027</v>
      </c>
      <c r="D1740" s="5" t="s">
        <v>30</v>
      </c>
      <c r="E1740" t="s">
        <v>1276</v>
      </c>
      <c r="F1740" t="s">
        <v>1270</v>
      </c>
      <c r="G1740" t="s">
        <v>60</v>
      </c>
      <c r="H1740" t="s">
        <v>1277</v>
      </c>
      <c r="I1740" t="s">
        <v>119</v>
      </c>
      <c r="J1740" t="s">
        <v>36</v>
      </c>
      <c r="K1740">
        <v>690</v>
      </c>
      <c r="O1740" t="s">
        <v>37</v>
      </c>
      <c r="P1740" t="s">
        <v>42</v>
      </c>
      <c r="U1740" s="9" t="s">
        <v>148</v>
      </c>
      <c r="V1740" t="s">
        <v>184</v>
      </c>
      <c r="W1740" t="s">
        <v>138</v>
      </c>
      <c r="X1740" t="s">
        <v>62</v>
      </c>
      <c r="Y1740" t="s">
        <v>1272</v>
      </c>
      <c r="Z1740" t="s">
        <v>41</v>
      </c>
      <c r="AB1740" t="str">
        <f t="shared" si="81"/>
        <v>46197</v>
      </c>
    </row>
    <row r="1741" ht="14.25" spans="1:28">
      <c r="A1741" s="5" t="s">
        <v>28</v>
      </c>
      <c r="B1741" s="5" t="s">
        <v>697</v>
      </c>
      <c r="C1741" s="5">
        <v>2027</v>
      </c>
      <c r="D1741" s="5" t="s">
        <v>30</v>
      </c>
      <c r="E1741" t="s">
        <v>1276</v>
      </c>
      <c r="F1741" t="s">
        <v>1270</v>
      </c>
      <c r="G1741" t="s">
        <v>60</v>
      </c>
      <c r="H1741" t="s">
        <v>1277</v>
      </c>
      <c r="I1741" t="s">
        <v>119</v>
      </c>
      <c r="J1741" t="s">
        <v>36</v>
      </c>
      <c r="K1741">
        <v>690</v>
      </c>
      <c r="O1741" t="s">
        <v>37</v>
      </c>
      <c r="P1741" t="s">
        <v>43</v>
      </c>
      <c r="U1741" s="9" t="s">
        <v>148</v>
      </c>
      <c r="V1741" t="s">
        <v>184</v>
      </c>
      <c r="W1741" t="s">
        <v>138</v>
      </c>
      <c r="X1741" t="s">
        <v>62</v>
      </c>
      <c r="Y1741" t="s">
        <v>1272</v>
      </c>
      <c r="Z1741" t="s">
        <v>41</v>
      </c>
      <c r="AB1741" t="str">
        <f t="shared" si="81"/>
        <v>46197</v>
      </c>
    </row>
    <row r="1742" ht="14.25" spans="1:28">
      <c r="A1742" s="5" t="s">
        <v>28</v>
      </c>
      <c r="B1742" s="5" t="s">
        <v>697</v>
      </c>
      <c r="C1742" s="5">
        <v>2027</v>
      </c>
      <c r="D1742" s="5" t="s">
        <v>30</v>
      </c>
      <c r="E1742" t="s">
        <v>1276</v>
      </c>
      <c r="F1742" t="s">
        <v>1270</v>
      </c>
      <c r="G1742" t="s">
        <v>60</v>
      </c>
      <c r="H1742" t="s">
        <v>1277</v>
      </c>
      <c r="I1742" t="s">
        <v>119</v>
      </c>
      <c r="J1742" t="s">
        <v>36</v>
      </c>
      <c r="K1742">
        <v>690</v>
      </c>
      <c r="O1742" t="s">
        <v>37</v>
      </c>
      <c r="P1742" t="s">
        <v>44</v>
      </c>
      <c r="U1742" s="9" t="s">
        <v>148</v>
      </c>
      <c r="V1742" t="s">
        <v>184</v>
      </c>
      <c r="W1742" t="s">
        <v>138</v>
      </c>
      <c r="X1742" t="s">
        <v>62</v>
      </c>
      <c r="Y1742" t="s">
        <v>1272</v>
      </c>
      <c r="Z1742" t="s">
        <v>41</v>
      </c>
      <c r="AB1742" t="str">
        <f t="shared" si="81"/>
        <v>46197</v>
      </c>
    </row>
    <row r="1743" ht="14.25" spans="1:28">
      <c r="A1743" s="5" t="s">
        <v>28</v>
      </c>
      <c r="B1743" s="5" t="s">
        <v>697</v>
      </c>
      <c r="C1743" s="5">
        <v>2027</v>
      </c>
      <c r="D1743" s="5" t="s">
        <v>30</v>
      </c>
      <c r="E1743" t="s">
        <v>1276</v>
      </c>
      <c r="F1743" t="s">
        <v>1270</v>
      </c>
      <c r="G1743" t="s">
        <v>60</v>
      </c>
      <c r="H1743" t="s">
        <v>1277</v>
      </c>
      <c r="I1743" t="s">
        <v>119</v>
      </c>
      <c r="J1743" t="s">
        <v>36</v>
      </c>
      <c r="K1743">
        <v>690</v>
      </c>
      <c r="O1743" t="s">
        <v>37</v>
      </c>
      <c r="P1743" t="s">
        <v>45</v>
      </c>
      <c r="U1743" s="9" t="s">
        <v>148</v>
      </c>
      <c r="V1743" t="s">
        <v>184</v>
      </c>
      <c r="W1743" t="s">
        <v>138</v>
      </c>
      <c r="X1743" t="s">
        <v>62</v>
      </c>
      <c r="Y1743" t="s">
        <v>1272</v>
      </c>
      <c r="Z1743" t="s">
        <v>41</v>
      </c>
      <c r="AB1743" t="str">
        <f t="shared" si="81"/>
        <v>46197</v>
      </c>
    </row>
    <row r="1744" ht="14.25" spans="1:28">
      <c r="A1744" s="5" t="s">
        <v>28</v>
      </c>
      <c r="B1744" s="5" t="s">
        <v>697</v>
      </c>
      <c r="C1744" s="5">
        <v>2027</v>
      </c>
      <c r="D1744" s="5" t="s">
        <v>30</v>
      </c>
      <c r="E1744" t="s">
        <v>1276</v>
      </c>
      <c r="F1744" t="s">
        <v>1270</v>
      </c>
      <c r="G1744" t="s">
        <v>60</v>
      </c>
      <c r="H1744" t="s">
        <v>1277</v>
      </c>
      <c r="I1744" t="s">
        <v>119</v>
      </c>
      <c r="J1744" t="s">
        <v>36</v>
      </c>
      <c r="K1744">
        <v>690</v>
      </c>
      <c r="O1744" t="s">
        <v>37</v>
      </c>
      <c r="P1744" t="s">
        <v>46</v>
      </c>
      <c r="U1744" s="9" t="s">
        <v>148</v>
      </c>
      <c r="V1744" t="s">
        <v>184</v>
      </c>
      <c r="W1744" t="s">
        <v>138</v>
      </c>
      <c r="X1744" t="s">
        <v>62</v>
      </c>
      <c r="Y1744" t="s">
        <v>1272</v>
      </c>
      <c r="Z1744" t="s">
        <v>41</v>
      </c>
      <c r="AB1744" t="str">
        <f t="shared" si="81"/>
        <v>46197</v>
      </c>
    </row>
    <row r="1745" ht="14.25" spans="1:28">
      <c r="A1745" s="5" t="s">
        <v>28</v>
      </c>
      <c r="B1745" s="5" t="s">
        <v>697</v>
      </c>
      <c r="C1745" s="5">
        <v>2027</v>
      </c>
      <c r="D1745" s="5" t="s">
        <v>30</v>
      </c>
      <c r="E1745" t="s">
        <v>1278</v>
      </c>
      <c r="F1745" t="s">
        <v>1279</v>
      </c>
      <c r="G1745" t="s">
        <v>33</v>
      </c>
      <c r="H1745" t="s">
        <v>1280</v>
      </c>
      <c r="I1745" t="s">
        <v>112</v>
      </c>
      <c r="J1745" t="s">
        <v>36</v>
      </c>
      <c r="K1745">
        <v>790</v>
      </c>
      <c r="O1745" t="s">
        <v>37</v>
      </c>
      <c r="P1745" t="s">
        <v>38</v>
      </c>
      <c r="R1745">
        <f t="shared" si="82"/>
        <v>0</v>
      </c>
      <c r="S1745">
        <f>SUMIFS([1]Sheet1!$T:$T,[1]Sheet1!$I:$I,E1745,[1]Sheet1!$C:$C,A1745)</f>
        <v>40</v>
      </c>
      <c r="T1745">
        <f t="shared" si="83"/>
        <v>-40</v>
      </c>
      <c r="U1745" s="9" t="s">
        <v>148</v>
      </c>
      <c r="V1745" t="s">
        <v>184</v>
      </c>
      <c r="W1745" t="s">
        <v>138</v>
      </c>
      <c r="X1745" t="s">
        <v>39</v>
      </c>
      <c r="Y1745" t="s">
        <v>165</v>
      </c>
      <c r="Z1745" t="s">
        <v>41</v>
      </c>
      <c r="AB1745" t="str">
        <f t="shared" si="81"/>
        <v>46198</v>
      </c>
    </row>
    <row r="1746" ht="14.25" spans="1:28">
      <c r="A1746" s="5" t="s">
        <v>28</v>
      </c>
      <c r="B1746" s="5" t="s">
        <v>697</v>
      </c>
      <c r="C1746" s="5">
        <v>2027</v>
      </c>
      <c r="D1746" s="5" t="s">
        <v>30</v>
      </c>
      <c r="E1746" t="s">
        <v>1278</v>
      </c>
      <c r="F1746" t="s">
        <v>1279</v>
      </c>
      <c r="G1746" t="s">
        <v>33</v>
      </c>
      <c r="H1746" t="s">
        <v>1280</v>
      </c>
      <c r="I1746" t="s">
        <v>112</v>
      </c>
      <c r="J1746" t="s">
        <v>36</v>
      </c>
      <c r="K1746">
        <v>790</v>
      </c>
      <c r="O1746" t="s">
        <v>37</v>
      </c>
      <c r="P1746" t="s">
        <v>42</v>
      </c>
      <c r="U1746" s="9" t="s">
        <v>148</v>
      </c>
      <c r="V1746" t="s">
        <v>184</v>
      </c>
      <c r="W1746" t="s">
        <v>138</v>
      </c>
      <c r="X1746" t="s">
        <v>39</v>
      </c>
      <c r="Y1746" t="s">
        <v>165</v>
      </c>
      <c r="Z1746" t="s">
        <v>41</v>
      </c>
      <c r="AB1746" t="str">
        <f t="shared" si="81"/>
        <v>46198</v>
      </c>
    </row>
    <row r="1747" ht="14.25" spans="1:28">
      <c r="A1747" s="5" t="s">
        <v>28</v>
      </c>
      <c r="B1747" s="5" t="s">
        <v>697</v>
      </c>
      <c r="C1747" s="5">
        <v>2027</v>
      </c>
      <c r="D1747" s="5" t="s">
        <v>30</v>
      </c>
      <c r="E1747" t="s">
        <v>1278</v>
      </c>
      <c r="F1747" t="s">
        <v>1279</v>
      </c>
      <c r="G1747" t="s">
        <v>33</v>
      </c>
      <c r="H1747" t="s">
        <v>1280</v>
      </c>
      <c r="I1747" t="s">
        <v>112</v>
      </c>
      <c r="J1747" t="s">
        <v>36</v>
      </c>
      <c r="K1747">
        <v>790</v>
      </c>
      <c r="O1747" t="s">
        <v>37</v>
      </c>
      <c r="P1747" t="s">
        <v>43</v>
      </c>
      <c r="U1747" s="9" t="s">
        <v>148</v>
      </c>
      <c r="V1747" t="s">
        <v>184</v>
      </c>
      <c r="W1747" t="s">
        <v>138</v>
      </c>
      <c r="X1747" t="s">
        <v>39</v>
      </c>
      <c r="Y1747" t="s">
        <v>165</v>
      </c>
      <c r="Z1747" t="s">
        <v>41</v>
      </c>
      <c r="AB1747" t="str">
        <f t="shared" si="81"/>
        <v>46198</v>
      </c>
    </row>
    <row r="1748" ht="14.25" spans="1:28">
      <c r="A1748" s="5" t="s">
        <v>28</v>
      </c>
      <c r="B1748" s="5" t="s">
        <v>697</v>
      </c>
      <c r="C1748" s="5">
        <v>2027</v>
      </c>
      <c r="D1748" s="5" t="s">
        <v>30</v>
      </c>
      <c r="E1748" t="s">
        <v>1278</v>
      </c>
      <c r="F1748" t="s">
        <v>1279</v>
      </c>
      <c r="G1748" t="s">
        <v>33</v>
      </c>
      <c r="H1748" t="s">
        <v>1280</v>
      </c>
      <c r="I1748" t="s">
        <v>112</v>
      </c>
      <c r="J1748" t="s">
        <v>36</v>
      </c>
      <c r="K1748">
        <v>790</v>
      </c>
      <c r="O1748" t="s">
        <v>37</v>
      </c>
      <c r="P1748" t="s">
        <v>44</v>
      </c>
      <c r="U1748" s="9" t="s">
        <v>148</v>
      </c>
      <c r="V1748" t="s">
        <v>184</v>
      </c>
      <c r="W1748" t="s">
        <v>138</v>
      </c>
      <c r="X1748" t="s">
        <v>39</v>
      </c>
      <c r="Y1748" t="s">
        <v>165</v>
      </c>
      <c r="Z1748" t="s">
        <v>41</v>
      </c>
      <c r="AB1748" t="str">
        <f t="shared" si="81"/>
        <v>46198</v>
      </c>
    </row>
    <row r="1749" ht="14.25" spans="1:28">
      <c r="A1749" s="5" t="s">
        <v>28</v>
      </c>
      <c r="B1749" s="5" t="s">
        <v>697</v>
      </c>
      <c r="C1749" s="5">
        <v>2027</v>
      </c>
      <c r="D1749" s="5" t="s">
        <v>30</v>
      </c>
      <c r="E1749" t="s">
        <v>1278</v>
      </c>
      <c r="F1749" t="s">
        <v>1279</v>
      </c>
      <c r="G1749" t="s">
        <v>33</v>
      </c>
      <c r="H1749" t="s">
        <v>1280</v>
      </c>
      <c r="I1749" t="s">
        <v>112</v>
      </c>
      <c r="J1749" t="s">
        <v>36</v>
      </c>
      <c r="K1749">
        <v>790</v>
      </c>
      <c r="O1749" t="s">
        <v>37</v>
      </c>
      <c r="P1749" t="s">
        <v>45</v>
      </c>
      <c r="U1749" s="9" t="s">
        <v>148</v>
      </c>
      <c r="V1749" t="s">
        <v>184</v>
      </c>
      <c r="W1749" t="s">
        <v>138</v>
      </c>
      <c r="X1749" t="s">
        <v>39</v>
      </c>
      <c r="Y1749" t="s">
        <v>165</v>
      </c>
      <c r="Z1749" t="s">
        <v>41</v>
      </c>
      <c r="AB1749" t="str">
        <f t="shared" si="81"/>
        <v>46198</v>
      </c>
    </row>
    <row r="1750" ht="14.25" spans="1:28">
      <c r="A1750" s="5" t="s">
        <v>28</v>
      </c>
      <c r="B1750" s="5" t="s">
        <v>697</v>
      </c>
      <c r="C1750" s="5">
        <v>2027</v>
      </c>
      <c r="D1750" s="5" t="s">
        <v>30</v>
      </c>
      <c r="E1750" t="s">
        <v>1278</v>
      </c>
      <c r="F1750" t="s">
        <v>1279</v>
      </c>
      <c r="G1750" t="s">
        <v>33</v>
      </c>
      <c r="H1750" t="s">
        <v>1280</v>
      </c>
      <c r="I1750" t="s">
        <v>112</v>
      </c>
      <c r="J1750" t="s">
        <v>36</v>
      </c>
      <c r="K1750">
        <v>790</v>
      </c>
      <c r="O1750" t="s">
        <v>37</v>
      </c>
      <c r="P1750" t="s">
        <v>46</v>
      </c>
      <c r="U1750" s="9" t="s">
        <v>148</v>
      </c>
      <c r="V1750" t="s">
        <v>184</v>
      </c>
      <c r="W1750" t="s">
        <v>138</v>
      </c>
      <c r="X1750" t="s">
        <v>39</v>
      </c>
      <c r="Y1750" t="s">
        <v>165</v>
      </c>
      <c r="Z1750" t="s">
        <v>41</v>
      </c>
      <c r="AB1750" t="str">
        <f t="shared" si="81"/>
        <v>46198</v>
      </c>
    </row>
    <row r="1751" ht="14.25" spans="1:28">
      <c r="A1751" s="5" t="s">
        <v>28</v>
      </c>
      <c r="B1751" s="5" t="s">
        <v>697</v>
      </c>
      <c r="C1751" s="5">
        <v>2027</v>
      </c>
      <c r="D1751" s="5" t="s">
        <v>30</v>
      </c>
      <c r="E1751" t="s">
        <v>1281</v>
      </c>
      <c r="F1751" t="s">
        <v>1279</v>
      </c>
      <c r="G1751" t="s">
        <v>100</v>
      </c>
      <c r="H1751" t="s">
        <v>1282</v>
      </c>
      <c r="I1751" t="s">
        <v>112</v>
      </c>
      <c r="J1751" t="s">
        <v>36</v>
      </c>
      <c r="K1751">
        <v>790</v>
      </c>
      <c r="O1751" t="s">
        <v>37</v>
      </c>
      <c r="P1751" t="s">
        <v>38</v>
      </c>
      <c r="R1751">
        <f t="shared" si="82"/>
        <v>0</v>
      </c>
      <c r="S1751">
        <f>SUMIFS([1]Sheet1!$T:$T,[1]Sheet1!$I:$I,E1751,[1]Sheet1!$C:$C,A1751)</f>
        <v>60</v>
      </c>
      <c r="T1751">
        <f t="shared" si="83"/>
        <v>-60</v>
      </c>
      <c r="U1751" s="9" t="s">
        <v>148</v>
      </c>
      <c r="V1751" t="s">
        <v>184</v>
      </c>
      <c r="W1751" t="s">
        <v>138</v>
      </c>
      <c r="X1751" t="s">
        <v>102</v>
      </c>
      <c r="Y1751" t="s">
        <v>165</v>
      </c>
      <c r="Z1751" t="s">
        <v>41</v>
      </c>
      <c r="AB1751" t="str">
        <f t="shared" si="81"/>
        <v>46198</v>
      </c>
    </row>
    <row r="1752" ht="14.25" spans="1:28">
      <c r="A1752" s="5" t="s">
        <v>28</v>
      </c>
      <c r="B1752" s="5" t="s">
        <v>697</v>
      </c>
      <c r="C1752" s="5">
        <v>2027</v>
      </c>
      <c r="D1752" s="5" t="s">
        <v>30</v>
      </c>
      <c r="E1752" t="s">
        <v>1281</v>
      </c>
      <c r="F1752" t="s">
        <v>1279</v>
      </c>
      <c r="G1752" t="s">
        <v>100</v>
      </c>
      <c r="H1752" t="s">
        <v>1282</v>
      </c>
      <c r="I1752" t="s">
        <v>112</v>
      </c>
      <c r="J1752" t="s">
        <v>36</v>
      </c>
      <c r="K1752">
        <v>790</v>
      </c>
      <c r="O1752" t="s">
        <v>37</v>
      </c>
      <c r="P1752" t="s">
        <v>42</v>
      </c>
      <c r="U1752" s="9" t="s">
        <v>148</v>
      </c>
      <c r="V1752" t="s">
        <v>184</v>
      </c>
      <c r="W1752" t="s">
        <v>138</v>
      </c>
      <c r="X1752" t="s">
        <v>102</v>
      </c>
      <c r="Y1752" t="s">
        <v>165</v>
      </c>
      <c r="Z1752" t="s">
        <v>41</v>
      </c>
      <c r="AB1752" t="str">
        <f t="shared" si="81"/>
        <v>46198</v>
      </c>
    </row>
    <row r="1753" ht="14.25" spans="1:28">
      <c r="A1753" s="5" t="s">
        <v>28</v>
      </c>
      <c r="B1753" s="5" t="s">
        <v>697</v>
      </c>
      <c r="C1753" s="5">
        <v>2027</v>
      </c>
      <c r="D1753" s="5" t="s">
        <v>30</v>
      </c>
      <c r="E1753" t="s">
        <v>1281</v>
      </c>
      <c r="F1753" t="s">
        <v>1279</v>
      </c>
      <c r="G1753" t="s">
        <v>100</v>
      </c>
      <c r="H1753" t="s">
        <v>1282</v>
      </c>
      <c r="I1753" t="s">
        <v>112</v>
      </c>
      <c r="J1753" t="s">
        <v>36</v>
      </c>
      <c r="K1753">
        <v>790</v>
      </c>
      <c r="O1753" t="s">
        <v>37</v>
      </c>
      <c r="P1753" t="s">
        <v>43</v>
      </c>
      <c r="U1753" s="9" t="s">
        <v>148</v>
      </c>
      <c r="V1753" t="s">
        <v>184</v>
      </c>
      <c r="W1753" t="s">
        <v>138</v>
      </c>
      <c r="X1753" t="s">
        <v>102</v>
      </c>
      <c r="Y1753" t="s">
        <v>165</v>
      </c>
      <c r="Z1753" t="s">
        <v>41</v>
      </c>
      <c r="AB1753" t="str">
        <f t="shared" si="81"/>
        <v>46198</v>
      </c>
    </row>
    <row r="1754" ht="14.25" spans="1:28">
      <c r="A1754" s="5" t="s">
        <v>28</v>
      </c>
      <c r="B1754" s="5" t="s">
        <v>697</v>
      </c>
      <c r="C1754" s="5">
        <v>2027</v>
      </c>
      <c r="D1754" s="5" t="s">
        <v>30</v>
      </c>
      <c r="E1754" t="s">
        <v>1281</v>
      </c>
      <c r="F1754" t="s">
        <v>1279</v>
      </c>
      <c r="G1754" t="s">
        <v>100</v>
      </c>
      <c r="H1754" t="s">
        <v>1282</v>
      </c>
      <c r="I1754" t="s">
        <v>112</v>
      </c>
      <c r="J1754" t="s">
        <v>36</v>
      </c>
      <c r="K1754">
        <v>790</v>
      </c>
      <c r="O1754" t="s">
        <v>37</v>
      </c>
      <c r="P1754" t="s">
        <v>44</v>
      </c>
      <c r="U1754" s="9" t="s">
        <v>148</v>
      </c>
      <c r="V1754" t="s">
        <v>184</v>
      </c>
      <c r="W1754" t="s">
        <v>138</v>
      </c>
      <c r="X1754" t="s">
        <v>102</v>
      </c>
      <c r="Y1754" t="s">
        <v>165</v>
      </c>
      <c r="Z1754" t="s">
        <v>41</v>
      </c>
      <c r="AB1754" t="str">
        <f t="shared" si="81"/>
        <v>46198</v>
      </c>
    </row>
    <row r="1755" ht="14.25" spans="1:28">
      <c r="A1755" s="5" t="s">
        <v>28</v>
      </c>
      <c r="B1755" s="5" t="s">
        <v>697</v>
      </c>
      <c r="C1755" s="5">
        <v>2027</v>
      </c>
      <c r="D1755" s="5" t="s">
        <v>30</v>
      </c>
      <c r="E1755" t="s">
        <v>1281</v>
      </c>
      <c r="F1755" t="s">
        <v>1279</v>
      </c>
      <c r="G1755" t="s">
        <v>100</v>
      </c>
      <c r="H1755" t="s">
        <v>1282</v>
      </c>
      <c r="I1755" t="s">
        <v>112</v>
      </c>
      <c r="J1755" t="s">
        <v>36</v>
      </c>
      <c r="K1755">
        <v>790</v>
      </c>
      <c r="O1755" t="s">
        <v>37</v>
      </c>
      <c r="P1755" t="s">
        <v>45</v>
      </c>
      <c r="U1755" s="9" t="s">
        <v>148</v>
      </c>
      <c r="V1755" t="s">
        <v>184</v>
      </c>
      <c r="W1755" t="s">
        <v>138</v>
      </c>
      <c r="X1755" t="s">
        <v>102</v>
      </c>
      <c r="Y1755" t="s">
        <v>165</v>
      </c>
      <c r="Z1755" t="s">
        <v>41</v>
      </c>
      <c r="AB1755" t="str">
        <f t="shared" si="81"/>
        <v>46198</v>
      </c>
    </row>
    <row r="1756" ht="14.25" spans="1:28">
      <c r="A1756" s="5" t="s">
        <v>28</v>
      </c>
      <c r="B1756" s="5" t="s">
        <v>697</v>
      </c>
      <c r="C1756" s="5">
        <v>2027</v>
      </c>
      <c r="D1756" s="5" t="s">
        <v>30</v>
      </c>
      <c r="E1756" t="s">
        <v>1281</v>
      </c>
      <c r="F1756" t="s">
        <v>1279</v>
      </c>
      <c r="G1756" t="s">
        <v>100</v>
      </c>
      <c r="H1756" t="s">
        <v>1282</v>
      </c>
      <c r="I1756" t="s">
        <v>112</v>
      </c>
      <c r="J1756" t="s">
        <v>36</v>
      </c>
      <c r="K1756">
        <v>790</v>
      </c>
      <c r="O1756" t="s">
        <v>37</v>
      </c>
      <c r="P1756" t="s">
        <v>46</v>
      </c>
      <c r="U1756" s="9" t="s">
        <v>148</v>
      </c>
      <c r="V1756" t="s">
        <v>184</v>
      </c>
      <c r="W1756" t="s">
        <v>138</v>
      </c>
      <c r="X1756" t="s">
        <v>102</v>
      </c>
      <c r="Y1756" t="s">
        <v>165</v>
      </c>
      <c r="Z1756" t="s">
        <v>41</v>
      </c>
      <c r="AB1756" t="str">
        <f t="shared" si="81"/>
        <v>46198</v>
      </c>
    </row>
    <row r="1757" ht="14.25" spans="1:28">
      <c r="A1757" s="5" t="s">
        <v>28</v>
      </c>
      <c r="B1757" s="5" t="s">
        <v>697</v>
      </c>
      <c r="C1757" s="5">
        <v>2027</v>
      </c>
      <c r="D1757" s="5" t="s">
        <v>30</v>
      </c>
      <c r="E1757" t="s">
        <v>1283</v>
      </c>
      <c r="F1757" t="s">
        <v>1284</v>
      </c>
      <c r="G1757" t="s">
        <v>100</v>
      </c>
      <c r="H1757" t="s">
        <v>1285</v>
      </c>
      <c r="I1757" t="s">
        <v>119</v>
      </c>
      <c r="J1757" t="s">
        <v>36</v>
      </c>
      <c r="K1757">
        <v>1190</v>
      </c>
      <c r="O1757" t="s">
        <v>37</v>
      </c>
      <c r="P1757" t="s">
        <v>38</v>
      </c>
      <c r="R1757">
        <f t="shared" si="82"/>
        <v>0</v>
      </c>
      <c r="S1757">
        <f>SUMIFS([1]Sheet1!$T:$T,[1]Sheet1!$I:$I,E1757,[1]Sheet1!$C:$C,A1757)</f>
        <v>0</v>
      </c>
      <c r="T1757">
        <f t="shared" si="83"/>
        <v>0</v>
      </c>
      <c r="U1757" s="9" t="s">
        <v>148</v>
      </c>
      <c r="V1757" t="s">
        <v>184</v>
      </c>
      <c r="W1757" t="s">
        <v>138</v>
      </c>
      <c r="X1757" t="s">
        <v>102</v>
      </c>
      <c r="Y1757" t="s">
        <v>1047</v>
      </c>
      <c r="Z1757" t="s">
        <v>41</v>
      </c>
      <c r="AB1757" t="str">
        <f t="shared" si="81"/>
        <v>46204</v>
      </c>
    </row>
    <row r="1758" ht="14.25" spans="1:28">
      <c r="A1758" s="5" t="s">
        <v>28</v>
      </c>
      <c r="B1758" s="5" t="s">
        <v>697</v>
      </c>
      <c r="C1758" s="5">
        <v>2027</v>
      </c>
      <c r="D1758" s="5" t="s">
        <v>30</v>
      </c>
      <c r="E1758" t="s">
        <v>1283</v>
      </c>
      <c r="F1758" t="s">
        <v>1284</v>
      </c>
      <c r="G1758" t="s">
        <v>100</v>
      </c>
      <c r="H1758" t="s">
        <v>1285</v>
      </c>
      <c r="I1758" t="s">
        <v>119</v>
      </c>
      <c r="J1758" t="s">
        <v>36</v>
      </c>
      <c r="K1758">
        <v>1190</v>
      </c>
      <c r="O1758" t="s">
        <v>37</v>
      </c>
      <c r="P1758" t="s">
        <v>42</v>
      </c>
      <c r="U1758" s="9" t="s">
        <v>148</v>
      </c>
      <c r="V1758" t="s">
        <v>184</v>
      </c>
      <c r="W1758" t="s">
        <v>138</v>
      </c>
      <c r="X1758" t="s">
        <v>102</v>
      </c>
      <c r="Y1758" t="s">
        <v>1047</v>
      </c>
      <c r="Z1758" t="s">
        <v>41</v>
      </c>
      <c r="AB1758" t="str">
        <f t="shared" si="81"/>
        <v>46204</v>
      </c>
    </row>
    <row r="1759" ht="14.25" spans="1:28">
      <c r="A1759" s="5" t="s">
        <v>28</v>
      </c>
      <c r="B1759" s="5" t="s">
        <v>697</v>
      </c>
      <c r="C1759" s="5">
        <v>2027</v>
      </c>
      <c r="D1759" s="5" t="s">
        <v>30</v>
      </c>
      <c r="E1759" t="s">
        <v>1283</v>
      </c>
      <c r="F1759" t="s">
        <v>1284</v>
      </c>
      <c r="G1759" t="s">
        <v>100</v>
      </c>
      <c r="H1759" t="s">
        <v>1285</v>
      </c>
      <c r="I1759" t="s">
        <v>119</v>
      </c>
      <c r="J1759" t="s">
        <v>36</v>
      </c>
      <c r="K1759">
        <v>1190</v>
      </c>
      <c r="O1759" t="s">
        <v>37</v>
      </c>
      <c r="P1759" t="s">
        <v>43</v>
      </c>
      <c r="U1759" s="9" t="s">
        <v>148</v>
      </c>
      <c r="V1759" t="s">
        <v>184</v>
      </c>
      <c r="W1759" t="s">
        <v>138</v>
      </c>
      <c r="X1759" t="s">
        <v>102</v>
      </c>
      <c r="Y1759" t="s">
        <v>1047</v>
      </c>
      <c r="Z1759" t="s">
        <v>41</v>
      </c>
      <c r="AB1759" t="str">
        <f t="shared" si="81"/>
        <v>46204</v>
      </c>
    </row>
    <row r="1760" ht="14.25" spans="1:28">
      <c r="A1760" s="5" t="s">
        <v>28</v>
      </c>
      <c r="B1760" s="5" t="s">
        <v>697</v>
      </c>
      <c r="C1760" s="5">
        <v>2027</v>
      </c>
      <c r="D1760" s="5" t="s">
        <v>30</v>
      </c>
      <c r="E1760" t="s">
        <v>1283</v>
      </c>
      <c r="F1760" t="s">
        <v>1284</v>
      </c>
      <c r="G1760" t="s">
        <v>100</v>
      </c>
      <c r="H1760" t="s">
        <v>1285</v>
      </c>
      <c r="I1760" t="s">
        <v>119</v>
      </c>
      <c r="J1760" t="s">
        <v>36</v>
      </c>
      <c r="K1760">
        <v>1190</v>
      </c>
      <c r="O1760" t="s">
        <v>37</v>
      </c>
      <c r="P1760" t="s">
        <v>44</v>
      </c>
      <c r="U1760" s="9" t="s">
        <v>148</v>
      </c>
      <c r="V1760" t="s">
        <v>184</v>
      </c>
      <c r="W1760" t="s">
        <v>138</v>
      </c>
      <c r="X1760" t="s">
        <v>102</v>
      </c>
      <c r="Y1760" t="s">
        <v>1047</v>
      </c>
      <c r="Z1760" t="s">
        <v>41</v>
      </c>
      <c r="AB1760" t="str">
        <f t="shared" si="81"/>
        <v>46204</v>
      </c>
    </row>
    <row r="1761" ht="14.25" spans="1:28">
      <c r="A1761" s="5" t="s">
        <v>28</v>
      </c>
      <c r="B1761" s="5" t="s">
        <v>697</v>
      </c>
      <c r="C1761" s="5">
        <v>2027</v>
      </c>
      <c r="D1761" s="5" t="s">
        <v>30</v>
      </c>
      <c r="E1761" t="s">
        <v>1283</v>
      </c>
      <c r="F1761" t="s">
        <v>1284</v>
      </c>
      <c r="G1761" t="s">
        <v>100</v>
      </c>
      <c r="H1761" t="s">
        <v>1285</v>
      </c>
      <c r="I1761" t="s">
        <v>119</v>
      </c>
      <c r="J1761" t="s">
        <v>36</v>
      </c>
      <c r="K1761">
        <v>1190</v>
      </c>
      <c r="O1761" t="s">
        <v>37</v>
      </c>
      <c r="P1761" t="s">
        <v>45</v>
      </c>
      <c r="U1761" s="9" t="s">
        <v>148</v>
      </c>
      <c r="V1761" t="s">
        <v>184</v>
      </c>
      <c r="W1761" t="s">
        <v>138</v>
      </c>
      <c r="X1761" t="s">
        <v>102</v>
      </c>
      <c r="Y1761" t="s">
        <v>1047</v>
      </c>
      <c r="Z1761" t="s">
        <v>41</v>
      </c>
      <c r="AB1761" t="str">
        <f t="shared" si="81"/>
        <v>46204</v>
      </c>
    </row>
    <row r="1762" ht="14.25" spans="1:28">
      <c r="A1762" s="5" t="s">
        <v>28</v>
      </c>
      <c r="B1762" s="5" t="s">
        <v>697</v>
      </c>
      <c r="C1762" s="5">
        <v>2027</v>
      </c>
      <c r="D1762" s="5" t="s">
        <v>30</v>
      </c>
      <c r="E1762" t="s">
        <v>1283</v>
      </c>
      <c r="F1762" t="s">
        <v>1284</v>
      </c>
      <c r="G1762" t="s">
        <v>100</v>
      </c>
      <c r="H1762" t="s">
        <v>1285</v>
      </c>
      <c r="I1762" t="s">
        <v>119</v>
      </c>
      <c r="J1762" t="s">
        <v>36</v>
      </c>
      <c r="K1762">
        <v>1190</v>
      </c>
      <c r="O1762" t="s">
        <v>37</v>
      </c>
      <c r="P1762" t="s">
        <v>46</v>
      </c>
      <c r="U1762" s="9" t="s">
        <v>148</v>
      </c>
      <c r="V1762" t="s">
        <v>184</v>
      </c>
      <c r="W1762" t="s">
        <v>138</v>
      </c>
      <c r="X1762" t="s">
        <v>102</v>
      </c>
      <c r="Y1762" t="s">
        <v>1047</v>
      </c>
      <c r="Z1762" t="s">
        <v>41</v>
      </c>
      <c r="AB1762" t="str">
        <f t="shared" si="81"/>
        <v>46204</v>
      </c>
    </row>
    <row r="1763" ht="14.25" spans="1:28">
      <c r="A1763" s="5" t="s">
        <v>28</v>
      </c>
      <c r="B1763" s="5" t="s">
        <v>697</v>
      </c>
      <c r="C1763" s="5">
        <v>2027</v>
      </c>
      <c r="D1763" s="5" t="s">
        <v>30</v>
      </c>
      <c r="E1763" t="s">
        <v>1286</v>
      </c>
      <c r="F1763" t="s">
        <v>1284</v>
      </c>
      <c r="G1763" t="s">
        <v>254</v>
      </c>
      <c r="H1763" t="s">
        <v>1287</v>
      </c>
      <c r="I1763" t="s">
        <v>119</v>
      </c>
      <c r="J1763" t="s">
        <v>36</v>
      </c>
      <c r="K1763">
        <v>1190</v>
      </c>
      <c r="O1763" t="s">
        <v>37</v>
      </c>
      <c r="P1763" t="s">
        <v>38</v>
      </c>
      <c r="R1763">
        <f t="shared" si="82"/>
        <v>0</v>
      </c>
      <c r="S1763">
        <f>SUMIFS([1]Sheet1!$T:$T,[1]Sheet1!$I:$I,E1763,[1]Sheet1!$C:$C,A1763)</f>
        <v>0</v>
      </c>
      <c r="T1763">
        <f t="shared" si="83"/>
        <v>0</v>
      </c>
      <c r="U1763" s="9" t="s">
        <v>148</v>
      </c>
      <c r="V1763" t="s">
        <v>184</v>
      </c>
      <c r="W1763" t="s">
        <v>138</v>
      </c>
      <c r="X1763" t="s">
        <v>86</v>
      </c>
      <c r="Y1763" t="s">
        <v>1047</v>
      </c>
      <c r="Z1763" t="s">
        <v>41</v>
      </c>
      <c r="AB1763" t="str">
        <f t="shared" si="81"/>
        <v>46204</v>
      </c>
    </row>
    <row r="1764" ht="14.25" spans="1:28">
      <c r="A1764" s="5" t="s">
        <v>28</v>
      </c>
      <c r="B1764" s="5" t="s">
        <v>697</v>
      </c>
      <c r="C1764" s="5">
        <v>2027</v>
      </c>
      <c r="D1764" s="5" t="s">
        <v>30</v>
      </c>
      <c r="E1764" t="s">
        <v>1286</v>
      </c>
      <c r="F1764" t="s">
        <v>1284</v>
      </c>
      <c r="G1764" t="s">
        <v>254</v>
      </c>
      <c r="H1764" t="s">
        <v>1287</v>
      </c>
      <c r="I1764" t="s">
        <v>119</v>
      </c>
      <c r="J1764" t="s">
        <v>36</v>
      </c>
      <c r="K1764">
        <v>1190</v>
      </c>
      <c r="O1764" t="s">
        <v>37</v>
      </c>
      <c r="P1764" t="s">
        <v>42</v>
      </c>
      <c r="U1764" s="9" t="s">
        <v>148</v>
      </c>
      <c r="V1764" t="s">
        <v>184</v>
      </c>
      <c r="W1764" t="s">
        <v>138</v>
      </c>
      <c r="X1764" t="s">
        <v>86</v>
      </c>
      <c r="Y1764" t="s">
        <v>1047</v>
      </c>
      <c r="Z1764" t="s">
        <v>41</v>
      </c>
      <c r="AB1764" t="str">
        <f t="shared" si="81"/>
        <v>46204</v>
      </c>
    </row>
    <row r="1765" ht="14.25" spans="1:28">
      <c r="A1765" s="5" t="s">
        <v>28</v>
      </c>
      <c r="B1765" s="5" t="s">
        <v>697</v>
      </c>
      <c r="C1765" s="5">
        <v>2027</v>
      </c>
      <c r="D1765" s="5" t="s">
        <v>30</v>
      </c>
      <c r="E1765" t="s">
        <v>1286</v>
      </c>
      <c r="F1765" t="s">
        <v>1284</v>
      </c>
      <c r="G1765" t="s">
        <v>254</v>
      </c>
      <c r="H1765" t="s">
        <v>1287</v>
      </c>
      <c r="I1765" t="s">
        <v>119</v>
      </c>
      <c r="J1765" t="s">
        <v>36</v>
      </c>
      <c r="K1765">
        <v>1190</v>
      </c>
      <c r="O1765" t="s">
        <v>37</v>
      </c>
      <c r="P1765" t="s">
        <v>43</v>
      </c>
      <c r="U1765" s="9" t="s">
        <v>148</v>
      </c>
      <c r="V1765" t="s">
        <v>184</v>
      </c>
      <c r="W1765" t="s">
        <v>138</v>
      </c>
      <c r="X1765" t="s">
        <v>86</v>
      </c>
      <c r="Y1765" t="s">
        <v>1047</v>
      </c>
      <c r="Z1765" t="s">
        <v>41</v>
      </c>
      <c r="AB1765" t="str">
        <f t="shared" si="81"/>
        <v>46204</v>
      </c>
    </row>
    <row r="1766" ht="14.25" spans="1:28">
      <c r="A1766" s="5" t="s">
        <v>28</v>
      </c>
      <c r="B1766" s="5" t="s">
        <v>697</v>
      </c>
      <c r="C1766" s="5">
        <v>2027</v>
      </c>
      <c r="D1766" s="5" t="s">
        <v>30</v>
      </c>
      <c r="E1766" t="s">
        <v>1286</v>
      </c>
      <c r="F1766" t="s">
        <v>1284</v>
      </c>
      <c r="G1766" t="s">
        <v>254</v>
      </c>
      <c r="H1766" t="s">
        <v>1287</v>
      </c>
      <c r="I1766" t="s">
        <v>119</v>
      </c>
      <c r="J1766" t="s">
        <v>36</v>
      </c>
      <c r="K1766">
        <v>1190</v>
      </c>
      <c r="O1766" t="s">
        <v>37</v>
      </c>
      <c r="P1766" t="s">
        <v>44</v>
      </c>
      <c r="U1766" s="9" t="s">
        <v>148</v>
      </c>
      <c r="V1766" t="s">
        <v>184</v>
      </c>
      <c r="W1766" t="s">
        <v>138</v>
      </c>
      <c r="X1766" t="s">
        <v>86</v>
      </c>
      <c r="Y1766" t="s">
        <v>1047</v>
      </c>
      <c r="Z1766" t="s">
        <v>41</v>
      </c>
      <c r="AB1766" t="str">
        <f t="shared" si="81"/>
        <v>46204</v>
      </c>
    </row>
    <row r="1767" ht="14.25" spans="1:28">
      <c r="A1767" s="5" t="s">
        <v>28</v>
      </c>
      <c r="B1767" s="5" t="s">
        <v>697</v>
      </c>
      <c r="C1767" s="5">
        <v>2027</v>
      </c>
      <c r="D1767" s="5" t="s">
        <v>30</v>
      </c>
      <c r="E1767" t="s">
        <v>1286</v>
      </c>
      <c r="F1767" t="s">
        <v>1284</v>
      </c>
      <c r="G1767" t="s">
        <v>254</v>
      </c>
      <c r="H1767" t="s">
        <v>1287</v>
      </c>
      <c r="I1767" t="s">
        <v>119</v>
      </c>
      <c r="J1767" t="s">
        <v>36</v>
      </c>
      <c r="K1767">
        <v>1190</v>
      </c>
      <c r="O1767" t="s">
        <v>37</v>
      </c>
      <c r="P1767" t="s">
        <v>45</v>
      </c>
      <c r="U1767" s="9" t="s">
        <v>148</v>
      </c>
      <c r="V1767" t="s">
        <v>184</v>
      </c>
      <c r="W1767" t="s">
        <v>138</v>
      </c>
      <c r="X1767" t="s">
        <v>86</v>
      </c>
      <c r="Y1767" t="s">
        <v>1047</v>
      </c>
      <c r="Z1767" t="s">
        <v>41</v>
      </c>
      <c r="AB1767" t="str">
        <f t="shared" si="81"/>
        <v>46204</v>
      </c>
    </row>
    <row r="1768" ht="14.25" spans="1:28">
      <c r="A1768" s="5" t="s">
        <v>28</v>
      </c>
      <c r="B1768" s="5" t="s">
        <v>697</v>
      </c>
      <c r="C1768" s="5">
        <v>2027</v>
      </c>
      <c r="D1768" s="5" t="s">
        <v>30</v>
      </c>
      <c r="E1768" t="s">
        <v>1286</v>
      </c>
      <c r="F1768" t="s">
        <v>1284</v>
      </c>
      <c r="G1768" t="s">
        <v>254</v>
      </c>
      <c r="H1768" t="s">
        <v>1287</v>
      </c>
      <c r="I1768" t="s">
        <v>119</v>
      </c>
      <c r="J1768" t="s">
        <v>36</v>
      </c>
      <c r="K1768">
        <v>1190</v>
      </c>
      <c r="O1768" t="s">
        <v>37</v>
      </c>
      <c r="P1768" t="s">
        <v>46</v>
      </c>
      <c r="U1768" s="9" t="s">
        <v>148</v>
      </c>
      <c r="V1768" t="s">
        <v>184</v>
      </c>
      <c r="W1768" t="s">
        <v>138</v>
      </c>
      <c r="X1768" t="s">
        <v>86</v>
      </c>
      <c r="Y1768" t="s">
        <v>1047</v>
      </c>
      <c r="Z1768" t="s">
        <v>41</v>
      </c>
      <c r="AB1768" t="str">
        <f t="shared" si="81"/>
        <v>46204</v>
      </c>
    </row>
    <row r="1769" ht="14.25" spans="1:28">
      <c r="A1769" s="5" t="s">
        <v>28</v>
      </c>
      <c r="B1769" s="5" t="s">
        <v>697</v>
      </c>
      <c r="C1769" s="5">
        <v>2027</v>
      </c>
      <c r="D1769" s="5" t="s">
        <v>30</v>
      </c>
      <c r="E1769" t="s">
        <v>1288</v>
      </c>
      <c r="F1769" t="s">
        <v>1289</v>
      </c>
      <c r="G1769" t="s">
        <v>100</v>
      </c>
      <c r="H1769" t="s">
        <v>1290</v>
      </c>
      <c r="I1769" t="s">
        <v>119</v>
      </c>
      <c r="J1769" t="s">
        <v>36</v>
      </c>
      <c r="K1769">
        <v>890</v>
      </c>
      <c r="O1769" t="s">
        <v>37</v>
      </c>
      <c r="P1769" t="s">
        <v>38</v>
      </c>
      <c r="R1769">
        <f t="shared" si="82"/>
        <v>0</v>
      </c>
      <c r="S1769">
        <f>SUMIFS([1]Sheet1!$T:$T,[1]Sheet1!$I:$I,E1769,[1]Sheet1!$C:$C,A1769)</f>
        <v>20</v>
      </c>
      <c r="T1769">
        <f t="shared" si="83"/>
        <v>-20</v>
      </c>
      <c r="U1769" s="9" t="s">
        <v>148</v>
      </c>
      <c r="V1769" t="s">
        <v>184</v>
      </c>
      <c r="W1769" t="s">
        <v>138</v>
      </c>
      <c r="X1769" t="s">
        <v>102</v>
      </c>
      <c r="Y1769" t="s">
        <v>1291</v>
      </c>
      <c r="Z1769" t="s">
        <v>41</v>
      </c>
      <c r="AB1769" t="str">
        <f t="shared" si="81"/>
        <v>46205</v>
      </c>
    </row>
    <row r="1770" ht="14.25" spans="1:28">
      <c r="A1770" s="5" t="s">
        <v>28</v>
      </c>
      <c r="B1770" s="5" t="s">
        <v>697</v>
      </c>
      <c r="C1770" s="5">
        <v>2027</v>
      </c>
      <c r="D1770" s="5" t="s">
        <v>30</v>
      </c>
      <c r="E1770" t="s">
        <v>1288</v>
      </c>
      <c r="F1770" t="s">
        <v>1289</v>
      </c>
      <c r="G1770" t="s">
        <v>100</v>
      </c>
      <c r="H1770" t="s">
        <v>1290</v>
      </c>
      <c r="I1770" t="s">
        <v>119</v>
      </c>
      <c r="J1770" t="s">
        <v>36</v>
      </c>
      <c r="K1770">
        <v>890</v>
      </c>
      <c r="O1770" t="s">
        <v>37</v>
      </c>
      <c r="P1770" t="s">
        <v>42</v>
      </c>
      <c r="U1770" s="9" t="s">
        <v>148</v>
      </c>
      <c r="V1770" t="s">
        <v>184</v>
      </c>
      <c r="W1770" t="s">
        <v>138</v>
      </c>
      <c r="X1770" t="s">
        <v>102</v>
      </c>
      <c r="Y1770" t="s">
        <v>1291</v>
      </c>
      <c r="Z1770" t="s">
        <v>41</v>
      </c>
      <c r="AB1770" t="str">
        <f t="shared" si="81"/>
        <v>46205</v>
      </c>
    </row>
    <row r="1771" ht="14.25" spans="1:28">
      <c r="A1771" s="5" t="s">
        <v>28</v>
      </c>
      <c r="B1771" s="5" t="s">
        <v>697</v>
      </c>
      <c r="C1771" s="5">
        <v>2027</v>
      </c>
      <c r="D1771" s="5" t="s">
        <v>30</v>
      </c>
      <c r="E1771" t="s">
        <v>1288</v>
      </c>
      <c r="F1771" t="s">
        <v>1289</v>
      </c>
      <c r="G1771" t="s">
        <v>100</v>
      </c>
      <c r="H1771" t="s">
        <v>1290</v>
      </c>
      <c r="I1771" t="s">
        <v>119</v>
      </c>
      <c r="J1771" t="s">
        <v>36</v>
      </c>
      <c r="K1771">
        <v>890</v>
      </c>
      <c r="O1771" t="s">
        <v>37</v>
      </c>
      <c r="P1771" t="s">
        <v>43</v>
      </c>
      <c r="U1771" s="9" t="s">
        <v>148</v>
      </c>
      <c r="V1771" t="s">
        <v>184</v>
      </c>
      <c r="W1771" t="s">
        <v>138</v>
      </c>
      <c r="X1771" t="s">
        <v>102</v>
      </c>
      <c r="Y1771" t="s">
        <v>1291</v>
      </c>
      <c r="Z1771" t="s">
        <v>41</v>
      </c>
      <c r="AB1771" t="str">
        <f t="shared" si="81"/>
        <v>46205</v>
      </c>
    </row>
    <row r="1772" ht="14.25" spans="1:28">
      <c r="A1772" s="5" t="s">
        <v>28</v>
      </c>
      <c r="B1772" s="5" t="s">
        <v>697</v>
      </c>
      <c r="C1772" s="5">
        <v>2027</v>
      </c>
      <c r="D1772" s="5" t="s">
        <v>30</v>
      </c>
      <c r="E1772" t="s">
        <v>1288</v>
      </c>
      <c r="F1772" t="s">
        <v>1289</v>
      </c>
      <c r="G1772" t="s">
        <v>100</v>
      </c>
      <c r="H1772" t="s">
        <v>1290</v>
      </c>
      <c r="I1772" t="s">
        <v>119</v>
      </c>
      <c r="J1772" t="s">
        <v>36</v>
      </c>
      <c r="K1772">
        <v>890</v>
      </c>
      <c r="O1772" t="s">
        <v>37</v>
      </c>
      <c r="P1772" t="s">
        <v>44</v>
      </c>
      <c r="U1772" s="9" t="s">
        <v>148</v>
      </c>
      <c r="V1772" t="s">
        <v>184</v>
      </c>
      <c r="W1772" t="s">
        <v>138</v>
      </c>
      <c r="X1772" t="s">
        <v>102</v>
      </c>
      <c r="Y1772" t="s">
        <v>1291</v>
      </c>
      <c r="Z1772" t="s">
        <v>41</v>
      </c>
      <c r="AB1772" t="str">
        <f t="shared" si="81"/>
        <v>46205</v>
      </c>
    </row>
    <row r="1773" ht="14.25" spans="1:28">
      <c r="A1773" s="5" t="s">
        <v>28</v>
      </c>
      <c r="B1773" s="5" t="s">
        <v>697</v>
      </c>
      <c r="C1773" s="5">
        <v>2027</v>
      </c>
      <c r="D1773" s="5" t="s">
        <v>30</v>
      </c>
      <c r="E1773" t="s">
        <v>1288</v>
      </c>
      <c r="F1773" t="s">
        <v>1289</v>
      </c>
      <c r="G1773" t="s">
        <v>100</v>
      </c>
      <c r="H1773" t="s">
        <v>1290</v>
      </c>
      <c r="I1773" t="s">
        <v>119</v>
      </c>
      <c r="J1773" t="s">
        <v>36</v>
      </c>
      <c r="K1773">
        <v>890</v>
      </c>
      <c r="O1773" t="s">
        <v>37</v>
      </c>
      <c r="P1773" t="s">
        <v>45</v>
      </c>
      <c r="U1773" s="9" t="s">
        <v>148</v>
      </c>
      <c r="V1773" t="s">
        <v>184</v>
      </c>
      <c r="W1773" t="s">
        <v>138</v>
      </c>
      <c r="X1773" t="s">
        <v>102</v>
      </c>
      <c r="Y1773" t="s">
        <v>1291</v>
      </c>
      <c r="Z1773" t="s">
        <v>41</v>
      </c>
      <c r="AB1773" t="str">
        <f t="shared" si="81"/>
        <v>46205</v>
      </c>
    </row>
    <row r="1774" ht="14.25" spans="1:28">
      <c r="A1774" s="5" t="s">
        <v>28</v>
      </c>
      <c r="B1774" s="5" t="s">
        <v>697</v>
      </c>
      <c r="C1774" s="5">
        <v>2027</v>
      </c>
      <c r="D1774" s="5" t="s">
        <v>30</v>
      </c>
      <c r="E1774" t="s">
        <v>1288</v>
      </c>
      <c r="F1774" t="s">
        <v>1289</v>
      </c>
      <c r="G1774" t="s">
        <v>100</v>
      </c>
      <c r="H1774" t="s">
        <v>1290</v>
      </c>
      <c r="I1774" t="s">
        <v>119</v>
      </c>
      <c r="J1774" t="s">
        <v>36</v>
      </c>
      <c r="K1774">
        <v>890</v>
      </c>
      <c r="O1774" t="s">
        <v>37</v>
      </c>
      <c r="P1774" t="s">
        <v>46</v>
      </c>
      <c r="U1774" s="9" t="s">
        <v>148</v>
      </c>
      <c r="V1774" t="s">
        <v>184</v>
      </c>
      <c r="W1774" t="s">
        <v>138</v>
      </c>
      <c r="X1774" t="s">
        <v>102</v>
      </c>
      <c r="Y1774" t="s">
        <v>1291</v>
      </c>
      <c r="Z1774" t="s">
        <v>41</v>
      </c>
      <c r="AB1774" t="str">
        <f t="shared" si="81"/>
        <v>46205</v>
      </c>
    </row>
    <row r="1775" ht="14.25" spans="1:28">
      <c r="A1775" s="5" t="s">
        <v>28</v>
      </c>
      <c r="B1775" s="5" t="s">
        <v>697</v>
      </c>
      <c r="C1775" s="5">
        <v>2027</v>
      </c>
      <c r="D1775" s="5" t="s">
        <v>30</v>
      </c>
      <c r="E1775" t="s">
        <v>1292</v>
      </c>
      <c r="F1775" t="s">
        <v>1289</v>
      </c>
      <c r="G1775" t="s">
        <v>254</v>
      </c>
      <c r="H1775" t="s">
        <v>1293</v>
      </c>
      <c r="I1775" t="s">
        <v>119</v>
      </c>
      <c r="J1775" t="s">
        <v>36</v>
      </c>
      <c r="K1775">
        <v>890</v>
      </c>
      <c r="O1775" t="s">
        <v>37</v>
      </c>
      <c r="P1775" t="s">
        <v>38</v>
      </c>
      <c r="R1775">
        <f t="shared" si="82"/>
        <v>0</v>
      </c>
      <c r="S1775">
        <f>SUMIFS([1]Sheet1!$T:$T,[1]Sheet1!$I:$I,E1775,[1]Sheet1!$C:$C,A1775)</f>
        <v>20</v>
      </c>
      <c r="T1775">
        <f t="shared" si="83"/>
        <v>-20</v>
      </c>
      <c r="U1775" s="9" t="s">
        <v>148</v>
      </c>
      <c r="V1775" t="s">
        <v>184</v>
      </c>
      <c r="W1775" t="s">
        <v>138</v>
      </c>
      <c r="X1775" t="s">
        <v>86</v>
      </c>
      <c r="Y1775" t="s">
        <v>1291</v>
      </c>
      <c r="Z1775" t="s">
        <v>41</v>
      </c>
      <c r="AB1775" t="str">
        <f t="shared" si="81"/>
        <v>46205</v>
      </c>
    </row>
    <row r="1776" ht="14.25" spans="1:28">
      <c r="A1776" s="5" t="s">
        <v>28</v>
      </c>
      <c r="B1776" s="5" t="s">
        <v>697</v>
      </c>
      <c r="C1776" s="5">
        <v>2027</v>
      </c>
      <c r="D1776" s="5" t="s">
        <v>30</v>
      </c>
      <c r="E1776" t="s">
        <v>1292</v>
      </c>
      <c r="F1776" t="s">
        <v>1289</v>
      </c>
      <c r="G1776" t="s">
        <v>254</v>
      </c>
      <c r="H1776" t="s">
        <v>1293</v>
      </c>
      <c r="I1776" t="s">
        <v>119</v>
      </c>
      <c r="J1776" t="s">
        <v>36</v>
      </c>
      <c r="K1776">
        <v>890</v>
      </c>
      <c r="O1776" t="s">
        <v>37</v>
      </c>
      <c r="P1776" t="s">
        <v>42</v>
      </c>
      <c r="U1776" s="9" t="s">
        <v>148</v>
      </c>
      <c r="V1776" t="s">
        <v>184</v>
      </c>
      <c r="W1776" t="s">
        <v>138</v>
      </c>
      <c r="X1776" t="s">
        <v>86</v>
      </c>
      <c r="Y1776" t="s">
        <v>1291</v>
      </c>
      <c r="Z1776" t="s">
        <v>41</v>
      </c>
      <c r="AB1776" t="str">
        <f t="shared" si="81"/>
        <v>46205</v>
      </c>
    </row>
    <row r="1777" ht="14.25" spans="1:28">
      <c r="A1777" s="5" t="s">
        <v>28</v>
      </c>
      <c r="B1777" s="5" t="s">
        <v>697</v>
      </c>
      <c r="C1777" s="5">
        <v>2027</v>
      </c>
      <c r="D1777" s="5" t="s">
        <v>30</v>
      </c>
      <c r="E1777" t="s">
        <v>1292</v>
      </c>
      <c r="F1777" t="s">
        <v>1289</v>
      </c>
      <c r="G1777" t="s">
        <v>254</v>
      </c>
      <c r="H1777" t="s">
        <v>1293</v>
      </c>
      <c r="I1777" t="s">
        <v>119</v>
      </c>
      <c r="J1777" t="s">
        <v>36</v>
      </c>
      <c r="K1777">
        <v>890</v>
      </c>
      <c r="O1777" t="s">
        <v>37</v>
      </c>
      <c r="P1777" t="s">
        <v>43</v>
      </c>
      <c r="U1777" s="9" t="s">
        <v>148</v>
      </c>
      <c r="V1777" t="s">
        <v>184</v>
      </c>
      <c r="W1777" t="s">
        <v>138</v>
      </c>
      <c r="X1777" t="s">
        <v>86</v>
      </c>
      <c r="Y1777" t="s">
        <v>1291</v>
      </c>
      <c r="Z1777" t="s">
        <v>41</v>
      </c>
      <c r="AB1777" t="str">
        <f t="shared" si="81"/>
        <v>46205</v>
      </c>
    </row>
    <row r="1778" ht="14.25" spans="1:28">
      <c r="A1778" s="5" t="s">
        <v>28</v>
      </c>
      <c r="B1778" s="5" t="s">
        <v>697</v>
      </c>
      <c r="C1778" s="5">
        <v>2027</v>
      </c>
      <c r="D1778" s="5" t="s">
        <v>30</v>
      </c>
      <c r="E1778" t="s">
        <v>1292</v>
      </c>
      <c r="F1778" t="s">
        <v>1289</v>
      </c>
      <c r="G1778" t="s">
        <v>254</v>
      </c>
      <c r="H1778" t="s">
        <v>1293</v>
      </c>
      <c r="I1778" t="s">
        <v>119</v>
      </c>
      <c r="J1778" t="s">
        <v>36</v>
      </c>
      <c r="K1778">
        <v>890</v>
      </c>
      <c r="O1778" t="s">
        <v>37</v>
      </c>
      <c r="P1778" t="s">
        <v>44</v>
      </c>
      <c r="U1778" s="9" t="s">
        <v>148</v>
      </c>
      <c r="V1778" t="s">
        <v>184</v>
      </c>
      <c r="W1778" t="s">
        <v>138</v>
      </c>
      <c r="X1778" t="s">
        <v>86</v>
      </c>
      <c r="Y1778" t="s">
        <v>1291</v>
      </c>
      <c r="Z1778" t="s">
        <v>41</v>
      </c>
      <c r="AB1778" t="str">
        <f t="shared" si="81"/>
        <v>46205</v>
      </c>
    </row>
    <row r="1779" ht="14.25" spans="1:28">
      <c r="A1779" s="5" t="s">
        <v>28</v>
      </c>
      <c r="B1779" s="5" t="s">
        <v>697</v>
      </c>
      <c r="C1779" s="5">
        <v>2027</v>
      </c>
      <c r="D1779" s="5" t="s">
        <v>30</v>
      </c>
      <c r="E1779" t="s">
        <v>1292</v>
      </c>
      <c r="F1779" t="s">
        <v>1289</v>
      </c>
      <c r="G1779" t="s">
        <v>254</v>
      </c>
      <c r="H1779" t="s">
        <v>1293</v>
      </c>
      <c r="I1779" t="s">
        <v>119</v>
      </c>
      <c r="J1779" t="s">
        <v>36</v>
      </c>
      <c r="K1779">
        <v>890</v>
      </c>
      <c r="O1779" t="s">
        <v>37</v>
      </c>
      <c r="P1779" t="s">
        <v>45</v>
      </c>
      <c r="U1779" s="9" t="s">
        <v>148</v>
      </c>
      <c r="V1779" t="s">
        <v>184</v>
      </c>
      <c r="W1779" t="s">
        <v>138</v>
      </c>
      <c r="X1779" t="s">
        <v>86</v>
      </c>
      <c r="Y1779" t="s">
        <v>1291</v>
      </c>
      <c r="Z1779" t="s">
        <v>41</v>
      </c>
      <c r="AB1779" t="str">
        <f t="shared" ref="AB1779:AB1842" si="84">MID(E1779,6,5)</f>
        <v>46205</v>
      </c>
    </row>
    <row r="1780" ht="14.25" spans="1:28">
      <c r="A1780" s="5" t="s">
        <v>28</v>
      </c>
      <c r="B1780" s="5" t="s">
        <v>697</v>
      </c>
      <c r="C1780" s="5">
        <v>2027</v>
      </c>
      <c r="D1780" s="5" t="s">
        <v>30</v>
      </c>
      <c r="E1780" t="s">
        <v>1292</v>
      </c>
      <c r="F1780" t="s">
        <v>1289</v>
      </c>
      <c r="G1780" t="s">
        <v>254</v>
      </c>
      <c r="H1780" t="s">
        <v>1293</v>
      </c>
      <c r="I1780" t="s">
        <v>119</v>
      </c>
      <c r="J1780" t="s">
        <v>36</v>
      </c>
      <c r="K1780">
        <v>890</v>
      </c>
      <c r="O1780" t="s">
        <v>37</v>
      </c>
      <c r="P1780" t="s">
        <v>46</v>
      </c>
      <c r="U1780" s="9" t="s">
        <v>148</v>
      </c>
      <c r="V1780" t="s">
        <v>184</v>
      </c>
      <c r="W1780" t="s">
        <v>138</v>
      </c>
      <c r="X1780" t="s">
        <v>86</v>
      </c>
      <c r="Y1780" t="s">
        <v>1291</v>
      </c>
      <c r="Z1780" t="s">
        <v>41</v>
      </c>
      <c r="AB1780" t="str">
        <f t="shared" si="84"/>
        <v>46205</v>
      </c>
    </row>
    <row r="1781" ht="14.25" spans="1:28">
      <c r="A1781" s="5" t="s">
        <v>28</v>
      </c>
      <c r="B1781" s="5" t="s">
        <v>697</v>
      </c>
      <c r="C1781" s="5">
        <v>2027</v>
      </c>
      <c r="D1781" s="5" t="s">
        <v>30</v>
      </c>
      <c r="E1781" t="s">
        <v>1294</v>
      </c>
      <c r="F1781" t="s">
        <v>1295</v>
      </c>
      <c r="G1781" t="s">
        <v>100</v>
      </c>
      <c r="H1781" t="s">
        <v>1296</v>
      </c>
      <c r="I1781" t="s">
        <v>119</v>
      </c>
      <c r="J1781" t="s">
        <v>36</v>
      </c>
      <c r="K1781">
        <v>690</v>
      </c>
      <c r="O1781" t="s">
        <v>37</v>
      </c>
      <c r="P1781" t="s">
        <v>38</v>
      </c>
      <c r="R1781">
        <f t="shared" si="82"/>
        <v>0</v>
      </c>
      <c r="S1781">
        <f>SUMIFS([1]Sheet1!$T:$T,[1]Sheet1!$I:$I,E1781,[1]Sheet1!$C:$C,A1781)</f>
        <v>20</v>
      </c>
      <c r="T1781">
        <f t="shared" si="83"/>
        <v>-20</v>
      </c>
      <c r="U1781" s="9" t="s">
        <v>148</v>
      </c>
      <c r="V1781" t="s">
        <v>184</v>
      </c>
      <c r="W1781" t="s">
        <v>138</v>
      </c>
      <c r="X1781" t="s">
        <v>102</v>
      </c>
      <c r="Y1781" t="s">
        <v>1291</v>
      </c>
      <c r="Z1781" t="s">
        <v>41</v>
      </c>
      <c r="AB1781" t="str">
        <f t="shared" si="84"/>
        <v>46206</v>
      </c>
    </row>
    <row r="1782" ht="14.25" spans="1:28">
      <c r="A1782" s="5" t="s">
        <v>28</v>
      </c>
      <c r="B1782" s="5" t="s">
        <v>697</v>
      </c>
      <c r="C1782" s="5">
        <v>2027</v>
      </c>
      <c r="D1782" s="5" t="s">
        <v>30</v>
      </c>
      <c r="E1782" t="s">
        <v>1294</v>
      </c>
      <c r="F1782" t="s">
        <v>1295</v>
      </c>
      <c r="G1782" t="s">
        <v>100</v>
      </c>
      <c r="H1782" t="s">
        <v>1296</v>
      </c>
      <c r="I1782" t="s">
        <v>119</v>
      </c>
      <c r="J1782" t="s">
        <v>36</v>
      </c>
      <c r="K1782">
        <v>690</v>
      </c>
      <c r="O1782" t="s">
        <v>37</v>
      </c>
      <c r="P1782" t="s">
        <v>42</v>
      </c>
      <c r="U1782" s="9" t="s">
        <v>148</v>
      </c>
      <c r="V1782" t="s">
        <v>184</v>
      </c>
      <c r="W1782" t="s">
        <v>138</v>
      </c>
      <c r="X1782" t="s">
        <v>102</v>
      </c>
      <c r="Y1782" t="s">
        <v>1291</v>
      </c>
      <c r="Z1782" t="s">
        <v>41</v>
      </c>
      <c r="AB1782" t="str">
        <f t="shared" si="84"/>
        <v>46206</v>
      </c>
    </row>
    <row r="1783" ht="14.25" spans="1:28">
      <c r="A1783" s="5" t="s">
        <v>28</v>
      </c>
      <c r="B1783" s="5" t="s">
        <v>697</v>
      </c>
      <c r="C1783" s="5">
        <v>2027</v>
      </c>
      <c r="D1783" s="5" t="s">
        <v>30</v>
      </c>
      <c r="E1783" t="s">
        <v>1294</v>
      </c>
      <c r="F1783" t="s">
        <v>1295</v>
      </c>
      <c r="G1783" t="s">
        <v>100</v>
      </c>
      <c r="H1783" t="s">
        <v>1296</v>
      </c>
      <c r="I1783" t="s">
        <v>119</v>
      </c>
      <c r="J1783" t="s">
        <v>36</v>
      </c>
      <c r="K1783">
        <v>690</v>
      </c>
      <c r="O1783" t="s">
        <v>37</v>
      </c>
      <c r="P1783" t="s">
        <v>43</v>
      </c>
      <c r="U1783" s="9" t="s">
        <v>148</v>
      </c>
      <c r="V1783" t="s">
        <v>184</v>
      </c>
      <c r="W1783" t="s">
        <v>138</v>
      </c>
      <c r="X1783" t="s">
        <v>102</v>
      </c>
      <c r="Y1783" t="s">
        <v>1291</v>
      </c>
      <c r="Z1783" t="s">
        <v>41</v>
      </c>
      <c r="AB1783" t="str">
        <f t="shared" si="84"/>
        <v>46206</v>
      </c>
    </row>
    <row r="1784" ht="14.25" spans="1:28">
      <c r="A1784" s="5" t="s">
        <v>28</v>
      </c>
      <c r="B1784" s="5" t="s">
        <v>697</v>
      </c>
      <c r="C1784" s="5">
        <v>2027</v>
      </c>
      <c r="D1784" s="5" t="s">
        <v>30</v>
      </c>
      <c r="E1784" t="s">
        <v>1294</v>
      </c>
      <c r="F1784" t="s">
        <v>1295</v>
      </c>
      <c r="G1784" t="s">
        <v>100</v>
      </c>
      <c r="H1784" t="s">
        <v>1296</v>
      </c>
      <c r="I1784" t="s">
        <v>119</v>
      </c>
      <c r="J1784" t="s">
        <v>36</v>
      </c>
      <c r="K1784">
        <v>690</v>
      </c>
      <c r="O1784" t="s">
        <v>37</v>
      </c>
      <c r="P1784" t="s">
        <v>44</v>
      </c>
      <c r="U1784" s="9" t="s">
        <v>148</v>
      </c>
      <c r="V1784" t="s">
        <v>184</v>
      </c>
      <c r="W1784" t="s">
        <v>138</v>
      </c>
      <c r="X1784" t="s">
        <v>102</v>
      </c>
      <c r="Y1784" t="s">
        <v>1291</v>
      </c>
      <c r="Z1784" t="s">
        <v>41</v>
      </c>
      <c r="AB1784" t="str">
        <f t="shared" si="84"/>
        <v>46206</v>
      </c>
    </row>
    <row r="1785" ht="14.25" spans="1:28">
      <c r="A1785" s="5" t="s">
        <v>28</v>
      </c>
      <c r="B1785" s="5" t="s">
        <v>697</v>
      </c>
      <c r="C1785" s="5">
        <v>2027</v>
      </c>
      <c r="D1785" s="5" t="s">
        <v>30</v>
      </c>
      <c r="E1785" t="s">
        <v>1294</v>
      </c>
      <c r="F1785" t="s">
        <v>1295</v>
      </c>
      <c r="G1785" t="s">
        <v>100</v>
      </c>
      <c r="H1785" t="s">
        <v>1296</v>
      </c>
      <c r="I1785" t="s">
        <v>119</v>
      </c>
      <c r="J1785" t="s">
        <v>36</v>
      </c>
      <c r="K1785">
        <v>690</v>
      </c>
      <c r="O1785" t="s">
        <v>37</v>
      </c>
      <c r="P1785" t="s">
        <v>45</v>
      </c>
      <c r="U1785" s="9" t="s">
        <v>148</v>
      </c>
      <c r="V1785" t="s">
        <v>184</v>
      </c>
      <c r="W1785" t="s">
        <v>138</v>
      </c>
      <c r="X1785" t="s">
        <v>102</v>
      </c>
      <c r="Y1785" t="s">
        <v>1291</v>
      </c>
      <c r="Z1785" t="s">
        <v>41</v>
      </c>
      <c r="AB1785" t="str">
        <f t="shared" si="84"/>
        <v>46206</v>
      </c>
    </row>
    <row r="1786" ht="14.25" spans="1:28">
      <c r="A1786" s="5" t="s">
        <v>28</v>
      </c>
      <c r="B1786" s="5" t="s">
        <v>697</v>
      </c>
      <c r="C1786" s="5">
        <v>2027</v>
      </c>
      <c r="D1786" s="5" t="s">
        <v>30</v>
      </c>
      <c r="E1786" t="s">
        <v>1294</v>
      </c>
      <c r="F1786" t="s">
        <v>1295</v>
      </c>
      <c r="G1786" t="s">
        <v>100</v>
      </c>
      <c r="H1786" t="s">
        <v>1296</v>
      </c>
      <c r="I1786" t="s">
        <v>119</v>
      </c>
      <c r="J1786" t="s">
        <v>36</v>
      </c>
      <c r="K1786">
        <v>690</v>
      </c>
      <c r="O1786" t="s">
        <v>37</v>
      </c>
      <c r="P1786" t="s">
        <v>46</v>
      </c>
      <c r="U1786" s="9" t="s">
        <v>148</v>
      </c>
      <c r="V1786" t="s">
        <v>184</v>
      </c>
      <c r="W1786" t="s">
        <v>138</v>
      </c>
      <c r="X1786" t="s">
        <v>102</v>
      </c>
      <c r="Y1786" t="s">
        <v>1291</v>
      </c>
      <c r="Z1786" t="s">
        <v>41</v>
      </c>
      <c r="AB1786" t="str">
        <f t="shared" si="84"/>
        <v>46206</v>
      </c>
    </row>
    <row r="1787" ht="14.25" spans="1:28">
      <c r="A1787" s="5" t="s">
        <v>28</v>
      </c>
      <c r="B1787" s="5" t="s">
        <v>697</v>
      </c>
      <c r="C1787" s="5">
        <v>2027</v>
      </c>
      <c r="D1787" s="5" t="s">
        <v>30</v>
      </c>
      <c r="E1787" t="s">
        <v>1297</v>
      </c>
      <c r="F1787" t="s">
        <v>1295</v>
      </c>
      <c r="G1787" t="s">
        <v>1274</v>
      </c>
      <c r="H1787" t="s">
        <v>1298</v>
      </c>
      <c r="I1787" t="s">
        <v>119</v>
      </c>
      <c r="J1787" t="s">
        <v>36</v>
      </c>
      <c r="K1787">
        <v>690</v>
      </c>
      <c r="O1787" t="s">
        <v>37</v>
      </c>
      <c r="P1787" t="s">
        <v>38</v>
      </c>
      <c r="R1787">
        <f t="shared" si="82"/>
        <v>0</v>
      </c>
      <c r="S1787">
        <f>SUMIFS([1]Sheet1!$T:$T,[1]Sheet1!$I:$I,E1787,[1]Sheet1!$C:$C,A1787)</f>
        <v>0</v>
      </c>
      <c r="T1787">
        <f t="shared" si="83"/>
        <v>0</v>
      </c>
      <c r="U1787" s="9" t="s">
        <v>148</v>
      </c>
      <c r="V1787" t="s">
        <v>184</v>
      </c>
      <c r="W1787" t="s">
        <v>138</v>
      </c>
      <c r="X1787" t="s">
        <v>503</v>
      </c>
      <c r="Y1787" t="s">
        <v>1291</v>
      </c>
      <c r="Z1787" t="s">
        <v>41</v>
      </c>
      <c r="AB1787" t="str">
        <f t="shared" si="84"/>
        <v>46206</v>
      </c>
    </row>
    <row r="1788" ht="14.25" spans="1:28">
      <c r="A1788" s="5" t="s">
        <v>28</v>
      </c>
      <c r="B1788" s="5" t="s">
        <v>697</v>
      </c>
      <c r="C1788" s="5">
        <v>2027</v>
      </c>
      <c r="D1788" s="5" t="s">
        <v>30</v>
      </c>
      <c r="E1788" t="s">
        <v>1297</v>
      </c>
      <c r="F1788" t="s">
        <v>1295</v>
      </c>
      <c r="G1788" t="s">
        <v>1274</v>
      </c>
      <c r="H1788" t="s">
        <v>1298</v>
      </c>
      <c r="I1788" t="s">
        <v>119</v>
      </c>
      <c r="J1788" t="s">
        <v>36</v>
      </c>
      <c r="K1788">
        <v>690</v>
      </c>
      <c r="O1788" t="s">
        <v>37</v>
      </c>
      <c r="P1788" t="s">
        <v>42</v>
      </c>
      <c r="U1788" s="9" t="s">
        <v>148</v>
      </c>
      <c r="V1788" t="s">
        <v>184</v>
      </c>
      <c r="W1788" t="s">
        <v>138</v>
      </c>
      <c r="X1788" t="s">
        <v>503</v>
      </c>
      <c r="Y1788" t="s">
        <v>1291</v>
      </c>
      <c r="Z1788" t="s">
        <v>41</v>
      </c>
      <c r="AB1788" t="str">
        <f t="shared" si="84"/>
        <v>46206</v>
      </c>
    </row>
    <row r="1789" ht="14.25" spans="1:28">
      <c r="A1789" s="5" t="s">
        <v>28</v>
      </c>
      <c r="B1789" s="5" t="s">
        <v>697</v>
      </c>
      <c r="C1789" s="5">
        <v>2027</v>
      </c>
      <c r="D1789" s="5" t="s">
        <v>30</v>
      </c>
      <c r="E1789" t="s">
        <v>1297</v>
      </c>
      <c r="F1789" t="s">
        <v>1295</v>
      </c>
      <c r="G1789" t="s">
        <v>1274</v>
      </c>
      <c r="H1789" t="s">
        <v>1298</v>
      </c>
      <c r="I1789" t="s">
        <v>119</v>
      </c>
      <c r="J1789" t="s">
        <v>36</v>
      </c>
      <c r="K1789">
        <v>690</v>
      </c>
      <c r="O1789" t="s">
        <v>37</v>
      </c>
      <c r="P1789" t="s">
        <v>43</v>
      </c>
      <c r="U1789" s="9" t="s">
        <v>148</v>
      </c>
      <c r="V1789" t="s">
        <v>184</v>
      </c>
      <c r="W1789" t="s">
        <v>138</v>
      </c>
      <c r="X1789" t="s">
        <v>503</v>
      </c>
      <c r="Y1789" t="s">
        <v>1291</v>
      </c>
      <c r="Z1789" t="s">
        <v>41</v>
      </c>
      <c r="AB1789" t="str">
        <f t="shared" si="84"/>
        <v>46206</v>
      </c>
    </row>
    <row r="1790" ht="14.25" spans="1:28">
      <c r="A1790" s="5" t="s">
        <v>28</v>
      </c>
      <c r="B1790" s="5" t="s">
        <v>697</v>
      </c>
      <c r="C1790" s="5">
        <v>2027</v>
      </c>
      <c r="D1790" s="5" t="s">
        <v>30</v>
      </c>
      <c r="E1790" t="s">
        <v>1297</v>
      </c>
      <c r="F1790" t="s">
        <v>1295</v>
      </c>
      <c r="G1790" t="s">
        <v>1274</v>
      </c>
      <c r="H1790" t="s">
        <v>1298</v>
      </c>
      <c r="I1790" t="s">
        <v>119</v>
      </c>
      <c r="J1790" t="s">
        <v>36</v>
      </c>
      <c r="K1790">
        <v>690</v>
      </c>
      <c r="O1790" t="s">
        <v>37</v>
      </c>
      <c r="P1790" t="s">
        <v>44</v>
      </c>
      <c r="U1790" s="9" t="s">
        <v>148</v>
      </c>
      <c r="V1790" t="s">
        <v>184</v>
      </c>
      <c r="W1790" t="s">
        <v>138</v>
      </c>
      <c r="X1790" t="s">
        <v>503</v>
      </c>
      <c r="Y1790" t="s">
        <v>1291</v>
      </c>
      <c r="Z1790" t="s">
        <v>41</v>
      </c>
      <c r="AB1790" t="str">
        <f t="shared" si="84"/>
        <v>46206</v>
      </c>
    </row>
    <row r="1791" ht="14.25" spans="1:28">
      <c r="A1791" s="5" t="s">
        <v>28</v>
      </c>
      <c r="B1791" s="5" t="s">
        <v>697</v>
      </c>
      <c r="C1791" s="5">
        <v>2027</v>
      </c>
      <c r="D1791" s="5" t="s">
        <v>30</v>
      </c>
      <c r="E1791" t="s">
        <v>1297</v>
      </c>
      <c r="F1791" t="s">
        <v>1295</v>
      </c>
      <c r="G1791" t="s">
        <v>1274</v>
      </c>
      <c r="H1791" t="s">
        <v>1298</v>
      </c>
      <c r="I1791" t="s">
        <v>119</v>
      </c>
      <c r="J1791" t="s">
        <v>36</v>
      </c>
      <c r="K1791">
        <v>690</v>
      </c>
      <c r="O1791" t="s">
        <v>37</v>
      </c>
      <c r="P1791" t="s">
        <v>45</v>
      </c>
      <c r="U1791" s="9" t="s">
        <v>148</v>
      </c>
      <c r="V1791" t="s">
        <v>184</v>
      </c>
      <c r="W1791" t="s">
        <v>138</v>
      </c>
      <c r="X1791" t="s">
        <v>503</v>
      </c>
      <c r="Y1791" t="s">
        <v>1291</v>
      </c>
      <c r="Z1791" t="s">
        <v>41</v>
      </c>
      <c r="AB1791" t="str">
        <f t="shared" si="84"/>
        <v>46206</v>
      </c>
    </row>
    <row r="1792" ht="14.25" spans="1:28">
      <c r="A1792" s="5" t="s">
        <v>28</v>
      </c>
      <c r="B1792" s="5" t="s">
        <v>697</v>
      </c>
      <c r="C1792" s="5">
        <v>2027</v>
      </c>
      <c r="D1792" s="5" t="s">
        <v>30</v>
      </c>
      <c r="E1792" t="s">
        <v>1297</v>
      </c>
      <c r="F1792" t="s">
        <v>1295</v>
      </c>
      <c r="G1792" t="s">
        <v>1274</v>
      </c>
      <c r="H1792" t="s">
        <v>1298</v>
      </c>
      <c r="I1792" t="s">
        <v>119</v>
      </c>
      <c r="J1792" t="s">
        <v>36</v>
      </c>
      <c r="K1792">
        <v>690</v>
      </c>
      <c r="O1792" t="s">
        <v>37</v>
      </c>
      <c r="P1792" t="s">
        <v>46</v>
      </c>
      <c r="U1792" s="9" t="s">
        <v>148</v>
      </c>
      <c r="V1792" t="s">
        <v>184</v>
      </c>
      <c r="W1792" t="s">
        <v>138</v>
      </c>
      <c r="X1792" t="s">
        <v>503</v>
      </c>
      <c r="Y1792" t="s">
        <v>1291</v>
      </c>
      <c r="Z1792" t="s">
        <v>41</v>
      </c>
      <c r="AB1792" t="str">
        <f t="shared" si="84"/>
        <v>46206</v>
      </c>
    </row>
    <row r="1793" ht="14.25" spans="1:28">
      <c r="A1793" s="5" t="s">
        <v>28</v>
      </c>
      <c r="B1793" s="5" t="s">
        <v>697</v>
      </c>
      <c r="C1793" s="5">
        <v>2027</v>
      </c>
      <c r="D1793" s="5" t="s">
        <v>30</v>
      </c>
      <c r="E1793" t="s">
        <v>1299</v>
      </c>
      <c r="F1793" t="s">
        <v>1295</v>
      </c>
      <c r="G1793" t="s">
        <v>254</v>
      </c>
      <c r="H1793" t="s">
        <v>1300</v>
      </c>
      <c r="I1793" t="s">
        <v>119</v>
      </c>
      <c r="J1793" t="s">
        <v>36</v>
      </c>
      <c r="K1793">
        <v>690</v>
      </c>
      <c r="O1793" t="s">
        <v>37</v>
      </c>
      <c r="P1793" t="s">
        <v>38</v>
      </c>
      <c r="R1793">
        <f t="shared" si="82"/>
        <v>0</v>
      </c>
      <c r="S1793">
        <f>SUMIFS([1]Sheet1!$T:$T,[1]Sheet1!$I:$I,E1793,[1]Sheet1!$C:$C,A1793)</f>
        <v>20</v>
      </c>
      <c r="T1793">
        <f t="shared" si="83"/>
        <v>-20</v>
      </c>
      <c r="U1793" s="9" t="s">
        <v>148</v>
      </c>
      <c r="V1793" t="s">
        <v>184</v>
      </c>
      <c r="W1793" t="s">
        <v>138</v>
      </c>
      <c r="X1793" t="s">
        <v>86</v>
      </c>
      <c r="Y1793" t="s">
        <v>1291</v>
      </c>
      <c r="Z1793" t="s">
        <v>41</v>
      </c>
      <c r="AB1793" t="str">
        <f t="shared" si="84"/>
        <v>46206</v>
      </c>
    </row>
    <row r="1794" ht="14.25" spans="1:28">
      <c r="A1794" s="5" t="s">
        <v>28</v>
      </c>
      <c r="B1794" s="5" t="s">
        <v>697</v>
      </c>
      <c r="C1794" s="5">
        <v>2027</v>
      </c>
      <c r="D1794" s="5" t="s">
        <v>30</v>
      </c>
      <c r="E1794" t="s">
        <v>1299</v>
      </c>
      <c r="F1794" t="s">
        <v>1295</v>
      </c>
      <c r="G1794" t="s">
        <v>254</v>
      </c>
      <c r="H1794" t="s">
        <v>1300</v>
      </c>
      <c r="I1794" t="s">
        <v>119</v>
      </c>
      <c r="J1794" t="s">
        <v>36</v>
      </c>
      <c r="K1794">
        <v>690</v>
      </c>
      <c r="O1794" t="s">
        <v>37</v>
      </c>
      <c r="P1794" t="s">
        <v>42</v>
      </c>
      <c r="U1794" s="9" t="s">
        <v>148</v>
      </c>
      <c r="V1794" t="s">
        <v>184</v>
      </c>
      <c r="W1794" t="s">
        <v>138</v>
      </c>
      <c r="X1794" t="s">
        <v>86</v>
      </c>
      <c r="Y1794" t="s">
        <v>1291</v>
      </c>
      <c r="Z1794" t="s">
        <v>41</v>
      </c>
      <c r="AB1794" t="str">
        <f t="shared" si="84"/>
        <v>46206</v>
      </c>
    </row>
    <row r="1795" ht="14.25" spans="1:28">
      <c r="A1795" s="5" t="s">
        <v>28</v>
      </c>
      <c r="B1795" s="5" t="s">
        <v>697</v>
      </c>
      <c r="C1795" s="5">
        <v>2027</v>
      </c>
      <c r="D1795" s="5" t="s">
        <v>30</v>
      </c>
      <c r="E1795" t="s">
        <v>1299</v>
      </c>
      <c r="F1795" t="s">
        <v>1295</v>
      </c>
      <c r="G1795" t="s">
        <v>254</v>
      </c>
      <c r="H1795" t="s">
        <v>1300</v>
      </c>
      <c r="I1795" t="s">
        <v>119</v>
      </c>
      <c r="J1795" t="s">
        <v>36</v>
      </c>
      <c r="K1795">
        <v>690</v>
      </c>
      <c r="O1795" t="s">
        <v>37</v>
      </c>
      <c r="P1795" t="s">
        <v>43</v>
      </c>
      <c r="U1795" s="9" t="s">
        <v>148</v>
      </c>
      <c r="V1795" t="s">
        <v>184</v>
      </c>
      <c r="W1795" t="s">
        <v>138</v>
      </c>
      <c r="X1795" t="s">
        <v>86</v>
      </c>
      <c r="Y1795" t="s">
        <v>1291</v>
      </c>
      <c r="Z1795" t="s">
        <v>41</v>
      </c>
      <c r="AB1795" t="str">
        <f t="shared" si="84"/>
        <v>46206</v>
      </c>
    </row>
    <row r="1796" ht="14.25" spans="1:28">
      <c r="A1796" s="5" t="s">
        <v>28</v>
      </c>
      <c r="B1796" s="5" t="s">
        <v>697</v>
      </c>
      <c r="C1796" s="5">
        <v>2027</v>
      </c>
      <c r="D1796" s="5" t="s">
        <v>30</v>
      </c>
      <c r="E1796" t="s">
        <v>1299</v>
      </c>
      <c r="F1796" t="s">
        <v>1295</v>
      </c>
      <c r="G1796" t="s">
        <v>254</v>
      </c>
      <c r="H1796" t="s">
        <v>1300</v>
      </c>
      <c r="I1796" t="s">
        <v>119</v>
      </c>
      <c r="J1796" t="s">
        <v>36</v>
      </c>
      <c r="K1796">
        <v>690</v>
      </c>
      <c r="O1796" t="s">
        <v>37</v>
      </c>
      <c r="P1796" t="s">
        <v>44</v>
      </c>
      <c r="U1796" s="9" t="s">
        <v>148</v>
      </c>
      <c r="V1796" t="s">
        <v>184</v>
      </c>
      <c r="W1796" t="s">
        <v>138</v>
      </c>
      <c r="X1796" t="s">
        <v>86</v>
      </c>
      <c r="Y1796" t="s">
        <v>1291</v>
      </c>
      <c r="Z1796" t="s">
        <v>41</v>
      </c>
      <c r="AB1796" t="str">
        <f t="shared" si="84"/>
        <v>46206</v>
      </c>
    </row>
    <row r="1797" ht="14.25" spans="1:28">
      <c r="A1797" s="5" t="s">
        <v>28</v>
      </c>
      <c r="B1797" s="5" t="s">
        <v>697</v>
      </c>
      <c r="C1797" s="5">
        <v>2027</v>
      </c>
      <c r="D1797" s="5" t="s">
        <v>30</v>
      </c>
      <c r="E1797" t="s">
        <v>1299</v>
      </c>
      <c r="F1797" t="s">
        <v>1295</v>
      </c>
      <c r="G1797" t="s">
        <v>254</v>
      </c>
      <c r="H1797" t="s">
        <v>1300</v>
      </c>
      <c r="I1797" t="s">
        <v>119</v>
      </c>
      <c r="J1797" t="s">
        <v>36</v>
      </c>
      <c r="K1797">
        <v>690</v>
      </c>
      <c r="O1797" t="s">
        <v>37</v>
      </c>
      <c r="P1797" t="s">
        <v>45</v>
      </c>
      <c r="U1797" s="9" t="s">
        <v>148</v>
      </c>
      <c r="V1797" t="s">
        <v>184</v>
      </c>
      <c r="W1797" t="s">
        <v>138</v>
      </c>
      <c r="X1797" t="s">
        <v>86</v>
      </c>
      <c r="Y1797" t="s">
        <v>1291</v>
      </c>
      <c r="Z1797" t="s">
        <v>41</v>
      </c>
      <c r="AB1797" t="str">
        <f t="shared" si="84"/>
        <v>46206</v>
      </c>
    </row>
    <row r="1798" ht="14.25" spans="1:28">
      <c r="A1798" s="5" t="s">
        <v>28</v>
      </c>
      <c r="B1798" s="5" t="s">
        <v>697</v>
      </c>
      <c r="C1798" s="5">
        <v>2027</v>
      </c>
      <c r="D1798" s="5" t="s">
        <v>30</v>
      </c>
      <c r="E1798" t="s">
        <v>1299</v>
      </c>
      <c r="F1798" t="s">
        <v>1295</v>
      </c>
      <c r="G1798" t="s">
        <v>254</v>
      </c>
      <c r="H1798" t="s">
        <v>1300</v>
      </c>
      <c r="I1798" t="s">
        <v>119</v>
      </c>
      <c r="J1798" t="s">
        <v>36</v>
      </c>
      <c r="K1798">
        <v>690</v>
      </c>
      <c r="O1798" t="s">
        <v>37</v>
      </c>
      <c r="P1798" t="s">
        <v>46</v>
      </c>
      <c r="U1798" s="9" t="s">
        <v>148</v>
      </c>
      <c r="V1798" t="s">
        <v>184</v>
      </c>
      <c r="W1798" t="s">
        <v>138</v>
      </c>
      <c r="X1798" t="s">
        <v>86</v>
      </c>
      <c r="Y1798" t="s">
        <v>1291</v>
      </c>
      <c r="Z1798" t="s">
        <v>41</v>
      </c>
      <c r="AB1798" t="str">
        <f t="shared" si="84"/>
        <v>46206</v>
      </c>
    </row>
    <row r="1799" ht="14.25" spans="1:28">
      <c r="A1799" s="5" t="s">
        <v>28</v>
      </c>
      <c r="B1799" s="5" t="s">
        <v>697</v>
      </c>
      <c r="C1799" s="5">
        <v>2027</v>
      </c>
      <c r="D1799" s="5" t="s">
        <v>30</v>
      </c>
      <c r="E1799" t="s">
        <v>1301</v>
      </c>
      <c r="F1799" t="s">
        <v>1302</v>
      </c>
      <c r="G1799" t="s">
        <v>100</v>
      </c>
      <c r="H1799" t="s">
        <v>1303</v>
      </c>
      <c r="I1799" t="s">
        <v>119</v>
      </c>
      <c r="J1799" t="s">
        <v>36</v>
      </c>
      <c r="K1799">
        <v>790</v>
      </c>
      <c r="O1799" t="s">
        <v>37</v>
      </c>
      <c r="P1799" t="s">
        <v>38</v>
      </c>
      <c r="R1799">
        <f t="shared" ref="R1794:R1857" si="85">SUMIFS(Q:Q,E:E,E1799)</f>
        <v>0</v>
      </c>
      <c r="S1799">
        <f>SUMIFS([1]Sheet1!$T:$T,[1]Sheet1!$I:$I,E1799,[1]Sheet1!$C:$C,A1799)</f>
        <v>0</v>
      </c>
      <c r="T1799">
        <f t="shared" ref="T1794:T1857" si="86">R1799-S1799</f>
        <v>0</v>
      </c>
      <c r="U1799" s="9" t="s">
        <v>148</v>
      </c>
      <c r="V1799" t="s">
        <v>184</v>
      </c>
      <c r="W1799" t="s">
        <v>138</v>
      </c>
      <c r="X1799" t="s">
        <v>102</v>
      </c>
      <c r="Y1799" t="s">
        <v>1291</v>
      </c>
      <c r="Z1799" t="s">
        <v>104</v>
      </c>
      <c r="AB1799" t="str">
        <f t="shared" si="84"/>
        <v>46207</v>
      </c>
    </row>
    <row r="1800" ht="14.25" spans="1:28">
      <c r="A1800" s="5" t="s">
        <v>28</v>
      </c>
      <c r="B1800" s="5" t="s">
        <v>697</v>
      </c>
      <c r="C1800" s="5">
        <v>2027</v>
      </c>
      <c r="D1800" s="5" t="s">
        <v>30</v>
      </c>
      <c r="E1800" t="s">
        <v>1301</v>
      </c>
      <c r="F1800" t="s">
        <v>1302</v>
      </c>
      <c r="G1800" t="s">
        <v>100</v>
      </c>
      <c r="H1800" t="s">
        <v>1303</v>
      </c>
      <c r="I1800" t="s">
        <v>119</v>
      </c>
      <c r="J1800" t="s">
        <v>36</v>
      </c>
      <c r="K1800">
        <v>790</v>
      </c>
      <c r="O1800" t="s">
        <v>37</v>
      </c>
      <c r="P1800" t="s">
        <v>42</v>
      </c>
      <c r="U1800" s="9" t="s">
        <v>148</v>
      </c>
      <c r="V1800" t="s">
        <v>184</v>
      </c>
      <c r="W1800" t="s">
        <v>138</v>
      </c>
      <c r="X1800" t="s">
        <v>102</v>
      </c>
      <c r="Y1800" t="s">
        <v>1291</v>
      </c>
      <c r="Z1800" t="s">
        <v>104</v>
      </c>
      <c r="AB1800" t="str">
        <f t="shared" si="84"/>
        <v>46207</v>
      </c>
    </row>
    <row r="1801" ht="14.25" spans="1:28">
      <c r="A1801" s="5" t="s">
        <v>28</v>
      </c>
      <c r="B1801" s="5" t="s">
        <v>697</v>
      </c>
      <c r="C1801" s="5">
        <v>2027</v>
      </c>
      <c r="D1801" s="5" t="s">
        <v>30</v>
      </c>
      <c r="E1801" t="s">
        <v>1301</v>
      </c>
      <c r="F1801" t="s">
        <v>1302</v>
      </c>
      <c r="G1801" t="s">
        <v>100</v>
      </c>
      <c r="H1801" t="s">
        <v>1303</v>
      </c>
      <c r="I1801" t="s">
        <v>119</v>
      </c>
      <c r="J1801" t="s">
        <v>36</v>
      </c>
      <c r="K1801">
        <v>790</v>
      </c>
      <c r="O1801" t="s">
        <v>37</v>
      </c>
      <c r="P1801" t="s">
        <v>43</v>
      </c>
      <c r="U1801" s="9" t="s">
        <v>148</v>
      </c>
      <c r="V1801" t="s">
        <v>184</v>
      </c>
      <c r="W1801" t="s">
        <v>138</v>
      </c>
      <c r="X1801" t="s">
        <v>102</v>
      </c>
      <c r="Y1801" t="s">
        <v>1291</v>
      </c>
      <c r="Z1801" t="s">
        <v>104</v>
      </c>
      <c r="AB1801" t="str">
        <f t="shared" si="84"/>
        <v>46207</v>
      </c>
    </row>
    <row r="1802" ht="14.25" spans="1:28">
      <c r="A1802" s="5" t="s">
        <v>28</v>
      </c>
      <c r="B1802" s="5" t="s">
        <v>697</v>
      </c>
      <c r="C1802" s="5">
        <v>2027</v>
      </c>
      <c r="D1802" s="5" t="s">
        <v>30</v>
      </c>
      <c r="E1802" t="s">
        <v>1301</v>
      </c>
      <c r="F1802" t="s">
        <v>1302</v>
      </c>
      <c r="G1802" t="s">
        <v>100</v>
      </c>
      <c r="H1802" t="s">
        <v>1303</v>
      </c>
      <c r="I1802" t="s">
        <v>119</v>
      </c>
      <c r="J1802" t="s">
        <v>36</v>
      </c>
      <c r="K1802">
        <v>790</v>
      </c>
      <c r="O1802" t="s">
        <v>37</v>
      </c>
      <c r="P1802" t="s">
        <v>44</v>
      </c>
      <c r="U1802" s="9" t="s">
        <v>148</v>
      </c>
      <c r="V1802" t="s">
        <v>184</v>
      </c>
      <c r="W1802" t="s">
        <v>138</v>
      </c>
      <c r="X1802" t="s">
        <v>102</v>
      </c>
      <c r="Y1802" t="s">
        <v>1291</v>
      </c>
      <c r="Z1802" t="s">
        <v>104</v>
      </c>
      <c r="AB1802" t="str">
        <f t="shared" si="84"/>
        <v>46207</v>
      </c>
    </row>
    <row r="1803" ht="14.25" spans="1:28">
      <c r="A1803" s="5" t="s">
        <v>28</v>
      </c>
      <c r="B1803" s="5" t="s">
        <v>697</v>
      </c>
      <c r="C1803" s="5">
        <v>2027</v>
      </c>
      <c r="D1803" s="5" t="s">
        <v>30</v>
      </c>
      <c r="E1803" t="s">
        <v>1301</v>
      </c>
      <c r="F1803" t="s">
        <v>1302</v>
      </c>
      <c r="G1803" t="s">
        <v>100</v>
      </c>
      <c r="H1803" t="s">
        <v>1303</v>
      </c>
      <c r="I1803" t="s">
        <v>119</v>
      </c>
      <c r="J1803" t="s">
        <v>36</v>
      </c>
      <c r="K1803">
        <v>790</v>
      </c>
      <c r="O1803" t="s">
        <v>37</v>
      </c>
      <c r="P1803" t="s">
        <v>45</v>
      </c>
      <c r="U1803" s="9" t="s">
        <v>148</v>
      </c>
      <c r="V1803" t="s">
        <v>184</v>
      </c>
      <c r="W1803" t="s">
        <v>138</v>
      </c>
      <c r="X1803" t="s">
        <v>102</v>
      </c>
      <c r="Y1803" t="s">
        <v>1291</v>
      </c>
      <c r="Z1803" t="s">
        <v>104</v>
      </c>
      <c r="AB1803" t="str">
        <f t="shared" si="84"/>
        <v>46207</v>
      </c>
    </row>
    <row r="1804" ht="14.25" spans="1:28">
      <c r="A1804" s="5" t="s">
        <v>28</v>
      </c>
      <c r="B1804" s="5" t="s">
        <v>697</v>
      </c>
      <c r="C1804" s="5">
        <v>2027</v>
      </c>
      <c r="D1804" s="5" t="s">
        <v>30</v>
      </c>
      <c r="E1804" t="s">
        <v>1301</v>
      </c>
      <c r="F1804" t="s">
        <v>1302</v>
      </c>
      <c r="G1804" t="s">
        <v>100</v>
      </c>
      <c r="H1804" t="s">
        <v>1303</v>
      </c>
      <c r="I1804" t="s">
        <v>119</v>
      </c>
      <c r="J1804" t="s">
        <v>36</v>
      </c>
      <c r="K1804">
        <v>790</v>
      </c>
      <c r="O1804" t="s">
        <v>37</v>
      </c>
      <c r="P1804" t="s">
        <v>46</v>
      </c>
      <c r="U1804" s="9" t="s">
        <v>148</v>
      </c>
      <c r="V1804" t="s">
        <v>184</v>
      </c>
      <c r="W1804" t="s">
        <v>138</v>
      </c>
      <c r="X1804" t="s">
        <v>102</v>
      </c>
      <c r="Y1804" t="s">
        <v>1291</v>
      </c>
      <c r="Z1804" t="s">
        <v>104</v>
      </c>
      <c r="AB1804" t="str">
        <f t="shared" si="84"/>
        <v>46207</v>
      </c>
    </row>
    <row r="1805" ht="14.25" spans="1:28">
      <c r="A1805" s="5" t="s">
        <v>28</v>
      </c>
      <c r="B1805" s="5" t="s">
        <v>697</v>
      </c>
      <c r="C1805" s="5">
        <v>2027</v>
      </c>
      <c r="D1805" s="5" t="s">
        <v>30</v>
      </c>
      <c r="E1805" t="s">
        <v>1304</v>
      </c>
      <c r="F1805" t="s">
        <v>1302</v>
      </c>
      <c r="G1805" t="s">
        <v>1053</v>
      </c>
      <c r="H1805" t="s">
        <v>1305</v>
      </c>
      <c r="I1805" t="s">
        <v>119</v>
      </c>
      <c r="J1805" t="s">
        <v>36</v>
      </c>
      <c r="K1805">
        <v>790</v>
      </c>
      <c r="O1805" t="s">
        <v>37</v>
      </c>
      <c r="P1805" t="s">
        <v>38</v>
      </c>
      <c r="R1805">
        <f t="shared" si="85"/>
        <v>0</v>
      </c>
      <c r="S1805">
        <f>SUMIFS([1]Sheet1!$T:$T,[1]Sheet1!$I:$I,E1805,[1]Sheet1!$C:$C,A1805)</f>
        <v>20</v>
      </c>
      <c r="T1805">
        <f t="shared" si="86"/>
        <v>-20</v>
      </c>
      <c r="U1805" s="9" t="s">
        <v>148</v>
      </c>
      <c r="V1805" t="s">
        <v>184</v>
      </c>
      <c r="W1805" t="s">
        <v>138</v>
      </c>
      <c r="X1805" t="s">
        <v>243</v>
      </c>
      <c r="Y1805" t="s">
        <v>1291</v>
      </c>
      <c r="Z1805" t="s">
        <v>104</v>
      </c>
      <c r="AB1805" t="str">
        <f t="shared" si="84"/>
        <v>46207</v>
      </c>
    </row>
    <row r="1806" ht="14.25" spans="1:28">
      <c r="A1806" s="5" t="s">
        <v>28</v>
      </c>
      <c r="B1806" s="5" t="s">
        <v>697</v>
      </c>
      <c r="C1806" s="5">
        <v>2027</v>
      </c>
      <c r="D1806" s="5" t="s">
        <v>30</v>
      </c>
      <c r="E1806" t="s">
        <v>1304</v>
      </c>
      <c r="F1806" t="s">
        <v>1302</v>
      </c>
      <c r="G1806" t="s">
        <v>1053</v>
      </c>
      <c r="H1806" t="s">
        <v>1305</v>
      </c>
      <c r="I1806" t="s">
        <v>119</v>
      </c>
      <c r="J1806" t="s">
        <v>36</v>
      </c>
      <c r="K1806">
        <v>790</v>
      </c>
      <c r="O1806" t="s">
        <v>37</v>
      </c>
      <c r="P1806" t="s">
        <v>42</v>
      </c>
      <c r="U1806" s="9" t="s">
        <v>148</v>
      </c>
      <c r="V1806" t="s">
        <v>184</v>
      </c>
      <c r="W1806" t="s">
        <v>138</v>
      </c>
      <c r="X1806" t="s">
        <v>243</v>
      </c>
      <c r="Y1806" t="s">
        <v>1291</v>
      </c>
      <c r="Z1806" t="s">
        <v>104</v>
      </c>
      <c r="AB1806" t="str">
        <f t="shared" si="84"/>
        <v>46207</v>
      </c>
    </row>
    <row r="1807" ht="14.25" spans="1:28">
      <c r="A1807" s="5" t="s">
        <v>28</v>
      </c>
      <c r="B1807" s="5" t="s">
        <v>697</v>
      </c>
      <c r="C1807" s="5">
        <v>2027</v>
      </c>
      <c r="D1807" s="5" t="s">
        <v>30</v>
      </c>
      <c r="E1807" t="s">
        <v>1304</v>
      </c>
      <c r="F1807" t="s">
        <v>1302</v>
      </c>
      <c r="G1807" t="s">
        <v>1053</v>
      </c>
      <c r="H1807" t="s">
        <v>1305</v>
      </c>
      <c r="I1807" t="s">
        <v>119</v>
      </c>
      <c r="J1807" t="s">
        <v>36</v>
      </c>
      <c r="K1807">
        <v>790</v>
      </c>
      <c r="O1807" t="s">
        <v>37</v>
      </c>
      <c r="P1807" t="s">
        <v>43</v>
      </c>
      <c r="U1807" s="9" t="s">
        <v>148</v>
      </c>
      <c r="V1807" t="s">
        <v>184</v>
      </c>
      <c r="W1807" t="s">
        <v>138</v>
      </c>
      <c r="X1807" t="s">
        <v>243</v>
      </c>
      <c r="Y1807" t="s">
        <v>1291</v>
      </c>
      <c r="Z1807" t="s">
        <v>104</v>
      </c>
      <c r="AB1807" t="str">
        <f t="shared" si="84"/>
        <v>46207</v>
      </c>
    </row>
    <row r="1808" ht="14.25" spans="1:28">
      <c r="A1808" s="5" t="s">
        <v>28</v>
      </c>
      <c r="B1808" s="5" t="s">
        <v>697</v>
      </c>
      <c r="C1808" s="5">
        <v>2027</v>
      </c>
      <c r="D1808" s="5" t="s">
        <v>30</v>
      </c>
      <c r="E1808" t="s">
        <v>1304</v>
      </c>
      <c r="F1808" t="s">
        <v>1302</v>
      </c>
      <c r="G1808" t="s">
        <v>1053</v>
      </c>
      <c r="H1808" t="s">
        <v>1305</v>
      </c>
      <c r="I1808" t="s">
        <v>119</v>
      </c>
      <c r="J1808" t="s">
        <v>36</v>
      </c>
      <c r="K1808">
        <v>790</v>
      </c>
      <c r="O1808" t="s">
        <v>37</v>
      </c>
      <c r="P1808" t="s">
        <v>44</v>
      </c>
      <c r="U1808" s="9" t="s">
        <v>148</v>
      </c>
      <c r="V1808" t="s">
        <v>184</v>
      </c>
      <c r="W1808" t="s">
        <v>138</v>
      </c>
      <c r="X1808" t="s">
        <v>243</v>
      </c>
      <c r="Y1808" t="s">
        <v>1291</v>
      </c>
      <c r="Z1808" t="s">
        <v>104</v>
      </c>
      <c r="AB1808" t="str">
        <f t="shared" si="84"/>
        <v>46207</v>
      </c>
    </row>
    <row r="1809" ht="14.25" spans="1:28">
      <c r="A1809" s="5" t="s">
        <v>28</v>
      </c>
      <c r="B1809" s="5" t="s">
        <v>697</v>
      </c>
      <c r="C1809" s="5">
        <v>2027</v>
      </c>
      <c r="D1809" s="5" t="s">
        <v>30</v>
      </c>
      <c r="E1809" t="s">
        <v>1304</v>
      </c>
      <c r="F1809" t="s">
        <v>1302</v>
      </c>
      <c r="G1809" t="s">
        <v>1053</v>
      </c>
      <c r="H1809" t="s">
        <v>1305</v>
      </c>
      <c r="I1809" t="s">
        <v>119</v>
      </c>
      <c r="J1809" t="s">
        <v>36</v>
      </c>
      <c r="K1809">
        <v>790</v>
      </c>
      <c r="O1809" t="s">
        <v>37</v>
      </c>
      <c r="P1809" t="s">
        <v>45</v>
      </c>
      <c r="U1809" s="9" t="s">
        <v>148</v>
      </c>
      <c r="V1809" t="s">
        <v>184</v>
      </c>
      <c r="W1809" t="s">
        <v>138</v>
      </c>
      <c r="X1809" t="s">
        <v>243</v>
      </c>
      <c r="Y1809" t="s">
        <v>1291</v>
      </c>
      <c r="Z1809" t="s">
        <v>104</v>
      </c>
      <c r="AB1809" t="str">
        <f t="shared" si="84"/>
        <v>46207</v>
      </c>
    </row>
    <row r="1810" ht="14.25" spans="1:28">
      <c r="A1810" s="5" t="s">
        <v>28</v>
      </c>
      <c r="B1810" s="5" t="s">
        <v>697</v>
      </c>
      <c r="C1810" s="5">
        <v>2027</v>
      </c>
      <c r="D1810" s="5" t="s">
        <v>30</v>
      </c>
      <c r="E1810" t="s">
        <v>1304</v>
      </c>
      <c r="F1810" t="s">
        <v>1302</v>
      </c>
      <c r="G1810" t="s">
        <v>1053</v>
      </c>
      <c r="H1810" t="s">
        <v>1305</v>
      </c>
      <c r="I1810" t="s">
        <v>119</v>
      </c>
      <c r="J1810" t="s">
        <v>36</v>
      </c>
      <c r="K1810">
        <v>790</v>
      </c>
      <c r="O1810" t="s">
        <v>37</v>
      </c>
      <c r="P1810" t="s">
        <v>46</v>
      </c>
      <c r="U1810" s="9" t="s">
        <v>148</v>
      </c>
      <c r="V1810" t="s">
        <v>184</v>
      </c>
      <c r="W1810" t="s">
        <v>138</v>
      </c>
      <c r="X1810" t="s">
        <v>243</v>
      </c>
      <c r="Y1810" t="s">
        <v>1291</v>
      </c>
      <c r="Z1810" t="s">
        <v>104</v>
      </c>
      <c r="AB1810" t="str">
        <f t="shared" si="84"/>
        <v>46207</v>
      </c>
    </row>
    <row r="1811" ht="14.25" spans="1:28">
      <c r="A1811" s="5" t="s">
        <v>28</v>
      </c>
      <c r="B1811" s="5" t="s">
        <v>697</v>
      </c>
      <c r="C1811" s="5">
        <v>2027</v>
      </c>
      <c r="D1811" s="5" t="s">
        <v>30</v>
      </c>
      <c r="E1811" t="s">
        <v>1306</v>
      </c>
      <c r="F1811" t="s">
        <v>1302</v>
      </c>
      <c r="G1811" t="s">
        <v>254</v>
      </c>
      <c r="H1811" t="s">
        <v>1307</v>
      </c>
      <c r="I1811" t="s">
        <v>119</v>
      </c>
      <c r="J1811" t="s">
        <v>36</v>
      </c>
      <c r="K1811">
        <v>790</v>
      </c>
      <c r="O1811" t="s">
        <v>37</v>
      </c>
      <c r="P1811" t="s">
        <v>38</v>
      </c>
      <c r="R1811">
        <f t="shared" si="85"/>
        <v>0</v>
      </c>
      <c r="S1811">
        <f>SUMIFS([1]Sheet1!$T:$T,[1]Sheet1!$I:$I,E1811,[1]Sheet1!$C:$C,A1811)</f>
        <v>20</v>
      </c>
      <c r="T1811">
        <f t="shared" si="86"/>
        <v>-20</v>
      </c>
      <c r="U1811" s="9" t="s">
        <v>148</v>
      </c>
      <c r="V1811" t="s">
        <v>184</v>
      </c>
      <c r="W1811" t="s">
        <v>138</v>
      </c>
      <c r="X1811" t="s">
        <v>86</v>
      </c>
      <c r="Y1811" t="s">
        <v>1291</v>
      </c>
      <c r="Z1811" t="s">
        <v>104</v>
      </c>
      <c r="AB1811" t="str">
        <f t="shared" si="84"/>
        <v>46207</v>
      </c>
    </row>
    <row r="1812" ht="14.25" spans="1:28">
      <c r="A1812" s="5" t="s">
        <v>28</v>
      </c>
      <c r="B1812" s="5" t="s">
        <v>697</v>
      </c>
      <c r="C1812" s="5">
        <v>2027</v>
      </c>
      <c r="D1812" s="5" t="s">
        <v>30</v>
      </c>
      <c r="E1812" t="s">
        <v>1306</v>
      </c>
      <c r="F1812" t="s">
        <v>1302</v>
      </c>
      <c r="G1812" t="s">
        <v>254</v>
      </c>
      <c r="H1812" t="s">
        <v>1307</v>
      </c>
      <c r="I1812" t="s">
        <v>119</v>
      </c>
      <c r="J1812" t="s">
        <v>36</v>
      </c>
      <c r="K1812">
        <v>790</v>
      </c>
      <c r="O1812" t="s">
        <v>37</v>
      </c>
      <c r="P1812" t="s">
        <v>42</v>
      </c>
      <c r="U1812" s="9" t="s">
        <v>148</v>
      </c>
      <c r="V1812" t="s">
        <v>184</v>
      </c>
      <c r="W1812" t="s">
        <v>138</v>
      </c>
      <c r="X1812" t="s">
        <v>86</v>
      </c>
      <c r="Y1812" t="s">
        <v>1291</v>
      </c>
      <c r="Z1812" t="s">
        <v>104</v>
      </c>
      <c r="AB1812" t="str">
        <f t="shared" si="84"/>
        <v>46207</v>
      </c>
    </row>
    <row r="1813" ht="14.25" spans="1:28">
      <c r="A1813" s="5" t="s">
        <v>28</v>
      </c>
      <c r="B1813" s="5" t="s">
        <v>697</v>
      </c>
      <c r="C1813" s="5">
        <v>2027</v>
      </c>
      <c r="D1813" s="5" t="s">
        <v>30</v>
      </c>
      <c r="E1813" t="s">
        <v>1306</v>
      </c>
      <c r="F1813" t="s">
        <v>1302</v>
      </c>
      <c r="G1813" t="s">
        <v>254</v>
      </c>
      <c r="H1813" t="s">
        <v>1307</v>
      </c>
      <c r="I1813" t="s">
        <v>119</v>
      </c>
      <c r="J1813" t="s">
        <v>36</v>
      </c>
      <c r="K1813">
        <v>790</v>
      </c>
      <c r="O1813" t="s">
        <v>37</v>
      </c>
      <c r="P1813" t="s">
        <v>43</v>
      </c>
      <c r="U1813" s="9" t="s">
        <v>148</v>
      </c>
      <c r="V1813" t="s">
        <v>184</v>
      </c>
      <c r="W1813" t="s">
        <v>138</v>
      </c>
      <c r="X1813" t="s">
        <v>86</v>
      </c>
      <c r="Y1813" t="s">
        <v>1291</v>
      </c>
      <c r="Z1813" t="s">
        <v>104</v>
      </c>
      <c r="AB1813" t="str">
        <f t="shared" si="84"/>
        <v>46207</v>
      </c>
    </row>
    <row r="1814" ht="14.25" spans="1:28">
      <c r="A1814" s="5" t="s">
        <v>28</v>
      </c>
      <c r="B1814" s="5" t="s">
        <v>697</v>
      </c>
      <c r="C1814" s="5">
        <v>2027</v>
      </c>
      <c r="D1814" s="5" t="s">
        <v>30</v>
      </c>
      <c r="E1814" t="s">
        <v>1306</v>
      </c>
      <c r="F1814" t="s">
        <v>1302</v>
      </c>
      <c r="G1814" t="s">
        <v>254</v>
      </c>
      <c r="H1814" t="s">
        <v>1307</v>
      </c>
      <c r="I1814" t="s">
        <v>119</v>
      </c>
      <c r="J1814" t="s">
        <v>36</v>
      </c>
      <c r="K1814">
        <v>790</v>
      </c>
      <c r="O1814" t="s">
        <v>37</v>
      </c>
      <c r="P1814" t="s">
        <v>44</v>
      </c>
      <c r="U1814" s="9" t="s">
        <v>148</v>
      </c>
      <c r="V1814" t="s">
        <v>184</v>
      </c>
      <c r="W1814" t="s">
        <v>138</v>
      </c>
      <c r="X1814" t="s">
        <v>86</v>
      </c>
      <c r="Y1814" t="s">
        <v>1291</v>
      </c>
      <c r="Z1814" t="s">
        <v>104</v>
      </c>
      <c r="AB1814" t="str">
        <f t="shared" si="84"/>
        <v>46207</v>
      </c>
    </row>
    <row r="1815" ht="14.25" spans="1:28">
      <c r="A1815" s="5" t="s">
        <v>28</v>
      </c>
      <c r="B1815" s="5" t="s">
        <v>697</v>
      </c>
      <c r="C1815" s="5">
        <v>2027</v>
      </c>
      <c r="D1815" s="5" t="s">
        <v>30</v>
      </c>
      <c r="E1815" t="s">
        <v>1306</v>
      </c>
      <c r="F1815" t="s">
        <v>1302</v>
      </c>
      <c r="G1815" t="s">
        <v>254</v>
      </c>
      <c r="H1815" t="s">
        <v>1307</v>
      </c>
      <c r="I1815" t="s">
        <v>119</v>
      </c>
      <c r="J1815" t="s">
        <v>36</v>
      </c>
      <c r="K1815">
        <v>790</v>
      </c>
      <c r="O1815" t="s">
        <v>37</v>
      </c>
      <c r="P1815" t="s">
        <v>45</v>
      </c>
      <c r="U1815" s="9" t="s">
        <v>148</v>
      </c>
      <c r="V1815" t="s">
        <v>184</v>
      </c>
      <c r="W1815" t="s">
        <v>138</v>
      </c>
      <c r="X1815" t="s">
        <v>86</v>
      </c>
      <c r="Y1815" t="s">
        <v>1291</v>
      </c>
      <c r="Z1815" t="s">
        <v>104</v>
      </c>
      <c r="AB1815" t="str">
        <f t="shared" si="84"/>
        <v>46207</v>
      </c>
    </row>
    <row r="1816" ht="14.25" spans="1:28">
      <c r="A1816" s="5" t="s">
        <v>28</v>
      </c>
      <c r="B1816" s="5" t="s">
        <v>697</v>
      </c>
      <c r="C1816" s="5">
        <v>2027</v>
      </c>
      <c r="D1816" s="5" t="s">
        <v>30</v>
      </c>
      <c r="E1816" t="s">
        <v>1306</v>
      </c>
      <c r="F1816" t="s">
        <v>1302</v>
      </c>
      <c r="G1816" t="s">
        <v>254</v>
      </c>
      <c r="H1816" t="s">
        <v>1307</v>
      </c>
      <c r="I1816" t="s">
        <v>119</v>
      </c>
      <c r="J1816" t="s">
        <v>36</v>
      </c>
      <c r="K1816">
        <v>790</v>
      </c>
      <c r="O1816" t="s">
        <v>37</v>
      </c>
      <c r="P1816" t="s">
        <v>46</v>
      </c>
      <c r="U1816" s="9" t="s">
        <v>148</v>
      </c>
      <c r="V1816" t="s">
        <v>184</v>
      </c>
      <c r="W1816" t="s">
        <v>138</v>
      </c>
      <c r="X1816" t="s">
        <v>86</v>
      </c>
      <c r="Y1816" t="s">
        <v>1291</v>
      </c>
      <c r="Z1816" t="s">
        <v>104</v>
      </c>
      <c r="AB1816" t="str">
        <f t="shared" si="84"/>
        <v>46207</v>
      </c>
    </row>
    <row r="1817" ht="14.25" spans="1:28">
      <c r="A1817" s="5" t="s">
        <v>28</v>
      </c>
      <c r="B1817" s="5" t="s">
        <v>697</v>
      </c>
      <c r="C1817" s="5">
        <v>2027</v>
      </c>
      <c r="D1817" s="5" t="s">
        <v>30</v>
      </c>
      <c r="E1817" t="s">
        <v>1308</v>
      </c>
      <c r="F1817" t="s">
        <v>1309</v>
      </c>
      <c r="G1817" t="s">
        <v>221</v>
      </c>
      <c r="H1817" t="s">
        <v>1310</v>
      </c>
      <c r="I1817" t="s">
        <v>119</v>
      </c>
      <c r="J1817" t="s">
        <v>36</v>
      </c>
      <c r="K1817">
        <v>990</v>
      </c>
      <c r="O1817" t="s">
        <v>37</v>
      </c>
      <c r="P1817" t="s">
        <v>38</v>
      </c>
      <c r="R1817">
        <f t="shared" si="85"/>
        <v>0</v>
      </c>
      <c r="S1817">
        <f>SUMIFS([1]Sheet1!$T:$T,[1]Sheet1!$I:$I,E1817,[1]Sheet1!$C:$C,A1817)</f>
        <v>0</v>
      </c>
      <c r="T1817">
        <f t="shared" si="86"/>
        <v>0</v>
      </c>
      <c r="U1817" s="9" t="s">
        <v>148</v>
      </c>
      <c r="V1817" t="s">
        <v>184</v>
      </c>
      <c r="W1817" t="s">
        <v>138</v>
      </c>
      <c r="X1817" t="s">
        <v>70</v>
      </c>
      <c r="Y1817" t="s">
        <v>1311</v>
      </c>
      <c r="Z1817" t="s">
        <v>41</v>
      </c>
      <c r="AA1817" t="s">
        <v>166</v>
      </c>
      <c r="AB1817" t="str">
        <f t="shared" si="84"/>
        <v>46210</v>
      </c>
    </row>
    <row r="1818" ht="14.25" spans="1:28">
      <c r="A1818" s="5" t="s">
        <v>28</v>
      </c>
      <c r="B1818" s="5" t="s">
        <v>697</v>
      </c>
      <c r="C1818" s="5">
        <v>2027</v>
      </c>
      <c r="D1818" s="5" t="s">
        <v>30</v>
      </c>
      <c r="E1818" t="s">
        <v>1308</v>
      </c>
      <c r="F1818" t="s">
        <v>1309</v>
      </c>
      <c r="G1818" t="s">
        <v>221</v>
      </c>
      <c r="H1818" t="s">
        <v>1310</v>
      </c>
      <c r="I1818" t="s">
        <v>119</v>
      </c>
      <c r="J1818" t="s">
        <v>36</v>
      </c>
      <c r="K1818">
        <v>990</v>
      </c>
      <c r="O1818" t="s">
        <v>37</v>
      </c>
      <c r="P1818" t="s">
        <v>42</v>
      </c>
      <c r="U1818" s="9" t="s">
        <v>148</v>
      </c>
      <c r="V1818" t="s">
        <v>184</v>
      </c>
      <c r="W1818" t="s">
        <v>138</v>
      </c>
      <c r="X1818" t="s">
        <v>70</v>
      </c>
      <c r="Y1818" t="s">
        <v>1311</v>
      </c>
      <c r="Z1818" t="s">
        <v>41</v>
      </c>
      <c r="AA1818" t="s">
        <v>166</v>
      </c>
      <c r="AB1818" t="str">
        <f t="shared" si="84"/>
        <v>46210</v>
      </c>
    </row>
    <row r="1819" ht="14.25" spans="1:28">
      <c r="A1819" s="5" t="s">
        <v>28</v>
      </c>
      <c r="B1819" s="5" t="s">
        <v>697</v>
      </c>
      <c r="C1819" s="5">
        <v>2027</v>
      </c>
      <c r="D1819" s="5" t="s">
        <v>30</v>
      </c>
      <c r="E1819" t="s">
        <v>1308</v>
      </c>
      <c r="F1819" t="s">
        <v>1309</v>
      </c>
      <c r="G1819" t="s">
        <v>221</v>
      </c>
      <c r="H1819" t="s">
        <v>1310</v>
      </c>
      <c r="I1819" t="s">
        <v>119</v>
      </c>
      <c r="J1819" t="s">
        <v>36</v>
      </c>
      <c r="K1819">
        <v>990</v>
      </c>
      <c r="O1819" t="s">
        <v>37</v>
      </c>
      <c r="P1819" t="s">
        <v>43</v>
      </c>
      <c r="U1819" s="9" t="s">
        <v>148</v>
      </c>
      <c r="V1819" t="s">
        <v>184</v>
      </c>
      <c r="W1819" t="s">
        <v>138</v>
      </c>
      <c r="X1819" t="s">
        <v>70</v>
      </c>
      <c r="Y1819" t="s">
        <v>1311</v>
      </c>
      <c r="Z1819" t="s">
        <v>41</v>
      </c>
      <c r="AA1819" t="s">
        <v>166</v>
      </c>
      <c r="AB1819" t="str">
        <f t="shared" si="84"/>
        <v>46210</v>
      </c>
    </row>
    <row r="1820" ht="14.25" spans="1:28">
      <c r="A1820" s="5" t="s">
        <v>28</v>
      </c>
      <c r="B1820" s="5" t="s">
        <v>697</v>
      </c>
      <c r="C1820" s="5">
        <v>2027</v>
      </c>
      <c r="D1820" s="5" t="s">
        <v>30</v>
      </c>
      <c r="E1820" t="s">
        <v>1308</v>
      </c>
      <c r="F1820" t="s">
        <v>1309</v>
      </c>
      <c r="G1820" t="s">
        <v>221</v>
      </c>
      <c r="H1820" t="s">
        <v>1310</v>
      </c>
      <c r="I1820" t="s">
        <v>119</v>
      </c>
      <c r="J1820" t="s">
        <v>36</v>
      </c>
      <c r="K1820">
        <v>990</v>
      </c>
      <c r="O1820" t="s">
        <v>37</v>
      </c>
      <c r="P1820" t="s">
        <v>44</v>
      </c>
      <c r="U1820" s="9" t="s">
        <v>148</v>
      </c>
      <c r="V1820" t="s">
        <v>184</v>
      </c>
      <c r="W1820" t="s">
        <v>138</v>
      </c>
      <c r="X1820" t="s">
        <v>70</v>
      </c>
      <c r="Y1820" t="s">
        <v>1311</v>
      </c>
      <c r="Z1820" t="s">
        <v>41</v>
      </c>
      <c r="AA1820" t="s">
        <v>166</v>
      </c>
      <c r="AB1820" t="str">
        <f t="shared" si="84"/>
        <v>46210</v>
      </c>
    </row>
    <row r="1821" ht="14.25" spans="1:28">
      <c r="A1821" s="5" t="s">
        <v>28</v>
      </c>
      <c r="B1821" s="5" t="s">
        <v>697</v>
      </c>
      <c r="C1821" s="5">
        <v>2027</v>
      </c>
      <c r="D1821" s="5" t="s">
        <v>30</v>
      </c>
      <c r="E1821" t="s">
        <v>1308</v>
      </c>
      <c r="F1821" t="s">
        <v>1309</v>
      </c>
      <c r="G1821" t="s">
        <v>221</v>
      </c>
      <c r="H1821" t="s">
        <v>1310</v>
      </c>
      <c r="I1821" t="s">
        <v>119</v>
      </c>
      <c r="J1821" t="s">
        <v>36</v>
      </c>
      <c r="K1821">
        <v>990</v>
      </c>
      <c r="O1821" t="s">
        <v>37</v>
      </c>
      <c r="P1821" t="s">
        <v>45</v>
      </c>
      <c r="U1821" s="9" t="s">
        <v>148</v>
      </c>
      <c r="V1821" t="s">
        <v>184</v>
      </c>
      <c r="W1821" t="s">
        <v>138</v>
      </c>
      <c r="X1821" t="s">
        <v>70</v>
      </c>
      <c r="Y1821" t="s">
        <v>1311</v>
      </c>
      <c r="Z1821" t="s">
        <v>41</v>
      </c>
      <c r="AA1821" t="s">
        <v>166</v>
      </c>
      <c r="AB1821" t="str">
        <f t="shared" si="84"/>
        <v>46210</v>
      </c>
    </row>
    <row r="1822" ht="14.25" spans="1:28">
      <c r="A1822" s="5" t="s">
        <v>28</v>
      </c>
      <c r="B1822" s="5" t="s">
        <v>697</v>
      </c>
      <c r="C1822" s="5">
        <v>2027</v>
      </c>
      <c r="D1822" s="5" t="s">
        <v>30</v>
      </c>
      <c r="E1822" t="s">
        <v>1308</v>
      </c>
      <c r="F1822" t="s">
        <v>1309</v>
      </c>
      <c r="G1822" t="s">
        <v>221</v>
      </c>
      <c r="H1822" t="s">
        <v>1310</v>
      </c>
      <c r="I1822" t="s">
        <v>119</v>
      </c>
      <c r="J1822" t="s">
        <v>36</v>
      </c>
      <c r="K1822">
        <v>990</v>
      </c>
      <c r="O1822" t="s">
        <v>37</v>
      </c>
      <c r="P1822" t="s">
        <v>46</v>
      </c>
      <c r="U1822" s="9" t="s">
        <v>148</v>
      </c>
      <c r="V1822" t="s">
        <v>184</v>
      </c>
      <c r="W1822" t="s">
        <v>138</v>
      </c>
      <c r="X1822" t="s">
        <v>70</v>
      </c>
      <c r="Y1822" t="s">
        <v>1311</v>
      </c>
      <c r="Z1822" t="s">
        <v>41</v>
      </c>
      <c r="AA1822" t="s">
        <v>166</v>
      </c>
      <c r="AB1822" t="str">
        <f t="shared" si="84"/>
        <v>46210</v>
      </c>
    </row>
    <row r="1823" ht="14.25" spans="1:28">
      <c r="A1823" s="5" t="s">
        <v>28</v>
      </c>
      <c r="B1823" s="5" t="s">
        <v>697</v>
      </c>
      <c r="C1823" s="5">
        <v>2027</v>
      </c>
      <c r="D1823" s="5" t="s">
        <v>30</v>
      </c>
      <c r="E1823" t="s">
        <v>1312</v>
      </c>
      <c r="F1823" t="s">
        <v>1309</v>
      </c>
      <c r="G1823" t="s">
        <v>100</v>
      </c>
      <c r="H1823" t="s">
        <v>1313</v>
      </c>
      <c r="I1823" t="s">
        <v>119</v>
      </c>
      <c r="J1823" t="s">
        <v>36</v>
      </c>
      <c r="K1823">
        <v>990</v>
      </c>
      <c r="O1823" t="s">
        <v>37</v>
      </c>
      <c r="P1823" t="s">
        <v>38</v>
      </c>
      <c r="R1823">
        <f t="shared" si="85"/>
        <v>0</v>
      </c>
      <c r="S1823">
        <f>SUMIFS([1]Sheet1!$T:$T,[1]Sheet1!$I:$I,E1823,[1]Sheet1!$C:$C,A1823)</f>
        <v>0</v>
      </c>
      <c r="T1823">
        <f t="shared" si="86"/>
        <v>0</v>
      </c>
      <c r="U1823" s="9" t="s">
        <v>148</v>
      </c>
      <c r="V1823" t="s">
        <v>184</v>
      </c>
      <c r="W1823" t="s">
        <v>138</v>
      </c>
      <c r="X1823" t="s">
        <v>102</v>
      </c>
      <c r="Y1823" t="s">
        <v>1311</v>
      </c>
      <c r="Z1823" t="s">
        <v>41</v>
      </c>
      <c r="AA1823" t="s">
        <v>166</v>
      </c>
      <c r="AB1823" t="str">
        <f t="shared" si="84"/>
        <v>46210</v>
      </c>
    </row>
    <row r="1824" ht="14.25" spans="1:28">
      <c r="A1824" s="5" t="s">
        <v>28</v>
      </c>
      <c r="B1824" s="5" t="s">
        <v>697</v>
      </c>
      <c r="C1824" s="5">
        <v>2027</v>
      </c>
      <c r="D1824" s="5" t="s">
        <v>30</v>
      </c>
      <c r="E1824" t="s">
        <v>1312</v>
      </c>
      <c r="F1824" t="s">
        <v>1309</v>
      </c>
      <c r="G1824" t="s">
        <v>100</v>
      </c>
      <c r="H1824" t="s">
        <v>1313</v>
      </c>
      <c r="I1824" t="s">
        <v>119</v>
      </c>
      <c r="J1824" t="s">
        <v>36</v>
      </c>
      <c r="K1824">
        <v>990</v>
      </c>
      <c r="O1824" t="s">
        <v>37</v>
      </c>
      <c r="P1824" t="s">
        <v>42</v>
      </c>
      <c r="U1824" s="9" t="s">
        <v>148</v>
      </c>
      <c r="V1824" t="s">
        <v>184</v>
      </c>
      <c r="W1824" t="s">
        <v>138</v>
      </c>
      <c r="X1824" t="s">
        <v>102</v>
      </c>
      <c r="Y1824" t="s">
        <v>1311</v>
      </c>
      <c r="Z1824" t="s">
        <v>41</v>
      </c>
      <c r="AA1824" t="s">
        <v>166</v>
      </c>
      <c r="AB1824" t="str">
        <f t="shared" si="84"/>
        <v>46210</v>
      </c>
    </row>
    <row r="1825" ht="14.25" spans="1:28">
      <c r="A1825" s="5" t="s">
        <v>28</v>
      </c>
      <c r="B1825" s="5" t="s">
        <v>697</v>
      </c>
      <c r="C1825" s="5">
        <v>2027</v>
      </c>
      <c r="D1825" s="5" t="s">
        <v>30</v>
      </c>
      <c r="E1825" t="s">
        <v>1312</v>
      </c>
      <c r="F1825" t="s">
        <v>1309</v>
      </c>
      <c r="G1825" t="s">
        <v>100</v>
      </c>
      <c r="H1825" t="s">
        <v>1313</v>
      </c>
      <c r="I1825" t="s">
        <v>119</v>
      </c>
      <c r="J1825" t="s">
        <v>36</v>
      </c>
      <c r="K1825">
        <v>990</v>
      </c>
      <c r="O1825" t="s">
        <v>37</v>
      </c>
      <c r="P1825" t="s">
        <v>43</v>
      </c>
      <c r="U1825" s="9" t="s">
        <v>148</v>
      </c>
      <c r="V1825" t="s">
        <v>184</v>
      </c>
      <c r="W1825" t="s">
        <v>138</v>
      </c>
      <c r="X1825" t="s">
        <v>102</v>
      </c>
      <c r="Y1825" t="s">
        <v>1311</v>
      </c>
      <c r="Z1825" t="s">
        <v>41</v>
      </c>
      <c r="AA1825" t="s">
        <v>166</v>
      </c>
      <c r="AB1825" t="str">
        <f t="shared" si="84"/>
        <v>46210</v>
      </c>
    </row>
    <row r="1826" ht="14.25" spans="1:28">
      <c r="A1826" s="5" t="s">
        <v>28</v>
      </c>
      <c r="B1826" s="5" t="s">
        <v>697</v>
      </c>
      <c r="C1826" s="5">
        <v>2027</v>
      </c>
      <c r="D1826" s="5" t="s">
        <v>30</v>
      </c>
      <c r="E1826" t="s">
        <v>1312</v>
      </c>
      <c r="F1826" t="s">
        <v>1309</v>
      </c>
      <c r="G1826" t="s">
        <v>100</v>
      </c>
      <c r="H1826" t="s">
        <v>1313</v>
      </c>
      <c r="I1826" t="s">
        <v>119</v>
      </c>
      <c r="J1826" t="s">
        <v>36</v>
      </c>
      <c r="K1826">
        <v>990</v>
      </c>
      <c r="O1826" t="s">
        <v>37</v>
      </c>
      <c r="P1826" t="s">
        <v>44</v>
      </c>
      <c r="U1826" s="9" t="s">
        <v>148</v>
      </c>
      <c r="V1826" t="s">
        <v>184</v>
      </c>
      <c r="W1826" t="s">
        <v>138</v>
      </c>
      <c r="X1826" t="s">
        <v>102</v>
      </c>
      <c r="Y1826" t="s">
        <v>1311</v>
      </c>
      <c r="Z1826" t="s">
        <v>41</v>
      </c>
      <c r="AA1826" t="s">
        <v>166</v>
      </c>
      <c r="AB1826" t="str">
        <f t="shared" si="84"/>
        <v>46210</v>
      </c>
    </row>
    <row r="1827" ht="14.25" spans="1:28">
      <c r="A1827" s="5" t="s">
        <v>28</v>
      </c>
      <c r="B1827" s="5" t="s">
        <v>697</v>
      </c>
      <c r="C1827" s="5">
        <v>2027</v>
      </c>
      <c r="D1827" s="5" t="s">
        <v>30</v>
      </c>
      <c r="E1827" t="s">
        <v>1312</v>
      </c>
      <c r="F1827" t="s">
        <v>1309</v>
      </c>
      <c r="G1827" t="s">
        <v>100</v>
      </c>
      <c r="H1827" t="s">
        <v>1313</v>
      </c>
      <c r="I1827" t="s">
        <v>119</v>
      </c>
      <c r="J1827" t="s">
        <v>36</v>
      </c>
      <c r="K1827">
        <v>990</v>
      </c>
      <c r="O1827" t="s">
        <v>37</v>
      </c>
      <c r="P1827" t="s">
        <v>45</v>
      </c>
      <c r="U1827" s="9" t="s">
        <v>148</v>
      </c>
      <c r="V1827" t="s">
        <v>184</v>
      </c>
      <c r="W1827" t="s">
        <v>138</v>
      </c>
      <c r="X1827" t="s">
        <v>102</v>
      </c>
      <c r="Y1827" t="s">
        <v>1311</v>
      </c>
      <c r="Z1827" t="s">
        <v>41</v>
      </c>
      <c r="AA1827" t="s">
        <v>166</v>
      </c>
      <c r="AB1827" t="str">
        <f t="shared" si="84"/>
        <v>46210</v>
      </c>
    </row>
    <row r="1828" ht="14.25" spans="1:28">
      <c r="A1828" s="5" t="s">
        <v>28</v>
      </c>
      <c r="B1828" s="5" t="s">
        <v>697</v>
      </c>
      <c r="C1828" s="5">
        <v>2027</v>
      </c>
      <c r="D1828" s="5" t="s">
        <v>30</v>
      </c>
      <c r="E1828" t="s">
        <v>1312</v>
      </c>
      <c r="F1828" t="s">
        <v>1309</v>
      </c>
      <c r="G1828" t="s">
        <v>100</v>
      </c>
      <c r="H1828" t="s">
        <v>1313</v>
      </c>
      <c r="I1828" t="s">
        <v>119</v>
      </c>
      <c r="J1828" t="s">
        <v>36</v>
      </c>
      <c r="K1828">
        <v>990</v>
      </c>
      <c r="O1828" t="s">
        <v>37</v>
      </c>
      <c r="P1828" t="s">
        <v>46</v>
      </c>
      <c r="U1828" s="9" t="s">
        <v>148</v>
      </c>
      <c r="V1828" t="s">
        <v>184</v>
      </c>
      <c r="W1828" t="s">
        <v>138</v>
      </c>
      <c r="X1828" t="s">
        <v>102</v>
      </c>
      <c r="Y1828" t="s">
        <v>1311</v>
      </c>
      <c r="Z1828" t="s">
        <v>41</v>
      </c>
      <c r="AA1828" t="s">
        <v>166</v>
      </c>
      <c r="AB1828" t="str">
        <f t="shared" si="84"/>
        <v>46210</v>
      </c>
    </row>
    <row r="1829" ht="14.25" spans="1:28">
      <c r="A1829" s="5" t="s">
        <v>28</v>
      </c>
      <c r="B1829" s="5" t="s">
        <v>697</v>
      </c>
      <c r="C1829" s="5">
        <v>2027</v>
      </c>
      <c r="D1829" s="5" t="s">
        <v>30</v>
      </c>
      <c r="E1829" t="s">
        <v>1314</v>
      </c>
      <c r="F1829" t="s">
        <v>1309</v>
      </c>
      <c r="G1829" t="s">
        <v>254</v>
      </c>
      <c r="H1829" t="s">
        <v>1315</v>
      </c>
      <c r="I1829" t="s">
        <v>119</v>
      </c>
      <c r="J1829" t="s">
        <v>36</v>
      </c>
      <c r="K1829">
        <v>990</v>
      </c>
      <c r="O1829" t="s">
        <v>37</v>
      </c>
      <c r="P1829" t="s">
        <v>38</v>
      </c>
      <c r="R1829">
        <f t="shared" si="85"/>
        <v>0</v>
      </c>
      <c r="S1829">
        <f>SUMIFS([1]Sheet1!$T:$T,[1]Sheet1!$I:$I,E1829,[1]Sheet1!$C:$C,A1829)</f>
        <v>0</v>
      </c>
      <c r="T1829">
        <f t="shared" si="86"/>
        <v>0</v>
      </c>
      <c r="U1829" s="9" t="s">
        <v>148</v>
      </c>
      <c r="V1829" t="s">
        <v>184</v>
      </c>
      <c r="W1829" t="s">
        <v>138</v>
      </c>
      <c r="X1829" t="s">
        <v>86</v>
      </c>
      <c r="Y1829" t="s">
        <v>1311</v>
      </c>
      <c r="Z1829" t="s">
        <v>41</v>
      </c>
      <c r="AA1829" t="s">
        <v>166</v>
      </c>
      <c r="AB1829" t="str">
        <f t="shared" si="84"/>
        <v>46210</v>
      </c>
    </row>
    <row r="1830" ht="14.25" spans="1:28">
      <c r="A1830" s="5" t="s">
        <v>28</v>
      </c>
      <c r="B1830" s="5" t="s">
        <v>697</v>
      </c>
      <c r="C1830" s="5">
        <v>2027</v>
      </c>
      <c r="D1830" s="5" t="s">
        <v>30</v>
      </c>
      <c r="E1830" t="s">
        <v>1314</v>
      </c>
      <c r="F1830" t="s">
        <v>1309</v>
      </c>
      <c r="G1830" t="s">
        <v>254</v>
      </c>
      <c r="H1830" t="s">
        <v>1315</v>
      </c>
      <c r="I1830" t="s">
        <v>119</v>
      </c>
      <c r="J1830" t="s">
        <v>36</v>
      </c>
      <c r="K1830">
        <v>990</v>
      </c>
      <c r="O1830" t="s">
        <v>37</v>
      </c>
      <c r="P1830" t="s">
        <v>42</v>
      </c>
      <c r="U1830" s="9" t="s">
        <v>148</v>
      </c>
      <c r="V1830" t="s">
        <v>184</v>
      </c>
      <c r="W1830" t="s">
        <v>138</v>
      </c>
      <c r="X1830" t="s">
        <v>86</v>
      </c>
      <c r="Y1830" t="s">
        <v>1311</v>
      </c>
      <c r="Z1830" t="s">
        <v>41</v>
      </c>
      <c r="AA1830" t="s">
        <v>166</v>
      </c>
      <c r="AB1830" t="str">
        <f t="shared" si="84"/>
        <v>46210</v>
      </c>
    </row>
    <row r="1831" ht="14.25" spans="1:28">
      <c r="A1831" s="5" t="s">
        <v>28</v>
      </c>
      <c r="B1831" s="5" t="s">
        <v>697</v>
      </c>
      <c r="C1831" s="5">
        <v>2027</v>
      </c>
      <c r="D1831" s="5" t="s">
        <v>30</v>
      </c>
      <c r="E1831" t="s">
        <v>1314</v>
      </c>
      <c r="F1831" t="s">
        <v>1309</v>
      </c>
      <c r="G1831" t="s">
        <v>254</v>
      </c>
      <c r="H1831" t="s">
        <v>1315</v>
      </c>
      <c r="I1831" t="s">
        <v>119</v>
      </c>
      <c r="J1831" t="s">
        <v>36</v>
      </c>
      <c r="K1831">
        <v>990</v>
      </c>
      <c r="O1831" t="s">
        <v>37</v>
      </c>
      <c r="P1831" t="s">
        <v>43</v>
      </c>
      <c r="U1831" s="9" t="s">
        <v>148</v>
      </c>
      <c r="V1831" t="s">
        <v>184</v>
      </c>
      <c r="W1831" t="s">
        <v>138</v>
      </c>
      <c r="X1831" t="s">
        <v>86</v>
      </c>
      <c r="Y1831" t="s">
        <v>1311</v>
      </c>
      <c r="Z1831" t="s">
        <v>41</v>
      </c>
      <c r="AA1831" t="s">
        <v>166</v>
      </c>
      <c r="AB1831" t="str">
        <f t="shared" si="84"/>
        <v>46210</v>
      </c>
    </row>
    <row r="1832" ht="14.25" spans="1:28">
      <c r="A1832" s="5" t="s">
        <v>28</v>
      </c>
      <c r="B1832" s="5" t="s">
        <v>697</v>
      </c>
      <c r="C1832" s="5">
        <v>2027</v>
      </c>
      <c r="D1832" s="5" t="s">
        <v>30</v>
      </c>
      <c r="E1832" t="s">
        <v>1314</v>
      </c>
      <c r="F1832" t="s">
        <v>1309</v>
      </c>
      <c r="G1832" t="s">
        <v>254</v>
      </c>
      <c r="H1832" t="s">
        <v>1315</v>
      </c>
      <c r="I1832" t="s">
        <v>119</v>
      </c>
      <c r="J1832" t="s">
        <v>36</v>
      </c>
      <c r="K1832">
        <v>990</v>
      </c>
      <c r="O1832" t="s">
        <v>37</v>
      </c>
      <c r="P1832" t="s">
        <v>44</v>
      </c>
      <c r="U1832" s="9" t="s">
        <v>148</v>
      </c>
      <c r="V1832" t="s">
        <v>184</v>
      </c>
      <c r="W1832" t="s">
        <v>138</v>
      </c>
      <c r="X1832" t="s">
        <v>86</v>
      </c>
      <c r="Y1832" t="s">
        <v>1311</v>
      </c>
      <c r="Z1832" t="s">
        <v>41</v>
      </c>
      <c r="AA1832" t="s">
        <v>166</v>
      </c>
      <c r="AB1832" t="str">
        <f t="shared" si="84"/>
        <v>46210</v>
      </c>
    </row>
    <row r="1833" ht="14.25" spans="1:28">
      <c r="A1833" s="5" t="s">
        <v>28</v>
      </c>
      <c r="B1833" s="5" t="s">
        <v>697</v>
      </c>
      <c r="C1833" s="5">
        <v>2027</v>
      </c>
      <c r="D1833" s="5" t="s">
        <v>30</v>
      </c>
      <c r="E1833" t="s">
        <v>1314</v>
      </c>
      <c r="F1833" t="s">
        <v>1309</v>
      </c>
      <c r="G1833" t="s">
        <v>254</v>
      </c>
      <c r="H1833" t="s">
        <v>1315</v>
      </c>
      <c r="I1833" t="s">
        <v>119</v>
      </c>
      <c r="J1833" t="s">
        <v>36</v>
      </c>
      <c r="K1833">
        <v>990</v>
      </c>
      <c r="O1833" t="s">
        <v>37</v>
      </c>
      <c r="P1833" t="s">
        <v>45</v>
      </c>
      <c r="U1833" s="9" t="s">
        <v>148</v>
      </c>
      <c r="V1833" t="s">
        <v>184</v>
      </c>
      <c r="W1833" t="s">
        <v>138</v>
      </c>
      <c r="X1833" t="s">
        <v>86</v>
      </c>
      <c r="Y1833" t="s">
        <v>1311</v>
      </c>
      <c r="Z1833" t="s">
        <v>41</v>
      </c>
      <c r="AA1833" t="s">
        <v>166</v>
      </c>
      <c r="AB1833" t="str">
        <f t="shared" si="84"/>
        <v>46210</v>
      </c>
    </row>
    <row r="1834" ht="14.25" spans="1:28">
      <c r="A1834" s="5" t="s">
        <v>28</v>
      </c>
      <c r="B1834" s="5" t="s">
        <v>697</v>
      </c>
      <c r="C1834" s="5">
        <v>2027</v>
      </c>
      <c r="D1834" s="5" t="s">
        <v>30</v>
      </c>
      <c r="E1834" t="s">
        <v>1314</v>
      </c>
      <c r="F1834" t="s">
        <v>1309</v>
      </c>
      <c r="G1834" t="s">
        <v>254</v>
      </c>
      <c r="H1834" t="s">
        <v>1315</v>
      </c>
      <c r="I1834" t="s">
        <v>119</v>
      </c>
      <c r="J1834" t="s">
        <v>36</v>
      </c>
      <c r="K1834">
        <v>990</v>
      </c>
      <c r="O1834" t="s">
        <v>37</v>
      </c>
      <c r="P1834" t="s">
        <v>46</v>
      </c>
      <c r="U1834" s="9" t="s">
        <v>148</v>
      </c>
      <c r="V1834" t="s">
        <v>184</v>
      </c>
      <c r="W1834" t="s">
        <v>138</v>
      </c>
      <c r="X1834" t="s">
        <v>86</v>
      </c>
      <c r="Y1834" t="s">
        <v>1311</v>
      </c>
      <c r="Z1834" t="s">
        <v>41</v>
      </c>
      <c r="AA1834" t="s">
        <v>166</v>
      </c>
      <c r="AB1834" t="str">
        <f t="shared" si="84"/>
        <v>46210</v>
      </c>
    </row>
    <row r="1835" ht="14.25" spans="1:28">
      <c r="A1835" s="5" t="s">
        <v>28</v>
      </c>
      <c r="B1835" s="5" t="s">
        <v>697</v>
      </c>
      <c r="C1835" s="5">
        <v>2027</v>
      </c>
      <c r="D1835" s="5" t="s">
        <v>30</v>
      </c>
      <c r="E1835" t="s">
        <v>1316</v>
      </c>
      <c r="F1835" t="s">
        <v>1317</v>
      </c>
      <c r="G1835" t="s">
        <v>117</v>
      </c>
      <c r="H1835" t="s">
        <v>1318</v>
      </c>
      <c r="I1835" t="s">
        <v>119</v>
      </c>
      <c r="J1835" t="s">
        <v>36</v>
      </c>
      <c r="K1835">
        <v>990</v>
      </c>
      <c r="O1835" t="s">
        <v>37</v>
      </c>
      <c r="P1835" t="s">
        <v>38</v>
      </c>
      <c r="R1835">
        <f t="shared" si="85"/>
        <v>0</v>
      </c>
      <c r="S1835">
        <f>SUMIFS([1]Sheet1!$T:$T,[1]Sheet1!$I:$I,E1835,[1]Sheet1!$C:$C,A1835)</f>
        <v>0</v>
      </c>
      <c r="T1835">
        <f t="shared" si="86"/>
        <v>0</v>
      </c>
      <c r="U1835" s="9" t="s">
        <v>148</v>
      </c>
      <c r="V1835" t="s">
        <v>184</v>
      </c>
      <c r="W1835" t="s">
        <v>138</v>
      </c>
      <c r="X1835" t="s">
        <v>122</v>
      </c>
      <c r="Y1835" t="s">
        <v>1047</v>
      </c>
      <c r="Z1835" t="s">
        <v>41</v>
      </c>
      <c r="AA1835" t="s">
        <v>1167</v>
      </c>
      <c r="AB1835" t="str">
        <f t="shared" si="84"/>
        <v>46211</v>
      </c>
    </row>
    <row r="1836" ht="14.25" spans="1:28">
      <c r="A1836" s="5" t="s">
        <v>28</v>
      </c>
      <c r="B1836" s="5" t="s">
        <v>697</v>
      </c>
      <c r="C1836" s="5">
        <v>2027</v>
      </c>
      <c r="D1836" s="5" t="s">
        <v>30</v>
      </c>
      <c r="E1836" t="s">
        <v>1316</v>
      </c>
      <c r="F1836" t="s">
        <v>1317</v>
      </c>
      <c r="G1836" t="s">
        <v>117</v>
      </c>
      <c r="H1836" t="s">
        <v>1318</v>
      </c>
      <c r="I1836" t="s">
        <v>119</v>
      </c>
      <c r="J1836" t="s">
        <v>36</v>
      </c>
      <c r="K1836">
        <v>990</v>
      </c>
      <c r="O1836" t="s">
        <v>37</v>
      </c>
      <c r="P1836" t="s">
        <v>42</v>
      </c>
      <c r="U1836" s="9" t="s">
        <v>148</v>
      </c>
      <c r="V1836" t="s">
        <v>184</v>
      </c>
      <c r="W1836" t="s">
        <v>138</v>
      </c>
      <c r="X1836" t="s">
        <v>122</v>
      </c>
      <c r="Y1836" t="s">
        <v>1047</v>
      </c>
      <c r="Z1836" t="s">
        <v>41</v>
      </c>
      <c r="AA1836" t="s">
        <v>1167</v>
      </c>
      <c r="AB1836" t="str">
        <f t="shared" si="84"/>
        <v>46211</v>
      </c>
    </row>
    <row r="1837" ht="14.25" spans="1:28">
      <c r="A1837" s="5" t="s">
        <v>28</v>
      </c>
      <c r="B1837" s="5" t="s">
        <v>697</v>
      </c>
      <c r="C1837" s="5">
        <v>2027</v>
      </c>
      <c r="D1837" s="5" t="s">
        <v>30</v>
      </c>
      <c r="E1837" t="s">
        <v>1316</v>
      </c>
      <c r="F1837" t="s">
        <v>1317</v>
      </c>
      <c r="G1837" t="s">
        <v>117</v>
      </c>
      <c r="H1837" t="s">
        <v>1318</v>
      </c>
      <c r="I1837" t="s">
        <v>119</v>
      </c>
      <c r="J1837" t="s">
        <v>36</v>
      </c>
      <c r="K1837">
        <v>990</v>
      </c>
      <c r="O1837" t="s">
        <v>37</v>
      </c>
      <c r="P1837" t="s">
        <v>43</v>
      </c>
      <c r="U1837" s="9" t="s">
        <v>148</v>
      </c>
      <c r="V1837" t="s">
        <v>184</v>
      </c>
      <c r="W1837" t="s">
        <v>138</v>
      </c>
      <c r="X1837" t="s">
        <v>122</v>
      </c>
      <c r="Y1837" t="s">
        <v>1047</v>
      </c>
      <c r="Z1837" t="s">
        <v>41</v>
      </c>
      <c r="AA1837" t="s">
        <v>1167</v>
      </c>
      <c r="AB1837" t="str">
        <f t="shared" si="84"/>
        <v>46211</v>
      </c>
    </row>
    <row r="1838" ht="14.25" spans="1:28">
      <c r="A1838" s="5" t="s">
        <v>28</v>
      </c>
      <c r="B1838" s="5" t="s">
        <v>697</v>
      </c>
      <c r="C1838" s="5">
        <v>2027</v>
      </c>
      <c r="D1838" s="5" t="s">
        <v>30</v>
      </c>
      <c r="E1838" t="s">
        <v>1316</v>
      </c>
      <c r="F1838" t="s">
        <v>1317</v>
      </c>
      <c r="G1838" t="s">
        <v>117</v>
      </c>
      <c r="H1838" t="s">
        <v>1318</v>
      </c>
      <c r="I1838" t="s">
        <v>119</v>
      </c>
      <c r="J1838" t="s">
        <v>36</v>
      </c>
      <c r="K1838">
        <v>990</v>
      </c>
      <c r="O1838" t="s">
        <v>37</v>
      </c>
      <c r="P1838" t="s">
        <v>44</v>
      </c>
      <c r="U1838" s="9" t="s">
        <v>148</v>
      </c>
      <c r="V1838" t="s">
        <v>184</v>
      </c>
      <c r="W1838" t="s">
        <v>138</v>
      </c>
      <c r="X1838" t="s">
        <v>122</v>
      </c>
      <c r="Y1838" t="s">
        <v>1047</v>
      </c>
      <c r="Z1838" t="s">
        <v>41</v>
      </c>
      <c r="AA1838" t="s">
        <v>1167</v>
      </c>
      <c r="AB1838" t="str">
        <f t="shared" si="84"/>
        <v>46211</v>
      </c>
    </row>
    <row r="1839" ht="14.25" spans="1:28">
      <c r="A1839" s="5" t="s">
        <v>28</v>
      </c>
      <c r="B1839" s="5" t="s">
        <v>697</v>
      </c>
      <c r="C1839" s="5">
        <v>2027</v>
      </c>
      <c r="D1839" s="5" t="s">
        <v>30</v>
      </c>
      <c r="E1839" t="s">
        <v>1316</v>
      </c>
      <c r="F1839" t="s">
        <v>1317</v>
      </c>
      <c r="G1839" t="s">
        <v>117</v>
      </c>
      <c r="H1839" t="s">
        <v>1318</v>
      </c>
      <c r="I1839" t="s">
        <v>119</v>
      </c>
      <c r="J1839" t="s">
        <v>36</v>
      </c>
      <c r="K1839">
        <v>990</v>
      </c>
      <c r="O1839" t="s">
        <v>37</v>
      </c>
      <c r="P1839" t="s">
        <v>45</v>
      </c>
      <c r="U1839" s="9" t="s">
        <v>148</v>
      </c>
      <c r="V1839" t="s">
        <v>184</v>
      </c>
      <c r="W1839" t="s">
        <v>138</v>
      </c>
      <c r="X1839" t="s">
        <v>122</v>
      </c>
      <c r="Y1839" t="s">
        <v>1047</v>
      </c>
      <c r="Z1839" t="s">
        <v>41</v>
      </c>
      <c r="AA1839" t="s">
        <v>1167</v>
      </c>
      <c r="AB1839" t="str">
        <f t="shared" si="84"/>
        <v>46211</v>
      </c>
    </row>
    <row r="1840" ht="14.25" spans="1:28">
      <c r="A1840" s="5" t="s">
        <v>28</v>
      </c>
      <c r="B1840" s="5" t="s">
        <v>697</v>
      </c>
      <c r="C1840" s="5">
        <v>2027</v>
      </c>
      <c r="D1840" s="5" t="s">
        <v>30</v>
      </c>
      <c r="E1840" t="s">
        <v>1316</v>
      </c>
      <c r="F1840" t="s">
        <v>1317</v>
      </c>
      <c r="G1840" t="s">
        <v>117</v>
      </c>
      <c r="H1840" t="s">
        <v>1318</v>
      </c>
      <c r="I1840" t="s">
        <v>119</v>
      </c>
      <c r="J1840" t="s">
        <v>36</v>
      </c>
      <c r="K1840">
        <v>990</v>
      </c>
      <c r="O1840" t="s">
        <v>37</v>
      </c>
      <c r="P1840" t="s">
        <v>46</v>
      </c>
      <c r="U1840" s="9" t="s">
        <v>148</v>
      </c>
      <c r="V1840" t="s">
        <v>184</v>
      </c>
      <c r="W1840" t="s">
        <v>138</v>
      </c>
      <c r="X1840" t="s">
        <v>122</v>
      </c>
      <c r="Y1840" t="s">
        <v>1047</v>
      </c>
      <c r="Z1840" t="s">
        <v>41</v>
      </c>
      <c r="AA1840" t="s">
        <v>1167</v>
      </c>
      <c r="AB1840" t="str">
        <f t="shared" si="84"/>
        <v>46211</v>
      </c>
    </row>
    <row r="1841" ht="14.25" spans="1:28">
      <c r="A1841" s="5" t="s">
        <v>28</v>
      </c>
      <c r="B1841" s="5" t="s">
        <v>697</v>
      </c>
      <c r="C1841" s="5">
        <v>2027</v>
      </c>
      <c r="D1841" s="5" t="s">
        <v>30</v>
      </c>
      <c r="E1841" t="s">
        <v>1319</v>
      </c>
      <c r="F1841" t="s">
        <v>1317</v>
      </c>
      <c r="G1841" t="s">
        <v>100</v>
      </c>
      <c r="H1841" t="s">
        <v>1320</v>
      </c>
      <c r="I1841" t="s">
        <v>119</v>
      </c>
      <c r="J1841" t="s">
        <v>36</v>
      </c>
      <c r="K1841">
        <v>990</v>
      </c>
      <c r="O1841" t="s">
        <v>37</v>
      </c>
      <c r="P1841" t="s">
        <v>38</v>
      </c>
      <c r="R1841">
        <f t="shared" si="85"/>
        <v>0</v>
      </c>
      <c r="S1841">
        <f>SUMIFS([1]Sheet1!$T:$T,[1]Sheet1!$I:$I,E1841,[1]Sheet1!$C:$C,A1841)</f>
        <v>0</v>
      </c>
      <c r="T1841">
        <f t="shared" si="86"/>
        <v>0</v>
      </c>
      <c r="U1841" s="9" t="s">
        <v>148</v>
      </c>
      <c r="V1841" t="s">
        <v>184</v>
      </c>
      <c r="W1841" t="s">
        <v>138</v>
      </c>
      <c r="X1841" t="s">
        <v>102</v>
      </c>
      <c r="Y1841" t="s">
        <v>1047</v>
      </c>
      <c r="Z1841" t="s">
        <v>41</v>
      </c>
      <c r="AA1841" t="s">
        <v>1167</v>
      </c>
      <c r="AB1841" t="str">
        <f t="shared" si="84"/>
        <v>46211</v>
      </c>
    </row>
    <row r="1842" ht="14.25" spans="1:28">
      <c r="A1842" s="5" t="s">
        <v>28</v>
      </c>
      <c r="B1842" s="5" t="s">
        <v>697</v>
      </c>
      <c r="C1842" s="5">
        <v>2027</v>
      </c>
      <c r="D1842" s="5" t="s">
        <v>30</v>
      </c>
      <c r="E1842" t="s">
        <v>1319</v>
      </c>
      <c r="F1842" t="s">
        <v>1317</v>
      </c>
      <c r="G1842" t="s">
        <v>100</v>
      </c>
      <c r="H1842" t="s">
        <v>1320</v>
      </c>
      <c r="I1842" t="s">
        <v>119</v>
      </c>
      <c r="J1842" t="s">
        <v>36</v>
      </c>
      <c r="K1842">
        <v>990</v>
      </c>
      <c r="O1842" t="s">
        <v>37</v>
      </c>
      <c r="P1842" t="s">
        <v>42</v>
      </c>
      <c r="U1842" s="9" t="s">
        <v>148</v>
      </c>
      <c r="V1842" t="s">
        <v>184</v>
      </c>
      <c r="W1842" t="s">
        <v>138</v>
      </c>
      <c r="X1842" t="s">
        <v>102</v>
      </c>
      <c r="Y1842" t="s">
        <v>1047</v>
      </c>
      <c r="Z1842" t="s">
        <v>41</v>
      </c>
      <c r="AA1842" t="s">
        <v>1167</v>
      </c>
      <c r="AB1842" t="str">
        <f t="shared" si="84"/>
        <v>46211</v>
      </c>
    </row>
    <row r="1843" ht="14.25" spans="1:28">
      <c r="A1843" s="5" t="s">
        <v>28</v>
      </c>
      <c r="B1843" s="5" t="s">
        <v>697</v>
      </c>
      <c r="C1843" s="5">
        <v>2027</v>
      </c>
      <c r="D1843" s="5" t="s">
        <v>30</v>
      </c>
      <c r="E1843" t="s">
        <v>1319</v>
      </c>
      <c r="F1843" t="s">
        <v>1317</v>
      </c>
      <c r="G1843" t="s">
        <v>100</v>
      </c>
      <c r="H1843" t="s">
        <v>1320</v>
      </c>
      <c r="I1843" t="s">
        <v>119</v>
      </c>
      <c r="J1843" t="s">
        <v>36</v>
      </c>
      <c r="K1843">
        <v>990</v>
      </c>
      <c r="O1843" t="s">
        <v>37</v>
      </c>
      <c r="P1843" t="s">
        <v>43</v>
      </c>
      <c r="U1843" s="9" t="s">
        <v>148</v>
      </c>
      <c r="V1843" t="s">
        <v>184</v>
      </c>
      <c r="W1843" t="s">
        <v>138</v>
      </c>
      <c r="X1843" t="s">
        <v>102</v>
      </c>
      <c r="Y1843" t="s">
        <v>1047</v>
      </c>
      <c r="Z1843" t="s">
        <v>41</v>
      </c>
      <c r="AA1843" t="s">
        <v>1167</v>
      </c>
      <c r="AB1843" t="str">
        <f t="shared" ref="AB1843:AB1906" si="87">MID(E1843,6,5)</f>
        <v>46211</v>
      </c>
    </row>
    <row r="1844" ht="14.25" spans="1:28">
      <c r="A1844" s="5" t="s">
        <v>28</v>
      </c>
      <c r="B1844" s="5" t="s">
        <v>697</v>
      </c>
      <c r="C1844" s="5">
        <v>2027</v>
      </c>
      <c r="D1844" s="5" t="s">
        <v>30</v>
      </c>
      <c r="E1844" t="s">
        <v>1319</v>
      </c>
      <c r="F1844" t="s">
        <v>1317</v>
      </c>
      <c r="G1844" t="s">
        <v>100</v>
      </c>
      <c r="H1844" t="s">
        <v>1320</v>
      </c>
      <c r="I1844" t="s">
        <v>119</v>
      </c>
      <c r="J1844" t="s">
        <v>36</v>
      </c>
      <c r="K1844">
        <v>990</v>
      </c>
      <c r="O1844" t="s">
        <v>37</v>
      </c>
      <c r="P1844" t="s">
        <v>44</v>
      </c>
      <c r="U1844" s="9" t="s">
        <v>148</v>
      </c>
      <c r="V1844" t="s">
        <v>184</v>
      </c>
      <c r="W1844" t="s">
        <v>138</v>
      </c>
      <c r="X1844" t="s">
        <v>102</v>
      </c>
      <c r="Y1844" t="s">
        <v>1047</v>
      </c>
      <c r="Z1844" t="s">
        <v>41</v>
      </c>
      <c r="AA1844" t="s">
        <v>1167</v>
      </c>
      <c r="AB1844" t="str">
        <f t="shared" si="87"/>
        <v>46211</v>
      </c>
    </row>
    <row r="1845" ht="14.25" spans="1:28">
      <c r="A1845" s="5" t="s">
        <v>28</v>
      </c>
      <c r="B1845" s="5" t="s">
        <v>697</v>
      </c>
      <c r="C1845" s="5">
        <v>2027</v>
      </c>
      <c r="D1845" s="5" t="s">
        <v>30</v>
      </c>
      <c r="E1845" t="s">
        <v>1319</v>
      </c>
      <c r="F1845" t="s">
        <v>1317</v>
      </c>
      <c r="G1845" t="s">
        <v>100</v>
      </c>
      <c r="H1845" t="s">
        <v>1320</v>
      </c>
      <c r="I1845" t="s">
        <v>119</v>
      </c>
      <c r="J1845" t="s">
        <v>36</v>
      </c>
      <c r="K1845">
        <v>990</v>
      </c>
      <c r="O1845" t="s">
        <v>37</v>
      </c>
      <c r="P1845" t="s">
        <v>45</v>
      </c>
      <c r="U1845" s="9" t="s">
        <v>148</v>
      </c>
      <c r="V1845" t="s">
        <v>184</v>
      </c>
      <c r="W1845" t="s">
        <v>138</v>
      </c>
      <c r="X1845" t="s">
        <v>102</v>
      </c>
      <c r="Y1845" t="s">
        <v>1047</v>
      </c>
      <c r="Z1845" t="s">
        <v>41</v>
      </c>
      <c r="AA1845" t="s">
        <v>1167</v>
      </c>
      <c r="AB1845" t="str">
        <f t="shared" si="87"/>
        <v>46211</v>
      </c>
    </row>
    <row r="1846" ht="14.25" spans="1:28">
      <c r="A1846" s="5" t="s">
        <v>28</v>
      </c>
      <c r="B1846" s="5" t="s">
        <v>697</v>
      </c>
      <c r="C1846" s="5">
        <v>2027</v>
      </c>
      <c r="D1846" s="5" t="s">
        <v>30</v>
      </c>
      <c r="E1846" t="s">
        <v>1319</v>
      </c>
      <c r="F1846" t="s">
        <v>1317</v>
      </c>
      <c r="G1846" t="s">
        <v>100</v>
      </c>
      <c r="H1846" t="s">
        <v>1320</v>
      </c>
      <c r="I1846" t="s">
        <v>119</v>
      </c>
      <c r="J1846" t="s">
        <v>36</v>
      </c>
      <c r="K1846">
        <v>990</v>
      </c>
      <c r="O1846" t="s">
        <v>37</v>
      </c>
      <c r="P1846" t="s">
        <v>46</v>
      </c>
      <c r="U1846" s="9" t="s">
        <v>148</v>
      </c>
      <c r="V1846" t="s">
        <v>184</v>
      </c>
      <c r="W1846" t="s">
        <v>138</v>
      </c>
      <c r="X1846" t="s">
        <v>102</v>
      </c>
      <c r="Y1846" t="s">
        <v>1047</v>
      </c>
      <c r="Z1846" t="s">
        <v>41</v>
      </c>
      <c r="AA1846" t="s">
        <v>1167</v>
      </c>
      <c r="AB1846" t="str">
        <f t="shared" si="87"/>
        <v>46211</v>
      </c>
    </row>
    <row r="1847" ht="14.25" spans="1:28">
      <c r="A1847" s="5" t="s">
        <v>28</v>
      </c>
      <c r="B1847" s="5" t="s">
        <v>697</v>
      </c>
      <c r="C1847" s="5">
        <v>2027</v>
      </c>
      <c r="D1847" s="5" t="s">
        <v>30</v>
      </c>
      <c r="E1847" t="s">
        <v>1321</v>
      </c>
      <c r="F1847" t="s">
        <v>1317</v>
      </c>
      <c r="G1847" t="s">
        <v>60</v>
      </c>
      <c r="H1847" t="s">
        <v>1322</v>
      </c>
      <c r="I1847" t="s">
        <v>119</v>
      </c>
      <c r="J1847" t="s">
        <v>36</v>
      </c>
      <c r="K1847">
        <v>990</v>
      </c>
      <c r="O1847" t="s">
        <v>37</v>
      </c>
      <c r="P1847" t="s">
        <v>38</v>
      </c>
      <c r="R1847">
        <f t="shared" si="85"/>
        <v>0</v>
      </c>
      <c r="S1847">
        <f>SUMIFS([1]Sheet1!$T:$T,[1]Sheet1!$I:$I,E1847,[1]Sheet1!$C:$C,A1847)</f>
        <v>0</v>
      </c>
      <c r="T1847">
        <f t="shared" si="86"/>
        <v>0</v>
      </c>
      <c r="U1847" s="9" t="s">
        <v>148</v>
      </c>
      <c r="V1847" t="s">
        <v>184</v>
      </c>
      <c r="W1847" t="s">
        <v>138</v>
      </c>
      <c r="X1847" t="s">
        <v>62</v>
      </c>
      <c r="Y1847" t="s">
        <v>1047</v>
      </c>
      <c r="Z1847" t="s">
        <v>41</v>
      </c>
      <c r="AA1847" t="s">
        <v>1167</v>
      </c>
      <c r="AB1847" t="str">
        <f t="shared" si="87"/>
        <v>46211</v>
      </c>
    </row>
    <row r="1848" ht="14.25" spans="1:28">
      <c r="A1848" s="5" t="s">
        <v>28</v>
      </c>
      <c r="B1848" s="5" t="s">
        <v>697</v>
      </c>
      <c r="C1848" s="5">
        <v>2027</v>
      </c>
      <c r="D1848" s="5" t="s">
        <v>30</v>
      </c>
      <c r="E1848" t="s">
        <v>1321</v>
      </c>
      <c r="F1848" t="s">
        <v>1317</v>
      </c>
      <c r="G1848" t="s">
        <v>60</v>
      </c>
      <c r="H1848" t="s">
        <v>1322</v>
      </c>
      <c r="I1848" t="s">
        <v>119</v>
      </c>
      <c r="J1848" t="s">
        <v>36</v>
      </c>
      <c r="K1848">
        <v>990</v>
      </c>
      <c r="O1848" t="s">
        <v>37</v>
      </c>
      <c r="P1848" t="s">
        <v>42</v>
      </c>
      <c r="U1848" s="9" t="s">
        <v>148</v>
      </c>
      <c r="V1848" t="s">
        <v>184</v>
      </c>
      <c r="W1848" t="s">
        <v>138</v>
      </c>
      <c r="X1848" t="s">
        <v>62</v>
      </c>
      <c r="Y1848" t="s">
        <v>1047</v>
      </c>
      <c r="Z1848" t="s">
        <v>41</v>
      </c>
      <c r="AA1848" t="s">
        <v>1167</v>
      </c>
      <c r="AB1848" t="str">
        <f t="shared" si="87"/>
        <v>46211</v>
      </c>
    </row>
    <row r="1849" ht="14.25" spans="1:28">
      <c r="A1849" s="5" t="s">
        <v>28</v>
      </c>
      <c r="B1849" s="5" t="s">
        <v>697</v>
      </c>
      <c r="C1849" s="5">
        <v>2027</v>
      </c>
      <c r="D1849" s="5" t="s">
        <v>30</v>
      </c>
      <c r="E1849" t="s">
        <v>1321</v>
      </c>
      <c r="F1849" t="s">
        <v>1317</v>
      </c>
      <c r="G1849" t="s">
        <v>60</v>
      </c>
      <c r="H1849" t="s">
        <v>1322</v>
      </c>
      <c r="I1849" t="s">
        <v>119</v>
      </c>
      <c r="J1849" t="s">
        <v>36</v>
      </c>
      <c r="K1849">
        <v>990</v>
      </c>
      <c r="O1849" t="s">
        <v>37</v>
      </c>
      <c r="P1849" t="s">
        <v>43</v>
      </c>
      <c r="U1849" s="9" t="s">
        <v>148</v>
      </c>
      <c r="V1849" t="s">
        <v>184</v>
      </c>
      <c r="W1849" t="s">
        <v>138</v>
      </c>
      <c r="X1849" t="s">
        <v>62</v>
      </c>
      <c r="Y1849" t="s">
        <v>1047</v>
      </c>
      <c r="Z1849" t="s">
        <v>41</v>
      </c>
      <c r="AA1849" t="s">
        <v>1167</v>
      </c>
      <c r="AB1849" t="str">
        <f t="shared" si="87"/>
        <v>46211</v>
      </c>
    </row>
    <row r="1850" ht="14.25" spans="1:28">
      <c r="A1850" s="5" t="s">
        <v>28</v>
      </c>
      <c r="B1850" s="5" t="s">
        <v>697</v>
      </c>
      <c r="C1850" s="5">
        <v>2027</v>
      </c>
      <c r="D1850" s="5" t="s">
        <v>30</v>
      </c>
      <c r="E1850" t="s">
        <v>1321</v>
      </c>
      <c r="F1850" t="s">
        <v>1317</v>
      </c>
      <c r="G1850" t="s">
        <v>60</v>
      </c>
      <c r="H1850" t="s">
        <v>1322</v>
      </c>
      <c r="I1850" t="s">
        <v>119</v>
      </c>
      <c r="J1850" t="s">
        <v>36</v>
      </c>
      <c r="K1850">
        <v>990</v>
      </c>
      <c r="O1850" t="s">
        <v>37</v>
      </c>
      <c r="P1850" t="s">
        <v>44</v>
      </c>
      <c r="U1850" s="9" t="s">
        <v>148</v>
      </c>
      <c r="V1850" t="s">
        <v>184</v>
      </c>
      <c r="W1850" t="s">
        <v>138</v>
      </c>
      <c r="X1850" t="s">
        <v>62</v>
      </c>
      <c r="Y1850" t="s">
        <v>1047</v>
      </c>
      <c r="Z1850" t="s">
        <v>41</v>
      </c>
      <c r="AA1850" t="s">
        <v>1167</v>
      </c>
      <c r="AB1850" t="str">
        <f t="shared" si="87"/>
        <v>46211</v>
      </c>
    </row>
    <row r="1851" ht="14.25" spans="1:28">
      <c r="A1851" s="5" t="s">
        <v>28</v>
      </c>
      <c r="B1851" s="5" t="s">
        <v>697</v>
      </c>
      <c r="C1851" s="5">
        <v>2027</v>
      </c>
      <c r="D1851" s="5" t="s">
        <v>30</v>
      </c>
      <c r="E1851" t="s">
        <v>1321</v>
      </c>
      <c r="F1851" t="s">
        <v>1317</v>
      </c>
      <c r="G1851" t="s">
        <v>60</v>
      </c>
      <c r="H1851" t="s">
        <v>1322</v>
      </c>
      <c r="I1851" t="s">
        <v>119</v>
      </c>
      <c r="J1851" t="s">
        <v>36</v>
      </c>
      <c r="K1851">
        <v>990</v>
      </c>
      <c r="O1851" t="s">
        <v>37</v>
      </c>
      <c r="P1851" t="s">
        <v>45</v>
      </c>
      <c r="U1851" s="9" t="s">
        <v>148</v>
      </c>
      <c r="V1851" t="s">
        <v>184</v>
      </c>
      <c r="W1851" t="s">
        <v>138</v>
      </c>
      <c r="X1851" t="s">
        <v>62</v>
      </c>
      <c r="Y1851" t="s">
        <v>1047</v>
      </c>
      <c r="Z1851" t="s">
        <v>41</v>
      </c>
      <c r="AA1851" t="s">
        <v>1167</v>
      </c>
      <c r="AB1851" t="str">
        <f t="shared" si="87"/>
        <v>46211</v>
      </c>
    </row>
    <row r="1852" ht="14.25" spans="1:28">
      <c r="A1852" s="5" t="s">
        <v>28</v>
      </c>
      <c r="B1852" s="5" t="s">
        <v>697</v>
      </c>
      <c r="C1852" s="5">
        <v>2027</v>
      </c>
      <c r="D1852" s="5" t="s">
        <v>30</v>
      </c>
      <c r="E1852" t="s">
        <v>1321</v>
      </c>
      <c r="F1852" t="s">
        <v>1317</v>
      </c>
      <c r="G1852" t="s">
        <v>60</v>
      </c>
      <c r="H1852" t="s">
        <v>1322</v>
      </c>
      <c r="I1852" t="s">
        <v>119</v>
      </c>
      <c r="J1852" t="s">
        <v>36</v>
      </c>
      <c r="K1852">
        <v>990</v>
      </c>
      <c r="O1852" t="s">
        <v>37</v>
      </c>
      <c r="P1852" t="s">
        <v>46</v>
      </c>
      <c r="U1852" s="9" t="s">
        <v>148</v>
      </c>
      <c r="V1852" t="s">
        <v>184</v>
      </c>
      <c r="W1852" t="s">
        <v>138</v>
      </c>
      <c r="X1852" t="s">
        <v>62</v>
      </c>
      <c r="Y1852" t="s">
        <v>1047</v>
      </c>
      <c r="Z1852" t="s">
        <v>41</v>
      </c>
      <c r="AA1852" t="s">
        <v>1167</v>
      </c>
      <c r="AB1852" t="str">
        <f t="shared" si="87"/>
        <v>46211</v>
      </c>
    </row>
    <row r="1853" ht="14.25" spans="1:28">
      <c r="A1853" s="5" t="s">
        <v>28</v>
      </c>
      <c r="B1853" s="5" t="s">
        <v>697</v>
      </c>
      <c r="C1853" s="5">
        <v>2027</v>
      </c>
      <c r="D1853" s="5" t="s">
        <v>30</v>
      </c>
      <c r="E1853" t="s">
        <v>1323</v>
      </c>
      <c r="F1853" t="s">
        <v>1324</v>
      </c>
      <c r="G1853" t="s">
        <v>1325</v>
      </c>
      <c r="H1853" t="s">
        <v>1326</v>
      </c>
      <c r="I1853" t="s">
        <v>147</v>
      </c>
      <c r="J1853" t="s">
        <v>36</v>
      </c>
      <c r="K1853">
        <v>990</v>
      </c>
      <c r="O1853" t="s">
        <v>37</v>
      </c>
      <c r="P1853" t="s">
        <v>38</v>
      </c>
      <c r="R1853">
        <f t="shared" si="85"/>
        <v>0</v>
      </c>
      <c r="S1853">
        <f>SUMIFS([1]Sheet1!$T:$T,[1]Sheet1!$I:$I,E1853,[1]Sheet1!$C:$C,A1853)</f>
        <v>0</v>
      </c>
      <c r="T1853">
        <f t="shared" si="86"/>
        <v>0</v>
      </c>
      <c r="U1853" s="9" t="s">
        <v>148</v>
      </c>
      <c r="V1853" t="s">
        <v>184</v>
      </c>
      <c r="W1853" t="s">
        <v>138</v>
      </c>
      <c r="X1853" t="s">
        <v>50</v>
      </c>
      <c r="Y1853" t="s">
        <v>1047</v>
      </c>
      <c r="Z1853" t="s">
        <v>104</v>
      </c>
      <c r="AB1853" t="str">
        <f t="shared" si="87"/>
        <v>46216</v>
      </c>
    </row>
    <row r="1854" ht="14.25" spans="1:28">
      <c r="A1854" s="5" t="s">
        <v>28</v>
      </c>
      <c r="B1854" s="5" t="s">
        <v>697</v>
      </c>
      <c r="C1854" s="5">
        <v>2027</v>
      </c>
      <c r="D1854" s="5" t="s">
        <v>30</v>
      </c>
      <c r="E1854" t="s">
        <v>1323</v>
      </c>
      <c r="F1854" t="s">
        <v>1324</v>
      </c>
      <c r="G1854" t="s">
        <v>1325</v>
      </c>
      <c r="H1854" t="s">
        <v>1326</v>
      </c>
      <c r="I1854" t="s">
        <v>147</v>
      </c>
      <c r="J1854" t="s">
        <v>36</v>
      </c>
      <c r="K1854">
        <v>990</v>
      </c>
      <c r="O1854" t="s">
        <v>37</v>
      </c>
      <c r="P1854" t="s">
        <v>42</v>
      </c>
      <c r="U1854" s="9" t="s">
        <v>148</v>
      </c>
      <c r="V1854" t="s">
        <v>184</v>
      </c>
      <c r="W1854" t="s">
        <v>138</v>
      </c>
      <c r="X1854" t="s">
        <v>50</v>
      </c>
      <c r="Y1854" t="s">
        <v>1047</v>
      </c>
      <c r="Z1854" t="s">
        <v>104</v>
      </c>
      <c r="AB1854" t="str">
        <f t="shared" si="87"/>
        <v>46216</v>
      </c>
    </row>
    <row r="1855" ht="14.25" spans="1:28">
      <c r="A1855" s="5" t="s">
        <v>28</v>
      </c>
      <c r="B1855" s="5" t="s">
        <v>697</v>
      </c>
      <c r="C1855" s="5">
        <v>2027</v>
      </c>
      <c r="D1855" s="5" t="s">
        <v>30</v>
      </c>
      <c r="E1855" t="s">
        <v>1323</v>
      </c>
      <c r="F1855" t="s">
        <v>1324</v>
      </c>
      <c r="G1855" t="s">
        <v>1325</v>
      </c>
      <c r="H1855" t="s">
        <v>1326</v>
      </c>
      <c r="I1855" t="s">
        <v>147</v>
      </c>
      <c r="J1855" t="s">
        <v>36</v>
      </c>
      <c r="K1855">
        <v>990</v>
      </c>
      <c r="O1855" t="s">
        <v>37</v>
      </c>
      <c r="P1855" t="s">
        <v>43</v>
      </c>
      <c r="U1855" s="9" t="s">
        <v>148</v>
      </c>
      <c r="V1855" t="s">
        <v>184</v>
      </c>
      <c r="W1855" t="s">
        <v>138</v>
      </c>
      <c r="X1855" t="s">
        <v>50</v>
      </c>
      <c r="Y1855" t="s">
        <v>1047</v>
      </c>
      <c r="Z1855" t="s">
        <v>104</v>
      </c>
      <c r="AB1855" t="str">
        <f t="shared" si="87"/>
        <v>46216</v>
      </c>
    </row>
    <row r="1856" ht="14.25" spans="1:28">
      <c r="A1856" s="5" t="s">
        <v>28</v>
      </c>
      <c r="B1856" s="5" t="s">
        <v>697</v>
      </c>
      <c r="C1856" s="5">
        <v>2027</v>
      </c>
      <c r="D1856" s="5" t="s">
        <v>30</v>
      </c>
      <c r="E1856" t="s">
        <v>1323</v>
      </c>
      <c r="F1856" t="s">
        <v>1324</v>
      </c>
      <c r="G1856" t="s">
        <v>1325</v>
      </c>
      <c r="H1856" t="s">
        <v>1326</v>
      </c>
      <c r="I1856" t="s">
        <v>147</v>
      </c>
      <c r="J1856" t="s">
        <v>36</v>
      </c>
      <c r="K1856">
        <v>990</v>
      </c>
      <c r="O1856" t="s">
        <v>37</v>
      </c>
      <c r="P1856" t="s">
        <v>44</v>
      </c>
      <c r="U1856" s="9" t="s">
        <v>148</v>
      </c>
      <c r="V1856" t="s">
        <v>184</v>
      </c>
      <c r="W1856" t="s">
        <v>138</v>
      </c>
      <c r="X1856" t="s">
        <v>50</v>
      </c>
      <c r="Y1856" t="s">
        <v>1047</v>
      </c>
      <c r="Z1856" t="s">
        <v>104</v>
      </c>
      <c r="AB1856" t="str">
        <f t="shared" si="87"/>
        <v>46216</v>
      </c>
    </row>
    <row r="1857" ht="14.25" spans="1:28">
      <c r="A1857" s="5" t="s">
        <v>28</v>
      </c>
      <c r="B1857" s="5" t="s">
        <v>697</v>
      </c>
      <c r="C1857" s="5">
        <v>2027</v>
      </c>
      <c r="D1857" s="5" t="s">
        <v>30</v>
      </c>
      <c r="E1857" t="s">
        <v>1323</v>
      </c>
      <c r="F1857" t="s">
        <v>1324</v>
      </c>
      <c r="G1857" t="s">
        <v>1325</v>
      </c>
      <c r="H1857" t="s">
        <v>1326</v>
      </c>
      <c r="I1857" t="s">
        <v>147</v>
      </c>
      <c r="J1857" t="s">
        <v>36</v>
      </c>
      <c r="K1857">
        <v>990</v>
      </c>
      <c r="O1857" t="s">
        <v>37</v>
      </c>
      <c r="P1857" t="s">
        <v>45</v>
      </c>
      <c r="U1857" s="9" t="s">
        <v>148</v>
      </c>
      <c r="V1857" t="s">
        <v>184</v>
      </c>
      <c r="W1857" t="s">
        <v>138</v>
      </c>
      <c r="X1857" t="s">
        <v>50</v>
      </c>
      <c r="Y1857" t="s">
        <v>1047</v>
      </c>
      <c r="Z1857" t="s">
        <v>104</v>
      </c>
      <c r="AB1857" t="str">
        <f t="shared" si="87"/>
        <v>46216</v>
      </c>
    </row>
    <row r="1858" ht="14.25" spans="1:28">
      <c r="A1858" s="5" t="s">
        <v>28</v>
      </c>
      <c r="B1858" s="5" t="s">
        <v>697</v>
      </c>
      <c r="C1858" s="5">
        <v>2027</v>
      </c>
      <c r="D1858" s="5" t="s">
        <v>30</v>
      </c>
      <c r="E1858" t="s">
        <v>1323</v>
      </c>
      <c r="F1858" t="s">
        <v>1324</v>
      </c>
      <c r="G1858" t="s">
        <v>1325</v>
      </c>
      <c r="H1858" t="s">
        <v>1326</v>
      </c>
      <c r="I1858" t="s">
        <v>147</v>
      </c>
      <c r="J1858" t="s">
        <v>36</v>
      </c>
      <c r="K1858">
        <v>990</v>
      </c>
      <c r="O1858" t="s">
        <v>37</v>
      </c>
      <c r="P1858" t="s">
        <v>46</v>
      </c>
      <c r="U1858" s="9" t="s">
        <v>148</v>
      </c>
      <c r="V1858" t="s">
        <v>184</v>
      </c>
      <c r="W1858" t="s">
        <v>138</v>
      </c>
      <c r="X1858" t="s">
        <v>50</v>
      </c>
      <c r="Y1858" t="s">
        <v>1047</v>
      </c>
      <c r="Z1858" t="s">
        <v>104</v>
      </c>
      <c r="AB1858" t="str">
        <f t="shared" si="87"/>
        <v>46216</v>
      </c>
    </row>
    <row r="1859" ht="14.25" spans="1:28">
      <c r="A1859" s="5" t="s">
        <v>28</v>
      </c>
      <c r="B1859" s="5" t="s">
        <v>697</v>
      </c>
      <c r="C1859" s="5">
        <v>2027</v>
      </c>
      <c r="D1859" s="5" t="s">
        <v>30</v>
      </c>
      <c r="E1859" t="s">
        <v>1327</v>
      </c>
      <c r="F1859" t="s">
        <v>1324</v>
      </c>
      <c r="G1859" t="s">
        <v>254</v>
      </c>
      <c r="H1859" t="s">
        <v>1328</v>
      </c>
      <c r="I1859" t="s">
        <v>147</v>
      </c>
      <c r="J1859" t="s">
        <v>36</v>
      </c>
      <c r="K1859">
        <v>990</v>
      </c>
      <c r="O1859" t="s">
        <v>37</v>
      </c>
      <c r="P1859" t="s">
        <v>38</v>
      </c>
      <c r="R1859">
        <f t="shared" ref="R1858:R1921" si="88">SUMIFS(Q:Q,E:E,E1859)</f>
        <v>0</v>
      </c>
      <c r="S1859">
        <f>SUMIFS([1]Sheet1!$T:$T,[1]Sheet1!$I:$I,E1859,[1]Sheet1!$C:$C,A1859)</f>
        <v>0</v>
      </c>
      <c r="T1859">
        <f t="shared" ref="T1858:T1921" si="89">R1859-S1859</f>
        <v>0</v>
      </c>
      <c r="U1859" s="9" t="s">
        <v>148</v>
      </c>
      <c r="V1859" t="s">
        <v>184</v>
      </c>
      <c r="W1859" t="s">
        <v>138</v>
      </c>
      <c r="X1859" t="s">
        <v>86</v>
      </c>
      <c r="Y1859" t="s">
        <v>1047</v>
      </c>
      <c r="Z1859" t="s">
        <v>104</v>
      </c>
      <c r="AB1859" t="str">
        <f t="shared" si="87"/>
        <v>46216</v>
      </c>
    </row>
    <row r="1860" ht="14.25" spans="1:28">
      <c r="A1860" s="5" t="s">
        <v>28</v>
      </c>
      <c r="B1860" s="5" t="s">
        <v>697</v>
      </c>
      <c r="C1860" s="5">
        <v>2027</v>
      </c>
      <c r="D1860" s="5" t="s">
        <v>30</v>
      </c>
      <c r="E1860" t="s">
        <v>1327</v>
      </c>
      <c r="F1860" t="s">
        <v>1324</v>
      </c>
      <c r="G1860" t="s">
        <v>254</v>
      </c>
      <c r="H1860" t="s">
        <v>1328</v>
      </c>
      <c r="I1860" t="s">
        <v>147</v>
      </c>
      <c r="J1860" t="s">
        <v>36</v>
      </c>
      <c r="K1860">
        <v>990</v>
      </c>
      <c r="O1860" t="s">
        <v>37</v>
      </c>
      <c r="P1860" t="s">
        <v>42</v>
      </c>
      <c r="U1860" s="9" t="s">
        <v>148</v>
      </c>
      <c r="V1860" t="s">
        <v>184</v>
      </c>
      <c r="W1860" t="s">
        <v>138</v>
      </c>
      <c r="X1860" t="s">
        <v>86</v>
      </c>
      <c r="Y1860" t="s">
        <v>1047</v>
      </c>
      <c r="Z1860" t="s">
        <v>104</v>
      </c>
      <c r="AB1860" t="str">
        <f t="shared" si="87"/>
        <v>46216</v>
      </c>
    </row>
    <row r="1861" ht="14.25" spans="1:28">
      <c r="A1861" s="5" t="s">
        <v>28</v>
      </c>
      <c r="B1861" s="5" t="s">
        <v>697</v>
      </c>
      <c r="C1861" s="5">
        <v>2027</v>
      </c>
      <c r="D1861" s="5" t="s">
        <v>30</v>
      </c>
      <c r="E1861" t="s">
        <v>1327</v>
      </c>
      <c r="F1861" t="s">
        <v>1324</v>
      </c>
      <c r="G1861" t="s">
        <v>254</v>
      </c>
      <c r="H1861" t="s">
        <v>1328</v>
      </c>
      <c r="I1861" t="s">
        <v>147</v>
      </c>
      <c r="J1861" t="s">
        <v>36</v>
      </c>
      <c r="K1861">
        <v>990</v>
      </c>
      <c r="O1861" t="s">
        <v>37</v>
      </c>
      <c r="P1861" t="s">
        <v>43</v>
      </c>
      <c r="U1861" s="9" t="s">
        <v>148</v>
      </c>
      <c r="V1861" t="s">
        <v>184</v>
      </c>
      <c r="W1861" t="s">
        <v>138</v>
      </c>
      <c r="X1861" t="s">
        <v>86</v>
      </c>
      <c r="Y1861" t="s">
        <v>1047</v>
      </c>
      <c r="Z1861" t="s">
        <v>104</v>
      </c>
      <c r="AB1861" t="str">
        <f t="shared" si="87"/>
        <v>46216</v>
      </c>
    </row>
    <row r="1862" ht="14.25" spans="1:28">
      <c r="A1862" s="5" t="s">
        <v>28</v>
      </c>
      <c r="B1862" s="5" t="s">
        <v>697</v>
      </c>
      <c r="C1862" s="5">
        <v>2027</v>
      </c>
      <c r="D1862" s="5" t="s">
        <v>30</v>
      </c>
      <c r="E1862" t="s">
        <v>1327</v>
      </c>
      <c r="F1862" t="s">
        <v>1324</v>
      </c>
      <c r="G1862" t="s">
        <v>254</v>
      </c>
      <c r="H1862" t="s">
        <v>1328</v>
      </c>
      <c r="I1862" t="s">
        <v>147</v>
      </c>
      <c r="J1862" t="s">
        <v>36</v>
      </c>
      <c r="K1862">
        <v>990</v>
      </c>
      <c r="O1862" t="s">
        <v>37</v>
      </c>
      <c r="P1862" t="s">
        <v>44</v>
      </c>
      <c r="U1862" s="9" t="s">
        <v>148</v>
      </c>
      <c r="V1862" t="s">
        <v>184</v>
      </c>
      <c r="W1862" t="s">
        <v>138</v>
      </c>
      <c r="X1862" t="s">
        <v>86</v>
      </c>
      <c r="Y1862" t="s">
        <v>1047</v>
      </c>
      <c r="Z1862" t="s">
        <v>104</v>
      </c>
      <c r="AB1862" t="str">
        <f t="shared" si="87"/>
        <v>46216</v>
      </c>
    </row>
    <row r="1863" ht="14.25" spans="1:28">
      <c r="A1863" s="5" t="s">
        <v>28</v>
      </c>
      <c r="B1863" s="5" t="s">
        <v>697</v>
      </c>
      <c r="C1863" s="5">
        <v>2027</v>
      </c>
      <c r="D1863" s="5" t="s">
        <v>30</v>
      </c>
      <c r="E1863" t="s">
        <v>1327</v>
      </c>
      <c r="F1863" t="s">
        <v>1324</v>
      </c>
      <c r="G1863" t="s">
        <v>254</v>
      </c>
      <c r="H1863" t="s">
        <v>1328</v>
      </c>
      <c r="I1863" t="s">
        <v>147</v>
      </c>
      <c r="J1863" t="s">
        <v>36</v>
      </c>
      <c r="K1863">
        <v>990</v>
      </c>
      <c r="O1863" t="s">
        <v>37</v>
      </c>
      <c r="P1863" t="s">
        <v>45</v>
      </c>
      <c r="U1863" s="9" t="s">
        <v>148</v>
      </c>
      <c r="V1863" t="s">
        <v>184</v>
      </c>
      <c r="W1863" t="s">
        <v>138</v>
      </c>
      <c r="X1863" t="s">
        <v>86</v>
      </c>
      <c r="Y1863" t="s">
        <v>1047</v>
      </c>
      <c r="Z1863" t="s">
        <v>104</v>
      </c>
      <c r="AB1863" t="str">
        <f t="shared" si="87"/>
        <v>46216</v>
      </c>
    </row>
    <row r="1864" ht="14.25" spans="1:28">
      <c r="A1864" s="5" t="s">
        <v>28</v>
      </c>
      <c r="B1864" s="5" t="s">
        <v>697</v>
      </c>
      <c r="C1864" s="5">
        <v>2027</v>
      </c>
      <c r="D1864" s="5" t="s">
        <v>30</v>
      </c>
      <c r="E1864" t="s">
        <v>1327</v>
      </c>
      <c r="F1864" t="s">
        <v>1324</v>
      </c>
      <c r="G1864" t="s">
        <v>254</v>
      </c>
      <c r="H1864" t="s">
        <v>1328</v>
      </c>
      <c r="I1864" t="s">
        <v>147</v>
      </c>
      <c r="J1864" t="s">
        <v>36</v>
      </c>
      <c r="K1864">
        <v>990</v>
      </c>
      <c r="O1864" t="s">
        <v>37</v>
      </c>
      <c r="P1864" t="s">
        <v>46</v>
      </c>
      <c r="U1864" s="9" t="s">
        <v>148</v>
      </c>
      <c r="V1864" t="s">
        <v>184</v>
      </c>
      <c r="W1864" t="s">
        <v>138</v>
      </c>
      <c r="X1864" t="s">
        <v>86</v>
      </c>
      <c r="Y1864" t="s">
        <v>1047</v>
      </c>
      <c r="Z1864" t="s">
        <v>104</v>
      </c>
      <c r="AB1864" t="str">
        <f t="shared" si="87"/>
        <v>46216</v>
      </c>
    </row>
    <row r="1865" ht="14.25" spans="1:28">
      <c r="A1865" s="5" t="s">
        <v>28</v>
      </c>
      <c r="B1865" s="5" t="s">
        <v>697</v>
      </c>
      <c r="C1865" s="5">
        <v>2027</v>
      </c>
      <c r="D1865" s="5" t="s">
        <v>30</v>
      </c>
      <c r="E1865" t="s">
        <v>1329</v>
      </c>
      <c r="F1865" t="s">
        <v>1330</v>
      </c>
      <c r="G1865" t="s">
        <v>923</v>
      </c>
      <c r="H1865" t="s">
        <v>1331</v>
      </c>
      <c r="I1865" t="s">
        <v>147</v>
      </c>
      <c r="J1865" t="s">
        <v>36</v>
      </c>
      <c r="K1865">
        <v>890</v>
      </c>
      <c r="O1865" t="s">
        <v>37</v>
      </c>
      <c r="P1865" t="s">
        <v>38</v>
      </c>
      <c r="R1865">
        <f t="shared" si="88"/>
        <v>0</v>
      </c>
      <c r="S1865">
        <f>SUMIFS([1]Sheet1!$T:$T,[1]Sheet1!$I:$I,E1865,[1]Sheet1!$C:$C,A1865)</f>
        <v>0</v>
      </c>
      <c r="T1865">
        <f t="shared" si="89"/>
        <v>0</v>
      </c>
      <c r="U1865" s="9" t="s">
        <v>148</v>
      </c>
      <c r="V1865" t="s">
        <v>184</v>
      </c>
      <c r="W1865" t="s">
        <v>138</v>
      </c>
      <c r="X1865" t="s">
        <v>70</v>
      </c>
      <c r="Y1865" t="s">
        <v>1047</v>
      </c>
      <c r="Z1865" t="s">
        <v>41</v>
      </c>
      <c r="AB1865" t="str">
        <f t="shared" si="87"/>
        <v>46222</v>
      </c>
    </row>
    <row r="1866" ht="14.25" spans="1:28">
      <c r="A1866" s="5" t="s">
        <v>28</v>
      </c>
      <c r="B1866" s="5" t="s">
        <v>697</v>
      </c>
      <c r="C1866" s="5">
        <v>2027</v>
      </c>
      <c r="D1866" s="5" t="s">
        <v>30</v>
      </c>
      <c r="E1866" t="s">
        <v>1329</v>
      </c>
      <c r="F1866" t="s">
        <v>1330</v>
      </c>
      <c r="G1866" t="s">
        <v>923</v>
      </c>
      <c r="H1866" t="s">
        <v>1331</v>
      </c>
      <c r="I1866" t="s">
        <v>147</v>
      </c>
      <c r="J1866" t="s">
        <v>36</v>
      </c>
      <c r="K1866">
        <v>890</v>
      </c>
      <c r="O1866" t="s">
        <v>37</v>
      </c>
      <c r="P1866" t="s">
        <v>42</v>
      </c>
      <c r="U1866" s="9" t="s">
        <v>148</v>
      </c>
      <c r="V1866" t="s">
        <v>184</v>
      </c>
      <c r="W1866" t="s">
        <v>138</v>
      </c>
      <c r="X1866" t="s">
        <v>70</v>
      </c>
      <c r="Y1866" t="s">
        <v>1047</v>
      </c>
      <c r="Z1866" t="s">
        <v>41</v>
      </c>
      <c r="AB1866" t="str">
        <f t="shared" si="87"/>
        <v>46222</v>
      </c>
    </row>
    <row r="1867" ht="14.25" spans="1:28">
      <c r="A1867" s="5" t="s">
        <v>28</v>
      </c>
      <c r="B1867" s="5" t="s">
        <v>697</v>
      </c>
      <c r="C1867" s="5">
        <v>2027</v>
      </c>
      <c r="D1867" s="5" t="s">
        <v>30</v>
      </c>
      <c r="E1867" t="s">
        <v>1329</v>
      </c>
      <c r="F1867" t="s">
        <v>1330</v>
      </c>
      <c r="G1867" t="s">
        <v>923</v>
      </c>
      <c r="H1867" t="s">
        <v>1331</v>
      </c>
      <c r="I1867" t="s">
        <v>147</v>
      </c>
      <c r="J1867" t="s">
        <v>36</v>
      </c>
      <c r="K1867">
        <v>890</v>
      </c>
      <c r="O1867" t="s">
        <v>37</v>
      </c>
      <c r="P1867" t="s">
        <v>43</v>
      </c>
      <c r="U1867" s="9" t="s">
        <v>148</v>
      </c>
      <c r="V1867" t="s">
        <v>184</v>
      </c>
      <c r="W1867" t="s">
        <v>138</v>
      </c>
      <c r="X1867" t="s">
        <v>70</v>
      </c>
      <c r="Y1867" t="s">
        <v>1047</v>
      </c>
      <c r="Z1867" t="s">
        <v>41</v>
      </c>
      <c r="AB1867" t="str">
        <f t="shared" si="87"/>
        <v>46222</v>
      </c>
    </row>
    <row r="1868" ht="14.25" spans="1:28">
      <c r="A1868" s="5" t="s">
        <v>28</v>
      </c>
      <c r="B1868" s="5" t="s">
        <v>697</v>
      </c>
      <c r="C1868" s="5">
        <v>2027</v>
      </c>
      <c r="D1868" s="5" t="s">
        <v>30</v>
      </c>
      <c r="E1868" t="s">
        <v>1329</v>
      </c>
      <c r="F1868" t="s">
        <v>1330</v>
      </c>
      <c r="G1868" t="s">
        <v>923</v>
      </c>
      <c r="H1868" t="s">
        <v>1331</v>
      </c>
      <c r="I1868" t="s">
        <v>147</v>
      </c>
      <c r="J1868" t="s">
        <v>36</v>
      </c>
      <c r="K1868">
        <v>890</v>
      </c>
      <c r="O1868" t="s">
        <v>37</v>
      </c>
      <c r="P1868" t="s">
        <v>44</v>
      </c>
      <c r="U1868" s="9" t="s">
        <v>148</v>
      </c>
      <c r="V1868" t="s">
        <v>184</v>
      </c>
      <c r="W1868" t="s">
        <v>138</v>
      </c>
      <c r="X1868" t="s">
        <v>70</v>
      </c>
      <c r="Y1868" t="s">
        <v>1047</v>
      </c>
      <c r="Z1868" t="s">
        <v>41</v>
      </c>
      <c r="AB1868" t="str">
        <f t="shared" si="87"/>
        <v>46222</v>
      </c>
    </row>
    <row r="1869" ht="14.25" spans="1:28">
      <c r="A1869" s="5" t="s">
        <v>28</v>
      </c>
      <c r="B1869" s="5" t="s">
        <v>697</v>
      </c>
      <c r="C1869" s="5">
        <v>2027</v>
      </c>
      <c r="D1869" s="5" t="s">
        <v>30</v>
      </c>
      <c r="E1869" t="s">
        <v>1329</v>
      </c>
      <c r="F1869" t="s">
        <v>1330</v>
      </c>
      <c r="G1869" t="s">
        <v>923</v>
      </c>
      <c r="H1869" t="s">
        <v>1331</v>
      </c>
      <c r="I1869" t="s">
        <v>147</v>
      </c>
      <c r="J1869" t="s">
        <v>36</v>
      </c>
      <c r="K1869">
        <v>890</v>
      </c>
      <c r="O1869" t="s">
        <v>37</v>
      </c>
      <c r="P1869" t="s">
        <v>45</v>
      </c>
      <c r="U1869" s="9" t="s">
        <v>148</v>
      </c>
      <c r="V1869" t="s">
        <v>184</v>
      </c>
      <c r="W1869" t="s">
        <v>138</v>
      </c>
      <c r="X1869" t="s">
        <v>70</v>
      </c>
      <c r="Y1869" t="s">
        <v>1047</v>
      </c>
      <c r="Z1869" t="s">
        <v>41</v>
      </c>
      <c r="AB1869" t="str">
        <f t="shared" si="87"/>
        <v>46222</v>
      </c>
    </row>
    <row r="1870" ht="14.25" spans="1:28">
      <c r="A1870" s="5" t="s">
        <v>28</v>
      </c>
      <c r="B1870" s="5" t="s">
        <v>697</v>
      </c>
      <c r="C1870" s="5">
        <v>2027</v>
      </c>
      <c r="D1870" s="5" t="s">
        <v>30</v>
      </c>
      <c r="E1870" t="s">
        <v>1329</v>
      </c>
      <c r="F1870" t="s">
        <v>1330</v>
      </c>
      <c r="G1870" t="s">
        <v>923</v>
      </c>
      <c r="H1870" t="s">
        <v>1331</v>
      </c>
      <c r="I1870" t="s">
        <v>147</v>
      </c>
      <c r="J1870" t="s">
        <v>36</v>
      </c>
      <c r="K1870">
        <v>890</v>
      </c>
      <c r="O1870" t="s">
        <v>37</v>
      </c>
      <c r="P1870" t="s">
        <v>46</v>
      </c>
      <c r="U1870" s="9" t="s">
        <v>148</v>
      </c>
      <c r="V1870" t="s">
        <v>184</v>
      </c>
      <c r="W1870" t="s">
        <v>138</v>
      </c>
      <c r="X1870" t="s">
        <v>70</v>
      </c>
      <c r="Y1870" t="s">
        <v>1047</v>
      </c>
      <c r="Z1870" t="s">
        <v>41</v>
      </c>
      <c r="AB1870" t="str">
        <f t="shared" si="87"/>
        <v>46222</v>
      </c>
    </row>
    <row r="1871" ht="14.25" spans="1:28">
      <c r="A1871" s="5" t="s">
        <v>28</v>
      </c>
      <c r="B1871" s="5" t="s">
        <v>697</v>
      </c>
      <c r="C1871" s="5">
        <v>2027</v>
      </c>
      <c r="D1871" s="5" t="s">
        <v>30</v>
      </c>
      <c r="E1871" t="s">
        <v>1332</v>
      </c>
      <c r="F1871" t="s">
        <v>1330</v>
      </c>
      <c r="G1871" t="s">
        <v>33</v>
      </c>
      <c r="H1871" t="s">
        <v>1333</v>
      </c>
      <c r="I1871" t="s">
        <v>112</v>
      </c>
      <c r="J1871" t="s">
        <v>36</v>
      </c>
      <c r="K1871">
        <v>890</v>
      </c>
      <c r="O1871" t="s">
        <v>37</v>
      </c>
      <c r="P1871" t="s">
        <v>38</v>
      </c>
      <c r="R1871">
        <f t="shared" si="88"/>
        <v>0</v>
      </c>
      <c r="S1871">
        <f>SUMIFS([1]Sheet1!$T:$T,[1]Sheet1!$I:$I,E1871,[1]Sheet1!$C:$C,A1871)</f>
        <v>0</v>
      </c>
      <c r="T1871">
        <f t="shared" si="89"/>
        <v>0</v>
      </c>
      <c r="U1871" s="9" t="s">
        <v>148</v>
      </c>
      <c r="V1871" t="s">
        <v>184</v>
      </c>
      <c r="W1871" t="s">
        <v>138</v>
      </c>
      <c r="X1871" t="s">
        <v>39</v>
      </c>
      <c r="Y1871" t="s">
        <v>1047</v>
      </c>
      <c r="Z1871" t="s">
        <v>41</v>
      </c>
      <c r="AB1871" t="str">
        <f t="shared" si="87"/>
        <v>46222</v>
      </c>
    </row>
    <row r="1872" ht="14.25" spans="1:28">
      <c r="A1872" s="5" t="s">
        <v>28</v>
      </c>
      <c r="B1872" s="5" t="s">
        <v>697</v>
      </c>
      <c r="C1872" s="5">
        <v>2027</v>
      </c>
      <c r="D1872" s="5" t="s">
        <v>30</v>
      </c>
      <c r="E1872" t="s">
        <v>1332</v>
      </c>
      <c r="F1872" t="s">
        <v>1330</v>
      </c>
      <c r="G1872" t="s">
        <v>33</v>
      </c>
      <c r="H1872" t="s">
        <v>1333</v>
      </c>
      <c r="I1872" t="s">
        <v>112</v>
      </c>
      <c r="J1872" t="s">
        <v>36</v>
      </c>
      <c r="K1872">
        <v>890</v>
      </c>
      <c r="O1872" t="s">
        <v>37</v>
      </c>
      <c r="P1872" t="s">
        <v>42</v>
      </c>
      <c r="U1872" s="9" t="s">
        <v>148</v>
      </c>
      <c r="V1872" t="s">
        <v>184</v>
      </c>
      <c r="W1872" t="s">
        <v>138</v>
      </c>
      <c r="X1872" t="s">
        <v>39</v>
      </c>
      <c r="Y1872" t="s">
        <v>1047</v>
      </c>
      <c r="Z1872" t="s">
        <v>41</v>
      </c>
      <c r="AB1872" t="str">
        <f t="shared" si="87"/>
        <v>46222</v>
      </c>
    </row>
    <row r="1873" ht="14.25" spans="1:28">
      <c r="A1873" s="5" t="s">
        <v>28</v>
      </c>
      <c r="B1873" s="5" t="s">
        <v>697</v>
      </c>
      <c r="C1873" s="5">
        <v>2027</v>
      </c>
      <c r="D1873" s="5" t="s">
        <v>30</v>
      </c>
      <c r="E1873" t="s">
        <v>1332</v>
      </c>
      <c r="F1873" t="s">
        <v>1330</v>
      </c>
      <c r="G1873" t="s">
        <v>33</v>
      </c>
      <c r="H1873" t="s">
        <v>1333</v>
      </c>
      <c r="I1873" t="s">
        <v>112</v>
      </c>
      <c r="J1873" t="s">
        <v>36</v>
      </c>
      <c r="K1873">
        <v>890</v>
      </c>
      <c r="O1873" t="s">
        <v>37</v>
      </c>
      <c r="P1873" t="s">
        <v>43</v>
      </c>
      <c r="U1873" s="9" t="s">
        <v>148</v>
      </c>
      <c r="V1873" t="s">
        <v>184</v>
      </c>
      <c r="W1873" t="s">
        <v>138</v>
      </c>
      <c r="X1873" t="s">
        <v>39</v>
      </c>
      <c r="Y1873" t="s">
        <v>1047</v>
      </c>
      <c r="Z1873" t="s">
        <v>41</v>
      </c>
      <c r="AB1873" t="str">
        <f t="shared" si="87"/>
        <v>46222</v>
      </c>
    </row>
    <row r="1874" ht="14.25" spans="1:28">
      <c r="A1874" s="5" t="s">
        <v>28</v>
      </c>
      <c r="B1874" s="5" t="s">
        <v>697</v>
      </c>
      <c r="C1874" s="5">
        <v>2027</v>
      </c>
      <c r="D1874" s="5" t="s">
        <v>30</v>
      </c>
      <c r="E1874" t="s">
        <v>1332</v>
      </c>
      <c r="F1874" t="s">
        <v>1330</v>
      </c>
      <c r="G1874" t="s">
        <v>33</v>
      </c>
      <c r="H1874" t="s">
        <v>1333</v>
      </c>
      <c r="I1874" t="s">
        <v>112</v>
      </c>
      <c r="J1874" t="s">
        <v>36</v>
      </c>
      <c r="K1874">
        <v>890</v>
      </c>
      <c r="O1874" t="s">
        <v>37</v>
      </c>
      <c r="P1874" t="s">
        <v>44</v>
      </c>
      <c r="U1874" s="9" t="s">
        <v>148</v>
      </c>
      <c r="V1874" t="s">
        <v>184</v>
      </c>
      <c r="W1874" t="s">
        <v>138</v>
      </c>
      <c r="X1874" t="s">
        <v>39</v>
      </c>
      <c r="Y1874" t="s">
        <v>1047</v>
      </c>
      <c r="Z1874" t="s">
        <v>41</v>
      </c>
      <c r="AB1874" t="str">
        <f t="shared" si="87"/>
        <v>46222</v>
      </c>
    </row>
    <row r="1875" ht="14.25" spans="1:28">
      <c r="A1875" s="5" t="s">
        <v>28</v>
      </c>
      <c r="B1875" s="5" t="s">
        <v>697</v>
      </c>
      <c r="C1875" s="5">
        <v>2027</v>
      </c>
      <c r="D1875" s="5" t="s">
        <v>30</v>
      </c>
      <c r="E1875" t="s">
        <v>1332</v>
      </c>
      <c r="F1875" t="s">
        <v>1330</v>
      </c>
      <c r="G1875" t="s">
        <v>33</v>
      </c>
      <c r="H1875" t="s">
        <v>1333</v>
      </c>
      <c r="I1875" t="s">
        <v>112</v>
      </c>
      <c r="J1875" t="s">
        <v>36</v>
      </c>
      <c r="K1875">
        <v>890</v>
      </c>
      <c r="O1875" t="s">
        <v>37</v>
      </c>
      <c r="P1875" t="s">
        <v>45</v>
      </c>
      <c r="U1875" s="9" t="s">
        <v>148</v>
      </c>
      <c r="V1875" t="s">
        <v>184</v>
      </c>
      <c r="W1875" t="s">
        <v>138</v>
      </c>
      <c r="X1875" t="s">
        <v>39</v>
      </c>
      <c r="Y1875" t="s">
        <v>1047</v>
      </c>
      <c r="Z1875" t="s">
        <v>41</v>
      </c>
      <c r="AB1875" t="str">
        <f t="shared" si="87"/>
        <v>46222</v>
      </c>
    </row>
    <row r="1876" ht="14.25" spans="1:28">
      <c r="A1876" s="5" t="s">
        <v>28</v>
      </c>
      <c r="B1876" s="5" t="s">
        <v>697</v>
      </c>
      <c r="C1876" s="5">
        <v>2027</v>
      </c>
      <c r="D1876" s="5" t="s">
        <v>30</v>
      </c>
      <c r="E1876" t="s">
        <v>1332</v>
      </c>
      <c r="F1876" t="s">
        <v>1330</v>
      </c>
      <c r="G1876" t="s">
        <v>33</v>
      </c>
      <c r="H1876" t="s">
        <v>1333</v>
      </c>
      <c r="I1876" t="s">
        <v>112</v>
      </c>
      <c r="J1876" t="s">
        <v>36</v>
      </c>
      <c r="K1876">
        <v>890</v>
      </c>
      <c r="O1876" t="s">
        <v>37</v>
      </c>
      <c r="P1876" t="s">
        <v>46</v>
      </c>
      <c r="U1876" s="9" t="s">
        <v>148</v>
      </c>
      <c r="V1876" t="s">
        <v>184</v>
      </c>
      <c r="W1876" t="s">
        <v>138</v>
      </c>
      <c r="X1876" t="s">
        <v>39</v>
      </c>
      <c r="Y1876" t="s">
        <v>1047</v>
      </c>
      <c r="Z1876" t="s">
        <v>41</v>
      </c>
      <c r="AB1876" t="str">
        <f t="shared" si="87"/>
        <v>46222</v>
      </c>
    </row>
    <row r="1877" ht="14.25" spans="1:28">
      <c r="A1877" s="5" t="s">
        <v>28</v>
      </c>
      <c r="B1877" s="5" t="s">
        <v>697</v>
      </c>
      <c r="C1877" s="5">
        <v>2027</v>
      </c>
      <c r="D1877" s="5" t="s">
        <v>30</v>
      </c>
      <c r="E1877" t="s">
        <v>1334</v>
      </c>
      <c r="F1877" t="s">
        <v>1330</v>
      </c>
      <c r="G1877" t="s">
        <v>100</v>
      </c>
      <c r="H1877" t="s">
        <v>1335</v>
      </c>
      <c r="I1877" t="s">
        <v>147</v>
      </c>
      <c r="J1877" t="s">
        <v>36</v>
      </c>
      <c r="K1877">
        <v>890</v>
      </c>
      <c r="O1877" t="s">
        <v>37</v>
      </c>
      <c r="P1877" t="s">
        <v>38</v>
      </c>
      <c r="R1877">
        <f t="shared" si="88"/>
        <v>0</v>
      </c>
      <c r="S1877">
        <f>SUMIFS([1]Sheet1!$T:$T,[1]Sheet1!$I:$I,E1877,[1]Sheet1!$C:$C,A1877)</f>
        <v>0</v>
      </c>
      <c r="T1877">
        <f t="shared" si="89"/>
        <v>0</v>
      </c>
      <c r="U1877" s="9" t="s">
        <v>148</v>
      </c>
      <c r="V1877" t="s">
        <v>184</v>
      </c>
      <c r="W1877" t="s">
        <v>138</v>
      </c>
      <c r="X1877" t="s">
        <v>102</v>
      </c>
      <c r="Y1877" t="s">
        <v>1047</v>
      </c>
      <c r="Z1877" t="s">
        <v>41</v>
      </c>
      <c r="AB1877" t="str">
        <f t="shared" si="87"/>
        <v>46222</v>
      </c>
    </row>
    <row r="1878" ht="14.25" spans="1:28">
      <c r="A1878" s="5" t="s">
        <v>28</v>
      </c>
      <c r="B1878" s="5" t="s">
        <v>697</v>
      </c>
      <c r="C1878" s="5">
        <v>2027</v>
      </c>
      <c r="D1878" s="5" t="s">
        <v>30</v>
      </c>
      <c r="E1878" t="s">
        <v>1334</v>
      </c>
      <c r="F1878" t="s">
        <v>1330</v>
      </c>
      <c r="G1878" t="s">
        <v>100</v>
      </c>
      <c r="H1878" t="s">
        <v>1335</v>
      </c>
      <c r="I1878" t="s">
        <v>147</v>
      </c>
      <c r="J1878" t="s">
        <v>36</v>
      </c>
      <c r="K1878">
        <v>890</v>
      </c>
      <c r="O1878" t="s">
        <v>37</v>
      </c>
      <c r="P1878" t="s">
        <v>42</v>
      </c>
      <c r="U1878" s="9" t="s">
        <v>148</v>
      </c>
      <c r="V1878" t="s">
        <v>184</v>
      </c>
      <c r="W1878" t="s">
        <v>138</v>
      </c>
      <c r="X1878" t="s">
        <v>102</v>
      </c>
      <c r="Y1878" t="s">
        <v>1047</v>
      </c>
      <c r="Z1878" t="s">
        <v>41</v>
      </c>
      <c r="AB1878" t="str">
        <f t="shared" si="87"/>
        <v>46222</v>
      </c>
    </row>
    <row r="1879" ht="14.25" spans="1:28">
      <c r="A1879" s="5" t="s">
        <v>28</v>
      </c>
      <c r="B1879" s="5" t="s">
        <v>697</v>
      </c>
      <c r="C1879" s="5">
        <v>2027</v>
      </c>
      <c r="D1879" s="5" t="s">
        <v>30</v>
      </c>
      <c r="E1879" t="s">
        <v>1334</v>
      </c>
      <c r="F1879" t="s">
        <v>1330</v>
      </c>
      <c r="G1879" t="s">
        <v>100</v>
      </c>
      <c r="H1879" t="s">
        <v>1335</v>
      </c>
      <c r="I1879" t="s">
        <v>147</v>
      </c>
      <c r="J1879" t="s">
        <v>36</v>
      </c>
      <c r="K1879">
        <v>890</v>
      </c>
      <c r="O1879" t="s">
        <v>37</v>
      </c>
      <c r="P1879" t="s">
        <v>43</v>
      </c>
      <c r="U1879" s="9" t="s">
        <v>148</v>
      </c>
      <c r="V1879" t="s">
        <v>184</v>
      </c>
      <c r="W1879" t="s">
        <v>138</v>
      </c>
      <c r="X1879" t="s">
        <v>102</v>
      </c>
      <c r="Y1879" t="s">
        <v>1047</v>
      </c>
      <c r="Z1879" t="s">
        <v>41</v>
      </c>
      <c r="AB1879" t="str">
        <f t="shared" si="87"/>
        <v>46222</v>
      </c>
    </row>
    <row r="1880" ht="14.25" spans="1:28">
      <c r="A1880" s="5" t="s">
        <v>28</v>
      </c>
      <c r="B1880" s="5" t="s">
        <v>697</v>
      </c>
      <c r="C1880" s="5">
        <v>2027</v>
      </c>
      <c r="D1880" s="5" t="s">
        <v>30</v>
      </c>
      <c r="E1880" t="s">
        <v>1334</v>
      </c>
      <c r="F1880" t="s">
        <v>1330</v>
      </c>
      <c r="G1880" t="s">
        <v>100</v>
      </c>
      <c r="H1880" t="s">
        <v>1335</v>
      </c>
      <c r="I1880" t="s">
        <v>147</v>
      </c>
      <c r="J1880" t="s">
        <v>36</v>
      </c>
      <c r="K1880">
        <v>890</v>
      </c>
      <c r="O1880" t="s">
        <v>37</v>
      </c>
      <c r="P1880" t="s">
        <v>44</v>
      </c>
      <c r="U1880" s="9" t="s">
        <v>148</v>
      </c>
      <c r="V1880" t="s">
        <v>184</v>
      </c>
      <c r="W1880" t="s">
        <v>138</v>
      </c>
      <c r="X1880" t="s">
        <v>102</v>
      </c>
      <c r="Y1880" t="s">
        <v>1047</v>
      </c>
      <c r="Z1880" t="s">
        <v>41</v>
      </c>
      <c r="AB1880" t="str">
        <f t="shared" si="87"/>
        <v>46222</v>
      </c>
    </row>
    <row r="1881" ht="14.25" spans="1:28">
      <c r="A1881" s="5" t="s">
        <v>28</v>
      </c>
      <c r="B1881" s="5" t="s">
        <v>697</v>
      </c>
      <c r="C1881" s="5">
        <v>2027</v>
      </c>
      <c r="D1881" s="5" t="s">
        <v>30</v>
      </c>
      <c r="E1881" t="s">
        <v>1334</v>
      </c>
      <c r="F1881" t="s">
        <v>1330</v>
      </c>
      <c r="G1881" t="s">
        <v>100</v>
      </c>
      <c r="H1881" t="s">
        <v>1335</v>
      </c>
      <c r="I1881" t="s">
        <v>147</v>
      </c>
      <c r="J1881" t="s">
        <v>36</v>
      </c>
      <c r="K1881">
        <v>890</v>
      </c>
      <c r="O1881" t="s">
        <v>37</v>
      </c>
      <c r="P1881" t="s">
        <v>45</v>
      </c>
      <c r="U1881" s="9" t="s">
        <v>148</v>
      </c>
      <c r="V1881" t="s">
        <v>184</v>
      </c>
      <c r="W1881" t="s">
        <v>138</v>
      </c>
      <c r="X1881" t="s">
        <v>102</v>
      </c>
      <c r="Y1881" t="s">
        <v>1047</v>
      </c>
      <c r="Z1881" t="s">
        <v>41</v>
      </c>
      <c r="AB1881" t="str">
        <f t="shared" si="87"/>
        <v>46222</v>
      </c>
    </row>
    <row r="1882" ht="14.25" spans="1:28">
      <c r="A1882" s="5" t="s">
        <v>28</v>
      </c>
      <c r="B1882" s="5" t="s">
        <v>697</v>
      </c>
      <c r="C1882" s="5">
        <v>2027</v>
      </c>
      <c r="D1882" s="5" t="s">
        <v>30</v>
      </c>
      <c r="E1882" t="s">
        <v>1334</v>
      </c>
      <c r="F1882" t="s">
        <v>1330</v>
      </c>
      <c r="G1882" t="s">
        <v>100</v>
      </c>
      <c r="H1882" t="s">
        <v>1335</v>
      </c>
      <c r="I1882" t="s">
        <v>147</v>
      </c>
      <c r="J1882" t="s">
        <v>36</v>
      </c>
      <c r="K1882">
        <v>890</v>
      </c>
      <c r="O1882" t="s">
        <v>37</v>
      </c>
      <c r="P1882" t="s">
        <v>46</v>
      </c>
      <c r="U1882" s="9" t="s">
        <v>148</v>
      </c>
      <c r="V1882" t="s">
        <v>184</v>
      </c>
      <c r="W1882" t="s">
        <v>138</v>
      </c>
      <c r="X1882" t="s">
        <v>102</v>
      </c>
      <c r="Y1882" t="s">
        <v>1047</v>
      </c>
      <c r="Z1882" t="s">
        <v>41</v>
      </c>
      <c r="AB1882" t="str">
        <f t="shared" si="87"/>
        <v>46222</v>
      </c>
    </row>
    <row r="1883" ht="14.25" spans="1:28">
      <c r="A1883" s="5" t="s">
        <v>28</v>
      </c>
      <c r="B1883" s="5" t="s">
        <v>697</v>
      </c>
      <c r="C1883" s="5">
        <v>2027</v>
      </c>
      <c r="D1883" s="5" t="s">
        <v>30</v>
      </c>
      <c r="E1883" t="s">
        <v>1336</v>
      </c>
      <c r="F1883" t="s">
        <v>1330</v>
      </c>
      <c r="G1883" t="s">
        <v>254</v>
      </c>
      <c r="H1883" t="s">
        <v>1337</v>
      </c>
      <c r="I1883" t="s">
        <v>147</v>
      </c>
      <c r="J1883" t="s">
        <v>36</v>
      </c>
      <c r="K1883">
        <v>890</v>
      </c>
      <c r="O1883" t="s">
        <v>37</v>
      </c>
      <c r="P1883" t="s">
        <v>38</v>
      </c>
      <c r="R1883">
        <f t="shared" si="88"/>
        <v>0</v>
      </c>
      <c r="S1883">
        <f>SUMIFS([1]Sheet1!$T:$T,[1]Sheet1!$I:$I,E1883,[1]Sheet1!$C:$C,A1883)</f>
        <v>0</v>
      </c>
      <c r="T1883">
        <f t="shared" si="89"/>
        <v>0</v>
      </c>
      <c r="U1883" s="9" t="s">
        <v>148</v>
      </c>
      <c r="V1883" t="s">
        <v>184</v>
      </c>
      <c r="W1883" t="s">
        <v>138</v>
      </c>
      <c r="X1883" t="s">
        <v>86</v>
      </c>
      <c r="Y1883" t="s">
        <v>1047</v>
      </c>
      <c r="Z1883" t="s">
        <v>41</v>
      </c>
      <c r="AB1883" t="str">
        <f t="shared" si="87"/>
        <v>46222</v>
      </c>
    </row>
    <row r="1884" ht="14.25" spans="1:28">
      <c r="A1884" s="5" t="s">
        <v>28</v>
      </c>
      <c r="B1884" s="5" t="s">
        <v>697</v>
      </c>
      <c r="C1884" s="5">
        <v>2027</v>
      </c>
      <c r="D1884" s="5" t="s">
        <v>30</v>
      </c>
      <c r="E1884" t="s">
        <v>1336</v>
      </c>
      <c r="F1884" t="s">
        <v>1330</v>
      </c>
      <c r="G1884" t="s">
        <v>254</v>
      </c>
      <c r="H1884" t="s">
        <v>1337</v>
      </c>
      <c r="I1884" t="s">
        <v>147</v>
      </c>
      <c r="J1884" t="s">
        <v>36</v>
      </c>
      <c r="K1884">
        <v>890</v>
      </c>
      <c r="O1884" t="s">
        <v>37</v>
      </c>
      <c r="P1884" t="s">
        <v>42</v>
      </c>
      <c r="U1884" s="9" t="s">
        <v>148</v>
      </c>
      <c r="V1884" t="s">
        <v>184</v>
      </c>
      <c r="W1884" t="s">
        <v>138</v>
      </c>
      <c r="X1884" t="s">
        <v>86</v>
      </c>
      <c r="Y1884" t="s">
        <v>1047</v>
      </c>
      <c r="Z1884" t="s">
        <v>41</v>
      </c>
      <c r="AB1884" t="str">
        <f t="shared" si="87"/>
        <v>46222</v>
      </c>
    </row>
    <row r="1885" ht="14.25" spans="1:28">
      <c r="A1885" s="5" t="s">
        <v>28</v>
      </c>
      <c r="B1885" s="5" t="s">
        <v>697</v>
      </c>
      <c r="C1885" s="5">
        <v>2027</v>
      </c>
      <c r="D1885" s="5" t="s">
        <v>30</v>
      </c>
      <c r="E1885" t="s">
        <v>1336</v>
      </c>
      <c r="F1885" t="s">
        <v>1330</v>
      </c>
      <c r="G1885" t="s">
        <v>254</v>
      </c>
      <c r="H1885" t="s">
        <v>1337</v>
      </c>
      <c r="I1885" t="s">
        <v>147</v>
      </c>
      <c r="J1885" t="s">
        <v>36</v>
      </c>
      <c r="K1885">
        <v>890</v>
      </c>
      <c r="O1885" t="s">
        <v>37</v>
      </c>
      <c r="P1885" t="s">
        <v>43</v>
      </c>
      <c r="U1885" s="9" t="s">
        <v>148</v>
      </c>
      <c r="V1885" t="s">
        <v>184</v>
      </c>
      <c r="W1885" t="s">
        <v>138</v>
      </c>
      <c r="X1885" t="s">
        <v>86</v>
      </c>
      <c r="Y1885" t="s">
        <v>1047</v>
      </c>
      <c r="Z1885" t="s">
        <v>41</v>
      </c>
      <c r="AB1885" t="str">
        <f t="shared" si="87"/>
        <v>46222</v>
      </c>
    </row>
    <row r="1886" ht="14.25" spans="1:28">
      <c r="A1886" s="5" t="s">
        <v>28</v>
      </c>
      <c r="B1886" s="5" t="s">
        <v>697</v>
      </c>
      <c r="C1886" s="5">
        <v>2027</v>
      </c>
      <c r="D1886" s="5" t="s">
        <v>30</v>
      </c>
      <c r="E1886" t="s">
        <v>1336</v>
      </c>
      <c r="F1886" t="s">
        <v>1330</v>
      </c>
      <c r="G1886" t="s">
        <v>254</v>
      </c>
      <c r="H1886" t="s">
        <v>1337</v>
      </c>
      <c r="I1886" t="s">
        <v>147</v>
      </c>
      <c r="J1886" t="s">
        <v>36</v>
      </c>
      <c r="K1886">
        <v>890</v>
      </c>
      <c r="O1886" t="s">
        <v>37</v>
      </c>
      <c r="P1886" t="s">
        <v>44</v>
      </c>
      <c r="U1886" s="9" t="s">
        <v>148</v>
      </c>
      <c r="V1886" t="s">
        <v>184</v>
      </c>
      <c r="W1886" t="s">
        <v>138</v>
      </c>
      <c r="X1886" t="s">
        <v>86</v>
      </c>
      <c r="Y1886" t="s">
        <v>1047</v>
      </c>
      <c r="Z1886" t="s">
        <v>41</v>
      </c>
      <c r="AB1886" t="str">
        <f t="shared" si="87"/>
        <v>46222</v>
      </c>
    </row>
    <row r="1887" ht="14.25" spans="1:28">
      <c r="A1887" s="5" t="s">
        <v>28</v>
      </c>
      <c r="B1887" s="5" t="s">
        <v>697</v>
      </c>
      <c r="C1887" s="5">
        <v>2027</v>
      </c>
      <c r="D1887" s="5" t="s">
        <v>30</v>
      </c>
      <c r="E1887" t="s">
        <v>1336</v>
      </c>
      <c r="F1887" t="s">
        <v>1330</v>
      </c>
      <c r="G1887" t="s">
        <v>254</v>
      </c>
      <c r="H1887" t="s">
        <v>1337</v>
      </c>
      <c r="I1887" t="s">
        <v>147</v>
      </c>
      <c r="J1887" t="s">
        <v>36</v>
      </c>
      <c r="K1887">
        <v>890</v>
      </c>
      <c r="O1887" t="s">
        <v>37</v>
      </c>
      <c r="P1887" t="s">
        <v>45</v>
      </c>
      <c r="U1887" s="9" t="s">
        <v>148</v>
      </c>
      <c r="V1887" t="s">
        <v>184</v>
      </c>
      <c r="W1887" t="s">
        <v>138</v>
      </c>
      <c r="X1887" t="s">
        <v>86</v>
      </c>
      <c r="Y1887" t="s">
        <v>1047</v>
      </c>
      <c r="Z1887" t="s">
        <v>41</v>
      </c>
      <c r="AB1887" t="str">
        <f t="shared" si="87"/>
        <v>46222</v>
      </c>
    </row>
    <row r="1888" ht="14.25" spans="1:28">
      <c r="A1888" s="5" t="s">
        <v>28</v>
      </c>
      <c r="B1888" s="5" t="s">
        <v>697</v>
      </c>
      <c r="C1888" s="5">
        <v>2027</v>
      </c>
      <c r="D1888" s="5" t="s">
        <v>30</v>
      </c>
      <c r="E1888" t="s">
        <v>1336</v>
      </c>
      <c r="F1888" t="s">
        <v>1330</v>
      </c>
      <c r="G1888" t="s">
        <v>254</v>
      </c>
      <c r="H1888" t="s">
        <v>1337</v>
      </c>
      <c r="I1888" t="s">
        <v>147</v>
      </c>
      <c r="J1888" t="s">
        <v>36</v>
      </c>
      <c r="K1888">
        <v>890</v>
      </c>
      <c r="O1888" t="s">
        <v>37</v>
      </c>
      <c r="P1888" t="s">
        <v>46</v>
      </c>
      <c r="U1888" s="9" t="s">
        <v>148</v>
      </c>
      <c r="V1888" t="s">
        <v>184</v>
      </c>
      <c r="W1888" t="s">
        <v>138</v>
      </c>
      <c r="X1888" t="s">
        <v>86</v>
      </c>
      <c r="Y1888" t="s">
        <v>1047</v>
      </c>
      <c r="Z1888" t="s">
        <v>41</v>
      </c>
      <c r="AB1888" t="str">
        <f t="shared" si="87"/>
        <v>46222</v>
      </c>
    </row>
    <row r="1889" ht="14.25" spans="1:28">
      <c r="A1889" s="5" t="s">
        <v>28</v>
      </c>
      <c r="B1889" s="5" t="s">
        <v>697</v>
      </c>
      <c r="C1889" s="5">
        <v>2027</v>
      </c>
      <c r="D1889" s="5" t="s">
        <v>30</v>
      </c>
      <c r="E1889" t="s">
        <v>1338</v>
      </c>
      <c r="F1889" t="s">
        <v>1339</v>
      </c>
      <c r="G1889" t="s">
        <v>1340</v>
      </c>
      <c r="H1889" t="s">
        <v>1341</v>
      </c>
      <c r="I1889" t="s">
        <v>119</v>
      </c>
      <c r="J1889" t="s">
        <v>36</v>
      </c>
      <c r="K1889">
        <v>690</v>
      </c>
      <c r="O1889" t="s">
        <v>37</v>
      </c>
      <c r="P1889" t="s">
        <v>38</v>
      </c>
      <c r="R1889">
        <f t="shared" si="88"/>
        <v>0</v>
      </c>
      <c r="S1889">
        <f>SUMIFS([1]Sheet1!$T:$T,[1]Sheet1!$I:$I,E1889,[1]Sheet1!$C:$C,A1889)</f>
        <v>0</v>
      </c>
      <c r="T1889">
        <f t="shared" si="89"/>
        <v>0</v>
      </c>
      <c r="U1889" s="9" t="s">
        <v>148</v>
      </c>
      <c r="V1889" t="s">
        <v>184</v>
      </c>
      <c r="W1889" t="s">
        <v>138</v>
      </c>
      <c r="Y1889" t="s">
        <v>1342</v>
      </c>
      <c r="Z1889" t="s">
        <v>41</v>
      </c>
      <c r="AB1889" t="str">
        <f t="shared" si="87"/>
        <v>46227</v>
      </c>
    </row>
    <row r="1890" ht="14.25" spans="1:28">
      <c r="A1890" s="5" t="s">
        <v>28</v>
      </c>
      <c r="B1890" s="5" t="s">
        <v>697</v>
      </c>
      <c r="C1890" s="5">
        <v>2027</v>
      </c>
      <c r="D1890" s="5" t="s">
        <v>30</v>
      </c>
      <c r="E1890" t="s">
        <v>1338</v>
      </c>
      <c r="F1890" t="s">
        <v>1339</v>
      </c>
      <c r="G1890" t="s">
        <v>1340</v>
      </c>
      <c r="H1890" t="s">
        <v>1341</v>
      </c>
      <c r="I1890" t="s">
        <v>119</v>
      </c>
      <c r="J1890" t="s">
        <v>36</v>
      </c>
      <c r="K1890">
        <v>690</v>
      </c>
      <c r="O1890" t="s">
        <v>37</v>
      </c>
      <c r="P1890" t="s">
        <v>42</v>
      </c>
      <c r="U1890" s="9" t="s">
        <v>148</v>
      </c>
      <c r="V1890" t="s">
        <v>184</v>
      </c>
      <c r="W1890" t="s">
        <v>138</v>
      </c>
      <c r="Y1890" t="s">
        <v>1342</v>
      </c>
      <c r="Z1890" t="s">
        <v>41</v>
      </c>
      <c r="AB1890" t="str">
        <f t="shared" si="87"/>
        <v>46227</v>
      </c>
    </row>
    <row r="1891" ht="14.25" spans="1:28">
      <c r="A1891" s="5" t="s">
        <v>28</v>
      </c>
      <c r="B1891" s="5" t="s">
        <v>697</v>
      </c>
      <c r="C1891" s="5">
        <v>2027</v>
      </c>
      <c r="D1891" s="5" t="s">
        <v>30</v>
      </c>
      <c r="E1891" t="s">
        <v>1338</v>
      </c>
      <c r="F1891" t="s">
        <v>1339</v>
      </c>
      <c r="G1891" t="s">
        <v>1340</v>
      </c>
      <c r="H1891" t="s">
        <v>1341</v>
      </c>
      <c r="I1891" t="s">
        <v>119</v>
      </c>
      <c r="J1891" t="s">
        <v>36</v>
      </c>
      <c r="K1891">
        <v>690</v>
      </c>
      <c r="O1891" t="s">
        <v>37</v>
      </c>
      <c r="P1891" t="s">
        <v>43</v>
      </c>
      <c r="U1891" s="9" t="s">
        <v>148</v>
      </c>
      <c r="V1891" t="s">
        <v>184</v>
      </c>
      <c r="W1891" t="s">
        <v>138</v>
      </c>
      <c r="Y1891" t="s">
        <v>1342</v>
      </c>
      <c r="Z1891" t="s">
        <v>41</v>
      </c>
      <c r="AB1891" t="str">
        <f t="shared" si="87"/>
        <v>46227</v>
      </c>
    </row>
    <row r="1892" ht="14.25" spans="1:28">
      <c r="A1892" s="5" t="s">
        <v>28</v>
      </c>
      <c r="B1892" s="5" t="s">
        <v>697</v>
      </c>
      <c r="C1892" s="5">
        <v>2027</v>
      </c>
      <c r="D1892" s="5" t="s">
        <v>30</v>
      </c>
      <c r="E1892" t="s">
        <v>1338</v>
      </c>
      <c r="F1892" t="s">
        <v>1339</v>
      </c>
      <c r="G1892" t="s">
        <v>1340</v>
      </c>
      <c r="H1892" t="s">
        <v>1341</v>
      </c>
      <c r="I1892" t="s">
        <v>119</v>
      </c>
      <c r="J1892" t="s">
        <v>36</v>
      </c>
      <c r="K1892">
        <v>690</v>
      </c>
      <c r="O1892" t="s">
        <v>37</v>
      </c>
      <c r="P1892" t="s">
        <v>44</v>
      </c>
      <c r="U1892" s="9" t="s">
        <v>148</v>
      </c>
      <c r="V1892" t="s">
        <v>184</v>
      </c>
      <c r="W1892" t="s">
        <v>138</v>
      </c>
      <c r="Y1892" t="s">
        <v>1342</v>
      </c>
      <c r="Z1892" t="s">
        <v>41</v>
      </c>
      <c r="AB1892" t="str">
        <f t="shared" si="87"/>
        <v>46227</v>
      </c>
    </row>
    <row r="1893" ht="14.25" spans="1:28">
      <c r="A1893" s="5" t="s">
        <v>28</v>
      </c>
      <c r="B1893" s="5" t="s">
        <v>697</v>
      </c>
      <c r="C1893" s="5">
        <v>2027</v>
      </c>
      <c r="D1893" s="5" t="s">
        <v>30</v>
      </c>
      <c r="E1893" t="s">
        <v>1338</v>
      </c>
      <c r="F1893" t="s">
        <v>1339</v>
      </c>
      <c r="G1893" t="s">
        <v>1340</v>
      </c>
      <c r="H1893" t="s">
        <v>1341</v>
      </c>
      <c r="I1893" t="s">
        <v>119</v>
      </c>
      <c r="J1893" t="s">
        <v>36</v>
      </c>
      <c r="K1893">
        <v>690</v>
      </c>
      <c r="O1893" t="s">
        <v>37</v>
      </c>
      <c r="P1893" t="s">
        <v>45</v>
      </c>
      <c r="U1893" s="9" t="s">
        <v>148</v>
      </c>
      <c r="V1893" t="s">
        <v>184</v>
      </c>
      <c r="W1893" t="s">
        <v>138</v>
      </c>
      <c r="Y1893" t="s">
        <v>1342</v>
      </c>
      <c r="Z1893" t="s">
        <v>41</v>
      </c>
      <c r="AB1893" t="str">
        <f t="shared" si="87"/>
        <v>46227</v>
      </c>
    </row>
    <row r="1894" ht="14.25" spans="1:28">
      <c r="A1894" s="5" t="s">
        <v>28</v>
      </c>
      <c r="B1894" s="5" t="s">
        <v>697</v>
      </c>
      <c r="C1894" s="5">
        <v>2027</v>
      </c>
      <c r="D1894" s="5" t="s">
        <v>30</v>
      </c>
      <c r="E1894" t="s">
        <v>1338</v>
      </c>
      <c r="F1894" t="s">
        <v>1339</v>
      </c>
      <c r="G1894" t="s">
        <v>1340</v>
      </c>
      <c r="H1894" t="s">
        <v>1341</v>
      </c>
      <c r="I1894" t="s">
        <v>119</v>
      </c>
      <c r="J1894" t="s">
        <v>36</v>
      </c>
      <c r="K1894">
        <v>690</v>
      </c>
      <c r="O1894" t="s">
        <v>37</v>
      </c>
      <c r="P1894" t="s">
        <v>46</v>
      </c>
      <c r="U1894" s="9" t="s">
        <v>148</v>
      </c>
      <c r="V1894" t="s">
        <v>184</v>
      </c>
      <c r="W1894" t="s">
        <v>138</v>
      </c>
      <c r="Y1894" t="s">
        <v>1342</v>
      </c>
      <c r="Z1894" t="s">
        <v>41</v>
      </c>
      <c r="AB1894" t="str">
        <f t="shared" si="87"/>
        <v>46227</v>
      </c>
    </row>
    <row r="1895" ht="14.25" spans="1:28">
      <c r="A1895" s="5" t="s">
        <v>28</v>
      </c>
      <c r="B1895" s="5" t="s">
        <v>697</v>
      </c>
      <c r="C1895" s="5">
        <v>2027</v>
      </c>
      <c r="D1895" s="5" t="s">
        <v>30</v>
      </c>
      <c r="E1895" t="s">
        <v>1343</v>
      </c>
      <c r="F1895" t="s">
        <v>1339</v>
      </c>
      <c r="G1895" t="s">
        <v>56</v>
      </c>
      <c r="H1895" t="s">
        <v>1344</v>
      </c>
      <c r="I1895" t="s">
        <v>147</v>
      </c>
      <c r="J1895" t="s">
        <v>36</v>
      </c>
      <c r="K1895">
        <v>690</v>
      </c>
      <c r="O1895" t="s">
        <v>37</v>
      </c>
      <c r="P1895" t="s">
        <v>38</v>
      </c>
      <c r="R1895">
        <f t="shared" si="88"/>
        <v>0</v>
      </c>
      <c r="S1895">
        <f>SUMIFS([1]Sheet1!$T:$T,[1]Sheet1!$I:$I,E1895,[1]Sheet1!$C:$C,A1895)</f>
        <v>0</v>
      </c>
      <c r="T1895">
        <f t="shared" si="89"/>
        <v>0</v>
      </c>
      <c r="U1895" s="9" t="s">
        <v>148</v>
      </c>
      <c r="V1895" t="s">
        <v>184</v>
      </c>
      <c r="W1895" t="s">
        <v>138</v>
      </c>
      <c r="X1895" t="s">
        <v>58</v>
      </c>
      <c r="Y1895" t="s">
        <v>1342</v>
      </c>
      <c r="Z1895" t="s">
        <v>41</v>
      </c>
      <c r="AB1895" t="str">
        <f t="shared" si="87"/>
        <v>46227</v>
      </c>
    </row>
    <row r="1896" ht="14.25" spans="1:28">
      <c r="A1896" s="5" t="s">
        <v>28</v>
      </c>
      <c r="B1896" s="5" t="s">
        <v>697</v>
      </c>
      <c r="C1896" s="5">
        <v>2027</v>
      </c>
      <c r="D1896" s="5" t="s">
        <v>30</v>
      </c>
      <c r="E1896" t="s">
        <v>1343</v>
      </c>
      <c r="F1896" t="s">
        <v>1339</v>
      </c>
      <c r="G1896" t="s">
        <v>56</v>
      </c>
      <c r="H1896" t="s">
        <v>1344</v>
      </c>
      <c r="I1896" t="s">
        <v>147</v>
      </c>
      <c r="J1896" t="s">
        <v>36</v>
      </c>
      <c r="K1896">
        <v>690</v>
      </c>
      <c r="O1896" t="s">
        <v>37</v>
      </c>
      <c r="P1896" t="s">
        <v>42</v>
      </c>
      <c r="U1896" s="9" t="s">
        <v>148</v>
      </c>
      <c r="V1896" t="s">
        <v>184</v>
      </c>
      <c r="W1896" t="s">
        <v>138</v>
      </c>
      <c r="X1896" t="s">
        <v>58</v>
      </c>
      <c r="Y1896" t="s">
        <v>1342</v>
      </c>
      <c r="Z1896" t="s">
        <v>41</v>
      </c>
      <c r="AB1896" t="str">
        <f t="shared" si="87"/>
        <v>46227</v>
      </c>
    </row>
    <row r="1897" ht="14.25" spans="1:28">
      <c r="A1897" s="5" t="s">
        <v>28</v>
      </c>
      <c r="B1897" s="5" t="s">
        <v>697</v>
      </c>
      <c r="C1897" s="5">
        <v>2027</v>
      </c>
      <c r="D1897" s="5" t="s">
        <v>30</v>
      </c>
      <c r="E1897" t="s">
        <v>1343</v>
      </c>
      <c r="F1897" t="s">
        <v>1339</v>
      </c>
      <c r="G1897" t="s">
        <v>56</v>
      </c>
      <c r="H1897" t="s">
        <v>1344</v>
      </c>
      <c r="I1897" t="s">
        <v>147</v>
      </c>
      <c r="J1897" t="s">
        <v>36</v>
      </c>
      <c r="K1897">
        <v>690</v>
      </c>
      <c r="O1897" t="s">
        <v>37</v>
      </c>
      <c r="P1897" t="s">
        <v>43</v>
      </c>
      <c r="U1897" s="9" t="s">
        <v>148</v>
      </c>
      <c r="V1897" t="s">
        <v>184</v>
      </c>
      <c r="W1897" t="s">
        <v>138</v>
      </c>
      <c r="X1897" t="s">
        <v>58</v>
      </c>
      <c r="Y1897" t="s">
        <v>1342</v>
      </c>
      <c r="Z1897" t="s">
        <v>41</v>
      </c>
      <c r="AB1897" t="str">
        <f t="shared" si="87"/>
        <v>46227</v>
      </c>
    </row>
    <row r="1898" ht="14.25" spans="1:28">
      <c r="A1898" s="5" t="s">
        <v>28</v>
      </c>
      <c r="B1898" s="5" t="s">
        <v>697</v>
      </c>
      <c r="C1898" s="5">
        <v>2027</v>
      </c>
      <c r="D1898" s="5" t="s">
        <v>30</v>
      </c>
      <c r="E1898" t="s">
        <v>1343</v>
      </c>
      <c r="F1898" t="s">
        <v>1339</v>
      </c>
      <c r="G1898" t="s">
        <v>56</v>
      </c>
      <c r="H1898" t="s">
        <v>1344</v>
      </c>
      <c r="I1898" t="s">
        <v>147</v>
      </c>
      <c r="J1898" t="s">
        <v>36</v>
      </c>
      <c r="K1898">
        <v>690</v>
      </c>
      <c r="O1898" t="s">
        <v>37</v>
      </c>
      <c r="P1898" t="s">
        <v>44</v>
      </c>
      <c r="U1898" s="9" t="s">
        <v>148</v>
      </c>
      <c r="V1898" t="s">
        <v>184</v>
      </c>
      <c r="W1898" t="s">
        <v>138</v>
      </c>
      <c r="X1898" t="s">
        <v>58</v>
      </c>
      <c r="Y1898" t="s">
        <v>1342</v>
      </c>
      <c r="Z1898" t="s">
        <v>41</v>
      </c>
      <c r="AB1898" t="str">
        <f t="shared" si="87"/>
        <v>46227</v>
      </c>
    </row>
    <row r="1899" ht="14.25" spans="1:28">
      <c r="A1899" s="5" t="s">
        <v>28</v>
      </c>
      <c r="B1899" s="5" t="s">
        <v>697</v>
      </c>
      <c r="C1899" s="5">
        <v>2027</v>
      </c>
      <c r="D1899" s="5" t="s">
        <v>30</v>
      </c>
      <c r="E1899" t="s">
        <v>1343</v>
      </c>
      <c r="F1899" t="s">
        <v>1339</v>
      </c>
      <c r="G1899" t="s">
        <v>56</v>
      </c>
      <c r="H1899" t="s">
        <v>1344</v>
      </c>
      <c r="I1899" t="s">
        <v>147</v>
      </c>
      <c r="J1899" t="s">
        <v>36</v>
      </c>
      <c r="K1899">
        <v>690</v>
      </c>
      <c r="O1899" t="s">
        <v>37</v>
      </c>
      <c r="P1899" t="s">
        <v>45</v>
      </c>
      <c r="U1899" s="9" t="s">
        <v>148</v>
      </c>
      <c r="V1899" t="s">
        <v>184</v>
      </c>
      <c r="W1899" t="s">
        <v>138</v>
      </c>
      <c r="X1899" t="s">
        <v>58</v>
      </c>
      <c r="Y1899" t="s">
        <v>1342</v>
      </c>
      <c r="Z1899" t="s">
        <v>41</v>
      </c>
      <c r="AB1899" t="str">
        <f t="shared" si="87"/>
        <v>46227</v>
      </c>
    </row>
    <row r="1900" ht="14.25" spans="1:28">
      <c r="A1900" s="5" t="s">
        <v>28</v>
      </c>
      <c r="B1900" s="5" t="s">
        <v>697</v>
      </c>
      <c r="C1900" s="5">
        <v>2027</v>
      </c>
      <c r="D1900" s="5" t="s">
        <v>30</v>
      </c>
      <c r="E1900" t="s">
        <v>1343</v>
      </c>
      <c r="F1900" t="s">
        <v>1339</v>
      </c>
      <c r="G1900" t="s">
        <v>56</v>
      </c>
      <c r="H1900" t="s">
        <v>1344</v>
      </c>
      <c r="I1900" t="s">
        <v>147</v>
      </c>
      <c r="J1900" t="s">
        <v>36</v>
      </c>
      <c r="K1900">
        <v>690</v>
      </c>
      <c r="O1900" t="s">
        <v>37</v>
      </c>
      <c r="P1900" t="s">
        <v>46</v>
      </c>
      <c r="U1900" s="9" t="s">
        <v>148</v>
      </c>
      <c r="V1900" t="s">
        <v>184</v>
      </c>
      <c r="W1900" t="s">
        <v>138</v>
      </c>
      <c r="X1900" t="s">
        <v>58</v>
      </c>
      <c r="Y1900" t="s">
        <v>1342</v>
      </c>
      <c r="Z1900" t="s">
        <v>41</v>
      </c>
      <c r="AB1900" t="str">
        <f t="shared" si="87"/>
        <v>46227</v>
      </c>
    </row>
    <row r="1901" ht="14.25" spans="1:28">
      <c r="A1901" s="5" t="s">
        <v>28</v>
      </c>
      <c r="B1901" s="5" t="s">
        <v>697</v>
      </c>
      <c r="C1901" s="5">
        <v>2027</v>
      </c>
      <c r="D1901" s="5" t="s">
        <v>30</v>
      </c>
      <c r="E1901" t="s">
        <v>1345</v>
      </c>
      <c r="F1901" t="s">
        <v>1339</v>
      </c>
      <c r="G1901" t="s">
        <v>346</v>
      </c>
      <c r="H1901" t="s">
        <v>1346</v>
      </c>
      <c r="I1901" t="s">
        <v>147</v>
      </c>
      <c r="J1901" t="s">
        <v>36</v>
      </c>
      <c r="K1901">
        <v>690</v>
      </c>
      <c r="O1901" t="s">
        <v>37</v>
      </c>
      <c r="P1901" t="s">
        <v>38</v>
      </c>
      <c r="R1901">
        <f t="shared" si="88"/>
        <v>0</v>
      </c>
      <c r="S1901">
        <f>SUMIFS([1]Sheet1!$T:$T,[1]Sheet1!$I:$I,E1901,[1]Sheet1!$C:$C,A1901)</f>
        <v>0</v>
      </c>
      <c r="T1901">
        <f t="shared" si="89"/>
        <v>0</v>
      </c>
      <c r="U1901" s="9" t="s">
        <v>148</v>
      </c>
      <c r="V1901" t="s">
        <v>184</v>
      </c>
      <c r="W1901" t="s">
        <v>138</v>
      </c>
      <c r="X1901" t="s">
        <v>191</v>
      </c>
      <c r="Y1901" t="s">
        <v>1342</v>
      </c>
      <c r="Z1901" t="s">
        <v>41</v>
      </c>
      <c r="AB1901" t="str">
        <f t="shared" si="87"/>
        <v>46227</v>
      </c>
    </row>
    <row r="1902" ht="14.25" spans="1:28">
      <c r="A1902" s="5" t="s">
        <v>28</v>
      </c>
      <c r="B1902" s="5" t="s">
        <v>697</v>
      </c>
      <c r="C1902" s="5">
        <v>2027</v>
      </c>
      <c r="D1902" s="5" t="s">
        <v>30</v>
      </c>
      <c r="E1902" t="s">
        <v>1345</v>
      </c>
      <c r="F1902" t="s">
        <v>1339</v>
      </c>
      <c r="G1902" t="s">
        <v>346</v>
      </c>
      <c r="H1902" t="s">
        <v>1346</v>
      </c>
      <c r="I1902" t="s">
        <v>147</v>
      </c>
      <c r="J1902" t="s">
        <v>36</v>
      </c>
      <c r="K1902">
        <v>690</v>
      </c>
      <c r="O1902" t="s">
        <v>37</v>
      </c>
      <c r="P1902" t="s">
        <v>42</v>
      </c>
      <c r="U1902" s="9" t="s">
        <v>148</v>
      </c>
      <c r="V1902" t="s">
        <v>184</v>
      </c>
      <c r="W1902" t="s">
        <v>138</v>
      </c>
      <c r="X1902" t="s">
        <v>191</v>
      </c>
      <c r="Y1902" t="s">
        <v>1342</v>
      </c>
      <c r="Z1902" t="s">
        <v>41</v>
      </c>
      <c r="AB1902" t="str">
        <f t="shared" si="87"/>
        <v>46227</v>
      </c>
    </row>
    <row r="1903" ht="14.25" spans="1:28">
      <c r="A1903" s="5" t="s">
        <v>28</v>
      </c>
      <c r="B1903" s="5" t="s">
        <v>697</v>
      </c>
      <c r="C1903" s="5">
        <v>2027</v>
      </c>
      <c r="D1903" s="5" t="s">
        <v>30</v>
      </c>
      <c r="E1903" t="s">
        <v>1345</v>
      </c>
      <c r="F1903" t="s">
        <v>1339</v>
      </c>
      <c r="G1903" t="s">
        <v>346</v>
      </c>
      <c r="H1903" t="s">
        <v>1346</v>
      </c>
      <c r="I1903" t="s">
        <v>147</v>
      </c>
      <c r="J1903" t="s">
        <v>36</v>
      </c>
      <c r="K1903">
        <v>690</v>
      </c>
      <c r="O1903" t="s">
        <v>37</v>
      </c>
      <c r="P1903" t="s">
        <v>43</v>
      </c>
      <c r="U1903" s="9" t="s">
        <v>148</v>
      </c>
      <c r="V1903" t="s">
        <v>184</v>
      </c>
      <c r="W1903" t="s">
        <v>138</v>
      </c>
      <c r="X1903" t="s">
        <v>191</v>
      </c>
      <c r="Y1903" t="s">
        <v>1342</v>
      </c>
      <c r="Z1903" t="s">
        <v>41</v>
      </c>
      <c r="AB1903" t="str">
        <f t="shared" si="87"/>
        <v>46227</v>
      </c>
    </row>
    <row r="1904" ht="14.25" spans="1:28">
      <c r="A1904" s="5" t="s">
        <v>28</v>
      </c>
      <c r="B1904" s="5" t="s">
        <v>697</v>
      </c>
      <c r="C1904" s="5">
        <v>2027</v>
      </c>
      <c r="D1904" s="5" t="s">
        <v>30</v>
      </c>
      <c r="E1904" t="s">
        <v>1345</v>
      </c>
      <c r="F1904" t="s">
        <v>1339</v>
      </c>
      <c r="G1904" t="s">
        <v>346</v>
      </c>
      <c r="H1904" t="s">
        <v>1346</v>
      </c>
      <c r="I1904" t="s">
        <v>147</v>
      </c>
      <c r="J1904" t="s">
        <v>36</v>
      </c>
      <c r="K1904">
        <v>690</v>
      </c>
      <c r="O1904" t="s">
        <v>37</v>
      </c>
      <c r="P1904" t="s">
        <v>44</v>
      </c>
      <c r="U1904" s="9" t="s">
        <v>148</v>
      </c>
      <c r="V1904" t="s">
        <v>184</v>
      </c>
      <c r="W1904" t="s">
        <v>138</v>
      </c>
      <c r="X1904" t="s">
        <v>191</v>
      </c>
      <c r="Y1904" t="s">
        <v>1342</v>
      </c>
      <c r="Z1904" t="s">
        <v>41</v>
      </c>
      <c r="AB1904" t="str">
        <f t="shared" si="87"/>
        <v>46227</v>
      </c>
    </row>
    <row r="1905" ht="14.25" spans="1:28">
      <c r="A1905" s="5" t="s">
        <v>28</v>
      </c>
      <c r="B1905" s="5" t="s">
        <v>697</v>
      </c>
      <c r="C1905" s="5">
        <v>2027</v>
      </c>
      <c r="D1905" s="5" t="s">
        <v>30</v>
      </c>
      <c r="E1905" t="s">
        <v>1345</v>
      </c>
      <c r="F1905" t="s">
        <v>1339</v>
      </c>
      <c r="G1905" t="s">
        <v>346</v>
      </c>
      <c r="H1905" t="s">
        <v>1346</v>
      </c>
      <c r="I1905" t="s">
        <v>147</v>
      </c>
      <c r="J1905" t="s">
        <v>36</v>
      </c>
      <c r="K1905">
        <v>690</v>
      </c>
      <c r="O1905" t="s">
        <v>37</v>
      </c>
      <c r="P1905" t="s">
        <v>45</v>
      </c>
      <c r="U1905" s="9" t="s">
        <v>148</v>
      </c>
      <c r="V1905" t="s">
        <v>184</v>
      </c>
      <c r="W1905" t="s">
        <v>138</v>
      </c>
      <c r="X1905" t="s">
        <v>191</v>
      </c>
      <c r="Y1905" t="s">
        <v>1342</v>
      </c>
      <c r="Z1905" t="s">
        <v>41</v>
      </c>
      <c r="AB1905" t="str">
        <f t="shared" si="87"/>
        <v>46227</v>
      </c>
    </row>
    <row r="1906" ht="14.25" spans="1:28">
      <c r="A1906" s="5" t="s">
        <v>28</v>
      </c>
      <c r="B1906" s="5" t="s">
        <v>697</v>
      </c>
      <c r="C1906" s="5">
        <v>2027</v>
      </c>
      <c r="D1906" s="5" t="s">
        <v>30</v>
      </c>
      <c r="E1906" t="s">
        <v>1345</v>
      </c>
      <c r="F1906" t="s">
        <v>1339</v>
      </c>
      <c r="G1906" t="s">
        <v>346</v>
      </c>
      <c r="H1906" t="s">
        <v>1346</v>
      </c>
      <c r="I1906" t="s">
        <v>147</v>
      </c>
      <c r="J1906" t="s">
        <v>36</v>
      </c>
      <c r="K1906">
        <v>690</v>
      </c>
      <c r="O1906" t="s">
        <v>37</v>
      </c>
      <c r="P1906" t="s">
        <v>46</v>
      </c>
      <c r="U1906" s="9" t="s">
        <v>148</v>
      </c>
      <c r="V1906" t="s">
        <v>184</v>
      </c>
      <c r="W1906" t="s">
        <v>138</v>
      </c>
      <c r="X1906" t="s">
        <v>191</v>
      </c>
      <c r="Y1906" t="s">
        <v>1342</v>
      </c>
      <c r="Z1906" t="s">
        <v>41</v>
      </c>
      <c r="AB1906" t="str">
        <f t="shared" si="87"/>
        <v>46227</v>
      </c>
    </row>
    <row r="1907" ht="14.25" spans="1:28">
      <c r="A1907" s="5" t="s">
        <v>28</v>
      </c>
      <c r="B1907" s="5" t="s">
        <v>697</v>
      </c>
      <c r="C1907" s="5">
        <v>2027</v>
      </c>
      <c r="D1907" s="5" t="s">
        <v>30</v>
      </c>
      <c r="E1907" t="s">
        <v>1347</v>
      </c>
      <c r="F1907" t="s">
        <v>1348</v>
      </c>
      <c r="G1907" t="s">
        <v>33</v>
      </c>
      <c r="H1907" t="s">
        <v>1349</v>
      </c>
      <c r="I1907" t="s">
        <v>112</v>
      </c>
      <c r="J1907" t="s">
        <v>36</v>
      </c>
      <c r="K1907">
        <v>590</v>
      </c>
      <c r="O1907" t="s">
        <v>37</v>
      </c>
      <c r="P1907" t="s">
        <v>38</v>
      </c>
      <c r="R1907">
        <f t="shared" si="88"/>
        <v>0</v>
      </c>
      <c r="S1907">
        <f>SUMIFS([1]Sheet1!$T:$T,[1]Sheet1!$I:$I,E1907,[1]Sheet1!$C:$C,A1907)</f>
        <v>0</v>
      </c>
      <c r="T1907">
        <f t="shared" si="89"/>
        <v>0</v>
      </c>
      <c r="U1907" s="9" t="s">
        <v>148</v>
      </c>
      <c r="V1907" t="s">
        <v>184</v>
      </c>
      <c r="W1907" t="s">
        <v>138</v>
      </c>
      <c r="X1907" t="s">
        <v>39</v>
      </c>
      <c r="Y1907" t="s">
        <v>1350</v>
      </c>
      <c r="Z1907" t="s">
        <v>41</v>
      </c>
      <c r="AB1907" t="str">
        <f t="shared" ref="AB1907:AB1970" si="90">MID(E1907,6,5)</f>
        <v>46228</v>
      </c>
    </row>
    <row r="1908" ht="14.25" spans="1:28">
      <c r="A1908" s="5" t="s">
        <v>28</v>
      </c>
      <c r="B1908" s="5" t="s">
        <v>697</v>
      </c>
      <c r="C1908" s="5">
        <v>2027</v>
      </c>
      <c r="D1908" s="5" t="s">
        <v>30</v>
      </c>
      <c r="E1908" t="s">
        <v>1347</v>
      </c>
      <c r="F1908" t="s">
        <v>1348</v>
      </c>
      <c r="G1908" t="s">
        <v>33</v>
      </c>
      <c r="H1908" t="s">
        <v>1349</v>
      </c>
      <c r="I1908" t="s">
        <v>112</v>
      </c>
      <c r="J1908" t="s">
        <v>36</v>
      </c>
      <c r="K1908">
        <v>590</v>
      </c>
      <c r="O1908" t="s">
        <v>37</v>
      </c>
      <c r="P1908" t="s">
        <v>42</v>
      </c>
      <c r="U1908" s="9" t="s">
        <v>148</v>
      </c>
      <c r="V1908" t="s">
        <v>184</v>
      </c>
      <c r="W1908" t="s">
        <v>138</v>
      </c>
      <c r="X1908" t="s">
        <v>39</v>
      </c>
      <c r="Y1908" t="s">
        <v>1350</v>
      </c>
      <c r="Z1908" t="s">
        <v>41</v>
      </c>
      <c r="AB1908" t="str">
        <f t="shared" si="90"/>
        <v>46228</v>
      </c>
    </row>
    <row r="1909" ht="14.25" spans="1:28">
      <c r="A1909" s="5" t="s">
        <v>28</v>
      </c>
      <c r="B1909" s="5" t="s">
        <v>697</v>
      </c>
      <c r="C1909" s="5">
        <v>2027</v>
      </c>
      <c r="D1909" s="5" t="s">
        <v>30</v>
      </c>
      <c r="E1909" t="s">
        <v>1347</v>
      </c>
      <c r="F1909" t="s">
        <v>1348</v>
      </c>
      <c r="G1909" t="s">
        <v>33</v>
      </c>
      <c r="H1909" t="s">
        <v>1349</v>
      </c>
      <c r="I1909" t="s">
        <v>112</v>
      </c>
      <c r="J1909" t="s">
        <v>36</v>
      </c>
      <c r="K1909">
        <v>590</v>
      </c>
      <c r="O1909" t="s">
        <v>37</v>
      </c>
      <c r="P1909" t="s">
        <v>43</v>
      </c>
      <c r="U1909" s="9" t="s">
        <v>148</v>
      </c>
      <c r="V1909" t="s">
        <v>184</v>
      </c>
      <c r="W1909" t="s">
        <v>138</v>
      </c>
      <c r="X1909" t="s">
        <v>39</v>
      </c>
      <c r="Y1909" t="s">
        <v>1350</v>
      </c>
      <c r="Z1909" t="s">
        <v>41</v>
      </c>
      <c r="AB1909" t="str">
        <f t="shared" si="90"/>
        <v>46228</v>
      </c>
    </row>
    <row r="1910" ht="14.25" spans="1:28">
      <c r="A1910" s="5" t="s">
        <v>28</v>
      </c>
      <c r="B1910" s="5" t="s">
        <v>697</v>
      </c>
      <c r="C1910" s="5">
        <v>2027</v>
      </c>
      <c r="D1910" s="5" t="s">
        <v>30</v>
      </c>
      <c r="E1910" t="s">
        <v>1347</v>
      </c>
      <c r="F1910" t="s">
        <v>1348</v>
      </c>
      <c r="G1910" t="s">
        <v>33</v>
      </c>
      <c r="H1910" t="s">
        <v>1349</v>
      </c>
      <c r="I1910" t="s">
        <v>112</v>
      </c>
      <c r="J1910" t="s">
        <v>36</v>
      </c>
      <c r="K1910">
        <v>590</v>
      </c>
      <c r="O1910" t="s">
        <v>37</v>
      </c>
      <c r="P1910" t="s">
        <v>44</v>
      </c>
      <c r="U1910" s="9" t="s">
        <v>148</v>
      </c>
      <c r="V1910" t="s">
        <v>184</v>
      </c>
      <c r="W1910" t="s">
        <v>138</v>
      </c>
      <c r="X1910" t="s">
        <v>39</v>
      </c>
      <c r="Y1910" t="s">
        <v>1350</v>
      </c>
      <c r="Z1910" t="s">
        <v>41</v>
      </c>
      <c r="AB1910" t="str">
        <f t="shared" si="90"/>
        <v>46228</v>
      </c>
    </row>
    <row r="1911" ht="14.25" spans="1:28">
      <c r="A1911" s="5" t="s">
        <v>28</v>
      </c>
      <c r="B1911" s="5" t="s">
        <v>697</v>
      </c>
      <c r="C1911" s="5">
        <v>2027</v>
      </c>
      <c r="D1911" s="5" t="s">
        <v>30</v>
      </c>
      <c r="E1911" t="s">
        <v>1347</v>
      </c>
      <c r="F1911" t="s">
        <v>1348</v>
      </c>
      <c r="G1911" t="s">
        <v>33</v>
      </c>
      <c r="H1911" t="s">
        <v>1349</v>
      </c>
      <c r="I1911" t="s">
        <v>112</v>
      </c>
      <c r="J1911" t="s">
        <v>36</v>
      </c>
      <c r="K1911">
        <v>590</v>
      </c>
      <c r="O1911" t="s">
        <v>37</v>
      </c>
      <c r="P1911" t="s">
        <v>45</v>
      </c>
      <c r="U1911" s="9" t="s">
        <v>148</v>
      </c>
      <c r="V1911" t="s">
        <v>184</v>
      </c>
      <c r="W1911" t="s">
        <v>138</v>
      </c>
      <c r="X1911" t="s">
        <v>39</v>
      </c>
      <c r="Y1911" t="s">
        <v>1350</v>
      </c>
      <c r="Z1911" t="s">
        <v>41</v>
      </c>
      <c r="AB1911" t="str">
        <f t="shared" si="90"/>
        <v>46228</v>
      </c>
    </row>
    <row r="1912" ht="14.25" spans="1:28">
      <c r="A1912" s="5" t="s">
        <v>28</v>
      </c>
      <c r="B1912" s="5" t="s">
        <v>697</v>
      </c>
      <c r="C1912" s="5">
        <v>2027</v>
      </c>
      <c r="D1912" s="5" t="s">
        <v>30</v>
      </c>
      <c r="E1912" t="s">
        <v>1347</v>
      </c>
      <c r="F1912" t="s">
        <v>1348</v>
      </c>
      <c r="G1912" t="s">
        <v>33</v>
      </c>
      <c r="H1912" t="s">
        <v>1349</v>
      </c>
      <c r="I1912" t="s">
        <v>112</v>
      </c>
      <c r="J1912" t="s">
        <v>36</v>
      </c>
      <c r="K1912">
        <v>590</v>
      </c>
      <c r="O1912" t="s">
        <v>37</v>
      </c>
      <c r="P1912" t="s">
        <v>46</v>
      </c>
      <c r="U1912" s="9" t="s">
        <v>148</v>
      </c>
      <c r="V1912" t="s">
        <v>184</v>
      </c>
      <c r="W1912" t="s">
        <v>138</v>
      </c>
      <c r="X1912" t="s">
        <v>39</v>
      </c>
      <c r="Y1912" t="s">
        <v>1350</v>
      </c>
      <c r="Z1912" t="s">
        <v>41</v>
      </c>
      <c r="AB1912" t="str">
        <f t="shared" si="90"/>
        <v>46228</v>
      </c>
    </row>
    <row r="1913" ht="14.25" spans="1:28">
      <c r="A1913" s="5" t="s">
        <v>28</v>
      </c>
      <c r="B1913" s="5" t="s">
        <v>697</v>
      </c>
      <c r="C1913" s="5">
        <v>2027</v>
      </c>
      <c r="D1913" s="5" t="s">
        <v>30</v>
      </c>
      <c r="E1913" t="s">
        <v>1351</v>
      </c>
      <c r="F1913" t="s">
        <v>1348</v>
      </c>
      <c r="G1913" t="s">
        <v>100</v>
      </c>
      <c r="H1913" t="s">
        <v>1352</v>
      </c>
      <c r="I1913" t="s">
        <v>112</v>
      </c>
      <c r="J1913" t="s">
        <v>36</v>
      </c>
      <c r="K1913">
        <v>590</v>
      </c>
      <c r="O1913" t="s">
        <v>37</v>
      </c>
      <c r="P1913" t="s">
        <v>38</v>
      </c>
      <c r="R1913">
        <f t="shared" si="88"/>
        <v>0</v>
      </c>
      <c r="S1913">
        <f>SUMIFS([1]Sheet1!$T:$T,[1]Sheet1!$I:$I,E1913,[1]Sheet1!$C:$C,A1913)</f>
        <v>0</v>
      </c>
      <c r="T1913">
        <f t="shared" si="89"/>
        <v>0</v>
      </c>
      <c r="U1913" s="9" t="s">
        <v>148</v>
      </c>
      <c r="V1913" t="s">
        <v>184</v>
      </c>
      <c r="W1913" t="s">
        <v>138</v>
      </c>
      <c r="X1913" t="s">
        <v>102</v>
      </c>
      <c r="Y1913" t="s">
        <v>1350</v>
      </c>
      <c r="Z1913" t="s">
        <v>41</v>
      </c>
      <c r="AB1913" t="str">
        <f t="shared" si="90"/>
        <v>46228</v>
      </c>
    </row>
    <row r="1914" ht="14.25" spans="1:28">
      <c r="A1914" s="5" t="s">
        <v>28</v>
      </c>
      <c r="B1914" s="5" t="s">
        <v>697</v>
      </c>
      <c r="C1914" s="5">
        <v>2027</v>
      </c>
      <c r="D1914" s="5" t="s">
        <v>30</v>
      </c>
      <c r="E1914" t="s">
        <v>1351</v>
      </c>
      <c r="F1914" t="s">
        <v>1348</v>
      </c>
      <c r="G1914" t="s">
        <v>100</v>
      </c>
      <c r="H1914" t="s">
        <v>1352</v>
      </c>
      <c r="I1914" t="s">
        <v>112</v>
      </c>
      <c r="J1914" t="s">
        <v>36</v>
      </c>
      <c r="K1914">
        <v>590</v>
      </c>
      <c r="O1914" t="s">
        <v>37</v>
      </c>
      <c r="P1914" t="s">
        <v>42</v>
      </c>
      <c r="U1914" s="9" t="s">
        <v>148</v>
      </c>
      <c r="V1914" t="s">
        <v>184</v>
      </c>
      <c r="W1914" t="s">
        <v>138</v>
      </c>
      <c r="X1914" t="s">
        <v>102</v>
      </c>
      <c r="Y1914" t="s">
        <v>1350</v>
      </c>
      <c r="Z1914" t="s">
        <v>41</v>
      </c>
      <c r="AB1914" t="str">
        <f t="shared" si="90"/>
        <v>46228</v>
      </c>
    </row>
    <row r="1915" ht="14.25" spans="1:28">
      <c r="A1915" s="5" t="s">
        <v>28</v>
      </c>
      <c r="B1915" s="5" t="s">
        <v>697</v>
      </c>
      <c r="C1915" s="5">
        <v>2027</v>
      </c>
      <c r="D1915" s="5" t="s">
        <v>30</v>
      </c>
      <c r="E1915" t="s">
        <v>1351</v>
      </c>
      <c r="F1915" t="s">
        <v>1348</v>
      </c>
      <c r="G1915" t="s">
        <v>100</v>
      </c>
      <c r="H1915" t="s">
        <v>1352</v>
      </c>
      <c r="I1915" t="s">
        <v>112</v>
      </c>
      <c r="J1915" t="s">
        <v>36</v>
      </c>
      <c r="K1915">
        <v>590</v>
      </c>
      <c r="O1915" t="s">
        <v>37</v>
      </c>
      <c r="P1915" t="s">
        <v>43</v>
      </c>
      <c r="U1915" s="9" t="s">
        <v>148</v>
      </c>
      <c r="V1915" t="s">
        <v>184</v>
      </c>
      <c r="W1915" t="s">
        <v>138</v>
      </c>
      <c r="X1915" t="s">
        <v>102</v>
      </c>
      <c r="Y1915" t="s">
        <v>1350</v>
      </c>
      <c r="Z1915" t="s">
        <v>41</v>
      </c>
      <c r="AB1915" t="str">
        <f t="shared" si="90"/>
        <v>46228</v>
      </c>
    </row>
    <row r="1916" ht="14.25" spans="1:28">
      <c r="A1916" s="5" t="s">
        <v>28</v>
      </c>
      <c r="B1916" s="5" t="s">
        <v>697</v>
      </c>
      <c r="C1916" s="5">
        <v>2027</v>
      </c>
      <c r="D1916" s="5" t="s">
        <v>30</v>
      </c>
      <c r="E1916" t="s">
        <v>1351</v>
      </c>
      <c r="F1916" t="s">
        <v>1348</v>
      </c>
      <c r="G1916" t="s">
        <v>100</v>
      </c>
      <c r="H1916" t="s">
        <v>1352</v>
      </c>
      <c r="I1916" t="s">
        <v>112</v>
      </c>
      <c r="J1916" t="s">
        <v>36</v>
      </c>
      <c r="K1916">
        <v>590</v>
      </c>
      <c r="O1916" t="s">
        <v>37</v>
      </c>
      <c r="P1916" t="s">
        <v>44</v>
      </c>
      <c r="U1916" s="9" t="s">
        <v>148</v>
      </c>
      <c r="V1916" t="s">
        <v>184</v>
      </c>
      <c r="W1916" t="s">
        <v>138</v>
      </c>
      <c r="X1916" t="s">
        <v>102</v>
      </c>
      <c r="Y1916" t="s">
        <v>1350</v>
      </c>
      <c r="Z1916" t="s">
        <v>41</v>
      </c>
      <c r="AB1916" t="str">
        <f t="shared" si="90"/>
        <v>46228</v>
      </c>
    </row>
    <row r="1917" ht="14.25" spans="1:28">
      <c r="A1917" s="5" t="s">
        <v>28</v>
      </c>
      <c r="B1917" s="5" t="s">
        <v>697</v>
      </c>
      <c r="C1917" s="5">
        <v>2027</v>
      </c>
      <c r="D1917" s="5" t="s">
        <v>30</v>
      </c>
      <c r="E1917" t="s">
        <v>1351</v>
      </c>
      <c r="F1917" t="s">
        <v>1348</v>
      </c>
      <c r="G1917" t="s">
        <v>100</v>
      </c>
      <c r="H1917" t="s">
        <v>1352</v>
      </c>
      <c r="I1917" t="s">
        <v>112</v>
      </c>
      <c r="J1917" t="s">
        <v>36</v>
      </c>
      <c r="K1917">
        <v>590</v>
      </c>
      <c r="O1917" t="s">
        <v>37</v>
      </c>
      <c r="P1917" t="s">
        <v>45</v>
      </c>
      <c r="U1917" s="9" t="s">
        <v>148</v>
      </c>
      <c r="V1917" t="s">
        <v>184</v>
      </c>
      <c r="W1917" t="s">
        <v>138</v>
      </c>
      <c r="X1917" t="s">
        <v>102</v>
      </c>
      <c r="Y1917" t="s">
        <v>1350</v>
      </c>
      <c r="Z1917" t="s">
        <v>41</v>
      </c>
      <c r="AB1917" t="str">
        <f t="shared" si="90"/>
        <v>46228</v>
      </c>
    </row>
    <row r="1918" ht="14.25" spans="1:28">
      <c r="A1918" s="5" t="s">
        <v>28</v>
      </c>
      <c r="B1918" s="5" t="s">
        <v>697</v>
      </c>
      <c r="C1918" s="5">
        <v>2027</v>
      </c>
      <c r="D1918" s="5" t="s">
        <v>30</v>
      </c>
      <c r="E1918" t="s">
        <v>1351</v>
      </c>
      <c r="F1918" t="s">
        <v>1348</v>
      </c>
      <c r="G1918" t="s">
        <v>100</v>
      </c>
      <c r="H1918" t="s">
        <v>1352</v>
      </c>
      <c r="I1918" t="s">
        <v>112</v>
      </c>
      <c r="J1918" t="s">
        <v>36</v>
      </c>
      <c r="K1918">
        <v>590</v>
      </c>
      <c r="O1918" t="s">
        <v>37</v>
      </c>
      <c r="P1918" t="s">
        <v>46</v>
      </c>
      <c r="U1918" s="9" t="s">
        <v>148</v>
      </c>
      <c r="V1918" t="s">
        <v>184</v>
      </c>
      <c r="W1918" t="s">
        <v>138</v>
      </c>
      <c r="X1918" t="s">
        <v>102</v>
      </c>
      <c r="Y1918" t="s">
        <v>1350</v>
      </c>
      <c r="Z1918" t="s">
        <v>41</v>
      </c>
      <c r="AB1918" t="str">
        <f t="shared" si="90"/>
        <v>46228</v>
      </c>
    </row>
    <row r="1919" ht="14.25" spans="1:28">
      <c r="A1919" s="5" t="s">
        <v>28</v>
      </c>
      <c r="B1919" s="5" t="s">
        <v>697</v>
      </c>
      <c r="C1919" s="5">
        <v>2027</v>
      </c>
      <c r="D1919" s="5" t="s">
        <v>30</v>
      </c>
      <c r="E1919" t="s">
        <v>1353</v>
      </c>
      <c r="F1919" t="s">
        <v>1348</v>
      </c>
      <c r="G1919" t="s">
        <v>60</v>
      </c>
      <c r="H1919" t="s">
        <v>1354</v>
      </c>
      <c r="I1919" t="s">
        <v>112</v>
      </c>
      <c r="J1919" t="s">
        <v>36</v>
      </c>
      <c r="K1919">
        <v>590</v>
      </c>
      <c r="O1919" t="s">
        <v>37</v>
      </c>
      <c r="P1919" t="s">
        <v>38</v>
      </c>
      <c r="R1919">
        <f t="shared" si="88"/>
        <v>0</v>
      </c>
      <c r="S1919">
        <f>SUMIFS([1]Sheet1!$T:$T,[1]Sheet1!$I:$I,E1919,[1]Sheet1!$C:$C,A1919)</f>
        <v>0</v>
      </c>
      <c r="T1919">
        <f t="shared" si="89"/>
        <v>0</v>
      </c>
      <c r="U1919" s="9" t="s">
        <v>148</v>
      </c>
      <c r="V1919" t="s">
        <v>184</v>
      </c>
      <c r="W1919" t="s">
        <v>138</v>
      </c>
      <c r="X1919" t="s">
        <v>62</v>
      </c>
      <c r="Y1919" t="s">
        <v>1350</v>
      </c>
      <c r="Z1919" t="s">
        <v>41</v>
      </c>
      <c r="AB1919" t="str">
        <f t="shared" si="90"/>
        <v>46228</v>
      </c>
    </row>
    <row r="1920" ht="14.25" spans="1:28">
      <c r="A1920" s="5" t="s">
        <v>28</v>
      </c>
      <c r="B1920" s="5" t="s">
        <v>697</v>
      </c>
      <c r="C1920" s="5">
        <v>2027</v>
      </c>
      <c r="D1920" s="5" t="s">
        <v>30</v>
      </c>
      <c r="E1920" t="s">
        <v>1353</v>
      </c>
      <c r="F1920" t="s">
        <v>1348</v>
      </c>
      <c r="G1920" t="s">
        <v>60</v>
      </c>
      <c r="H1920" t="s">
        <v>1354</v>
      </c>
      <c r="I1920" t="s">
        <v>112</v>
      </c>
      <c r="J1920" t="s">
        <v>36</v>
      </c>
      <c r="K1920">
        <v>590</v>
      </c>
      <c r="O1920" t="s">
        <v>37</v>
      </c>
      <c r="P1920" t="s">
        <v>42</v>
      </c>
      <c r="U1920" s="9" t="s">
        <v>148</v>
      </c>
      <c r="V1920" t="s">
        <v>184</v>
      </c>
      <c r="W1920" t="s">
        <v>138</v>
      </c>
      <c r="X1920" t="s">
        <v>62</v>
      </c>
      <c r="Y1920" t="s">
        <v>1350</v>
      </c>
      <c r="Z1920" t="s">
        <v>41</v>
      </c>
      <c r="AB1920" t="str">
        <f t="shared" si="90"/>
        <v>46228</v>
      </c>
    </row>
    <row r="1921" ht="14.25" spans="1:28">
      <c r="A1921" s="5" t="s">
        <v>28</v>
      </c>
      <c r="B1921" s="5" t="s">
        <v>697</v>
      </c>
      <c r="C1921" s="5">
        <v>2027</v>
      </c>
      <c r="D1921" s="5" t="s">
        <v>30</v>
      </c>
      <c r="E1921" t="s">
        <v>1353</v>
      </c>
      <c r="F1921" t="s">
        <v>1348</v>
      </c>
      <c r="G1921" t="s">
        <v>60</v>
      </c>
      <c r="H1921" t="s">
        <v>1354</v>
      </c>
      <c r="I1921" t="s">
        <v>112</v>
      </c>
      <c r="J1921" t="s">
        <v>36</v>
      </c>
      <c r="K1921">
        <v>590</v>
      </c>
      <c r="O1921" t="s">
        <v>37</v>
      </c>
      <c r="P1921" t="s">
        <v>43</v>
      </c>
      <c r="U1921" s="9" t="s">
        <v>148</v>
      </c>
      <c r="V1921" t="s">
        <v>184</v>
      </c>
      <c r="W1921" t="s">
        <v>138</v>
      </c>
      <c r="X1921" t="s">
        <v>62</v>
      </c>
      <c r="Y1921" t="s">
        <v>1350</v>
      </c>
      <c r="Z1921" t="s">
        <v>41</v>
      </c>
      <c r="AB1921" t="str">
        <f t="shared" si="90"/>
        <v>46228</v>
      </c>
    </row>
    <row r="1922" ht="14.25" spans="1:28">
      <c r="A1922" s="5" t="s">
        <v>28</v>
      </c>
      <c r="B1922" s="5" t="s">
        <v>697</v>
      </c>
      <c r="C1922" s="5">
        <v>2027</v>
      </c>
      <c r="D1922" s="5" t="s">
        <v>30</v>
      </c>
      <c r="E1922" t="s">
        <v>1353</v>
      </c>
      <c r="F1922" t="s">
        <v>1348</v>
      </c>
      <c r="G1922" t="s">
        <v>60</v>
      </c>
      <c r="H1922" t="s">
        <v>1354</v>
      </c>
      <c r="I1922" t="s">
        <v>112</v>
      </c>
      <c r="J1922" t="s">
        <v>36</v>
      </c>
      <c r="K1922">
        <v>590</v>
      </c>
      <c r="O1922" t="s">
        <v>37</v>
      </c>
      <c r="P1922" t="s">
        <v>44</v>
      </c>
      <c r="U1922" s="9" t="s">
        <v>148</v>
      </c>
      <c r="V1922" t="s">
        <v>184</v>
      </c>
      <c r="W1922" t="s">
        <v>138</v>
      </c>
      <c r="X1922" t="s">
        <v>62</v>
      </c>
      <c r="Y1922" t="s">
        <v>1350</v>
      </c>
      <c r="Z1922" t="s">
        <v>41</v>
      </c>
      <c r="AB1922" t="str">
        <f t="shared" si="90"/>
        <v>46228</v>
      </c>
    </row>
    <row r="1923" ht="14.25" spans="1:28">
      <c r="A1923" s="5" t="s">
        <v>28</v>
      </c>
      <c r="B1923" s="5" t="s">
        <v>697</v>
      </c>
      <c r="C1923" s="5">
        <v>2027</v>
      </c>
      <c r="D1923" s="5" t="s">
        <v>30</v>
      </c>
      <c r="E1923" t="s">
        <v>1353</v>
      </c>
      <c r="F1923" t="s">
        <v>1348</v>
      </c>
      <c r="G1923" t="s">
        <v>60</v>
      </c>
      <c r="H1923" t="s">
        <v>1354</v>
      </c>
      <c r="I1923" t="s">
        <v>112</v>
      </c>
      <c r="J1923" t="s">
        <v>36</v>
      </c>
      <c r="K1923">
        <v>590</v>
      </c>
      <c r="O1923" t="s">
        <v>37</v>
      </c>
      <c r="P1923" t="s">
        <v>45</v>
      </c>
      <c r="U1923" s="9" t="s">
        <v>148</v>
      </c>
      <c r="V1923" t="s">
        <v>184</v>
      </c>
      <c r="W1923" t="s">
        <v>138</v>
      </c>
      <c r="X1923" t="s">
        <v>62</v>
      </c>
      <c r="Y1923" t="s">
        <v>1350</v>
      </c>
      <c r="Z1923" t="s">
        <v>41</v>
      </c>
      <c r="AB1923" t="str">
        <f t="shared" si="90"/>
        <v>46228</v>
      </c>
    </row>
    <row r="1924" ht="14.25" spans="1:28">
      <c r="A1924" s="5" t="s">
        <v>28</v>
      </c>
      <c r="B1924" s="5" t="s">
        <v>697</v>
      </c>
      <c r="C1924" s="5">
        <v>2027</v>
      </c>
      <c r="D1924" s="5" t="s">
        <v>30</v>
      </c>
      <c r="E1924" t="s">
        <v>1353</v>
      </c>
      <c r="F1924" t="s">
        <v>1348</v>
      </c>
      <c r="G1924" t="s">
        <v>60</v>
      </c>
      <c r="H1924" t="s">
        <v>1354</v>
      </c>
      <c r="I1924" t="s">
        <v>112</v>
      </c>
      <c r="J1924" t="s">
        <v>36</v>
      </c>
      <c r="K1924">
        <v>590</v>
      </c>
      <c r="O1924" t="s">
        <v>37</v>
      </c>
      <c r="P1924" t="s">
        <v>46</v>
      </c>
      <c r="U1924" s="9" t="s">
        <v>148</v>
      </c>
      <c r="V1924" t="s">
        <v>184</v>
      </c>
      <c r="W1924" t="s">
        <v>138</v>
      </c>
      <c r="X1924" t="s">
        <v>62</v>
      </c>
      <c r="Y1924" t="s">
        <v>1350</v>
      </c>
      <c r="Z1924" t="s">
        <v>41</v>
      </c>
      <c r="AB1924" t="str">
        <f t="shared" si="90"/>
        <v>46228</v>
      </c>
    </row>
    <row r="1925" ht="14.25" spans="1:28">
      <c r="A1925" s="5" t="s">
        <v>28</v>
      </c>
      <c r="B1925" s="5" t="s">
        <v>697</v>
      </c>
      <c r="C1925" s="5">
        <v>2027</v>
      </c>
      <c r="D1925" s="5" t="s">
        <v>30</v>
      </c>
      <c r="E1925" t="s">
        <v>1355</v>
      </c>
      <c r="F1925" t="s">
        <v>1356</v>
      </c>
      <c r="G1925" t="s">
        <v>89</v>
      </c>
      <c r="H1925" t="s">
        <v>1357</v>
      </c>
      <c r="I1925" t="s">
        <v>112</v>
      </c>
      <c r="J1925" t="s">
        <v>36</v>
      </c>
      <c r="K1925">
        <v>1390</v>
      </c>
      <c r="O1925" t="s">
        <v>37</v>
      </c>
      <c r="P1925" t="s">
        <v>38</v>
      </c>
      <c r="R1925">
        <f t="shared" ref="R1922:R1985" si="91">SUMIFS(Q:Q,E:E,E1925)</f>
        <v>0</v>
      </c>
      <c r="S1925">
        <f>SUMIFS([1]Sheet1!$T:$T,[1]Sheet1!$I:$I,E1925,[1]Sheet1!$C:$C,A1925)</f>
        <v>0</v>
      </c>
      <c r="T1925">
        <f t="shared" ref="T1922:T1985" si="92">R1925-S1925</f>
        <v>0</v>
      </c>
      <c r="U1925" s="9" t="s">
        <v>148</v>
      </c>
      <c r="V1925" t="s">
        <v>184</v>
      </c>
      <c r="W1925" t="s">
        <v>138</v>
      </c>
      <c r="X1925" t="s">
        <v>39</v>
      </c>
      <c r="Y1925" t="s">
        <v>827</v>
      </c>
      <c r="Z1925" t="s">
        <v>104</v>
      </c>
      <c r="AB1925" t="str">
        <f t="shared" si="90"/>
        <v>46229</v>
      </c>
    </row>
    <row r="1926" ht="14.25" spans="1:28">
      <c r="A1926" s="5" t="s">
        <v>28</v>
      </c>
      <c r="B1926" s="5" t="s">
        <v>697</v>
      </c>
      <c r="C1926" s="5">
        <v>2027</v>
      </c>
      <c r="D1926" s="5" t="s">
        <v>30</v>
      </c>
      <c r="E1926" t="s">
        <v>1355</v>
      </c>
      <c r="F1926" t="s">
        <v>1356</v>
      </c>
      <c r="G1926" t="s">
        <v>89</v>
      </c>
      <c r="H1926" t="s">
        <v>1357</v>
      </c>
      <c r="I1926" t="s">
        <v>112</v>
      </c>
      <c r="J1926" t="s">
        <v>36</v>
      </c>
      <c r="K1926">
        <v>1390</v>
      </c>
      <c r="O1926" t="s">
        <v>37</v>
      </c>
      <c r="P1926" t="s">
        <v>42</v>
      </c>
      <c r="U1926" s="9" t="s">
        <v>148</v>
      </c>
      <c r="V1926" t="s">
        <v>184</v>
      </c>
      <c r="W1926" t="s">
        <v>138</v>
      </c>
      <c r="X1926" t="s">
        <v>39</v>
      </c>
      <c r="Y1926" t="s">
        <v>827</v>
      </c>
      <c r="Z1926" t="s">
        <v>104</v>
      </c>
      <c r="AB1926" t="str">
        <f t="shared" si="90"/>
        <v>46229</v>
      </c>
    </row>
    <row r="1927" ht="14.25" spans="1:28">
      <c r="A1927" s="5" t="s">
        <v>28</v>
      </c>
      <c r="B1927" s="5" t="s">
        <v>697</v>
      </c>
      <c r="C1927" s="5">
        <v>2027</v>
      </c>
      <c r="D1927" s="5" t="s">
        <v>30</v>
      </c>
      <c r="E1927" t="s">
        <v>1355</v>
      </c>
      <c r="F1927" t="s">
        <v>1356</v>
      </c>
      <c r="G1927" t="s">
        <v>89</v>
      </c>
      <c r="H1927" t="s">
        <v>1357</v>
      </c>
      <c r="I1927" t="s">
        <v>112</v>
      </c>
      <c r="J1927" t="s">
        <v>36</v>
      </c>
      <c r="K1927">
        <v>1390</v>
      </c>
      <c r="O1927" t="s">
        <v>37</v>
      </c>
      <c r="P1927" t="s">
        <v>43</v>
      </c>
      <c r="U1927" s="9" t="s">
        <v>148</v>
      </c>
      <c r="V1927" t="s">
        <v>184</v>
      </c>
      <c r="W1927" t="s">
        <v>138</v>
      </c>
      <c r="X1927" t="s">
        <v>39</v>
      </c>
      <c r="Y1927" t="s">
        <v>827</v>
      </c>
      <c r="Z1927" t="s">
        <v>104</v>
      </c>
      <c r="AB1927" t="str">
        <f t="shared" si="90"/>
        <v>46229</v>
      </c>
    </row>
    <row r="1928" ht="14.25" spans="1:28">
      <c r="A1928" s="5" t="s">
        <v>28</v>
      </c>
      <c r="B1928" s="5" t="s">
        <v>697</v>
      </c>
      <c r="C1928" s="5">
        <v>2027</v>
      </c>
      <c r="D1928" s="5" t="s">
        <v>30</v>
      </c>
      <c r="E1928" t="s">
        <v>1355</v>
      </c>
      <c r="F1928" t="s">
        <v>1356</v>
      </c>
      <c r="G1928" t="s">
        <v>89</v>
      </c>
      <c r="H1928" t="s">
        <v>1357</v>
      </c>
      <c r="I1928" t="s">
        <v>112</v>
      </c>
      <c r="J1928" t="s">
        <v>36</v>
      </c>
      <c r="K1928">
        <v>1390</v>
      </c>
      <c r="O1928" t="s">
        <v>37</v>
      </c>
      <c r="P1928" t="s">
        <v>44</v>
      </c>
      <c r="U1928" s="9" t="s">
        <v>148</v>
      </c>
      <c r="V1928" t="s">
        <v>184</v>
      </c>
      <c r="W1928" t="s">
        <v>138</v>
      </c>
      <c r="X1928" t="s">
        <v>39</v>
      </c>
      <c r="Y1928" t="s">
        <v>827</v>
      </c>
      <c r="Z1928" t="s">
        <v>104</v>
      </c>
      <c r="AB1928" t="str">
        <f t="shared" si="90"/>
        <v>46229</v>
      </c>
    </row>
    <row r="1929" ht="14.25" spans="1:28">
      <c r="A1929" s="5" t="s">
        <v>28</v>
      </c>
      <c r="B1929" s="5" t="s">
        <v>697</v>
      </c>
      <c r="C1929" s="5">
        <v>2027</v>
      </c>
      <c r="D1929" s="5" t="s">
        <v>30</v>
      </c>
      <c r="E1929" t="s">
        <v>1355</v>
      </c>
      <c r="F1929" t="s">
        <v>1356</v>
      </c>
      <c r="G1929" t="s">
        <v>89</v>
      </c>
      <c r="H1929" t="s">
        <v>1357</v>
      </c>
      <c r="I1929" t="s">
        <v>112</v>
      </c>
      <c r="J1929" t="s">
        <v>36</v>
      </c>
      <c r="K1929">
        <v>1390</v>
      </c>
      <c r="O1929" t="s">
        <v>37</v>
      </c>
      <c r="P1929" t="s">
        <v>45</v>
      </c>
      <c r="U1929" s="9" t="s">
        <v>148</v>
      </c>
      <c r="V1929" t="s">
        <v>184</v>
      </c>
      <c r="W1929" t="s">
        <v>138</v>
      </c>
      <c r="X1929" t="s">
        <v>39</v>
      </c>
      <c r="Y1929" t="s">
        <v>827</v>
      </c>
      <c r="Z1929" t="s">
        <v>104</v>
      </c>
      <c r="AB1929" t="str">
        <f t="shared" si="90"/>
        <v>46229</v>
      </c>
    </row>
    <row r="1930" ht="14.25" spans="1:28">
      <c r="A1930" s="5" t="s">
        <v>28</v>
      </c>
      <c r="B1930" s="5" t="s">
        <v>697</v>
      </c>
      <c r="C1930" s="5">
        <v>2027</v>
      </c>
      <c r="D1930" s="5" t="s">
        <v>30</v>
      </c>
      <c r="E1930" t="s">
        <v>1355</v>
      </c>
      <c r="F1930" t="s">
        <v>1356</v>
      </c>
      <c r="G1930" t="s">
        <v>89</v>
      </c>
      <c r="H1930" t="s">
        <v>1357</v>
      </c>
      <c r="I1930" t="s">
        <v>112</v>
      </c>
      <c r="J1930" t="s">
        <v>36</v>
      </c>
      <c r="K1930">
        <v>1390</v>
      </c>
      <c r="O1930" t="s">
        <v>37</v>
      </c>
      <c r="P1930" t="s">
        <v>46</v>
      </c>
      <c r="U1930" s="9" t="s">
        <v>148</v>
      </c>
      <c r="V1930" t="s">
        <v>184</v>
      </c>
      <c r="W1930" t="s">
        <v>138</v>
      </c>
      <c r="X1930" t="s">
        <v>39</v>
      </c>
      <c r="Y1930" t="s">
        <v>827</v>
      </c>
      <c r="Z1930" t="s">
        <v>104</v>
      </c>
      <c r="AB1930" t="str">
        <f t="shared" si="90"/>
        <v>46229</v>
      </c>
    </row>
    <row r="1931" ht="14.25" spans="1:28">
      <c r="A1931" s="5" t="s">
        <v>28</v>
      </c>
      <c r="B1931" s="5" t="s">
        <v>697</v>
      </c>
      <c r="C1931" s="5">
        <v>2027</v>
      </c>
      <c r="D1931" s="5" t="s">
        <v>30</v>
      </c>
      <c r="E1931" t="s">
        <v>1358</v>
      </c>
      <c r="F1931" t="s">
        <v>1359</v>
      </c>
      <c r="G1931" t="s">
        <v>100</v>
      </c>
      <c r="H1931" t="s">
        <v>1360</v>
      </c>
      <c r="I1931" t="s">
        <v>119</v>
      </c>
      <c r="J1931" t="s">
        <v>36</v>
      </c>
      <c r="K1931">
        <v>1590</v>
      </c>
      <c r="O1931" t="s">
        <v>37</v>
      </c>
      <c r="P1931" t="s">
        <v>38</v>
      </c>
      <c r="R1931">
        <f t="shared" si="91"/>
        <v>0</v>
      </c>
      <c r="S1931">
        <f>SUMIFS([1]Sheet1!$T:$T,[1]Sheet1!$I:$I,E1931,[1]Sheet1!$C:$C,A1931)</f>
        <v>0</v>
      </c>
      <c r="T1931">
        <f t="shared" si="92"/>
        <v>0</v>
      </c>
      <c r="U1931" s="9" t="s">
        <v>148</v>
      </c>
      <c r="V1931" t="s">
        <v>674</v>
      </c>
      <c r="W1931" t="s">
        <v>138</v>
      </c>
      <c r="X1931" t="s">
        <v>102</v>
      </c>
      <c r="Y1931" t="s">
        <v>1361</v>
      </c>
      <c r="Z1931" t="s">
        <v>41</v>
      </c>
      <c r="AB1931" t="str">
        <f t="shared" si="90"/>
        <v>46239</v>
      </c>
    </row>
    <row r="1932" ht="14.25" spans="1:28">
      <c r="A1932" s="5" t="s">
        <v>28</v>
      </c>
      <c r="B1932" s="5" t="s">
        <v>697</v>
      </c>
      <c r="C1932" s="5">
        <v>2027</v>
      </c>
      <c r="D1932" s="5" t="s">
        <v>30</v>
      </c>
      <c r="E1932" t="s">
        <v>1358</v>
      </c>
      <c r="F1932" t="s">
        <v>1359</v>
      </c>
      <c r="G1932" t="s">
        <v>100</v>
      </c>
      <c r="H1932" t="s">
        <v>1360</v>
      </c>
      <c r="I1932" t="s">
        <v>119</v>
      </c>
      <c r="J1932" t="s">
        <v>36</v>
      </c>
      <c r="K1932">
        <v>1590</v>
      </c>
      <c r="O1932" t="s">
        <v>37</v>
      </c>
      <c r="P1932" t="s">
        <v>42</v>
      </c>
      <c r="U1932" s="9" t="s">
        <v>148</v>
      </c>
      <c r="V1932" t="s">
        <v>674</v>
      </c>
      <c r="W1932" t="s">
        <v>138</v>
      </c>
      <c r="X1932" t="s">
        <v>102</v>
      </c>
      <c r="Y1932" t="s">
        <v>1361</v>
      </c>
      <c r="Z1932" t="s">
        <v>41</v>
      </c>
      <c r="AB1932" t="str">
        <f t="shared" si="90"/>
        <v>46239</v>
      </c>
    </row>
    <row r="1933" ht="14.25" spans="1:28">
      <c r="A1933" s="5" t="s">
        <v>28</v>
      </c>
      <c r="B1933" s="5" t="s">
        <v>697</v>
      </c>
      <c r="C1933" s="5">
        <v>2027</v>
      </c>
      <c r="D1933" s="5" t="s">
        <v>30</v>
      </c>
      <c r="E1933" t="s">
        <v>1358</v>
      </c>
      <c r="F1933" t="s">
        <v>1359</v>
      </c>
      <c r="G1933" t="s">
        <v>100</v>
      </c>
      <c r="H1933" t="s">
        <v>1360</v>
      </c>
      <c r="I1933" t="s">
        <v>119</v>
      </c>
      <c r="J1933" t="s">
        <v>36</v>
      </c>
      <c r="K1933">
        <v>1590</v>
      </c>
      <c r="O1933" t="s">
        <v>37</v>
      </c>
      <c r="P1933" t="s">
        <v>43</v>
      </c>
      <c r="U1933" s="9" t="s">
        <v>148</v>
      </c>
      <c r="V1933" t="s">
        <v>674</v>
      </c>
      <c r="W1933" t="s">
        <v>138</v>
      </c>
      <c r="X1933" t="s">
        <v>102</v>
      </c>
      <c r="Y1933" t="s">
        <v>1361</v>
      </c>
      <c r="Z1933" t="s">
        <v>41</v>
      </c>
      <c r="AB1933" t="str">
        <f t="shared" si="90"/>
        <v>46239</v>
      </c>
    </row>
    <row r="1934" ht="14.25" spans="1:28">
      <c r="A1934" s="5" t="s">
        <v>28</v>
      </c>
      <c r="B1934" s="5" t="s">
        <v>697</v>
      </c>
      <c r="C1934" s="5">
        <v>2027</v>
      </c>
      <c r="D1934" s="5" t="s">
        <v>30</v>
      </c>
      <c r="E1934" t="s">
        <v>1358</v>
      </c>
      <c r="F1934" t="s">
        <v>1359</v>
      </c>
      <c r="G1934" t="s">
        <v>100</v>
      </c>
      <c r="H1934" t="s">
        <v>1360</v>
      </c>
      <c r="I1934" t="s">
        <v>119</v>
      </c>
      <c r="J1934" t="s">
        <v>36</v>
      </c>
      <c r="K1934">
        <v>1590</v>
      </c>
      <c r="O1934" t="s">
        <v>37</v>
      </c>
      <c r="P1934" t="s">
        <v>44</v>
      </c>
      <c r="U1934" s="9" t="s">
        <v>148</v>
      </c>
      <c r="V1934" t="s">
        <v>674</v>
      </c>
      <c r="W1934" t="s">
        <v>138</v>
      </c>
      <c r="X1934" t="s">
        <v>102</v>
      </c>
      <c r="Y1934" t="s">
        <v>1361</v>
      </c>
      <c r="Z1934" t="s">
        <v>41</v>
      </c>
      <c r="AB1934" t="str">
        <f t="shared" si="90"/>
        <v>46239</v>
      </c>
    </row>
    <row r="1935" ht="14.25" spans="1:28">
      <c r="A1935" s="5" t="s">
        <v>28</v>
      </c>
      <c r="B1935" s="5" t="s">
        <v>697</v>
      </c>
      <c r="C1935" s="5">
        <v>2027</v>
      </c>
      <c r="D1935" s="5" t="s">
        <v>30</v>
      </c>
      <c r="E1935" t="s">
        <v>1358</v>
      </c>
      <c r="F1935" t="s">
        <v>1359</v>
      </c>
      <c r="G1935" t="s">
        <v>100</v>
      </c>
      <c r="H1935" t="s">
        <v>1360</v>
      </c>
      <c r="I1935" t="s">
        <v>119</v>
      </c>
      <c r="J1935" t="s">
        <v>36</v>
      </c>
      <c r="K1935">
        <v>1590</v>
      </c>
      <c r="O1935" t="s">
        <v>37</v>
      </c>
      <c r="P1935" t="s">
        <v>45</v>
      </c>
      <c r="U1935" s="9" t="s">
        <v>148</v>
      </c>
      <c r="V1935" t="s">
        <v>674</v>
      </c>
      <c r="W1935" t="s">
        <v>138</v>
      </c>
      <c r="X1935" t="s">
        <v>102</v>
      </c>
      <c r="Y1935" t="s">
        <v>1361</v>
      </c>
      <c r="Z1935" t="s">
        <v>41</v>
      </c>
      <c r="AB1935" t="str">
        <f t="shared" si="90"/>
        <v>46239</v>
      </c>
    </row>
    <row r="1936" ht="14.25" spans="1:28">
      <c r="A1936" s="5" t="s">
        <v>28</v>
      </c>
      <c r="B1936" s="5" t="s">
        <v>697</v>
      </c>
      <c r="C1936" s="5">
        <v>2027</v>
      </c>
      <c r="D1936" s="5" t="s">
        <v>30</v>
      </c>
      <c r="E1936" t="s">
        <v>1358</v>
      </c>
      <c r="F1936" t="s">
        <v>1359</v>
      </c>
      <c r="G1936" t="s">
        <v>100</v>
      </c>
      <c r="H1936" t="s">
        <v>1360</v>
      </c>
      <c r="I1936" t="s">
        <v>119</v>
      </c>
      <c r="J1936" t="s">
        <v>36</v>
      </c>
      <c r="K1936">
        <v>1590</v>
      </c>
      <c r="O1936" t="s">
        <v>37</v>
      </c>
      <c r="P1936" t="s">
        <v>46</v>
      </c>
      <c r="U1936" s="9" t="s">
        <v>148</v>
      </c>
      <c r="V1936" t="s">
        <v>674</v>
      </c>
      <c r="W1936" t="s">
        <v>138</v>
      </c>
      <c r="X1936" t="s">
        <v>102</v>
      </c>
      <c r="Y1936" t="s">
        <v>1361</v>
      </c>
      <c r="Z1936" t="s">
        <v>41</v>
      </c>
      <c r="AB1936" t="str">
        <f t="shared" si="90"/>
        <v>46239</v>
      </c>
    </row>
    <row r="1937" ht="14.25" spans="1:28">
      <c r="A1937" s="5" t="s">
        <v>28</v>
      </c>
      <c r="B1937" s="5" t="s">
        <v>697</v>
      </c>
      <c r="C1937" s="5">
        <v>2027</v>
      </c>
      <c r="D1937" s="5" t="s">
        <v>30</v>
      </c>
      <c r="E1937" t="s">
        <v>1362</v>
      </c>
      <c r="F1937" t="s">
        <v>1359</v>
      </c>
      <c r="G1937" t="s">
        <v>1053</v>
      </c>
      <c r="H1937" t="s">
        <v>1363</v>
      </c>
      <c r="I1937" t="s">
        <v>119</v>
      </c>
      <c r="J1937" t="s">
        <v>36</v>
      </c>
      <c r="K1937">
        <v>1590</v>
      </c>
      <c r="O1937" t="s">
        <v>37</v>
      </c>
      <c r="P1937" t="s">
        <v>38</v>
      </c>
      <c r="R1937">
        <f t="shared" si="91"/>
        <v>0</v>
      </c>
      <c r="S1937">
        <f>SUMIFS([1]Sheet1!$T:$T,[1]Sheet1!$I:$I,E1937,[1]Sheet1!$C:$C,A1937)</f>
        <v>0</v>
      </c>
      <c r="T1937">
        <f t="shared" si="92"/>
        <v>0</v>
      </c>
      <c r="U1937" s="9" t="s">
        <v>148</v>
      </c>
      <c r="V1937" t="s">
        <v>674</v>
      </c>
      <c r="W1937" t="s">
        <v>138</v>
      </c>
      <c r="X1937" t="s">
        <v>243</v>
      </c>
      <c r="Y1937" t="s">
        <v>1361</v>
      </c>
      <c r="Z1937" t="s">
        <v>41</v>
      </c>
      <c r="AB1937" t="str">
        <f t="shared" si="90"/>
        <v>46239</v>
      </c>
    </row>
    <row r="1938" ht="14.25" spans="1:28">
      <c r="A1938" s="5" t="s">
        <v>28</v>
      </c>
      <c r="B1938" s="5" t="s">
        <v>697</v>
      </c>
      <c r="C1938" s="5">
        <v>2027</v>
      </c>
      <c r="D1938" s="5" t="s">
        <v>30</v>
      </c>
      <c r="E1938" t="s">
        <v>1362</v>
      </c>
      <c r="F1938" t="s">
        <v>1359</v>
      </c>
      <c r="G1938" t="s">
        <v>1053</v>
      </c>
      <c r="H1938" t="s">
        <v>1363</v>
      </c>
      <c r="I1938" t="s">
        <v>119</v>
      </c>
      <c r="J1938" t="s">
        <v>36</v>
      </c>
      <c r="K1938">
        <v>1590</v>
      </c>
      <c r="O1938" t="s">
        <v>37</v>
      </c>
      <c r="P1938" t="s">
        <v>42</v>
      </c>
      <c r="U1938" s="9" t="s">
        <v>148</v>
      </c>
      <c r="V1938" t="s">
        <v>674</v>
      </c>
      <c r="W1938" t="s">
        <v>138</v>
      </c>
      <c r="X1938" t="s">
        <v>243</v>
      </c>
      <c r="Y1938" t="s">
        <v>1361</v>
      </c>
      <c r="Z1938" t="s">
        <v>41</v>
      </c>
      <c r="AB1938" t="str">
        <f t="shared" si="90"/>
        <v>46239</v>
      </c>
    </row>
    <row r="1939" ht="14.25" spans="1:28">
      <c r="A1939" s="5" t="s">
        <v>28</v>
      </c>
      <c r="B1939" s="5" t="s">
        <v>697</v>
      </c>
      <c r="C1939" s="5">
        <v>2027</v>
      </c>
      <c r="D1939" s="5" t="s">
        <v>30</v>
      </c>
      <c r="E1939" t="s">
        <v>1362</v>
      </c>
      <c r="F1939" t="s">
        <v>1359</v>
      </c>
      <c r="G1939" t="s">
        <v>1053</v>
      </c>
      <c r="H1939" t="s">
        <v>1363</v>
      </c>
      <c r="I1939" t="s">
        <v>119</v>
      </c>
      <c r="J1939" t="s">
        <v>36</v>
      </c>
      <c r="K1939">
        <v>1590</v>
      </c>
      <c r="O1939" t="s">
        <v>37</v>
      </c>
      <c r="P1939" t="s">
        <v>43</v>
      </c>
      <c r="U1939" s="9" t="s">
        <v>148</v>
      </c>
      <c r="V1939" t="s">
        <v>674</v>
      </c>
      <c r="W1939" t="s">
        <v>138</v>
      </c>
      <c r="X1939" t="s">
        <v>243</v>
      </c>
      <c r="Y1939" t="s">
        <v>1361</v>
      </c>
      <c r="Z1939" t="s">
        <v>41</v>
      </c>
      <c r="AB1939" t="str">
        <f t="shared" si="90"/>
        <v>46239</v>
      </c>
    </row>
    <row r="1940" ht="14.25" spans="1:28">
      <c r="A1940" s="5" t="s">
        <v>28</v>
      </c>
      <c r="B1940" s="5" t="s">
        <v>697</v>
      </c>
      <c r="C1940" s="5">
        <v>2027</v>
      </c>
      <c r="D1940" s="5" t="s">
        <v>30</v>
      </c>
      <c r="E1940" t="s">
        <v>1362</v>
      </c>
      <c r="F1940" t="s">
        <v>1359</v>
      </c>
      <c r="G1940" t="s">
        <v>1053</v>
      </c>
      <c r="H1940" t="s">
        <v>1363</v>
      </c>
      <c r="I1940" t="s">
        <v>119</v>
      </c>
      <c r="J1940" t="s">
        <v>36</v>
      </c>
      <c r="K1940">
        <v>1590</v>
      </c>
      <c r="O1940" t="s">
        <v>37</v>
      </c>
      <c r="P1940" t="s">
        <v>44</v>
      </c>
      <c r="U1940" s="9" t="s">
        <v>148</v>
      </c>
      <c r="V1940" t="s">
        <v>674</v>
      </c>
      <c r="W1940" t="s">
        <v>138</v>
      </c>
      <c r="X1940" t="s">
        <v>243</v>
      </c>
      <c r="Y1940" t="s">
        <v>1361</v>
      </c>
      <c r="Z1940" t="s">
        <v>41</v>
      </c>
      <c r="AB1940" t="str">
        <f t="shared" si="90"/>
        <v>46239</v>
      </c>
    </row>
    <row r="1941" ht="14.25" spans="1:28">
      <c r="A1941" s="5" t="s">
        <v>28</v>
      </c>
      <c r="B1941" s="5" t="s">
        <v>697</v>
      </c>
      <c r="C1941" s="5">
        <v>2027</v>
      </c>
      <c r="D1941" s="5" t="s">
        <v>30</v>
      </c>
      <c r="E1941" t="s">
        <v>1362</v>
      </c>
      <c r="F1941" t="s">
        <v>1359</v>
      </c>
      <c r="G1941" t="s">
        <v>1053</v>
      </c>
      <c r="H1941" t="s">
        <v>1363</v>
      </c>
      <c r="I1941" t="s">
        <v>119</v>
      </c>
      <c r="J1941" t="s">
        <v>36</v>
      </c>
      <c r="K1941">
        <v>1590</v>
      </c>
      <c r="O1941" t="s">
        <v>37</v>
      </c>
      <c r="P1941" t="s">
        <v>45</v>
      </c>
      <c r="U1941" s="9" t="s">
        <v>148</v>
      </c>
      <c r="V1941" t="s">
        <v>674</v>
      </c>
      <c r="W1941" t="s">
        <v>138</v>
      </c>
      <c r="X1941" t="s">
        <v>243</v>
      </c>
      <c r="Y1941" t="s">
        <v>1361</v>
      </c>
      <c r="Z1941" t="s">
        <v>41</v>
      </c>
      <c r="AB1941" t="str">
        <f t="shared" si="90"/>
        <v>46239</v>
      </c>
    </row>
    <row r="1942" ht="14.25" spans="1:28">
      <c r="A1942" s="5" t="s">
        <v>28</v>
      </c>
      <c r="B1942" s="5" t="s">
        <v>697</v>
      </c>
      <c r="C1942" s="5">
        <v>2027</v>
      </c>
      <c r="D1942" s="5" t="s">
        <v>30</v>
      </c>
      <c r="E1942" t="s">
        <v>1362</v>
      </c>
      <c r="F1942" t="s">
        <v>1359</v>
      </c>
      <c r="G1942" t="s">
        <v>1053</v>
      </c>
      <c r="H1942" t="s">
        <v>1363</v>
      </c>
      <c r="I1942" t="s">
        <v>119</v>
      </c>
      <c r="J1942" t="s">
        <v>36</v>
      </c>
      <c r="K1942">
        <v>1590</v>
      </c>
      <c r="O1942" t="s">
        <v>37</v>
      </c>
      <c r="P1942" t="s">
        <v>46</v>
      </c>
      <c r="U1942" s="9" t="s">
        <v>148</v>
      </c>
      <c r="V1942" t="s">
        <v>674</v>
      </c>
      <c r="W1942" t="s">
        <v>138</v>
      </c>
      <c r="X1942" t="s">
        <v>243</v>
      </c>
      <c r="Y1942" t="s">
        <v>1361</v>
      </c>
      <c r="Z1942" t="s">
        <v>41</v>
      </c>
      <c r="AB1942" t="str">
        <f t="shared" si="90"/>
        <v>46239</v>
      </c>
    </row>
    <row r="1943" ht="14.25" spans="1:28">
      <c r="A1943" s="5" t="s">
        <v>28</v>
      </c>
      <c r="B1943" s="5" t="s">
        <v>697</v>
      </c>
      <c r="C1943" s="5">
        <v>2027</v>
      </c>
      <c r="D1943" s="5" t="s">
        <v>30</v>
      </c>
      <c r="E1943" t="s">
        <v>1364</v>
      </c>
      <c r="F1943" t="s">
        <v>1365</v>
      </c>
      <c r="G1943" t="s">
        <v>1366</v>
      </c>
      <c r="H1943" t="s">
        <v>1367</v>
      </c>
      <c r="I1943" t="s">
        <v>119</v>
      </c>
      <c r="J1943" t="s">
        <v>36</v>
      </c>
      <c r="K1943">
        <v>1790</v>
      </c>
      <c r="O1943" t="s">
        <v>37</v>
      </c>
      <c r="P1943" t="s">
        <v>38</v>
      </c>
      <c r="R1943">
        <f t="shared" si="91"/>
        <v>0</v>
      </c>
      <c r="S1943">
        <f>SUMIFS([1]Sheet1!$T:$T,[1]Sheet1!$I:$I,E1943,[1]Sheet1!$C:$C,A1943)</f>
        <v>0</v>
      </c>
      <c r="T1943">
        <f t="shared" si="92"/>
        <v>0</v>
      </c>
      <c r="U1943" s="9" t="s">
        <v>148</v>
      </c>
      <c r="V1943" t="s">
        <v>674</v>
      </c>
      <c r="W1943" t="s">
        <v>138</v>
      </c>
      <c r="X1943" t="s">
        <v>54</v>
      </c>
      <c r="Y1943" t="s">
        <v>827</v>
      </c>
      <c r="Z1943" t="s">
        <v>104</v>
      </c>
      <c r="AB1943" t="str">
        <f t="shared" si="90"/>
        <v>46240</v>
      </c>
    </row>
    <row r="1944" ht="14.25" spans="1:28">
      <c r="A1944" s="5" t="s">
        <v>28</v>
      </c>
      <c r="B1944" s="5" t="s">
        <v>697</v>
      </c>
      <c r="C1944" s="5">
        <v>2027</v>
      </c>
      <c r="D1944" s="5" t="s">
        <v>30</v>
      </c>
      <c r="E1944" t="s">
        <v>1364</v>
      </c>
      <c r="F1944" t="s">
        <v>1365</v>
      </c>
      <c r="G1944" t="s">
        <v>1366</v>
      </c>
      <c r="H1944" t="s">
        <v>1367</v>
      </c>
      <c r="I1944" t="s">
        <v>119</v>
      </c>
      <c r="J1944" t="s">
        <v>36</v>
      </c>
      <c r="K1944">
        <v>1790</v>
      </c>
      <c r="O1944" t="s">
        <v>37</v>
      </c>
      <c r="P1944" t="s">
        <v>42</v>
      </c>
      <c r="U1944" s="9" t="s">
        <v>148</v>
      </c>
      <c r="V1944" t="s">
        <v>674</v>
      </c>
      <c r="W1944" t="s">
        <v>138</v>
      </c>
      <c r="X1944" t="s">
        <v>54</v>
      </c>
      <c r="Y1944" t="s">
        <v>827</v>
      </c>
      <c r="Z1944" t="s">
        <v>104</v>
      </c>
      <c r="AB1944" t="str">
        <f t="shared" si="90"/>
        <v>46240</v>
      </c>
    </row>
    <row r="1945" ht="14.25" spans="1:28">
      <c r="A1945" s="5" t="s">
        <v>28</v>
      </c>
      <c r="B1945" s="5" t="s">
        <v>697</v>
      </c>
      <c r="C1945" s="5">
        <v>2027</v>
      </c>
      <c r="D1945" s="5" t="s">
        <v>30</v>
      </c>
      <c r="E1945" t="s">
        <v>1364</v>
      </c>
      <c r="F1945" t="s">
        <v>1365</v>
      </c>
      <c r="G1945" t="s">
        <v>1366</v>
      </c>
      <c r="H1945" t="s">
        <v>1367</v>
      </c>
      <c r="I1945" t="s">
        <v>119</v>
      </c>
      <c r="J1945" t="s">
        <v>36</v>
      </c>
      <c r="K1945">
        <v>1790</v>
      </c>
      <c r="O1945" t="s">
        <v>37</v>
      </c>
      <c r="P1945" t="s">
        <v>43</v>
      </c>
      <c r="U1945" s="9" t="s">
        <v>148</v>
      </c>
      <c r="V1945" t="s">
        <v>674</v>
      </c>
      <c r="W1945" t="s">
        <v>138</v>
      </c>
      <c r="X1945" t="s">
        <v>54</v>
      </c>
      <c r="Y1945" t="s">
        <v>827</v>
      </c>
      <c r="Z1945" t="s">
        <v>104</v>
      </c>
      <c r="AB1945" t="str">
        <f t="shared" si="90"/>
        <v>46240</v>
      </c>
    </row>
    <row r="1946" ht="14.25" spans="1:28">
      <c r="A1946" s="5" t="s">
        <v>28</v>
      </c>
      <c r="B1946" s="5" t="s">
        <v>697</v>
      </c>
      <c r="C1946" s="5">
        <v>2027</v>
      </c>
      <c r="D1946" s="5" t="s">
        <v>30</v>
      </c>
      <c r="E1946" t="s">
        <v>1364</v>
      </c>
      <c r="F1946" t="s">
        <v>1365</v>
      </c>
      <c r="G1946" t="s">
        <v>1366</v>
      </c>
      <c r="H1946" t="s">
        <v>1367</v>
      </c>
      <c r="I1946" t="s">
        <v>119</v>
      </c>
      <c r="J1946" t="s">
        <v>36</v>
      </c>
      <c r="K1946">
        <v>1790</v>
      </c>
      <c r="O1946" t="s">
        <v>37</v>
      </c>
      <c r="P1946" t="s">
        <v>44</v>
      </c>
      <c r="U1946" s="9" t="s">
        <v>148</v>
      </c>
      <c r="V1946" t="s">
        <v>674</v>
      </c>
      <c r="W1946" t="s">
        <v>138</v>
      </c>
      <c r="X1946" t="s">
        <v>54</v>
      </c>
      <c r="Y1946" t="s">
        <v>827</v>
      </c>
      <c r="Z1946" t="s">
        <v>104</v>
      </c>
      <c r="AB1946" t="str">
        <f t="shared" si="90"/>
        <v>46240</v>
      </c>
    </row>
    <row r="1947" ht="14.25" spans="1:28">
      <c r="A1947" s="5" t="s">
        <v>28</v>
      </c>
      <c r="B1947" s="5" t="s">
        <v>697</v>
      </c>
      <c r="C1947" s="5">
        <v>2027</v>
      </c>
      <c r="D1947" s="5" t="s">
        <v>30</v>
      </c>
      <c r="E1947" t="s">
        <v>1364</v>
      </c>
      <c r="F1947" t="s">
        <v>1365</v>
      </c>
      <c r="G1947" t="s">
        <v>1366</v>
      </c>
      <c r="H1947" t="s">
        <v>1367</v>
      </c>
      <c r="I1947" t="s">
        <v>119</v>
      </c>
      <c r="J1947" t="s">
        <v>36</v>
      </c>
      <c r="K1947">
        <v>1790</v>
      </c>
      <c r="O1947" t="s">
        <v>37</v>
      </c>
      <c r="P1947" t="s">
        <v>45</v>
      </c>
      <c r="U1947" s="9" t="s">
        <v>148</v>
      </c>
      <c r="V1947" t="s">
        <v>674</v>
      </c>
      <c r="W1947" t="s">
        <v>138</v>
      </c>
      <c r="X1947" t="s">
        <v>54</v>
      </c>
      <c r="Y1947" t="s">
        <v>827</v>
      </c>
      <c r="Z1947" t="s">
        <v>104</v>
      </c>
      <c r="AB1947" t="str">
        <f t="shared" si="90"/>
        <v>46240</v>
      </c>
    </row>
    <row r="1948" ht="14.25" spans="1:28">
      <c r="A1948" s="5" t="s">
        <v>28</v>
      </c>
      <c r="B1948" s="5" t="s">
        <v>697</v>
      </c>
      <c r="C1948" s="5">
        <v>2027</v>
      </c>
      <c r="D1948" s="5" t="s">
        <v>30</v>
      </c>
      <c r="E1948" t="s">
        <v>1364</v>
      </c>
      <c r="F1948" t="s">
        <v>1365</v>
      </c>
      <c r="G1948" t="s">
        <v>1366</v>
      </c>
      <c r="H1948" t="s">
        <v>1367</v>
      </c>
      <c r="I1948" t="s">
        <v>119</v>
      </c>
      <c r="J1948" t="s">
        <v>36</v>
      </c>
      <c r="K1948">
        <v>1790</v>
      </c>
      <c r="O1948" t="s">
        <v>37</v>
      </c>
      <c r="P1948" t="s">
        <v>46</v>
      </c>
      <c r="U1948" s="9" t="s">
        <v>148</v>
      </c>
      <c r="V1948" t="s">
        <v>674</v>
      </c>
      <c r="W1948" t="s">
        <v>138</v>
      </c>
      <c r="X1948" t="s">
        <v>54</v>
      </c>
      <c r="Y1948" t="s">
        <v>827</v>
      </c>
      <c r="Z1948" t="s">
        <v>104</v>
      </c>
      <c r="AB1948" t="str">
        <f t="shared" si="90"/>
        <v>46240</v>
      </c>
    </row>
    <row r="1949" ht="14.25" spans="1:28">
      <c r="A1949" s="5" t="s">
        <v>28</v>
      </c>
      <c r="B1949" s="5" t="s">
        <v>697</v>
      </c>
      <c r="C1949" s="5">
        <v>2027</v>
      </c>
      <c r="D1949" s="5" t="s">
        <v>30</v>
      </c>
      <c r="E1949" t="s">
        <v>1368</v>
      </c>
      <c r="F1949" t="s">
        <v>1365</v>
      </c>
      <c r="G1949" t="s">
        <v>1223</v>
      </c>
      <c r="H1949" t="s">
        <v>1369</v>
      </c>
      <c r="I1949" t="s">
        <v>119</v>
      </c>
      <c r="J1949" t="s">
        <v>36</v>
      </c>
      <c r="K1949">
        <v>1790</v>
      </c>
      <c r="O1949" t="s">
        <v>37</v>
      </c>
      <c r="P1949" t="s">
        <v>38</v>
      </c>
      <c r="R1949">
        <f t="shared" si="91"/>
        <v>0</v>
      </c>
      <c r="S1949">
        <f>SUMIFS([1]Sheet1!$T:$T,[1]Sheet1!$I:$I,E1949,[1]Sheet1!$C:$C,A1949)</f>
        <v>0</v>
      </c>
      <c r="T1949">
        <f t="shared" si="92"/>
        <v>0</v>
      </c>
      <c r="U1949" s="9" t="s">
        <v>148</v>
      </c>
      <c r="V1949" t="s">
        <v>674</v>
      </c>
      <c r="W1949" t="s">
        <v>138</v>
      </c>
      <c r="X1949" t="s">
        <v>1225</v>
      </c>
      <c r="Y1949" t="s">
        <v>827</v>
      </c>
      <c r="Z1949" t="s">
        <v>104</v>
      </c>
      <c r="AB1949" t="str">
        <f t="shared" si="90"/>
        <v>46240</v>
      </c>
    </row>
    <row r="1950" ht="14.25" spans="1:28">
      <c r="A1950" s="5" t="s">
        <v>28</v>
      </c>
      <c r="B1950" s="5" t="s">
        <v>697</v>
      </c>
      <c r="C1950" s="5">
        <v>2027</v>
      </c>
      <c r="D1950" s="5" t="s">
        <v>30</v>
      </c>
      <c r="E1950" t="s">
        <v>1368</v>
      </c>
      <c r="F1950" t="s">
        <v>1365</v>
      </c>
      <c r="G1950" t="s">
        <v>1223</v>
      </c>
      <c r="H1950" t="s">
        <v>1369</v>
      </c>
      <c r="I1950" t="s">
        <v>119</v>
      </c>
      <c r="J1950" t="s">
        <v>36</v>
      </c>
      <c r="K1950">
        <v>1790</v>
      </c>
      <c r="O1950" t="s">
        <v>37</v>
      </c>
      <c r="P1950" t="s">
        <v>42</v>
      </c>
      <c r="U1950" s="9" t="s">
        <v>148</v>
      </c>
      <c r="V1950" t="s">
        <v>674</v>
      </c>
      <c r="W1950" t="s">
        <v>138</v>
      </c>
      <c r="X1950" t="s">
        <v>1225</v>
      </c>
      <c r="Y1950" t="s">
        <v>827</v>
      </c>
      <c r="Z1950" t="s">
        <v>104</v>
      </c>
      <c r="AB1950" t="str">
        <f t="shared" si="90"/>
        <v>46240</v>
      </c>
    </row>
    <row r="1951" ht="14.25" spans="1:28">
      <c r="A1951" s="5" t="s">
        <v>28</v>
      </c>
      <c r="B1951" s="5" t="s">
        <v>697</v>
      </c>
      <c r="C1951" s="5">
        <v>2027</v>
      </c>
      <c r="D1951" s="5" t="s">
        <v>30</v>
      </c>
      <c r="E1951" t="s">
        <v>1368</v>
      </c>
      <c r="F1951" t="s">
        <v>1365</v>
      </c>
      <c r="G1951" t="s">
        <v>1223</v>
      </c>
      <c r="H1951" t="s">
        <v>1369</v>
      </c>
      <c r="I1951" t="s">
        <v>119</v>
      </c>
      <c r="J1951" t="s">
        <v>36</v>
      </c>
      <c r="K1951">
        <v>1790</v>
      </c>
      <c r="O1951" t="s">
        <v>37</v>
      </c>
      <c r="P1951" t="s">
        <v>43</v>
      </c>
      <c r="U1951" s="9" t="s">
        <v>148</v>
      </c>
      <c r="V1951" t="s">
        <v>674</v>
      </c>
      <c r="W1951" t="s">
        <v>138</v>
      </c>
      <c r="X1951" t="s">
        <v>1225</v>
      </c>
      <c r="Y1951" t="s">
        <v>827</v>
      </c>
      <c r="Z1951" t="s">
        <v>104</v>
      </c>
      <c r="AB1951" t="str">
        <f t="shared" si="90"/>
        <v>46240</v>
      </c>
    </row>
    <row r="1952" ht="14.25" spans="1:28">
      <c r="A1952" s="5" t="s">
        <v>28</v>
      </c>
      <c r="B1952" s="5" t="s">
        <v>697</v>
      </c>
      <c r="C1952" s="5">
        <v>2027</v>
      </c>
      <c r="D1952" s="5" t="s">
        <v>30</v>
      </c>
      <c r="E1952" t="s">
        <v>1368</v>
      </c>
      <c r="F1952" t="s">
        <v>1365</v>
      </c>
      <c r="G1952" t="s">
        <v>1223</v>
      </c>
      <c r="H1952" t="s">
        <v>1369</v>
      </c>
      <c r="I1952" t="s">
        <v>119</v>
      </c>
      <c r="J1952" t="s">
        <v>36</v>
      </c>
      <c r="K1952">
        <v>1790</v>
      </c>
      <c r="O1952" t="s">
        <v>37</v>
      </c>
      <c r="P1952" t="s">
        <v>44</v>
      </c>
      <c r="U1952" s="9" t="s">
        <v>148</v>
      </c>
      <c r="V1952" t="s">
        <v>674</v>
      </c>
      <c r="W1952" t="s">
        <v>138</v>
      </c>
      <c r="X1952" t="s">
        <v>1225</v>
      </c>
      <c r="Y1952" t="s">
        <v>827</v>
      </c>
      <c r="Z1952" t="s">
        <v>104</v>
      </c>
      <c r="AB1952" t="str">
        <f t="shared" si="90"/>
        <v>46240</v>
      </c>
    </row>
    <row r="1953" ht="14.25" spans="1:28">
      <c r="A1953" s="5" t="s">
        <v>28</v>
      </c>
      <c r="B1953" s="5" t="s">
        <v>697</v>
      </c>
      <c r="C1953" s="5">
        <v>2027</v>
      </c>
      <c r="D1953" s="5" t="s">
        <v>30</v>
      </c>
      <c r="E1953" t="s">
        <v>1368</v>
      </c>
      <c r="F1953" t="s">
        <v>1365</v>
      </c>
      <c r="G1953" t="s">
        <v>1223</v>
      </c>
      <c r="H1953" t="s">
        <v>1369</v>
      </c>
      <c r="I1953" t="s">
        <v>119</v>
      </c>
      <c r="J1953" t="s">
        <v>36</v>
      </c>
      <c r="K1953">
        <v>1790</v>
      </c>
      <c r="O1953" t="s">
        <v>37</v>
      </c>
      <c r="P1953" t="s">
        <v>45</v>
      </c>
      <c r="U1953" s="9" t="s">
        <v>148</v>
      </c>
      <c r="V1953" t="s">
        <v>674</v>
      </c>
      <c r="W1953" t="s">
        <v>138</v>
      </c>
      <c r="X1953" t="s">
        <v>1225</v>
      </c>
      <c r="Y1953" t="s">
        <v>827</v>
      </c>
      <c r="Z1953" t="s">
        <v>104</v>
      </c>
      <c r="AB1953" t="str">
        <f t="shared" si="90"/>
        <v>46240</v>
      </c>
    </row>
    <row r="1954" ht="14.25" spans="1:28">
      <c r="A1954" s="5" t="s">
        <v>28</v>
      </c>
      <c r="B1954" s="5" t="s">
        <v>697</v>
      </c>
      <c r="C1954" s="5">
        <v>2027</v>
      </c>
      <c r="D1954" s="5" t="s">
        <v>30</v>
      </c>
      <c r="E1954" t="s">
        <v>1368</v>
      </c>
      <c r="F1954" t="s">
        <v>1365</v>
      </c>
      <c r="G1954" t="s">
        <v>1223</v>
      </c>
      <c r="H1954" t="s">
        <v>1369</v>
      </c>
      <c r="I1954" t="s">
        <v>119</v>
      </c>
      <c r="J1954" t="s">
        <v>36</v>
      </c>
      <c r="K1954">
        <v>1790</v>
      </c>
      <c r="O1954" t="s">
        <v>37</v>
      </c>
      <c r="P1954" t="s">
        <v>46</v>
      </c>
      <c r="U1954" s="9" t="s">
        <v>148</v>
      </c>
      <c r="V1954" t="s">
        <v>674</v>
      </c>
      <c r="W1954" t="s">
        <v>138</v>
      </c>
      <c r="X1954" t="s">
        <v>1225</v>
      </c>
      <c r="Y1954" t="s">
        <v>827</v>
      </c>
      <c r="Z1954" t="s">
        <v>104</v>
      </c>
      <c r="AB1954" t="str">
        <f t="shared" si="90"/>
        <v>46240</v>
      </c>
    </row>
    <row r="1955" ht="14.25" spans="1:28">
      <c r="A1955" s="5" t="s">
        <v>28</v>
      </c>
      <c r="B1955" s="5" t="s">
        <v>697</v>
      </c>
      <c r="C1955" s="5">
        <v>2027</v>
      </c>
      <c r="D1955" s="5" t="s">
        <v>30</v>
      </c>
      <c r="E1955" t="s">
        <v>219</v>
      </c>
      <c r="F1955" t="s">
        <v>220</v>
      </c>
      <c r="G1955" t="s">
        <v>221</v>
      </c>
      <c r="H1955" t="s">
        <v>222</v>
      </c>
      <c r="I1955" t="s">
        <v>119</v>
      </c>
      <c r="J1955" t="s">
        <v>74</v>
      </c>
      <c r="K1955">
        <v>1590</v>
      </c>
      <c r="O1955" t="s">
        <v>68</v>
      </c>
      <c r="P1955" t="s">
        <v>69</v>
      </c>
      <c r="R1955">
        <f t="shared" si="91"/>
        <v>0</v>
      </c>
      <c r="S1955">
        <f>SUMIFS([1]Sheet1!$T:$T,[1]Sheet1!$I:$I,E1955,[1]Sheet1!$C:$C,A1955)</f>
        <v>200</v>
      </c>
      <c r="T1955">
        <f t="shared" si="92"/>
        <v>-200</v>
      </c>
      <c r="U1955" s="9" t="s">
        <v>136</v>
      </c>
      <c r="V1955" t="s">
        <v>137</v>
      </c>
      <c r="W1955" t="s">
        <v>138</v>
      </c>
      <c r="X1955" t="s">
        <v>70</v>
      </c>
      <c r="Y1955" t="s">
        <v>223</v>
      </c>
      <c r="Z1955" t="s">
        <v>71</v>
      </c>
      <c r="AB1955" t="str">
        <f t="shared" si="90"/>
        <v>46283</v>
      </c>
    </row>
    <row r="1956" ht="14.25" spans="1:28">
      <c r="A1956" s="5" t="s">
        <v>28</v>
      </c>
      <c r="B1956" s="5" t="s">
        <v>697</v>
      </c>
      <c r="C1956" s="5">
        <v>2027</v>
      </c>
      <c r="D1956" s="5" t="s">
        <v>30</v>
      </c>
      <c r="E1956" t="s">
        <v>219</v>
      </c>
      <c r="F1956" t="s">
        <v>220</v>
      </c>
      <c r="G1956" t="s">
        <v>221</v>
      </c>
      <c r="H1956" t="s">
        <v>222</v>
      </c>
      <c r="I1956" t="s">
        <v>119</v>
      </c>
      <c r="J1956" t="s">
        <v>74</v>
      </c>
      <c r="K1956">
        <v>1590</v>
      </c>
      <c r="O1956" t="s">
        <v>68</v>
      </c>
      <c r="P1956" t="s">
        <v>72</v>
      </c>
      <c r="U1956" s="9" t="s">
        <v>136</v>
      </c>
      <c r="V1956" t="s">
        <v>137</v>
      </c>
      <c r="W1956" t="s">
        <v>138</v>
      </c>
      <c r="X1956" t="s">
        <v>70</v>
      </c>
      <c r="Y1956" t="s">
        <v>223</v>
      </c>
      <c r="Z1956" t="s">
        <v>71</v>
      </c>
      <c r="AB1956" t="str">
        <f t="shared" si="90"/>
        <v>46283</v>
      </c>
    </row>
    <row r="1957" ht="14.25" spans="1:28">
      <c r="A1957" s="5" t="s">
        <v>28</v>
      </c>
      <c r="B1957" s="5" t="s">
        <v>697</v>
      </c>
      <c r="C1957" s="5">
        <v>2027</v>
      </c>
      <c r="D1957" s="5" t="s">
        <v>30</v>
      </c>
      <c r="E1957" t="s">
        <v>219</v>
      </c>
      <c r="F1957" t="s">
        <v>220</v>
      </c>
      <c r="G1957" t="s">
        <v>221</v>
      </c>
      <c r="H1957" t="s">
        <v>222</v>
      </c>
      <c r="I1957" t="s">
        <v>119</v>
      </c>
      <c r="J1957" t="s">
        <v>74</v>
      </c>
      <c r="K1957">
        <v>1590</v>
      </c>
      <c r="O1957" t="s">
        <v>68</v>
      </c>
      <c r="P1957" t="s">
        <v>73</v>
      </c>
      <c r="U1957" s="9" t="s">
        <v>136</v>
      </c>
      <c r="V1957" t="s">
        <v>137</v>
      </c>
      <c r="W1957" t="s">
        <v>138</v>
      </c>
      <c r="X1957" t="s">
        <v>70</v>
      </c>
      <c r="Y1957" t="s">
        <v>223</v>
      </c>
      <c r="Z1957" t="s">
        <v>71</v>
      </c>
      <c r="AB1957" t="str">
        <f t="shared" si="90"/>
        <v>46283</v>
      </c>
    </row>
    <row r="1958" ht="14.25" spans="1:28">
      <c r="A1958" s="5" t="s">
        <v>28</v>
      </c>
      <c r="B1958" s="5" t="s">
        <v>697</v>
      </c>
      <c r="C1958" s="5">
        <v>2027</v>
      </c>
      <c r="D1958" s="5" t="s">
        <v>30</v>
      </c>
      <c r="E1958" t="s">
        <v>219</v>
      </c>
      <c r="F1958" t="s">
        <v>220</v>
      </c>
      <c r="G1958" t="s">
        <v>221</v>
      </c>
      <c r="H1958" t="s">
        <v>222</v>
      </c>
      <c r="I1958" t="s">
        <v>119</v>
      </c>
      <c r="J1958" t="s">
        <v>74</v>
      </c>
      <c r="K1958">
        <v>1590</v>
      </c>
      <c r="O1958" t="s">
        <v>68</v>
      </c>
      <c r="P1958" t="s">
        <v>74</v>
      </c>
      <c r="U1958" s="9" t="s">
        <v>136</v>
      </c>
      <c r="V1958" t="s">
        <v>137</v>
      </c>
      <c r="W1958" t="s">
        <v>138</v>
      </c>
      <c r="X1958" t="s">
        <v>70</v>
      </c>
      <c r="Y1958" t="s">
        <v>223</v>
      </c>
      <c r="Z1958" t="s">
        <v>71</v>
      </c>
      <c r="AB1958" t="str">
        <f t="shared" si="90"/>
        <v>46283</v>
      </c>
    </row>
    <row r="1959" ht="14.25" spans="1:28">
      <c r="A1959" s="5" t="s">
        <v>28</v>
      </c>
      <c r="B1959" s="5" t="s">
        <v>697</v>
      </c>
      <c r="C1959" s="5">
        <v>2027</v>
      </c>
      <c r="D1959" s="5" t="s">
        <v>30</v>
      </c>
      <c r="E1959" t="s">
        <v>219</v>
      </c>
      <c r="F1959" t="s">
        <v>220</v>
      </c>
      <c r="G1959" t="s">
        <v>221</v>
      </c>
      <c r="H1959" t="s">
        <v>222</v>
      </c>
      <c r="I1959" t="s">
        <v>119</v>
      </c>
      <c r="J1959" t="s">
        <v>74</v>
      </c>
      <c r="K1959">
        <v>1590</v>
      </c>
      <c r="O1959" t="s">
        <v>68</v>
      </c>
      <c r="P1959" t="s">
        <v>75</v>
      </c>
      <c r="U1959" s="9" t="s">
        <v>136</v>
      </c>
      <c r="V1959" t="s">
        <v>137</v>
      </c>
      <c r="W1959" t="s">
        <v>138</v>
      </c>
      <c r="X1959" t="s">
        <v>70</v>
      </c>
      <c r="Y1959" t="s">
        <v>223</v>
      </c>
      <c r="Z1959" t="s">
        <v>71</v>
      </c>
      <c r="AB1959" t="str">
        <f t="shared" si="90"/>
        <v>46283</v>
      </c>
    </row>
    <row r="1960" ht="14.25" spans="1:28">
      <c r="A1960" s="5" t="s">
        <v>28</v>
      </c>
      <c r="B1960" s="5" t="s">
        <v>697</v>
      </c>
      <c r="C1960" s="5">
        <v>2027</v>
      </c>
      <c r="D1960" s="5" t="s">
        <v>30</v>
      </c>
      <c r="E1960" t="s">
        <v>219</v>
      </c>
      <c r="F1960" t="s">
        <v>220</v>
      </c>
      <c r="G1960" t="s">
        <v>221</v>
      </c>
      <c r="H1960" t="s">
        <v>222</v>
      </c>
      <c r="I1960" t="s">
        <v>119</v>
      </c>
      <c r="J1960" t="s">
        <v>74</v>
      </c>
      <c r="K1960">
        <v>1590</v>
      </c>
      <c r="O1960" t="s">
        <v>68</v>
      </c>
      <c r="P1960" t="s">
        <v>76</v>
      </c>
      <c r="U1960" s="9" t="s">
        <v>136</v>
      </c>
      <c r="V1960" t="s">
        <v>137</v>
      </c>
      <c r="W1960" t="s">
        <v>138</v>
      </c>
      <c r="X1960" t="s">
        <v>70</v>
      </c>
      <c r="Y1960" t="s">
        <v>223</v>
      </c>
      <c r="Z1960" t="s">
        <v>71</v>
      </c>
      <c r="AB1960" t="str">
        <f t="shared" si="90"/>
        <v>46283</v>
      </c>
    </row>
    <row r="1961" ht="14.25" spans="1:28">
      <c r="A1961" s="5" t="s">
        <v>28</v>
      </c>
      <c r="B1961" s="5" t="s">
        <v>697</v>
      </c>
      <c r="C1961" s="5">
        <v>2027</v>
      </c>
      <c r="D1961" s="5" t="s">
        <v>30</v>
      </c>
      <c r="E1961" t="s">
        <v>219</v>
      </c>
      <c r="F1961" t="s">
        <v>220</v>
      </c>
      <c r="G1961" t="s">
        <v>221</v>
      </c>
      <c r="H1961" t="s">
        <v>222</v>
      </c>
      <c r="I1961" t="s">
        <v>119</v>
      </c>
      <c r="J1961" t="s">
        <v>74</v>
      </c>
      <c r="K1961">
        <v>1590</v>
      </c>
      <c r="O1961" t="s">
        <v>68</v>
      </c>
      <c r="P1961" t="s">
        <v>77</v>
      </c>
      <c r="U1961" s="9" t="s">
        <v>136</v>
      </c>
      <c r="V1961" t="s">
        <v>137</v>
      </c>
      <c r="W1961" t="s">
        <v>138</v>
      </c>
      <c r="X1961" t="s">
        <v>70</v>
      </c>
      <c r="Y1961" t="s">
        <v>223</v>
      </c>
      <c r="Z1961" t="s">
        <v>71</v>
      </c>
      <c r="AB1961" t="str">
        <f t="shared" si="90"/>
        <v>46283</v>
      </c>
    </row>
    <row r="1962" ht="14.25" spans="1:28">
      <c r="A1962" s="5" t="s">
        <v>28</v>
      </c>
      <c r="B1962" s="5" t="s">
        <v>697</v>
      </c>
      <c r="C1962" s="5">
        <v>2027</v>
      </c>
      <c r="D1962" s="5" t="s">
        <v>30</v>
      </c>
      <c r="E1962" t="s">
        <v>219</v>
      </c>
      <c r="F1962" t="s">
        <v>220</v>
      </c>
      <c r="G1962" t="s">
        <v>221</v>
      </c>
      <c r="H1962" t="s">
        <v>222</v>
      </c>
      <c r="I1962" t="s">
        <v>119</v>
      </c>
      <c r="J1962" t="s">
        <v>74</v>
      </c>
      <c r="K1962">
        <v>1590</v>
      </c>
      <c r="O1962" t="s">
        <v>68</v>
      </c>
      <c r="P1962" t="s">
        <v>78</v>
      </c>
      <c r="U1962" s="9" t="s">
        <v>136</v>
      </c>
      <c r="V1962" t="s">
        <v>137</v>
      </c>
      <c r="W1962" t="s">
        <v>138</v>
      </c>
      <c r="X1962" t="s">
        <v>70</v>
      </c>
      <c r="Y1962" t="s">
        <v>223</v>
      </c>
      <c r="Z1962" t="s">
        <v>71</v>
      </c>
      <c r="AB1962" t="str">
        <f t="shared" si="90"/>
        <v>46283</v>
      </c>
    </row>
    <row r="1963" ht="14.25" spans="1:28">
      <c r="A1963" s="5" t="s">
        <v>28</v>
      </c>
      <c r="B1963" s="5" t="s">
        <v>697</v>
      </c>
      <c r="C1963" s="5">
        <v>2027</v>
      </c>
      <c r="D1963" s="5" t="s">
        <v>30</v>
      </c>
      <c r="E1963" t="s">
        <v>219</v>
      </c>
      <c r="F1963" t="s">
        <v>220</v>
      </c>
      <c r="G1963" t="s">
        <v>221</v>
      </c>
      <c r="H1963" t="s">
        <v>222</v>
      </c>
      <c r="I1963" t="s">
        <v>119</v>
      </c>
      <c r="J1963" t="s">
        <v>74</v>
      </c>
      <c r="K1963">
        <v>1590</v>
      </c>
      <c r="O1963" t="s">
        <v>68</v>
      </c>
      <c r="P1963" t="s">
        <v>79</v>
      </c>
      <c r="U1963" s="9" t="s">
        <v>136</v>
      </c>
      <c r="V1963" t="s">
        <v>137</v>
      </c>
      <c r="W1963" t="s">
        <v>138</v>
      </c>
      <c r="X1963" t="s">
        <v>70</v>
      </c>
      <c r="Y1963" t="s">
        <v>223</v>
      </c>
      <c r="Z1963" t="s">
        <v>71</v>
      </c>
      <c r="AB1963" t="str">
        <f t="shared" si="90"/>
        <v>46283</v>
      </c>
    </row>
    <row r="1964" ht="14.25" spans="1:28">
      <c r="A1964" s="5" t="s">
        <v>28</v>
      </c>
      <c r="B1964" s="5" t="s">
        <v>697</v>
      </c>
      <c r="C1964" s="5">
        <v>2027</v>
      </c>
      <c r="D1964" s="5" t="s">
        <v>30</v>
      </c>
      <c r="E1964" t="s">
        <v>1370</v>
      </c>
      <c r="F1964" t="s">
        <v>220</v>
      </c>
      <c r="G1964" t="s">
        <v>100</v>
      </c>
      <c r="H1964" t="s">
        <v>1371</v>
      </c>
      <c r="I1964" t="s">
        <v>119</v>
      </c>
      <c r="J1964" t="s">
        <v>74</v>
      </c>
      <c r="K1964">
        <v>1590</v>
      </c>
      <c r="O1964" t="s">
        <v>68</v>
      </c>
      <c r="P1964" t="s">
        <v>69</v>
      </c>
      <c r="R1964">
        <f t="shared" si="91"/>
        <v>0</v>
      </c>
      <c r="S1964">
        <f>SUMIFS([1]Sheet1!$T:$T,[1]Sheet1!$I:$I,E1964,[1]Sheet1!$C:$C,A1964)</f>
        <v>250</v>
      </c>
      <c r="T1964">
        <f t="shared" si="92"/>
        <v>-250</v>
      </c>
      <c r="U1964" s="9" t="s">
        <v>136</v>
      </c>
      <c r="V1964" t="s">
        <v>137</v>
      </c>
      <c r="W1964" t="s">
        <v>138</v>
      </c>
      <c r="X1964" t="s">
        <v>102</v>
      </c>
      <c r="Y1964" t="s">
        <v>223</v>
      </c>
      <c r="Z1964" t="s">
        <v>71</v>
      </c>
      <c r="AB1964" t="str">
        <f t="shared" si="90"/>
        <v>46283</v>
      </c>
    </row>
    <row r="1965" ht="14.25" spans="1:28">
      <c r="A1965" s="5" t="s">
        <v>28</v>
      </c>
      <c r="B1965" s="5" t="s">
        <v>697</v>
      </c>
      <c r="C1965" s="5">
        <v>2027</v>
      </c>
      <c r="D1965" s="5" t="s">
        <v>30</v>
      </c>
      <c r="E1965" t="s">
        <v>1370</v>
      </c>
      <c r="F1965" t="s">
        <v>220</v>
      </c>
      <c r="G1965" t="s">
        <v>100</v>
      </c>
      <c r="H1965" t="s">
        <v>1371</v>
      </c>
      <c r="I1965" t="s">
        <v>119</v>
      </c>
      <c r="J1965" t="s">
        <v>74</v>
      </c>
      <c r="K1965">
        <v>1590</v>
      </c>
      <c r="O1965" t="s">
        <v>68</v>
      </c>
      <c r="P1965" t="s">
        <v>72</v>
      </c>
      <c r="U1965" s="9" t="s">
        <v>136</v>
      </c>
      <c r="V1965" t="s">
        <v>137</v>
      </c>
      <c r="W1965" t="s">
        <v>138</v>
      </c>
      <c r="X1965" t="s">
        <v>102</v>
      </c>
      <c r="Y1965" t="s">
        <v>223</v>
      </c>
      <c r="Z1965" t="s">
        <v>71</v>
      </c>
      <c r="AB1965" t="str">
        <f t="shared" si="90"/>
        <v>46283</v>
      </c>
    </row>
    <row r="1966" ht="14.25" spans="1:28">
      <c r="A1966" s="5" t="s">
        <v>28</v>
      </c>
      <c r="B1966" s="5" t="s">
        <v>697</v>
      </c>
      <c r="C1966" s="5">
        <v>2027</v>
      </c>
      <c r="D1966" s="5" t="s">
        <v>30</v>
      </c>
      <c r="E1966" t="s">
        <v>1370</v>
      </c>
      <c r="F1966" t="s">
        <v>220</v>
      </c>
      <c r="G1966" t="s">
        <v>100</v>
      </c>
      <c r="H1966" t="s">
        <v>1371</v>
      </c>
      <c r="I1966" t="s">
        <v>119</v>
      </c>
      <c r="J1966" t="s">
        <v>74</v>
      </c>
      <c r="K1966">
        <v>1590</v>
      </c>
      <c r="O1966" t="s">
        <v>68</v>
      </c>
      <c r="P1966" t="s">
        <v>73</v>
      </c>
      <c r="U1966" s="9" t="s">
        <v>136</v>
      </c>
      <c r="V1966" t="s">
        <v>137</v>
      </c>
      <c r="W1966" t="s">
        <v>138</v>
      </c>
      <c r="X1966" t="s">
        <v>102</v>
      </c>
      <c r="Y1966" t="s">
        <v>223</v>
      </c>
      <c r="Z1966" t="s">
        <v>71</v>
      </c>
      <c r="AB1966" t="str">
        <f t="shared" si="90"/>
        <v>46283</v>
      </c>
    </row>
    <row r="1967" ht="14.25" spans="1:28">
      <c r="A1967" s="5" t="s">
        <v>28</v>
      </c>
      <c r="B1967" s="5" t="s">
        <v>697</v>
      </c>
      <c r="C1967" s="5">
        <v>2027</v>
      </c>
      <c r="D1967" s="5" t="s">
        <v>30</v>
      </c>
      <c r="E1967" t="s">
        <v>1370</v>
      </c>
      <c r="F1967" t="s">
        <v>220</v>
      </c>
      <c r="G1967" t="s">
        <v>100</v>
      </c>
      <c r="H1967" t="s">
        <v>1371</v>
      </c>
      <c r="I1967" t="s">
        <v>119</v>
      </c>
      <c r="J1967" t="s">
        <v>74</v>
      </c>
      <c r="K1967">
        <v>1590</v>
      </c>
      <c r="O1967" t="s">
        <v>68</v>
      </c>
      <c r="P1967" t="s">
        <v>74</v>
      </c>
      <c r="U1967" s="9" t="s">
        <v>136</v>
      </c>
      <c r="V1967" t="s">
        <v>137</v>
      </c>
      <c r="W1967" t="s">
        <v>138</v>
      </c>
      <c r="X1967" t="s">
        <v>102</v>
      </c>
      <c r="Y1967" t="s">
        <v>223</v>
      </c>
      <c r="Z1967" t="s">
        <v>71</v>
      </c>
      <c r="AB1967" t="str">
        <f t="shared" si="90"/>
        <v>46283</v>
      </c>
    </row>
    <row r="1968" ht="14.25" spans="1:28">
      <c r="A1968" s="5" t="s">
        <v>28</v>
      </c>
      <c r="B1968" s="5" t="s">
        <v>697</v>
      </c>
      <c r="C1968" s="5">
        <v>2027</v>
      </c>
      <c r="D1968" s="5" t="s">
        <v>30</v>
      </c>
      <c r="E1968" t="s">
        <v>1370</v>
      </c>
      <c r="F1968" t="s">
        <v>220</v>
      </c>
      <c r="G1968" t="s">
        <v>100</v>
      </c>
      <c r="H1968" t="s">
        <v>1371</v>
      </c>
      <c r="I1968" t="s">
        <v>119</v>
      </c>
      <c r="J1968" t="s">
        <v>74</v>
      </c>
      <c r="K1968">
        <v>1590</v>
      </c>
      <c r="O1968" t="s">
        <v>68</v>
      </c>
      <c r="P1968" t="s">
        <v>75</v>
      </c>
      <c r="U1968" s="9" t="s">
        <v>136</v>
      </c>
      <c r="V1968" t="s">
        <v>137</v>
      </c>
      <c r="W1968" t="s">
        <v>138</v>
      </c>
      <c r="X1968" t="s">
        <v>102</v>
      </c>
      <c r="Y1968" t="s">
        <v>223</v>
      </c>
      <c r="Z1968" t="s">
        <v>71</v>
      </c>
      <c r="AB1968" t="str">
        <f t="shared" si="90"/>
        <v>46283</v>
      </c>
    </row>
    <row r="1969" ht="14.25" spans="1:28">
      <c r="A1969" s="5" t="s">
        <v>28</v>
      </c>
      <c r="B1969" s="5" t="s">
        <v>697</v>
      </c>
      <c r="C1969" s="5">
        <v>2027</v>
      </c>
      <c r="D1969" s="5" t="s">
        <v>30</v>
      </c>
      <c r="E1969" t="s">
        <v>1370</v>
      </c>
      <c r="F1969" t="s">
        <v>220</v>
      </c>
      <c r="G1969" t="s">
        <v>100</v>
      </c>
      <c r="H1969" t="s">
        <v>1371</v>
      </c>
      <c r="I1969" t="s">
        <v>119</v>
      </c>
      <c r="J1969" t="s">
        <v>74</v>
      </c>
      <c r="K1969">
        <v>1590</v>
      </c>
      <c r="O1969" t="s">
        <v>68</v>
      </c>
      <c r="P1969" t="s">
        <v>76</v>
      </c>
      <c r="U1969" s="9" t="s">
        <v>136</v>
      </c>
      <c r="V1969" t="s">
        <v>137</v>
      </c>
      <c r="W1969" t="s">
        <v>138</v>
      </c>
      <c r="X1969" t="s">
        <v>102</v>
      </c>
      <c r="Y1969" t="s">
        <v>223</v>
      </c>
      <c r="Z1969" t="s">
        <v>71</v>
      </c>
      <c r="AB1969" t="str">
        <f t="shared" si="90"/>
        <v>46283</v>
      </c>
    </row>
    <row r="1970" ht="14.25" spans="1:28">
      <c r="A1970" s="5" t="s">
        <v>28</v>
      </c>
      <c r="B1970" s="5" t="s">
        <v>697</v>
      </c>
      <c r="C1970" s="5">
        <v>2027</v>
      </c>
      <c r="D1970" s="5" t="s">
        <v>30</v>
      </c>
      <c r="E1970" t="s">
        <v>1370</v>
      </c>
      <c r="F1970" t="s">
        <v>220</v>
      </c>
      <c r="G1970" t="s">
        <v>100</v>
      </c>
      <c r="H1970" t="s">
        <v>1371</v>
      </c>
      <c r="I1970" t="s">
        <v>119</v>
      </c>
      <c r="J1970" t="s">
        <v>74</v>
      </c>
      <c r="K1970">
        <v>1590</v>
      </c>
      <c r="O1970" t="s">
        <v>68</v>
      </c>
      <c r="P1970" t="s">
        <v>77</v>
      </c>
      <c r="U1970" s="9" t="s">
        <v>136</v>
      </c>
      <c r="V1970" t="s">
        <v>137</v>
      </c>
      <c r="W1970" t="s">
        <v>138</v>
      </c>
      <c r="X1970" t="s">
        <v>102</v>
      </c>
      <c r="Y1970" t="s">
        <v>223</v>
      </c>
      <c r="Z1970" t="s">
        <v>71</v>
      </c>
      <c r="AB1970" t="str">
        <f t="shared" si="90"/>
        <v>46283</v>
      </c>
    </row>
    <row r="1971" ht="14.25" spans="1:28">
      <c r="A1971" s="5" t="s">
        <v>28</v>
      </c>
      <c r="B1971" s="5" t="s">
        <v>697</v>
      </c>
      <c r="C1971" s="5">
        <v>2027</v>
      </c>
      <c r="D1971" s="5" t="s">
        <v>30</v>
      </c>
      <c r="E1971" t="s">
        <v>1370</v>
      </c>
      <c r="F1971" t="s">
        <v>220</v>
      </c>
      <c r="G1971" t="s">
        <v>100</v>
      </c>
      <c r="H1971" t="s">
        <v>1371</v>
      </c>
      <c r="I1971" t="s">
        <v>119</v>
      </c>
      <c r="J1971" t="s">
        <v>74</v>
      </c>
      <c r="K1971">
        <v>1590</v>
      </c>
      <c r="O1971" t="s">
        <v>68</v>
      </c>
      <c r="P1971" t="s">
        <v>78</v>
      </c>
      <c r="U1971" s="9" t="s">
        <v>136</v>
      </c>
      <c r="V1971" t="s">
        <v>137</v>
      </c>
      <c r="W1971" t="s">
        <v>138</v>
      </c>
      <c r="X1971" t="s">
        <v>102</v>
      </c>
      <c r="Y1971" t="s">
        <v>223</v>
      </c>
      <c r="Z1971" t="s">
        <v>71</v>
      </c>
      <c r="AB1971" t="str">
        <f t="shared" ref="AB1971:AB2034" si="93">MID(E1971,6,5)</f>
        <v>46283</v>
      </c>
    </row>
    <row r="1972" ht="14.25" spans="1:28">
      <c r="A1972" s="5" t="s">
        <v>28</v>
      </c>
      <c r="B1972" s="5" t="s">
        <v>697</v>
      </c>
      <c r="C1972" s="5">
        <v>2027</v>
      </c>
      <c r="D1972" s="5" t="s">
        <v>30</v>
      </c>
      <c r="E1972" t="s">
        <v>1370</v>
      </c>
      <c r="F1972" t="s">
        <v>220</v>
      </c>
      <c r="G1972" t="s">
        <v>100</v>
      </c>
      <c r="H1972" t="s">
        <v>1371</v>
      </c>
      <c r="I1972" t="s">
        <v>119</v>
      </c>
      <c r="J1972" t="s">
        <v>74</v>
      </c>
      <c r="K1972">
        <v>1590</v>
      </c>
      <c r="O1972" t="s">
        <v>68</v>
      </c>
      <c r="P1972" t="s">
        <v>79</v>
      </c>
      <c r="U1972" s="9" t="s">
        <v>136</v>
      </c>
      <c r="V1972" t="s">
        <v>137</v>
      </c>
      <c r="W1972" t="s">
        <v>138</v>
      </c>
      <c r="X1972" t="s">
        <v>102</v>
      </c>
      <c r="Y1972" t="s">
        <v>223</v>
      </c>
      <c r="Z1972" t="s">
        <v>71</v>
      </c>
      <c r="AB1972" t="str">
        <f t="shared" si="93"/>
        <v>46283</v>
      </c>
    </row>
    <row r="1973" ht="14.25" spans="1:28">
      <c r="A1973" s="5" t="s">
        <v>28</v>
      </c>
      <c r="B1973" s="5" t="s">
        <v>697</v>
      </c>
      <c r="C1973" s="5">
        <v>2027</v>
      </c>
      <c r="D1973" s="5" t="s">
        <v>30</v>
      </c>
      <c r="E1973" t="s">
        <v>1372</v>
      </c>
      <c r="F1973" t="s">
        <v>220</v>
      </c>
      <c r="G1973" t="s">
        <v>84</v>
      </c>
      <c r="H1973" t="s">
        <v>1373</v>
      </c>
      <c r="I1973" t="s">
        <v>119</v>
      </c>
      <c r="J1973" t="s">
        <v>74</v>
      </c>
      <c r="K1973">
        <v>1590</v>
      </c>
      <c r="O1973" t="s">
        <v>68</v>
      </c>
      <c r="P1973" t="s">
        <v>69</v>
      </c>
      <c r="R1973">
        <f t="shared" si="91"/>
        <v>0</v>
      </c>
      <c r="S1973">
        <f>SUMIFS([1]Sheet1!$T:$T,[1]Sheet1!$I:$I,E1973,[1]Sheet1!$C:$C,A1973)</f>
        <v>60</v>
      </c>
      <c r="T1973">
        <f t="shared" si="92"/>
        <v>-60</v>
      </c>
      <c r="U1973" s="9" t="s">
        <v>136</v>
      </c>
      <c r="V1973" t="s">
        <v>137</v>
      </c>
      <c r="W1973" t="s">
        <v>138</v>
      </c>
      <c r="X1973" t="s">
        <v>86</v>
      </c>
      <c r="Y1973" t="s">
        <v>223</v>
      </c>
      <c r="Z1973" t="s">
        <v>71</v>
      </c>
      <c r="AB1973" t="str">
        <f t="shared" si="93"/>
        <v>46283</v>
      </c>
    </row>
    <row r="1974" ht="14.25" spans="1:28">
      <c r="A1974" s="5" t="s">
        <v>28</v>
      </c>
      <c r="B1974" s="5" t="s">
        <v>697</v>
      </c>
      <c r="C1974" s="5">
        <v>2027</v>
      </c>
      <c r="D1974" s="5" t="s">
        <v>30</v>
      </c>
      <c r="E1974" t="s">
        <v>1372</v>
      </c>
      <c r="F1974" t="s">
        <v>220</v>
      </c>
      <c r="G1974" t="s">
        <v>84</v>
      </c>
      <c r="H1974" t="s">
        <v>1373</v>
      </c>
      <c r="I1974" t="s">
        <v>119</v>
      </c>
      <c r="J1974" t="s">
        <v>74</v>
      </c>
      <c r="K1974">
        <v>1590</v>
      </c>
      <c r="O1974" t="s">
        <v>68</v>
      </c>
      <c r="P1974" t="s">
        <v>72</v>
      </c>
      <c r="U1974" s="9" t="s">
        <v>136</v>
      </c>
      <c r="V1974" t="s">
        <v>137</v>
      </c>
      <c r="W1974" t="s">
        <v>138</v>
      </c>
      <c r="X1974" t="s">
        <v>86</v>
      </c>
      <c r="Y1974" t="s">
        <v>223</v>
      </c>
      <c r="Z1974" t="s">
        <v>71</v>
      </c>
      <c r="AB1974" t="str">
        <f t="shared" si="93"/>
        <v>46283</v>
      </c>
    </row>
    <row r="1975" ht="14.25" spans="1:28">
      <c r="A1975" s="5" t="s">
        <v>28</v>
      </c>
      <c r="B1975" s="5" t="s">
        <v>697</v>
      </c>
      <c r="C1975" s="5">
        <v>2027</v>
      </c>
      <c r="D1975" s="5" t="s">
        <v>30</v>
      </c>
      <c r="E1975" t="s">
        <v>1372</v>
      </c>
      <c r="F1975" t="s">
        <v>220</v>
      </c>
      <c r="G1975" t="s">
        <v>84</v>
      </c>
      <c r="H1975" t="s">
        <v>1373</v>
      </c>
      <c r="I1975" t="s">
        <v>119</v>
      </c>
      <c r="J1975" t="s">
        <v>74</v>
      </c>
      <c r="K1975">
        <v>1590</v>
      </c>
      <c r="O1975" t="s">
        <v>68</v>
      </c>
      <c r="P1975" t="s">
        <v>73</v>
      </c>
      <c r="U1975" s="9" t="s">
        <v>136</v>
      </c>
      <c r="V1975" t="s">
        <v>137</v>
      </c>
      <c r="W1975" t="s">
        <v>138</v>
      </c>
      <c r="X1975" t="s">
        <v>86</v>
      </c>
      <c r="Y1975" t="s">
        <v>223</v>
      </c>
      <c r="Z1975" t="s">
        <v>71</v>
      </c>
      <c r="AB1975" t="str">
        <f t="shared" si="93"/>
        <v>46283</v>
      </c>
    </row>
    <row r="1976" ht="14.25" spans="1:28">
      <c r="A1976" s="5" t="s">
        <v>28</v>
      </c>
      <c r="B1976" s="5" t="s">
        <v>697</v>
      </c>
      <c r="C1976" s="5">
        <v>2027</v>
      </c>
      <c r="D1976" s="5" t="s">
        <v>30</v>
      </c>
      <c r="E1976" t="s">
        <v>1372</v>
      </c>
      <c r="F1976" t="s">
        <v>220</v>
      </c>
      <c r="G1976" t="s">
        <v>84</v>
      </c>
      <c r="H1976" t="s">
        <v>1373</v>
      </c>
      <c r="I1976" t="s">
        <v>119</v>
      </c>
      <c r="J1976" t="s">
        <v>74</v>
      </c>
      <c r="K1976">
        <v>1590</v>
      </c>
      <c r="O1976" t="s">
        <v>68</v>
      </c>
      <c r="P1976" t="s">
        <v>74</v>
      </c>
      <c r="U1976" s="9" t="s">
        <v>136</v>
      </c>
      <c r="V1976" t="s">
        <v>137</v>
      </c>
      <c r="W1976" t="s">
        <v>138</v>
      </c>
      <c r="X1976" t="s">
        <v>86</v>
      </c>
      <c r="Y1976" t="s">
        <v>223</v>
      </c>
      <c r="Z1976" t="s">
        <v>71</v>
      </c>
      <c r="AB1976" t="str">
        <f t="shared" si="93"/>
        <v>46283</v>
      </c>
    </row>
    <row r="1977" ht="14.25" spans="1:28">
      <c r="A1977" s="5" t="s">
        <v>28</v>
      </c>
      <c r="B1977" s="5" t="s">
        <v>697</v>
      </c>
      <c r="C1977" s="5">
        <v>2027</v>
      </c>
      <c r="D1977" s="5" t="s">
        <v>30</v>
      </c>
      <c r="E1977" t="s">
        <v>1372</v>
      </c>
      <c r="F1977" t="s">
        <v>220</v>
      </c>
      <c r="G1977" t="s">
        <v>84</v>
      </c>
      <c r="H1977" t="s">
        <v>1373</v>
      </c>
      <c r="I1977" t="s">
        <v>119</v>
      </c>
      <c r="J1977" t="s">
        <v>74</v>
      </c>
      <c r="K1977">
        <v>1590</v>
      </c>
      <c r="O1977" t="s">
        <v>68</v>
      </c>
      <c r="P1977" t="s">
        <v>75</v>
      </c>
      <c r="U1977" s="9" t="s">
        <v>136</v>
      </c>
      <c r="V1977" t="s">
        <v>137</v>
      </c>
      <c r="W1977" t="s">
        <v>138</v>
      </c>
      <c r="X1977" t="s">
        <v>86</v>
      </c>
      <c r="Y1977" t="s">
        <v>223</v>
      </c>
      <c r="Z1977" t="s">
        <v>71</v>
      </c>
      <c r="AB1977" t="str">
        <f t="shared" si="93"/>
        <v>46283</v>
      </c>
    </row>
    <row r="1978" ht="14.25" spans="1:28">
      <c r="A1978" s="5" t="s">
        <v>28</v>
      </c>
      <c r="B1978" s="5" t="s">
        <v>697</v>
      </c>
      <c r="C1978" s="5">
        <v>2027</v>
      </c>
      <c r="D1978" s="5" t="s">
        <v>30</v>
      </c>
      <c r="E1978" t="s">
        <v>1372</v>
      </c>
      <c r="F1978" t="s">
        <v>220</v>
      </c>
      <c r="G1978" t="s">
        <v>84</v>
      </c>
      <c r="H1978" t="s">
        <v>1373</v>
      </c>
      <c r="I1978" t="s">
        <v>119</v>
      </c>
      <c r="J1978" t="s">
        <v>74</v>
      </c>
      <c r="K1978">
        <v>1590</v>
      </c>
      <c r="O1978" t="s">
        <v>68</v>
      </c>
      <c r="P1978" t="s">
        <v>76</v>
      </c>
      <c r="U1978" s="9" t="s">
        <v>136</v>
      </c>
      <c r="V1978" t="s">
        <v>137</v>
      </c>
      <c r="W1978" t="s">
        <v>138</v>
      </c>
      <c r="X1978" t="s">
        <v>86</v>
      </c>
      <c r="Y1978" t="s">
        <v>223</v>
      </c>
      <c r="Z1978" t="s">
        <v>71</v>
      </c>
      <c r="AB1978" t="str">
        <f t="shared" si="93"/>
        <v>46283</v>
      </c>
    </row>
    <row r="1979" ht="14.25" spans="1:28">
      <c r="A1979" s="5" t="s">
        <v>28</v>
      </c>
      <c r="B1979" s="5" t="s">
        <v>697</v>
      </c>
      <c r="C1979" s="5">
        <v>2027</v>
      </c>
      <c r="D1979" s="5" t="s">
        <v>30</v>
      </c>
      <c r="E1979" t="s">
        <v>1372</v>
      </c>
      <c r="F1979" t="s">
        <v>220</v>
      </c>
      <c r="G1979" t="s">
        <v>84</v>
      </c>
      <c r="H1979" t="s">
        <v>1373</v>
      </c>
      <c r="I1979" t="s">
        <v>119</v>
      </c>
      <c r="J1979" t="s">
        <v>74</v>
      </c>
      <c r="K1979">
        <v>1590</v>
      </c>
      <c r="O1979" t="s">
        <v>68</v>
      </c>
      <c r="P1979" t="s">
        <v>77</v>
      </c>
      <c r="U1979" s="9" t="s">
        <v>136</v>
      </c>
      <c r="V1979" t="s">
        <v>137</v>
      </c>
      <c r="W1979" t="s">
        <v>138</v>
      </c>
      <c r="X1979" t="s">
        <v>86</v>
      </c>
      <c r="Y1979" t="s">
        <v>223</v>
      </c>
      <c r="Z1979" t="s">
        <v>71</v>
      </c>
      <c r="AB1979" t="str">
        <f t="shared" si="93"/>
        <v>46283</v>
      </c>
    </row>
    <row r="1980" ht="14.25" spans="1:28">
      <c r="A1980" s="5" t="s">
        <v>28</v>
      </c>
      <c r="B1980" s="5" t="s">
        <v>697</v>
      </c>
      <c r="C1980" s="5">
        <v>2027</v>
      </c>
      <c r="D1980" s="5" t="s">
        <v>30</v>
      </c>
      <c r="E1980" t="s">
        <v>1372</v>
      </c>
      <c r="F1980" t="s">
        <v>220</v>
      </c>
      <c r="G1980" t="s">
        <v>84</v>
      </c>
      <c r="H1980" t="s">
        <v>1373</v>
      </c>
      <c r="I1980" t="s">
        <v>119</v>
      </c>
      <c r="J1980" t="s">
        <v>74</v>
      </c>
      <c r="K1980">
        <v>1590</v>
      </c>
      <c r="O1980" t="s">
        <v>68</v>
      </c>
      <c r="P1980" t="s">
        <v>78</v>
      </c>
      <c r="U1980" s="9" t="s">
        <v>136</v>
      </c>
      <c r="V1980" t="s">
        <v>137</v>
      </c>
      <c r="W1980" t="s">
        <v>138</v>
      </c>
      <c r="X1980" t="s">
        <v>86</v>
      </c>
      <c r="Y1980" t="s">
        <v>223</v>
      </c>
      <c r="Z1980" t="s">
        <v>71</v>
      </c>
      <c r="AB1980" t="str">
        <f t="shared" si="93"/>
        <v>46283</v>
      </c>
    </row>
    <row r="1981" ht="14.25" spans="1:28">
      <c r="A1981" s="5" t="s">
        <v>28</v>
      </c>
      <c r="B1981" s="5" t="s">
        <v>697</v>
      </c>
      <c r="C1981" s="5">
        <v>2027</v>
      </c>
      <c r="D1981" s="5" t="s">
        <v>30</v>
      </c>
      <c r="E1981" t="s">
        <v>1372</v>
      </c>
      <c r="F1981" t="s">
        <v>220</v>
      </c>
      <c r="G1981" t="s">
        <v>84</v>
      </c>
      <c r="H1981" t="s">
        <v>1373</v>
      </c>
      <c r="I1981" t="s">
        <v>119</v>
      </c>
      <c r="J1981" t="s">
        <v>74</v>
      </c>
      <c r="K1981">
        <v>1590</v>
      </c>
      <c r="O1981" t="s">
        <v>68</v>
      </c>
      <c r="P1981" t="s">
        <v>79</v>
      </c>
      <c r="U1981" s="9" t="s">
        <v>136</v>
      </c>
      <c r="V1981" t="s">
        <v>137</v>
      </c>
      <c r="W1981" t="s">
        <v>138</v>
      </c>
      <c r="X1981" t="s">
        <v>86</v>
      </c>
      <c r="Y1981" t="s">
        <v>223</v>
      </c>
      <c r="Z1981" t="s">
        <v>71</v>
      </c>
      <c r="AB1981" t="str">
        <f t="shared" si="93"/>
        <v>46283</v>
      </c>
    </row>
    <row r="1982" ht="14.25" spans="1:28">
      <c r="A1982" s="5" t="s">
        <v>28</v>
      </c>
      <c r="B1982" s="5" t="s">
        <v>697</v>
      </c>
      <c r="C1982" s="5">
        <v>2027</v>
      </c>
      <c r="D1982" s="5" t="s">
        <v>30</v>
      </c>
      <c r="E1982" t="s">
        <v>1374</v>
      </c>
      <c r="F1982" t="s">
        <v>1375</v>
      </c>
      <c r="G1982" t="s">
        <v>1376</v>
      </c>
      <c r="H1982" t="s">
        <v>1377</v>
      </c>
      <c r="I1982" t="s">
        <v>147</v>
      </c>
      <c r="J1982" t="s">
        <v>74</v>
      </c>
      <c r="K1982">
        <v>1790</v>
      </c>
      <c r="O1982" t="s">
        <v>68</v>
      </c>
      <c r="P1982" t="s">
        <v>69</v>
      </c>
      <c r="R1982">
        <f t="shared" si="91"/>
        <v>0</v>
      </c>
      <c r="S1982">
        <f>SUMIFS([1]Sheet1!$T:$T,[1]Sheet1!$I:$I,E1982,[1]Sheet1!$C:$C,A1982)</f>
        <v>60</v>
      </c>
      <c r="T1982">
        <f t="shared" si="92"/>
        <v>-60</v>
      </c>
      <c r="U1982" s="9" t="s">
        <v>136</v>
      </c>
      <c r="V1982" t="s">
        <v>137</v>
      </c>
      <c r="W1982" t="s">
        <v>138</v>
      </c>
      <c r="X1982" t="s">
        <v>1106</v>
      </c>
      <c r="Y1982" t="s">
        <v>920</v>
      </c>
      <c r="Z1982" t="s">
        <v>1208</v>
      </c>
      <c r="AB1982" t="str">
        <f t="shared" si="93"/>
        <v>46284</v>
      </c>
    </row>
    <row r="1983" ht="14.25" spans="1:28">
      <c r="A1983" s="5" t="s">
        <v>28</v>
      </c>
      <c r="B1983" s="5" t="s">
        <v>697</v>
      </c>
      <c r="C1983" s="5">
        <v>2027</v>
      </c>
      <c r="D1983" s="5" t="s">
        <v>30</v>
      </c>
      <c r="E1983" t="s">
        <v>1374</v>
      </c>
      <c r="F1983" t="s">
        <v>1375</v>
      </c>
      <c r="G1983" t="s">
        <v>1376</v>
      </c>
      <c r="H1983" t="s">
        <v>1377</v>
      </c>
      <c r="I1983" t="s">
        <v>147</v>
      </c>
      <c r="J1983" t="s">
        <v>74</v>
      </c>
      <c r="K1983">
        <v>1790</v>
      </c>
      <c r="O1983" t="s">
        <v>68</v>
      </c>
      <c r="P1983" t="s">
        <v>72</v>
      </c>
      <c r="U1983" s="9" t="s">
        <v>136</v>
      </c>
      <c r="V1983" t="s">
        <v>137</v>
      </c>
      <c r="W1983" t="s">
        <v>138</v>
      </c>
      <c r="X1983" t="s">
        <v>1106</v>
      </c>
      <c r="Y1983" t="s">
        <v>920</v>
      </c>
      <c r="Z1983" t="s">
        <v>1208</v>
      </c>
      <c r="AB1983" t="str">
        <f t="shared" si="93"/>
        <v>46284</v>
      </c>
    </row>
    <row r="1984" ht="14.25" spans="1:28">
      <c r="A1984" s="5" t="s">
        <v>28</v>
      </c>
      <c r="B1984" s="5" t="s">
        <v>697</v>
      </c>
      <c r="C1984" s="5">
        <v>2027</v>
      </c>
      <c r="D1984" s="5" t="s">
        <v>30</v>
      </c>
      <c r="E1984" t="s">
        <v>1374</v>
      </c>
      <c r="F1984" t="s">
        <v>1375</v>
      </c>
      <c r="G1984" t="s">
        <v>1376</v>
      </c>
      <c r="H1984" t="s">
        <v>1377</v>
      </c>
      <c r="I1984" t="s">
        <v>147</v>
      </c>
      <c r="J1984" t="s">
        <v>74</v>
      </c>
      <c r="K1984">
        <v>1790</v>
      </c>
      <c r="O1984" t="s">
        <v>68</v>
      </c>
      <c r="P1984" t="s">
        <v>73</v>
      </c>
      <c r="U1984" s="9" t="s">
        <v>136</v>
      </c>
      <c r="V1984" t="s">
        <v>137</v>
      </c>
      <c r="W1984" t="s">
        <v>138</v>
      </c>
      <c r="X1984" t="s">
        <v>1106</v>
      </c>
      <c r="Y1984" t="s">
        <v>920</v>
      </c>
      <c r="Z1984" t="s">
        <v>1208</v>
      </c>
      <c r="AB1984" t="str">
        <f t="shared" si="93"/>
        <v>46284</v>
      </c>
    </row>
    <row r="1985" ht="14.25" spans="1:28">
      <c r="A1985" s="5" t="s">
        <v>28</v>
      </c>
      <c r="B1985" s="5" t="s">
        <v>697</v>
      </c>
      <c r="C1985" s="5">
        <v>2027</v>
      </c>
      <c r="D1985" s="5" t="s">
        <v>30</v>
      </c>
      <c r="E1985" t="s">
        <v>1374</v>
      </c>
      <c r="F1985" t="s">
        <v>1375</v>
      </c>
      <c r="G1985" t="s">
        <v>1376</v>
      </c>
      <c r="H1985" t="s">
        <v>1377</v>
      </c>
      <c r="I1985" t="s">
        <v>147</v>
      </c>
      <c r="J1985" t="s">
        <v>74</v>
      </c>
      <c r="K1985">
        <v>1790</v>
      </c>
      <c r="O1985" t="s">
        <v>68</v>
      </c>
      <c r="P1985" t="s">
        <v>74</v>
      </c>
      <c r="U1985" s="9" t="s">
        <v>136</v>
      </c>
      <c r="V1985" t="s">
        <v>137</v>
      </c>
      <c r="W1985" t="s">
        <v>138</v>
      </c>
      <c r="X1985" t="s">
        <v>1106</v>
      </c>
      <c r="Y1985" t="s">
        <v>920</v>
      </c>
      <c r="Z1985" t="s">
        <v>1208</v>
      </c>
      <c r="AB1985" t="str">
        <f t="shared" si="93"/>
        <v>46284</v>
      </c>
    </row>
    <row r="1986" ht="14.25" spans="1:28">
      <c r="A1986" s="5" t="s">
        <v>28</v>
      </c>
      <c r="B1986" s="5" t="s">
        <v>697</v>
      </c>
      <c r="C1986" s="5">
        <v>2027</v>
      </c>
      <c r="D1986" s="5" t="s">
        <v>30</v>
      </c>
      <c r="E1986" t="s">
        <v>1374</v>
      </c>
      <c r="F1986" t="s">
        <v>1375</v>
      </c>
      <c r="G1986" t="s">
        <v>1376</v>
      </c>
      <c r="H1986" t="s">
        <v>1377</v>
      </c>
      <c r="I1986" t="s">
        <v>147</v>
      </c>
      <c r="J1986" t="s">
        <v>74</v>
      </c>
      <c r="K1986">
        <v>1790</v>
      </c>
      <c r="O1986" t="s">
        <v>68</v>
      </c>
      <c r="P1986" t="s">
        <v>75</v>
      </c>
      <c r="U1986" s="9" t="s">
        <v>136</v>
      </c>
      <c r="V1986" t="s">
        <v>137</v>
      </c>
      <c r="W1986" t="s">
        <v>138</v>
      </c>
      <c r="X1986" t="s">
        <v>1106</v>
      </c>
      <c r="Y1986" t="s">
        <v>920</v>
      </c>
      <c r="Z1986" t="s">
        <v>1208</v>
      </c>
      <c r="AB1986" t="str">
        <f t="shared" si="93"/>
        <v>46284</v>
      </c>
    </row>
    <row r="1987" ht="14.25" spans="1:28">
      <c r="A1987" s="5" t="s">
        <v>28</v>
      </c>
      <c r="B1987" s="5" t="s">
        <v>697</v>
      </c>
      <c r="C1987" s="5">
        <v>2027</v>
      </c>
      <c r="D1987" s="5" t="s">
        <v>30</v>
      </c>
      <c r="E1987" t="s">
        <v>1374</v>
      </c>
      <c r="F1987" t="s">
        <v>1375</v>
      </c>
      <c r="G1987" t="s">
        <v>1376</v>
      </c>
      <c r="H1987" t="s">
        <v>1377</v>
      </c>
      <c r="I1987" t="s">
        <v>147</v>
      </c>
      <c r="J1987" t="s">
        <v>74</v>
      </c>
      <c r="K1987">
        <v>1790</v>
      </c>
      <c r="O1987" t="s">
        <v>68</v>
      </c>
      <c r="P1987" t="s">
        <v>76</v>
      </c>
      <c r="U1987" s="9" t="s">
        <v>136</v>
      </c>
      <c r="V1987" t="s">
        <v>137</v>
      </c>
      <c r="W1987" t="s">
        <v>138</v>
      </c>
      <c r="X1987" t="s">
        <v>1106</v>
      </c>
      <c r="Y1987" t="s">
        <v>920</v>
      </c>
      <c r="Z1987" t="s">
        <v>1208</v>
      </c>
      <c r="AB1987" t="str">
        <f t="shared" si="93"/>
        <v>46284</v>
      </c>
    </row>
    <row r="1988" ht="14.25" spans="1:28">
      <c r="A1988" s="5" t="s">
        <v>28</v>
      </c>
      <c r="B1988" s="5" t="s">
        <v>697</v>
      </c>
      <c r="C1988" s="5">
        <v>2027</v>
      </c>
      <c r="D1988" s="5" t="s">
        <v>30</v>
      </c>
      <c r="E1988" t="s">
        <v>1374</v>
      </c>
      <c r="F1988" t="s">
        <v>1375</v>
      </c>
      <c r="G1988" t="s">
        <v>1376</v>
      </c>
      <c r="H1988" t="s">
        <v>1377</v>
      </c>
      <c r="I1988" t="s">
        <v>147</v>
      </c>
      <c r="J1988" t="s">
        <v>74</v>
      </c>
      <c r="K1988">
        <v>1790</v>
      </c>
      <c r="O1988" t="s">
        <v>68</v>
      </c>
      <c r="P1988" t="s">
        <v>77</v>
      </c>
      <c r="U1988" s="9" t="s">
        <v>136</v>
      </c>
      <c r="V1988" t="s">
        <v>137</v>
      </c>
      <c r="W1988" t="s">
        <v>138</v>
      </c>
      <c r="X1988" t="s">
        <v>1106</v>
      </c>
      <c r="Y1988" t="s">
        <v>920</v>
      </c>
      <c r="Z1988" t="s">
        <v>1208</v>
      </c>
      <c r="AB1988" t="str">
        <f t="shared" si="93"/>
        <v>46284</v>
      </c>
    </row>
    <row r="1989" ht="14.25" spans="1:28">
      <c r="A1989" s="5" t="s">
        <v>28</v>
      </c>
      <c r="B1989" s="5" t="s">
        <v>697</v>
      </c>
      <c r="C1989" s="5">
        <v>2027</v>
      </c>
      <c r="D1989" s="5" t="s">
        <v>30</v>
      </c>
      <c r="E1989" t="s">
        <v>1374</v>
      </c>
      <c r="F1989" t="s">
        <v>1375</v>
      </c>
      <c r="G1989" t="s">
        <v>1376</v>
      </c>
      <c r="H1989" t="s">
        <v>1377</v>
      </c>
      <c r="I1989" t="s">
        <v>147</v>
      </c>
      <c r="J1989" t="s">
        <v>74</v>
      </c>
      <c r="K1989">
        <v>1790</v>
      </c>
      <c r="O1989" t="s">
        <v>68</v>
      </c>
      <c r="P1989" t="s">
        <v>78</v>
      </c>
      <c r="U1989" s="9" t="s">
        <v>136</v>
      </c>
      <c r="V1989" t="s">
        <v>137</v>
      </c>
      <c r="W1989" t="s">
        <v>138</v>
      </c>
      <c r="X1989" t="s">
        <v>1106</v>
      </c>
      <c r="Y1989" t="s">
        <v>920</v>
      </c>
      <c r="Z1989" t="s">
        <v>1208</v>
      </c>
      <c r="AB1989" t="str">
        <f t="shared" si="93"/>
        <v>46284</v>
      </c>
    </row>
    <row r="1990" ht="14.25" spans="1:28">
      <c r="A1990" s="5" t="s">
        <v>28</v>
      </c>
      <c r="B1990" s="5" t="s">
        <v>697</v>
      </c>
      <c r="C1990" s="5">
        <v>2027</v>
      </c>
      <c r="D1990" s="5" t="s">
        <v>30</v>
      </c>
      <c r="E1990" t="s">
        <v>1374</v>
      </c>
      <c r="F1990" t="s">
        <v>1375</v>
      </c>
      <c r="G1990" t="s">
        <v>1376</v>
      </c>
      <c r="H1990" t="s">
        <v>1377</v>
      </c>
      <c r="I1990" t="s">
        <v>147</v>
      </c>
      <c r="J1990" t="s">
        <v>74</v>
      </c>
      <c r="K1990">
        <v>1790</v>
      </c>
      <c r="O1990" t="s">
        <v>68</v>
      </c>
      <c r="P1990" t="s">
        <v>79</v>
      </c>
      <c r="U1990" s="9" t="s">
        <v>136</v>
      </c>
      <c r="V1990" t="s">
        <v>137</v>
      </c>
      <c r="W1990" t="s">
        <v>138</v>
      </c>
      <c r="X1990" t="s">
        <v>1106</v>
      </c>
      <c r="Y1990" t="s">
        <v>920</v>
      </c>
      <c r="Z1990" t="s">
        <v>1208</v>
      </c>
      <c r="AB1990" t="str">
        <f t="shared" si="93"/>
        <v>46284</v>
      </c>
    </row>
    <row r="1991" ht="14.25" spans="1:28">
      <c r="A1991" s="5" t="s">
        <v>28</v>
      </c>
      <c r="B1991" s="5" t="s">
        <v>697</v>
      </c>
      <c r="C1991" s="5">
        <v>2027</v>
      </c>
      <c r="D1991" s="5" t="s">
        <v>30</v>
      </c>
      <c r="E1991" t="s">
        <v>1378</v>
      </c>
      <c r="F1991" t="s">
        <v>1375</v>
      </c>
      <c r="G1991" t="s">
        <v>240</v>
      </c>
      <c r="H1991" t="s">
        <v>1379</v>
      </c>
      <c r="I1991" t="s">
        <v>147</v>
      </c>
      <c r="J1991" t="s">
        <v>74</v>
      </c>
      <c r="K1991">
        <v>1790</v>
      </c>
      <c r="O1991" t="s">
        <v>68</v>
      </c>
      <c r="P1991" t="s">
        <v>69</v>
      </c>
      <c r="R1991">
        <f t="shared" ref="R1986:R2049" si="94">SUMIFS(Q:Q,E:E,E1991)</f>
        <v>0</v>
      </c>
      <c r="S1991">
        <f>SUMIFS([1]Sheet1!$T:$T,[1]Sheet1!$I:$I,E1991,[1]Sheet1!$C:$C,A1991)</f>
        <v>30</v>
      </c>
      <c r="T1991">
        <f t="shared" ref="T1986:T2049" si="95">R1991-S1991</f>
        <v>-30</v>
      </c>
      <c r="U1991" s="9" t="s">
        <v>136</v>
      </c>
      <c r="V1991" t="s">
        <v>137</v>
      </c>
      <c r="W1991" t="s">
        <v>138</v>
      </c>
      <c r="X1991" t="s">
        <v>243</v>
      </c>
      <c r="Y1991" t="s">
        <v>920</v>
      </c>
      <c r="Z1991" t="s">
        <v>1208</v>
      </c>
      <c r="AB1991" t="str">
        <f t="shared" si="93"/>
        <v>46284</v>
      </c>
    </row>
    <row r="1992" ht="14.25" spans="1:28">
      <c r="A1992" s="5" t="s">
        <v>28</v>
      </c>
      <c r="B1992" s="5" t="s">
        <v>697</v>
      </c>
      <c r="C1992" s="5">
        <v>2027</v>
      </c>
      <c r="D1992" s="5" t="s">
        <v>30</v>
      </c>
      <c r="E1992" t="s">
        <v>1378</v>
      </c>
      <c r="F1992" t="s">
        <v>1375</v>
      </c>
      <c r="G1992" t="s">
        <v>240</v>
      </c>
      <c r="H1992" t="s">
        <v>1379</v>
      </c>
      <c r="I1992" t="s">
        <v>147</v>
      </c>
      <c r="J1992" t="s">
        <v>74</v>
      </c>
      <c r="K1992">
        <v>1790</v>
      </c>
      <c r="O1992" t="s">
        <v>68</v>
      </c>
      <c r="P1992" t="s">
        <v>72</v>
      </c>
      <c r="U1992" s="9" t="s">
        <v>136</v>
      </c>
      <c r="V1992" t="s">
        <v>137</v>
      </c>
      <c r="W1992" t="s">
        <v>138</v>
      </c>
      <c r="X1992" t="s">
        <v>243</v>
      </c>
      <c r="Y1992" t="s">
        <v>920</v>
      </c>
      <c r="Z1992" t="s">
        <v>1208</v>
      </c>
      <c r="AB1992" t="str">
        <f t="shared" si="93"/>
        <v>46284</v>
      </c>
    </row>
    <row r="1993" ht="14.25" spans="1:28">
      <c r="A1993" s="5" t="s">
        <v>28</v>
      </c>
      <c r="B1993" s="5" t="s">
        <v>697</v>
      </c>
      <c r="C1993" s="5">
        <v>2027</v>
      </c>
      <c r="D1993" s="5" t="s">
        <v>30</v>
      </c>
      <c r="E1993" t="s">
        <v>1378</v>
      </c>
      <c r="F1993" t="s">
        <v>1375</v>
      </c>
      <c r="G1993" t="s">
        <v>240</v>
      </c>
      <c r="H1993" t="s">
        <v>1379</v>
      </c>
      <c r="I1993" t="s">
        <v>147</v>
      </c>
      <c r="J1993" t="s">
        <v>74</v>
      </c>
      <c r="K1993">
        <v>1790</v>
      </c>
      <c r="O1993" t="s">
        <v>68</v>
      </c>
      <c r="P1993" t="s">
        <v>73</v>
      </c>
      <c r="U1993" s="9" t="s">
        <v>136</v>
      </c>
      <c r="V1993" t="s">
        <v>137</v>
      </c>
      <c r="W1993" t="s">
        <v>138</v>
      </c>
      <c r="X1993" t="s">
        <v>243</v>
      </c>
      <c r="Y1993" t="s">
        <v>920</v>
      </c>
      <c r="Z1993" t="s">
        <v>1208</v>
      </c>
      <c r="AB1993" t="str">
        <f t="shared" si="93"/>
        <v>46284</v>
      </c>
    </row>
    <row r="1994" ht="14.25" spans="1:28">
      <c r="A1994" s="5" t="s">
        <v>28</v>
      </c>
      <c r="B1994" s="5" t="s">
        <v>697</v>
      </c>
      <c r="C1994" s="5">
        <v>2027</v>
      </c>
      <c r="D1994" s="5" t="s">
        <v>30</v>
      </c>
      <c r="E1994" t="s">
        <v>1378</v>
      </c>
      <c r="F1994" t="s">
        <v>1375</v>
      </c>
      <c r="G1994" t="s">
        <v>240</v>
      </c>
      <c r="H1994" t="s">
        <v>1379</v>
      </c>
      <c r="I1994" t="s">
        <v>147</v>
      </c>
      <c r="J1994" t="s">
        <v>74</v>
      </c>
      <c r="K1994">
        <v>1790</v>
      </c>
      <c r="O1994" t="s">
        <v>68</v>
      </c>
      <c r="P1994" t="s">
        <v>74</v>
      </c>
      <c r="U1994" s="9" t="s">
        <v>136</v>
      </c>
      <c r="V1994" t="s">
        <v>137</v>
      </c>
      <c r="W1994" t="s">
        <v>138</v>
      </c>
      <c r="X1994" t="s">
        <v>243</v>
      </c>
      <c r="Y1994" t="s">
        <v>920</v>
      </c>
      <c r="Z1994" t="s">
        <v>1208</v>
      </c>
      <c r="AB1994" t="str">
        <f t="shared" si="93"/>
        <v>46284</v>
      </c>
    </row>
    <row r="1995" ht="14.25" spans="1:28">
      <c r="A1995" s="5" t="s">
        <v>28</v>
      </c>
      <c r="B1995" s="5" t="s">
        <v>697</v>
      </c>
      <c r="C1995" s="5">
        <v>2027</v>
      </c>
      <c r="D1995" s="5" t="s">
        <v>30</v>
      </c>
      <c r="E1995" t="s">
        <v>1378</v>
      </c>
      <c r="F1995" t="s">
        <v>1375</v>
      </c>
      <c r="G1995" t="s">
        <v>240</v>
      </c>
      <c r="H1995" t="s">
        <v>1379</v>
      </c>
      <c r="I1995" t="s">
        <v>147</v>
      </c>
      <c r="J1995" t="s">
        <v>74</v>
      </c>
      <c r="K1995">
        <v>1790</v>
      </c>
      <c r="O1995" t="s">
        <v>68</v>
      </c>
      <c r="P1995" t="s">
        <v>75</v>
      </c>
      <c r="U1995" s="9" t="s">
        <v>136</v>
      </c>
      <c r="V1995" t="s">
        <v>137</v>
      </c>
      <c r="W1995" t="s">
        <v>138</v>
      </c>
      <c r="X1995" t="s">
        <v>243</v>
      </c>
      <c r="Y1995" t="s">
        <v>920</v>
      </c>
      <c r="Z1995" t="s">
        <v>1208</v>
      </c>
      <c r="AB1995" t="str">
        <f t="shared" si="93"/>
        <v>46284</v>
      </c>
    </row>
    <row r="1996" ht="14.25" spans="1:28">
      <c r="A1996" s="5" t="s">
        <v>28</v>
      </c>
      <c r="B1996" s="5" t="s">
        <v>697</v>
      </c>
      <c r="C1996" s="5">
        <v>2027</v>
      </c>
      <c r="D1996" s="5" t="s">
        <v>30</v>
      </c>
      <c r="E1996" t="s">
        <v>1378</v>
      </c>
      <c r="F1996" t="s">
        <v>1375</v>
      </c>
      <c r="G1996" t="s">
        <v>240</v>
      </c>
      <c r="H1996" t="s">
        <v>1379</v>
      </c>
      <c r="I1996" t="s">
        <v>147</v>
      </c>
      <c r="J1996" t="s">
        <v>74</v>
      </c>
      <c r="K1996">
        <v>1790</v>
      </c>
      <c r="O1996" t="s">
        <v>68</v>
      </c>
      <c r="P1996" t="s">
        <v>76</v>
      </c>
      <c r="U1996" s="9" t="s">
        <v>136</v>
      </c>
      <c r="V1996" t="s">
        <v>137</v>
      </c>
      <c r="W1996" t="s">
        <v>138</v>
      </c>
      <c r="X1996" t="s">
        <v>243</v>
      </c>
      <c r="Y1996" t="s">
        <v>920</v>
      </c>
      <c r="Z1996" t="s">
        <v>1208</v>
      </c>
      <c r="AB1996" t="str">
        <f t="shared" si="93"/>
        <v>46284</v>
      </c>
    </row>
    <row r="1997" ht="14.25" spans="1:28">
      <c r="A1997" s="5" t="s">
        <v>28</v>
      </c>
      <c r="B1997" s="5" t="s">
        <v>697</v>
      </c>
      <c r="C1997" s="5">
        <v>2027</v>
      </c>
      <c r="D1997" s="5" t="s">
        <v>30</v>
      </c>
      <c r="E1997" t="s">
        <v>1378</v>
      </c>
      <c r="F1997" t="s">
        <v>1375</v>
      </c>
      <c r="G1997" t="s">
        <v>240</v>
      </c>
      <c r="H1997" t="s">
        <v>1379</v>
      </c>
      <c r="I1997" t="s">
        <v>147</v>
      </c>
      <c r="J1997" t="s">
        <v>74</v>
      </c>
      <c r="K1997">
        <v>1790</v>
      </c>
      <c r="O1997" t="s">
        <v>68</v>
      </c>
      <c r="P1997" t="s">
        <v>77</v>
      </c>
      <c r="U1997" s="9" t="s">
        <v>136</v>
      </c>
      <c r="V1997" t="s">
        <v>137</v>
      </c>
      <c r="W1997" t="s">
        <v>138</v>
      </c>
      <c r="X1997" t="s">
        <v>243</v>
      </c>
      <c r="Y1997" t="s">
        <v>920</v>
      </c>
      <c r="Z1997" t="s">
        <v>1208</v>
      </c>
      <c r="AB1997" t="str">
        <f t="shared" si="93"/>
        <v>46284</v>
      </c>
    </row>
    <row r="1998" ht="14.25" spans="1:28">
      <c r="A1998" s="5" t="s">
        <v>28</v>
      </c>
      <c r="B1998" s="5" t="s">
        <v>697</v>
      </c>
      <c r="C1998" s="5">
        <v>2027</v>
      </c>
      <c r="D1998" s="5" t="s">
        <v>30</v>
      </c>
      <c r="E1998" t="s">
        <v>1378</v>
      </c>
      <c r="F1998" t="s">
        <v>1375</v>
      </c>
      <c r="G1998" t="s">
        <v>240</v>
      </c>
      <c r="H1998" t="s">
        <v>1379</v>
      </c>
      <c r="I1998" t="s">
        <v>147</v>
      </c>
      <c r="J1998" t="s">
        <v>74</v>
      </c>
      <c r="K1998">
        <v>1790</v>
      </c>
      <c r="O1998" t="s">
        <v>68</v>
      </c>
      <c r="P1998" t="s">
        <v>78</v>
      </c>
      <c r="U1998" s="9" t="s">
        <v>136</v>
      </c>
      <c r="V1998" t="s">
        <v>137</v>
      </c>
      <c r="W1998" t="s">
        <v>138</v>
      </c>
      <c r="X1998" t="s">
        <v>243</v>
      </c>
      <c r="Y1998" t="s">
        <v>920</v>
      </c>
      <c r="Z1998" t="s">
        <v>1208</v>
      </c>
      <c r="AB1998" t="str">
        <f t="shared" si="93"/>
        <v>46284</v>
      </c>
    </row>
    <row r="1999" ht="14.25" spans="1:28">
      <c r="A1999" s="5" t="s">
        <v>28</v>
      </c>
      <c r="B1999" s="5" t="s">
        <v>697</v>
      </c>
      <c r="C1999" s="5">
        <v>2027</v>
      </c>
      <c r="D1999" s="5" t="s">
        <v>30</v>
      </c>
      <c r="E1999" t="s">
        <v>1378</v>
      </c>
      <c r="F1999" t="s">
        <v>1375</v>
      </c>
      <c r="G1999" t="s">
        <v>240</v>
      </c>
      <c r="H1999" t="s">
        <v>1379</v>
      </c>
      <c r="I1999" t="s">
        <v>147</v>
      </c>
      <c r="J1999" t="s">
        <v>74</v>
      </c>
      <c r="K1999">
        <v>1790</v>
      </c>
      <c r="O1999" t="s">
        <v>68</v>
      </c>
      <c r="P1999" t="s">
        <v>79</v>
      </c>
      <c r="U1999" s="9" t="s">
        <v>136</v>
      </c>
      <c r="V1999" t="s">
        <v>137</v>
      </c>
      <c r="W1999" t="s">
        <v>138</v>
      </c>
      <c r="X1999" t="s">
        <v>243</v>
      </c>
      <c r="Y1999" t="s">
        <v>920</v>
      </c>
      <c r="Z1999" t="s">
        <v>1208</v>
      </c>
      <c r="AB1999" t="str">
        <f t="shared" si="93"/>
        <v>46284</v>
      </c>
    </row>
    <row r="2000" ht="14.25" spans="1:28">
      <c r="A2000" s="5" t="s">
        <v>28</v>
      </c>
      <c r="B2000" s="5" t="s">
        <v>697</v>
      </c>
      <c r="C2000" s="5">
        <v>2027</v>
      </c>
      <c r="D2000" s="5" t="s">
        <v>30</v>
      </c>
      <c r="E2000" t="s">
        <v>1380</v>
      </c>
      <c r="F2000" t="s">
        <v>1381</v>
      </c>
      <c r="G2000" t="s">
        <v>221</v>
      </c>
      <c r="H2000" t="s">
        <v>1382</v>
      </c>
      <c r="I2000" t="s">
        <v>147</v>
      </c>
      <c r="J2000" t="s">
        <v>74</v>
      </c>
      <c r="K2000">
        <v>1990</v>
      </c>
      <c r="O2000" t="s">
        <v>68</v>
      </c>
      <c r="P2000" t="s">
        <v>69</v>
      </c>
      <c r="R2000">
        <f t="shared" si="94"/>
        <v>0</v>
      </c>
      <c r="S2000">
        <f>SUMIFS([1]Sheet1!$T:$T,[1]Sheet1!$I:$I,E2000,[1]Sheet1!$C:$C,A2000)</f>
        <v>12</v>
      </c>
      <c r="T2000">
        <f t="shared" si="95"/>
        <v>-12</v>
      </c>
      <c r="U2000" s="9" t="s">
        <v>136</v>
      </c>
      <c r="V2000" t="s">
        <v>137</v>
      </c>
      <c r="W2000" t="s">
        <v>138</v>
      </c>
      <c r="X2000" t="s">
        <v>70</v>
      </c>
      <c r="Y2000" t="s">
        <v>1066</v>
      </c>
      <c r="Z2000" t="s">
        <v>1214</v>
      </c>
      <c r="AB2000" t="str">
        <f t="shared" si="93"/>
        <v>46293</v>
      </c>
    </row>
    <row r="2001" ht="14.25" spans="1:28">
      <c r="A2001" s="5" t="s">
        <v>28</v>
      </c>
      <c r="B2001" s="5" t="s">
        <v>697</v>
      </c>
      <c r="C2001" s="5">
        <v>2027</v>
      </c>
      <c r="D2001" s="5" t="s">
        <v>30</v>
      </c>
      <c r="E2001" t="s">
        <v>1380</v>
      </c>
      <c r="F2001" t="s">
        <v>1381</v>
      </c>
      <c r="G2001" t="s">
        <v>221</v>
      </c>
      <c r="H2001" t="s">
        <v>1382</v>
      </c>
      <c r="I2001" t="s">
        <v>147</v>
      </c>
      <c r="J2001" t="s">
        <v>74</v>
      </c>
      <c r="K2001">
        <v>1990</v>
      </c>
      <c r="O2001" t="s">
        <v>68</v>
      </c>
      <c r="P2001" t="s">
        <v>72</v>
      </c>
      <c r="U2001" s="9" t="s">
        <v>136</v>
      </c>
      <c r="V2001" t="s">
        <v>137</v>
      </c>
      <c r="W2001" t="s">
        <v>138</v>
      </c>
      <c r="X2001" t="s">
        <v>70</v>
      </c>
      <c r="Y2001" t="s">
        <v>1066</v>
      </c>
      <c r="Z2001" t="s">
        <v>1214</v>
      </c>
      <c r="AB2001" t="str">
        <f t="shared" si="93"/>
        <v>46293</v>
      </c>
    </row>
    <row r="2002" ht="14.25" spans="1:28">
      <c r="A2002" s="5" t="s">
        <v>28</v>
      </c>
      <c r="B2002" s="5" t="s">
        <v>697</v>
      </c>
      <c r="C2002" s="5">
        <v>2027</v>
      </c>
      <c r="D2002" s="5" t="s">
        <v>30</v>
      </c>
      <c r="E2002" t="s">
        <v>1380</v>
      </c>
      <c r="F2002" t="s">
        <v>1381</v>
      </c>
      <c r="G2002" t="s">
        <v>221</v>
      </c>
      <c r="H2002" t="s">
        <v>1382</v>
      </c>
      <c r="I2002" t="s">
        <v>147</v>
      </c>
      <c r="J2002" t="s">
        <v>74</v>
      </c>
      <c r="K2002">
        <v>1990</v>
      </c>
      <c r="O2002" t="s">
        <v>68</v>
      </c>
      <c r="P2002" t="s">
        <v>73</v>
      </c>
      <c r="U2002" s="9" t="s">
        <v>136</v>
      </c>
      <c r="V2002" t="s">
        <v>137</v>
      </c>
      <c r="W2002" t="s">
        <v>138</v>
      </c>
      <c r="X2002" t="s">
        <v>70</v>
      </c>
      <c r="Y2002" t="s">
        <v>1066</v>
      </c>
      <c r="Z2002" t="s">
        <v>1214</v>
      </c>
      <c r="AB2002" t="str">
        <f t="shared" si="93"/>
        <v>46293</v>
      </c>
    </row>
    <row r="2003" ht="14.25" spans="1:28">
      <c r="A2003" s="5" t="s">
        <v>28</v>
      </c>
      <c r="B2003" s="5" t="s">
        <v>697</v>
      </c>
      <c r="C2003" s="5">
        <v>2027</v>
      </c>
      <c r="D2003" s="5" t="s">
        <v>30</v>
      </c>
      <c r="E2003" t="s">
        <v>1380</v>
      </c>
      <c r="F2003" t="s">
        <v>1381</v>
      </c>
      <c r="G2003" t="s">
        <v>221</v>
      </c>
      <c r="H2003" t="s">
        <v>1382</v>
      </c>
      <c r="I2003" t="s">
        <v>147</v>
      </c>
      <c r="J2003" t="s">
        <v>74</v>
      </c>
      <c r="K2003">
        <v>1990</v>
      </c>
      <c r="O2003" t="s">
        <v>68</v>
      </c>
      <c r="P2003" t="s">
        <v>74</v>
      </c>
      <c r="U2003" s="9" t="s">
        <v>136</v>
      </c>
      <c r="V2003" t="s">
        <v>137</v>
      </c>
      <c r="W2003" t="s">
        <v>138</v>
      </c>
      <c r="X2003" t="s">
        <v>70</v>
      </c>
      <c r="Y2003" t="s">
        <v>1066</v>
      </c>
      <c r="Z2003" t="s">
        <v>1214</v>
      </c>
      <c r="AB2003" t="str">
        <f t="shared" si="93"/>
        <v>46293</v>
      </c>
    </row>
    <row r="2004" ht="14.25" spans="1:28">
      <c r="A2004" s="5" t="s">
        <v>28</v>
      </c>
      <c r="B2004" s="5" t="s">
        <v>697</v>
      </c>
      <c r="C2004" s="5">
        <v>2027</v>
      </c>
      <c r="D2004" s="5" t="s">
        <v>30</v>
      </c>
      <c r="E2004" t="s">
        <v>1380</v>
      </c>
      <c r="F2004" t="s">
        <v>1381</v>
      </c>
      <c r="G2004" t="s">
        <v>221</v>
      </c>
      <c r="H2004" t="s">
        <v>1382</v>
      </c>
      <c r="I2004" t="s">
        <v>147</v>
      </c>
      <c r="J2004" t="s">
        <v>74</v>
      </c>
      <c r="K2004">
        <v>1990</v>
      </c>
      <c r="O2004" t="s">
        <v>68</v>
      </c>
      <c r="P2004" t="s">
        <v>75</v>
      </c>
      <c r="U2004" s="9" t="s">
        <v>136</v>
      </c>
      <c r="V2004" t="s">
        <v>137</v>
      </c>
      <c r="W2004" t="s">
        <v>138</v>
      </c>
      <c r="X2004" t="s">
        <v>70</v>
      </c>
      <c r="Y2004" t="s">
        <v>1066</v>
      </c>
      <c r="Z2004" t="s">
        <v>1214</v>
      </c>
      <c r="AB2004" t="str">
        <f t="shared" si="93"/>
        <v>46293</v>
      </c>
    </row>
    <row r="2005" ht="14.25" spans="1:28">
      <c r="A2005" s="5" t="s">
        <v>28</v>
      </c>
      <c r="B2005" s="5" t="s">
        <v>697</v>
      </c>
      <c r="C2005" s="5">
        <v>2027</v>
      </c>
      <c r="D2005" s="5" t="s">
        <v>30</v>
      </c>
      <c r="E2005" t="s">
        <v>1380</v>
      </c>
      <c r="F2005" t="s">
        <v>1381</v>
      </c>
      <c r="G2005" t="s">
        <v>221</v>
      </c>
      <c r="H2005" t="s">
        <v>1382</v>
      </c>
      <c r="I2005" t="s">
        <v>147</v>
      </c>
      <c r="J2005" t="s">
        <v>74</v>
      </c>
      <c r="K2005">
        <v>1990</v>
      </c>
      <c r="O2005" t="s">
        <v>68</v>
      </c>
      <c r="P2005" t="s">
        <v>76</v>
      </c>
      <c r="U2005" s="9" t="s">
        <v>136</v>
      </c>
      <c r="V2005" t="s">
        <v>137</v>
      </c>
      <c r="W2005" t="s">
        <v>138</v>
      </c>
      <c r="X2005" t="s">
        <v>70</v>
      </c>
      <c r="Y2005" t="s">
        <v>1066</v>
      </c>
      <c r="Z2005" t="s">
        <v>1214</v>
      </c>
      <c r="AB2005" t="str">
        <f t="shared" si="93"/>
        <v>46293</v>
      </c>
    </row>
    <row r="2006" ht="14.25" spans="1:28">
      <c r="A2006" s="5" t="s">
        <v>28</v>
      </c>
      <c r="B2006" s="5" t="s">
        <v>697</v>
      </c>
      <c r="C2006" s="5">
        <v>2027</v>
      </c>
      <c r="D2006" s="5" t="s">
        <v>30</v>
      </c>
      <c r="E2006" t="s">
        <v>1380</v>
      </c>
      <c r="F2006" t="s">
        <v>1381</v>
      </c>
      <c r="G2006" t="s">
        <v>221</v>
      </c>
      <c r="H2006" t="s">
        <v>1382</v>
      </c>
      <c r="I2006" t="s">
        <v>147</v>
      </c>
      <c r="J2006" t="s">
        <v>74</v>
      </c>
      <c r="K2006">
        <v>1990</v>
      </c>
      <c r="O2006" t="s">
        <v>68</v>
      </c>
      <c r="P2006" t="s">
        <v>77</v>
      </c>
      <c r="U2006" s="9" t="s">
        <v>136</v>
      </c>
      <c r="V2006" t="s">
        <v>137</v>
      </c>
      <c r="W2006" t="s">
        <v>138</v>
      </c>
      <c r="X2006" t="s">
        <v>70</v>
      </c>
      <c r="Y2006" t="s">
        <v>1066</v>
      </c>
      <c r="Z2006" t="s">
        <v>1214</v>
      </c>
      <c r="AB2006" t="str">
        <f t="shared" si="93"/>
        <v>46293</v>
      </c>
    </row>
    <row r="2007" ht="14.25" spans="1:28">
      <c r="A2007" s="5" t="s">
        <v>28</v>
      </c>
      <c r="B2007" s="5" t="s">
        <v>697</v>
      </c>
      <c r="C2007" s="5">
        <v>2027</v>
      </c>
      <c r="D2007" s="5" t="s">
        <v>30</v>
      </c>
      <c r="E2007" t="s">
        <v>1380</v>
      </c>
      <c r="F2007" t="s">
        <v>1381</v>
      </c>
      <c r="G2007" t="s">
        <v>221</v>
      </c>
      <c r="H2007" t="s">
        <v>1382</v>
      </c>
      <c r="I2007" t="s">
        <v>147</v>
      </c>
      <c r="J2007" t="s">
        <v>74</v>
      </c>
      <c r="K2007">
        <v>1990</v>
      </c>
      <c r="O2007" t="s">
        <v>68</v>
      </c>
      <c r="P2007" t="s">
        <v>78</v>
      </c>
      <c r="U2007" s="9" t="s">
        <v>136</v>
      </c>
      <c r="V2007" t="s">
        <v>137</v>
      </c>
      <c r="W2007" t="s">
        <v>138</v>
      </c>
      <c r="X2007" t="s">
        <v>70</v>
      </c>
      <c r="Y2007" t="s">
        <v>1066</v>
      </c>
      <c r="Z2007" t="s">
        <v>1214</v>
      </c>
      <c r="AB2007" t="str">
        <f t="shared" si="93"/>
        <v>46293</v>
      </c>
    </row>
    <row r="2008" ht="14.25" spans="1:28">
      <c r="A2008" s="5" t="s">
        <v>28</v>
      </c>
      <c r="B2008" s="5" t="s">
        <v>697</v>
      </c>
      <c r="C2008" s="5">
        <v>2027</v>
      </c>
      <c r="D2008" s="5" t="s">
        <v>30</v>
      </c>
      <c r="E2008" t="s">
        <v>1380</v>
      </c>
      <c r="F2008" t="s">
        <v>1381</v>
      </c>
      <c r="G2008" t="s">
        <v>221</v>
      </c>
      <c r="H2008" t="s">
        <v>1382</v>
      </c>
      <c r="I2008" t="s">
        <v>147</v>
      </c>
      <c r="J2008" t="s">
        <v>74</v>
      </c>
      <c r="K2008">
        <v>1990</v>
      </c>
      <c r="O2008" t="s">
        <v>68</v>
      </c>
      <c r="P2008" t="s">
        <v>79</v>
      </c>
      <c r="U2008" s="9" t="s">
        <v>136</v>
      </c>
      <c r="V2008" t="s">
        <v>137</v>
      </c>
      <c r="W2008" t="s">
        <v>138</v>
      </c>
      <c r="X2008" t="s">
        <v>70</v>
      </c>
      <c r="Y2008" t="s">
        <v>1066</v>
      </c>
      <c r="Z2008" t="s">
        <v>1214</v>
      </c>
      <c r="AB2008" t="str">
        <f t="shared" si="93"/>
        <v>46293</v>
      </c>
    </row>
    <row r="2009" ht="14.25" spans="1:28">
      <c r="A2009" s="5" t="s">
        <v>28</v>
      </c>
      <c r="B2009" s="5" t="s">
        <v>697</v>
      </c>
      <c r="C2009" s="5">
        <v>2027</v>
      </c>
      <c r="D2009" s="5" t="s">
        <v>30</v>
      </c>
      <c r="E2009" t="s">
        <v>1383</v>
      </c>
      <c r="F2009" t="s">
        <v>1384</v>
      </c>
      <c r="G2009" t="s">
        <v>65</v>
      </c>
      <c r="H2009" t="s">
        <v>1385</v>
      </c>
      <c r="I2009" t="s">
        <v>147</v>
      </c>
      <c r="J2009" t="s">
        <v>74</v>
      </c>
      <c r="K2009">
        <v>1790</v>
      </c>
      <c r="O2009" t="s">
        <v>68</v>
      </c>
      <c r="P2009" t="s">
        <v>69</v>
      </c>
      <c r="R2009">
        <f t="shared" si="94"/>
        <v>0</v>
      </c>
      <c r="S2009">
        <f>SUMIFS([1]Sheet1!$T:$T,[1]Sheet1!$I:$I,E2009,[1]Sheet1!$C:$C,A2009)</f>
        <v>180</v>
      </c>
      <c r="T2009">
        <f t="shared" si="95"/>
        <v>-180</v>
      </c>
      <c r="U2009" s="9" t="s">
        <v>136</v>
      </c>
      <c r="V2009" t="s">
        <v>137</v>
      </c>
      <c r="W2009" t="s">
        <v>138</v>
      </c>
      <c r="X2009" t="s">
        <v>70</v>
      </c>
      <c r="Y2009" t="s">
        <v>920</v>
      </c>
      <c r="Z2009" t="s">
        <v>71</v>
      </c>
      <c r="AB2009" t="str">
        <f t="shared" si="93"/>
        <v>46295</v>
      </c>
    </row>
    <row r="2010" ht="14.25" spans="1:28">
      <c r="A2010" s="5" t="s">
        <v>28</v>
      </c>
      <c r="B2010" s="5" t="s">
        <v>697</v>
      </c>
      <c r="C2010" s="5">
        <v>2027</v>
      </c>
      <c r="D2010" s="5" t="s">
        <v>30</v>
      </c>
      <c r="E2010" t="s">
        <v>1383</v>
      </c>
      <c r="F2010" t="s">
        <v>1384</v>
      </c>
      <c r="G2010" t="s">
        <v>65</v>
      </c>
      <c r="H2010" t="s">
        <v>1385</v>
      </c>
      <c r="I2010" t="s">
        <v>147</v>
      </c>
      <c r="J2010" t="s">
        <v>74</v>
      </c>
      <c r="K2010">
        <v>1790</v>
      </c>
      <c r="O2010" t="s">
        <v>68</v>
      </c>
      <c r="P2010" t="s">
        <v>72</v>
      </c>
      <c r="U2010" s="9" t="s">
        <v>136</v>
      </c>
      <c r="V2010" t="s">
        <v>137</v>
      </c>
      <c r="W2010" t="s">
        <v>138</v>
      </c>
      <c r="X2010" t="s">
        <v>70</v>
      </c>
      <c r="Y2010" t="s">
        <v>920</v>
      </c>
      <c r="Z2010" t="s">
        <v>71</v>
      </c>
      <c r="AB2010" t="str">
        <f t="shared" si="93"/>
        <v>46295</v>
      </c>
    </row>
    <row r="2011" ht="14.25" spans="1:28">
      <c r="A2011" s="5" t="s">
        <v>28</v>
      </c>
      <c r="B2011" s="5" t="s">
        <v>697</v>
      </c>
      <c r="C2011" s="5">
        <v>2027</v>
      </c>
      <c r="D2011" s="5" t="s">
        <v>30</v>
      </c>
      <c r="E2011" t="s">
        <v>1383</v>
      </c>
      <c r="F2011" t="s">
        <v>1384</v>
      </c>
      <c r="G2011" t="s">
        <v>65</v>
      </c>
      <c r="H2011" t="s">
        <v>1385</v>
      </c>
      <c r="I2011" t="s">
        <v>147</v>
      </c>
      <c r="J2011" t="s">
        <v>74</v>
      </c>
      <c r="K2011">
        <v>1790</v>
      </c>
      <c r="O2011" t="s">
        <v>68</v>
      </c>
      <c r="P2011" t="s">
        <v>73</v>
      </c>
      <c r="U2011" s="9" t="s">
        <v>136</v>
      </c>
      <c r="V2011" t="s">
        <v>137</v>
      </c>
      <c r="W2011" t="s">
        <v>138</v>
      </c>
      <c r="X2011" t="s">
        <v>70</v>
      </c>
      <c r="Y2011" t="s">
        <v>920</v>
      </c>
      <c r="Z2011" t="s">
        <v>71</v>
      </c>
      <c r="AB2011" t="str">
        <f t="shared" si="93"/>
        <v>46295</v>
      </c>
    </row>
    <row r="2012" ht="14.25" spans="1:28">
      <c r="A2012" s="5" t="s">
        <v>28</v>
      </c>
      <c r="B2012" s="5" t="s">
        <v>697</v>
      </c>
      <c r="C2012" s="5">
        <v>2027</v>
      </c>
      <c r="D2012" s="5" t="s">
        <v>30</v>
      </c>
      <c r="E2012" t="s">
        <v>1383</v>
      </c>
      <c r="F2012" t="s">
        <v>1384</v>
      </c>
      <c r="G2012" t="s">
        <v>65</v>
      </c>
      <c r="H2012" t="s">
        <v>1385</v>
      </c>
      <c r="I2012" t="s">
        <v>147</v>
      </c>
      <c r="J2012" t="s">
        <v>74</v>
      </c>
      <c r="K2012">
        <v>1790</v>
      </c>
      <c r="O2012" t="s">
        <v>68</v>
      </c>
      <c r="P2012" t="s">
        <v>74</v>
      </c>
      <c r="U2012" s="9" t="s">
        <v>136</v>
      </c>
      <c r="V2012" t="s">
        <v>137</v>
      </c>
      <c r="W2012" t="s">
        <v>138</v>
      </c>
      <c r="X2012" t="s">
        <v>70</v>
      </c>
      <c r="Y2012" t="s">
        <v>920</v>
      </c>
      <c r="Z2012" t="s">
        <v>71</v>
      </c>
      <c r="AB2012" t="str">
        <f t="shared" si="93"/>
        <v>46295</v>
      </c>
    </row>
    <row r="2013" ht="14.25" spans="1:28">
      <c r="A2013" s="5" t="s">
        <v>28</v>
      </c>
      <c r="B2013" s="5" t="s">
        <v>697</v>
      </c>
      <c r="C2013" s="5">
        <v>2027</v>
      </c>
      <c r="D2013" s="5" t="s">
        <v>30</v>
      </c>
      <c r="E2013" t="s">
        <v>1383</v>
      </c>
      <c r="F2013" t="s">
        <v>1384</v>
      </c>
      <c r="G2013" t="s">
        <v>65</v>
      </c>
      <c r="H2013" t="s">
        <v>1385</v>
      </c>
      <c r="I2013" t="s">
        <v>147</v>
      </c>
      <c r="J2013" t="s">
        <v>74</v>
      </c>
      <c r="K2013">
        <v>1790</v>
      </c>
      <c r="O2013" t="s">
        <v>68</v>
      </c>
      <c r="P2013" t="s">
        <v>75</v>
      </c>
      <c r="U2013" s="9" t="s">
        <v>136</v>
      </c>
      <c r="V2013" t="s">
        <v>137</v>
      </c>
      <c r="W2013" t="s">
        <v>138</v>
      </c>
      <c r="X2013" t="s">
        <v>70</v>
      </c>
      <c r="Y2013" t="s">
        <v>920</v>
      </c>
      <c r="Z2013" t="s">
        <v>71</v>
      </c>
      <c r="AB2013" t="str">
        <f t="shared" si="93"/>
        <v>46295</v>
      </c>
    </row>
    <row r="2014" ht="14.25" spans="1:28">
      <c r="A2014" s="5" t="s">
        <v>28</v>
      </c>
      <c r="B2014" s="5" t="s">
        <v>697</v>
      </c>
      <c r="C2014" s="5">
        <v>2027</v>
      </c>
      <c r="D2014" s="5" t="s">
        <v>30</v>
      </c>
      <c r="E2014" t="s">
        <v>1383</v>
      </c>
      <c r="F2014" t="s">
        <v>1384</v>
      </c>
      <c r="G2014" t="s">
        <v>65</v>
      </c>
      <c r="H2014" t="s">
        <v>1385</v>
      </c>
      <c r="I2014" t="s">
        <v>147</v>
      </c>
      <c r="J2014" t="s">
        <v>74</v>
      </c>
      <c r="K2014">
        <v>1790</v>
      </c>
      <c r="O2014" t="s">
        <v>68</v>
      </c>
      <c r="P2014" t="s">
        <v>76</v>
      </c>
      <c r="U2014" s="9" t="s">
        <v>136</v>
      </c>
      <c r="V2014" t="s">
        <v>137</v>
      </c>
      <c r="W2014" t="s">
        <v>138</v>
      </c>
      <c r="X2014" t="s">
        <v>70</v>
      </c>
      <c r="Y2014" t="s">
        <v>920</v>
      </c>
      <c r="Z2014" t="s">
        <v>71</v>
      </c>
      <c r="AB2014" t="str">
        <f t="shared" si="93"/>
        <v>46295</v>
      </c>
    </row>
    <row r="2015" ht="14.25" spans="1:28">
      <c r="A2015" s="5" t="s">
        <v>28</v>
      </c>
      <c r="B2015" s="5" t="s">
        <v>697</v>
      </c>
      <c r="C2015" s="5">
        <v>2027</v>
      </c>
      <c r="D2015" s="5" t="s">
        <v>30</v>
      </c>
      <c r="E2015" t="s">
        <v>1383</v>
      </c>
      <c r="F2015" t="s">
        <v>1384</v>
      </c>
      <c r="G2015" t="s">
        <v>65</v>
      </c>
      <c r="H2015" t="s">
        <v>1385</v>
      </c>
      <c r="I2015" t="s">
        <v>147</v>
      </c>
      <c r="J2015" t="s">
        <v>74</v>
      </c>
      <c r="K2015">
        <v>1790</v>
      </c>
      <c r="O2015" t="s">
        <v>68</v>
      </c>
      <c r="P2015" t="s">
        <v>77</v>
      </c>
      <c r="U2015" s="9" t="s">
        <v>136</v>
      </c>
      <c r="V2015" t="s">
        <v>137</v>
      </c>
      <c r="W2015" t="s">
        <v>138</v>
      </c>
      <c r="X2015" t="s">
        <v>70</v>
      </c>
      <c r="Y2015" t="s">
        <v>920</v>
      </c>
      <c r="Z2015" t="s">
        <v>71</v>
      </c>
      <c r="AB2015" t="str">
        <f t="shared" si="93"/>
        <v>46295</v>
      </c>
    </row>
    <row r="2016" ht="14.25" spans="1:28">
      <c r="A2016" s="5" t="s">
        <v>28</v>
      </c>
      <c r="B2016" s="5" t="s">
        <v>697</v>
      </c>
      <c r="C2016" s="5">
        <v>2027</v>
      </c>
      <c r="D2016" s="5" t="s">
        <v>30</v>
      </c>
      <c r="E2016" t="s">
        <v>1383</v>
      </c>
      <c r="F2016" t="s">
        <v>1384</v>
      </c>
      <c r="G2016" t="s">
        <v>65</v>
      </c>
      <c r="H2016" t="s">
        <v>1385</v>
      </c>
      <c r="I2016" t="s">
        <v>147</v>
      </c>
      <c r="J2016" t="s">
        <v>74</v>
      </c>
      <c r="K2016">
        <v>1790</v>
      </c>
      <c r="O2016" t="s">
        <v>68</v>
      </c>
      <c r="P2016" t="s">
        <v>78</v>
      </c>
      <c r="U2016" s="9" t="s">
        <v>136</v>
      </c>
      <c r="V2016" t="s">
        <v>137</v>
      </c>
      <c r="W2016" t="s">
        <v>138</v>
      </c>
      <c r="X2016" t="s">
        <v>70</v>
      </c>
      <c r="Y2016" t="s">
        <v>920</v>
      </c>
      <c r="Z2016" t="s">
        <v>71</v>
      </c>
      <c r="AB2016" t="str">
        <f t="shared" si="93"/>
        <v>46295</v>
      </c>
    </row>
    <row r="2017" ht="14.25" spans="1:28">
      <c r="A2017" s="5" t="s">
        <v>28</v>
      </c>
      <c r="B2017" s="5" t="s">
        <v>697</v>
      </c>
      <c r="C2017" s="5">
        <v>2027</v>
      </c>
      <c r="D2017" s="5" t="s">
        <v>30</v>
      </c>
      <c r="E2017" t="s">
        <v>1383</v>
      </c>
      <c r="F2017" t="s">
        <v>1384</v>
      </c>
      <c r="G2017" t="s">
        <v>65</v>
      </c>
      <c r="H2017" t="s">
        <v>1385</v>
      </c>
      <c r="I2017" t="s">
        <v>147</v>
      </c>
      <c r="J2017" t="s">
        <v>74</v>
      </c>
      <c r="K2017">
        <v>1790</v>
      </c>
      <c r="O2017" t="s">
        <v>68</v>
      </c>
      <c r="P2017" t="s">
        <v>79</v>
      </c>
      <c r="U2017" s="9" t="s">
        <v>136</v>
      </c>
      <c r="V2017" t="s">
        <v>137</v>
      </c>
      <c r="W2017" t="s">
        <v>138</v>
      </c>
      <c r="X2017" t="s">
        <v>70</v>
      </c>
      <c r="Y2017" t="s">
        <v>920</v>
      </c>
      <c r="Z2017" t="s">
        <v>71</v>
      </c>
      <c r="AB2017" t="str">
        <f t="shared" si="93"/>
        <v>46295</v>
      </c>
    </row>
    <row r="2018" ht="14.25" spans="1:28">
      <c r="A2018" s="5" t="s">
        <v>28</v>
      </c>
      <c r="B2018" s="5" t="s">
        <v>697</v>
      </c>
      <c r="C2018" s="5">
        <v>2027</v>
      </c>
      <c r="D2018" s="5" t="s">
        <v>30</v>
      </c>
      <c r="E2018" t="s">
        <v>1386</v>
      </c>
      <c r="F2018" t="s">
        <v>1384</v>
      </c>
      <c r="G2018" t="s">
        <v>100</v>
      </c>
      <c r="H2018" t="s">
        <v>1387</v>
      </c>
      <c r="I2018" t="s">
        <v>147</v>
      </c>
      <c r="J2018" t="s">
        <v>74</v>
      </c>
      <c r="K2018">
        <v>1790</v>
      </c>
      <c r="O2018" t="s">
        <v>68</v>
      </c>
      <c r="P2018" t="s">
        <v>69</v>
      </c>
      <c r="R2018">
        <f t="shared" si="94"/>
        <v>0</v>
      </c>
      <c r="S2018">
        <f>SUMIFS([1]Sheet1!$T:$T,[1]Sheet1!$I:$I,E2018,[1]Sheet1!$C:$C,A2018)</f>
        <v>200</v>
      </c>
      <c r="T2018">
        <f t="shared" si="95"/>
        <v>-200</v>
      </c>
      <c r="U2018" s="9" t="s">
        <v>136</v>
      </c>
      <c r="V2018" t="s">
        <v>137</v>
      </c>
      <c r="W2018" t="s">
        <v>138</v>
      </c>
      <c r="X2018" t="s">
        <v>102</v>
      </c>
      <c r="Y2018" t="s">
        <v>920</v>
      </c>
      <c r="Z2018" t="s">
        <v>71</v>
      </c>
      <c r="AB2018" t="str">
        <f t="shared" si="93"/>
        <v>46295</v>
      </c>
    </row>
    <row r="2019" ht="14.25" spans="1:28">
      <c r="A2019" s="5" t="s">
        <v>28</v>
      </c>
      <c r="B2019" s="5" t="s">
        <v>697</v>
      </c>
      <c r="C2019" s="5">
        <v>2027</v>
      </c>
      <c r="D2019" s="5" t="s">
        <v>30</v>
      </c>
      <c r="E2019" t="s">
        <v>1386</v>
      </c>
      <c r="F2019" t="s">
        <v>1384</v>
      </c>
      <c r="G2019" t="s">
        <v>100</v>
      </c>
      <c r="H2019" t="s">
        <v>1387</v>
      </c>
      <c r="I2019" t="s">
        <v>147</v>
      </c>
      <c r="J2019" t="s">
        <v>74</v>
      </c>
      <c r="K2019">
        <v>1790</v>
      </c>
      <c r="O2019" t="s">
        <v>68</v>
      </c>
      <c r="P2019" t="s">
        <v>72</v>
      </c>
      <c r="U2019" s="9" t="s">
        <v>136</v>
      </c>
      <c r="V2019" t="s">
        <v>137</v>
      </c>
      <c r="W2019" t="s">
        <v>138</v>
      </c>
      <c r="X2019" t="s">
        <v>102</v>
      </c>
      <c r="Y2019" t="s">
        <v>920</v>
      </c>
      <c r="Z2019" t="s">
        <v>71</v>
      </c>
      <c r="AB2019" t="str">
        <f t="shared" si="93"/>
        <v>46295</v>
      </c>
    </row>
    <row r="2020" ht="14.25" spans="1:28">
      <c r="A2020" s="5" t="s">
        <v>28</v>
      </c>
      <c r="B2020" s="5" t="s">
        <v>697</v>
      </c>
      <c r="C2020" s="5">
        <v>2027</v>
      </c>
      <c r="D2020" s="5" t="s">
        <v>30</v>
      </c>
      <c r="E2020" t="s">
        <v>1386</v>
      </c>
      <c r="F2020" t="s">
        <v>1384</v>
      </c>
      <c r="G2020" t="s">
        <v>100</v>
      </c>
      <c r="H2020" t="s">
        <v>1387</v>
      </c>
      <c r="I2020" t="s">
        <v>147</v>
      </c>
      <c r="J2020" t="s">
        <v>74</v>
      </c>
      <c r="K2020">
        <v>1790</v>
      </c>
      <c r="O2020" t="s">
        <v>68</v>
      </c>
      <c r="P2020" t="s">
        <v>73</v>
      </c>
      <c r="U2020" s="9" t="s">
        <v>136</v>
      </c>
      <c r="V2020" t="s">
        <v>137</v>
      </c>
      <c r="W2020" t="s">
        <v>138</v>
      </c>
      <c r="X2020" t="s">
        <v>102</v>
      </c>
      <c r="Y2020" t="s">
        <v>920</v>
      </c>
      <c r="Z2020" t="s">
        <v>71</v>
      </c>
      <c r="AB2020" t="str">
        <f t="shared" si="93"/>
        <v>46295</v>
      </c>
    </row>
    <row r="2021" ht="14.25" spans="1:28">
      <c r="A2021" s="5" t="s">
        <v>28</v>
      </c>
      <c r="B2021" s="5" t="s">
        <v>697</v>
      </c>
      <c r="C2021" s="5">
        <v>2027</v>
      </c>
      <c r="D2021" s="5" t="s">
        <v>30</v>
      </c>
      <c r="E2021" t="s">
        <v>1386</v>
      </c>
      <c r="F2021" t="s">
        <v>1384</v>
      </c>
      <c r="G2021" t="s">
        <v>100</v>
      </c>
      <c r="H2021" t="s">
        <v>1387</v>
      </c>
      <c r="I2021" t="s">
        <v>147</v>
      </c>
      <c r="J2021" t="s">
        <v>74</v>
      </c>
      <c r="K2021">
        <v>1790</v>
      </c>
      <c r="O2021" t="s">
        <v>68</v>
      </c>
      <c r="P2021" t="s">
        <v>74</v>
      </c>
      <c r="U2021" s="9" t="s">
        <v>136</v>
      </c>
      <c r="V2021" t="s">
        <v>137</v>
      </c>
      <c r="W2021" t="s">
        <v>138</v>
      </c>
      <c r="X2021" t="s">
        <v>102</v>
      </c>
      <c r="Y2021" t="s">
        <v>920</v>
      </c>
      <c r="Z2021" t="s">
        <v>71</v>
      </c>
      <c r="AB2021" t="str">
        <f t="shared" si="93"/>
        <v>46295</v>
      </c>
    </row>
    <row r="2022" ht="14.25" spans="1:28">
      <c r="A2022" s="5" t="s">
        <v>28</v>
      </c>
      <c r="B2022" s="5" t="s">
        <v>697</v>
      </c>
      <c r="C2022" s="5">
        <v>2027</v>
      </c>
      <c r="D2022" s="5" t="s">
        <v>30</v>
      </c>
      <c r="E2022" t="s">
        <v>1386</v>
      </c>
      <c r="F2022" t="s">
        <v>1384</v>
      </c>
      <c r="G2022" t="s">
        <v>100</v>
      </c>
      <c r="H2022" t="s">
        <v>1387</v>
      </c>
      <c r="I2022" t="s">
        <v>147</v>
      </c>
      <c r="J2022" t="s">
        <v>74</v>
      </c>
      <c r="K2022">
        <v>1790</v>
      </c>
      <c r="O2022" t="s">
        <v>68</v>
      </c>
      <c r="P2022" t="s">
        <v>75</v>
      </c>
      <c r="U2022" s="9" t="s">
        <v>136</v>
      </c>
      <c r="V2022" t="s">
        <v>137</v>
      </c>
      <c r="W2022" t="s">
        <v>138</v>
      </c>
      <c r="X2022" t="s">
        <v>102</v>
      </c>
      <c r="Y2022" t="s">
        <v>920</v>
      </c>
      <c r="Z2022" t="s">
        <v>71</v>
      </c>
      <c r="AB2022" t="str">
        <f t="shared" si="93"/>
        <v>46295</v>
      </c>
    </row>
    <row r="2023" ht="14.25" spans="1:28">
      <c r="A2023" s="5" t="s">
        <v>28</v>
      </c>
      <c r="B2023" s="5" t="s">
        <v>697</v>
      </c>
      <c r="C2023" s="5">
        <v>2027</v>
      </c>
      <c r="D2023" s="5" t="s">
        <v>30</v>
      </c>
      <c r="E2023" t="s">
        <v>1386</v>
      </c>
      <c r="F2023" t="s">
        <v>1384</v>
      </c>
      <c r="G2023" t="s">
        <v>100</v>
      </c>
      <c r="H2023" t="s">
        <v>1387</v>
      </c>
      <c r="I2023" t="s">
        <v>147</v>
      </c>
      <c r="J2023" t="s">
        <v>74</v>
      </c>
      <c r="K2023">
        <v>1790</v>
      </c>
      <c r="O2023" t="s">
        <v>68</v>
      </c>
      <c r="P2023" t="s">
        <v>76</v>
      </c>
      <c r="U2023" s="9" t="s">
        <v>136</v>
      </c>
      <c r="V2023" t="s">
        <v>137</v>
      </c>
      <c r="W2023" t="s">
        <v>138</v>
      </c>
      <c r="X2023" t="s">
        <v>102</v>
      </c>
      <c r="Y2023" t="s">
        <v>920</v>
      </c>
      <c r="Z2023" t="s">
        <v>71</v>
      </c>
      <c r="AB2023" t="str">
        <f t="shared" si="93"/>
        <v>46295</v>
      </c>
    </row>
    <row r="2024" ht="14.25" spans="1:28">
      <c r="A2024" s="5" t="s">
        <v>28</v>
      </c>
      <c r="B2024" s="5" t="s">
        <v>697</v>
      </c>
      <c r="C2024" s="5">
        <v>2027</v>
      </c>
      <c r="D2024" s="5" t="s">
        <v>30</v>
      </c>
      <c r="E2024" t="s">
        <v>1386</v>
      </c>
      <c r="F2024" t="s">
        <v>1384</v>
      </c>
      <c r="G2024" t="s">
        <v>100</v>
      </c>
      <c r="H2024" t="s">
        <v>1387</v>
      </c>
      <c r="I2024" t="s">
        <v>147</v>
      </c>
      <c r="J2024" t="s">
        <v>74</v>
      </c>
      <c r="K2024">
        <v>1790</v>
      </c>
      <c r="O2024" t="s">
        <v>68</v>
      </c>
      <c r="P2024" t="s">
        <v>77</v>
      </c>
      <c r="U2024" s="9" t="s">
        <v>136</v>
      </c>
      <c r="V2024" t="s">
        <v>137</v>
      </c>
      <c r="W2024" t="s">
        <v>138</v>
      </c>
      <c r="X2024" t="s">
        <v>102</v>
      </c>
      <c r="Y2024" t="s">
        <v>920</v>
      </c>
      <c r="Z2024" t="s">
        <v>71</v>
      </c>
      <c r="AB2024" t="str">
        <f t="shared" si="93"/>
        <v>46295</v>
      </c>
    </row>
    <row r="2025" ht="14.25" spans="1:28">
      <c r="A2025" s="5" t="s">
        <v>28</v>
      </c>
      <c r="B2025" s="5" t="s">
        <v>697</v>
      </c>
      <c r="C2025" s="5">
        <v>2027</v>
      </c>
      <c r="D2025" s="5" t="s">
        <v>30</v>
      </c>
      <c r="E2025" t="s">
        <v>1386</v>
      </c>
      <c r="F2025" t="s">
        <v>1384</v>
      </c>
      <c r="G2025" t="s">
        <v>100</v>
      </c>
      <c r="H2025" t="s">
        <v>1387</v>
      </c>
      <c r="I2025" t="s">
        <v>147</v>
      </c>
      <c r="J2025" t="s">
        <v>74</v>
      </c>
      <c r="K2025">
        <v>1790</v>
      </c>
      <c r="O2025" t="s">
        <v>68</v>
      </c>
      <c r="P2025" t="s">
        <v>78</v>
      </c>
      <c r="U2025" s="9" t="s">
        <v>136</v>
      </c>
      <c r="V2025" t="s">
        <v>137</v>
      </c>
      <c r="W2025" t="s">
        <v>138</v>
      </c>
      <c r="X2025" t="s">
        <v>102</v>
      </c>
      <c r="Y2025" t="s">
        <v>920</v>
      </c>
      <c r="Z2025" t="s">
        <v>71</v>
      </c>
      <c r="AB2025" t="str">
        <f t="shared" si="93"/>
        <v>46295</v>
      </c>
    </row>
    <row r="2026" ht="14.25" spans="1:28">
      <c r="A2026" s="5" t="s">
        <v>28</v>
      </c>
      <c r="B2026" s="5" t="s">
        <v>697</v>
      </c>
      <c r="C2026" s="5">
        <v>2027</v>
      </c>
      <c r="D2026" s="5" t="s">
        <v>30</v>
      </c>
      <c r="E2026" t="s">
        <v>1386</v>
      </c>
      <c r="F2026" t="s">
        <v>1384</v>
      </c>
      <c r="G2026" t="s">
        <v>100</v>
      </c>
      <c r="H2026" t="s">
        <v>1387</v>
      </c>
      <c r="I2026" t="s">
        <v>147</v>
      </c>
      <c r="J2026" t="s">
        <v>74</v>
      </c>
      <c r="K2026">
        <v>1790</v>
      </c>
      <c r="O2026" t="s">
        <v>68</v>
      </c>
      <c r="P2026" t="s">
        <v>79</v>
      </c>
      <c r="U2026" s="9" t="s">
        <v>136</v>
      </c>
      <c r="V2026" t="s">
        <v>137</v>
      </c>
      <c r="W2026" t="s">
        <v>138</v>
      </c>
      <c r="X2026" t="s">
        <v>102</v>
      </c>
      <c r="Y2026" t="s">
        <v>920</v>
      </c>
      <c r="Z2026" t="s">
        <v>71</v>
      </c>
      <c r="AB2026" t="str">
        <f t="shared" si="93"/>
        <v>46295</v>
      </c>
    </row>
    <row r="2027" ht="14.25" spans="1:28">
      <c r="A2027" s="5" t="s">
        <v>28</v>
      </c>
      <c r="B2027" s="5" t="s">
        <v>697</v>
      </c>
      <c r="C2027" s="5">
        <v>2027</v>
      </c>
      <c r="D2027" s="5" t="s">
        <v>30</v>
      </c>
      <c r="E2027" t="s">
        <v>1388</v>
      </c>
      <c r="F2027" t="s">
        <v>1384</v>
      </c>
      <c r="G2027" t="s">
        <v>84</v>
      </c>
      <c r="H2027" t="s">
        <v>1389</v>
      </c>
      <c r="I2027" t="s">
        <v>147</v>
      </c>
      <c r="J2027" t="s">
        <v>74</v>
      </c>
      <c r="K2027">
        <v>1790</v>
      </c>
      <c r="O2027" t="s">
        <v>68</v>
      </c>
      <c r="P2027" t="s">
        <v>69</v>
      </c>
      <c r="R2027">
        <f t="shared" si="94"/>
        <v>0</v>
      </c>
      <c r="S2027">
        <f>SUMIFS([1]Sheet1!$T:$T,[1]Sheet1!$I:$I,E2027,[1]Sheet1!$C:$C,A2027)</f>
        <v>60</v>
      </c>
      <c r="T2027">
        <f t="shared" si="95"/>
        <v>-60</v>
      </c>
      <c r="U2027" s="9" t="s">
        <v>136</v>
      </c>
      <c r="V2027" t="s">
        <v>137</v>
      </c>
      <c r="W2027" t="s">
        <v>138</v>
      </c>
      <c r="X2027" t="s">
        <v>86</v>
      </c>
      <c r="Y2027" t="s">
        <v>920</v>
      </c>
      <c r="Z2027" t="s">
        <v>71</v>
      </c>
      <c r="AB2027" t="str">
        <f t="shared" si="93"/>
        <v>46295</v>
      </c>
    </row>
    <row r="2028" ht="14.25" spans="1:28">
      <c r="A2028" s="5" t="s">
        <v>28</v>
      </c>
      <c r="B2028" s="5" t="s">
        <v>697</v>
      </c>
      <c r="C2028" s="5">
        <v>2027</v>
      </c>
      <c r="D2028" s="5" t="s">
        <v>30</v>
      </c>
      <c r="E2028" t="s">
        <v>1388</v>
      </c>
      <c r="F2028" t="s">
        <v>1384</v>
      </c>
      <c r="G2028" t="s">
        <v>84</v>
      </c>
      <c r="H2028" t="s">
        <v>1389</v>
      </c>
      <c r="I2028" t="s">
        <v>147</v>
      </c>
      <c r="J2028" t="s">
        <v>74</v>
      </c>
      <c r="K2028">
        <v>1790</v>
      </c>
      <c r="O2028" t="s">
        <v>68</v>
      </c>
      <c r="P2028" t="s">
        <v>72</v>
      </c>
      <c r="U2028" s="9" t="s">
        <v>136</v>
      </c>
      <c r="V2028" t="s">
        <v>137</v>
      </c>
      <c r="W2028" t="s">
        <v>138</v>
      </c>
      <c r="X2028" t="s">
        <v>86</v>
      </c>
      <c r="Y2028" t="s">
        <v>920</v>
      </c>
      <c r="Z2028" t="s">
        <v>71</v>
      </c>
      <c r="AB2028" t="str">
        <f t="shared" si="93"/>
        <v>46295</v>
      </c>
    </row>
    <row r="2029" ht="14.25" spans="1:28">
      <c r="A2029" s="5" t="s">
        <v>28</v>
      </c>
      <c r="B2029" s="5" t="s">
        <v>697</v>
      </c>
      <c r="C2029" s="5">
        <v>2027</v>
      </c>
      <c r="D2029" s="5" t="s">
        <v>30</v>
      </c>
      <c r="E2029" t="s">
        <v>1388</v>
      </c>
      <c r="F2029" t="s">
        <v>1384</v>
      </c>
      <c r="G2029" t="s">
        <v>84</v>
      </c>
      <c r="H2029" t="s">
        <v>1389</v>
      </c>
      <c r="I2029" t="s">
        <v>147</v>
      </c>
      <c r="J2029" t="s">
        <v>74</v>
      </c>
      <c r="K2029">
        <v>1790</v>
      </c>
      <c r="O2029" t="s">
        <v>68</v>
      </c>
      <c r="P2029" t="s">
        <v>73</v>
      </c>
      <c r="U2029" s="9" t="s">
        <v>136</v>
      </c>
      <c r="V2029" t="s">
        <v>137</v>
      </c>
      <c r="W2029" t="s">
        <v>138</v>
      </c>
      <c r="X2029" t="s">
        <v>86</v>
      </c>
      <c r="Y2029" t="s">
        <v>920</v>
      </c>
      <c r="Z2029" t="s">
        <v>71</v>
      </c>
      <c r="AB2029" t="str">
        <f t="shared" si="93"/>
        <v>46295</v>
      </c>
    </row>
    <row r="2030" ht="14.25" spans="1:28">
      <c r="A2030" s="5" t="s">
        <v>28</v>
      </c>
      <c r="B2030" s="5" t="s">
        <v>697</v>
      </c>
      <c r="C2030" s="5">
        <v>2027</v>
      </c>
      <c r="D2030" s="5" t="s">
        <v>30</v>
      </c>
      <c r="E2030" t="s">
        <v>1388</v>
      </c>
      <c r="F2030" t="s">
        <v>1384</v>
      </c>
      <c r="G2030" t="s">
        <v>84</v>
      </c>
      <c r="H2030" t="s">
        <v>1389</v>
      </c>
      <c r="I2030" t="s">
        <v>147</v>
      </c>
      <c r="J2030" t="s">
        <v>74</v>
      </c>
      <c r="K2030">
        <v>1790</v>
      </c>
      <c r="O2030" t="s">
        <v>68</v>
      </c>
      <c r="P2030" t="s">
        <v>74</v>
      </c>
      <c r="U2030" s="9" t="s">
        <v>136</v>
      </c>
      <c r="V2030" t="s">
        <v>137</v>
      </c>
      <c r="W2030" t="s">
        <v>138</v>
      </c>
      <c r="X2030" t="s">
        <v>86</v>
      </c>
      <c r="Y2030" t="s">
        <v>920</v>
      </c>
      <c r="Z2030" t="s">
        <v>71</v>
      </c>
      <c r="AB2030" t="str">
        <f t="shared" si="93"/>
        <v>46295</v>
      </c>
    </row>
    <row r="2031" ht="14.25" spans="1:28">
      <c r="A2031" s="5" t="s">
        <v>28</v>
      </c>
      <c r="B2031" s="5" t="s">
        <v>697</v>
      </c>
      <c r="C2031" s="5">
        <v>2027</v>
      </c>
      <c r="D2031" s="5" t="s">
        <v>30</v>
      </c>
      <c r="E2031" t="s">
        <v>1388</v>
      </c>
      <c r="F2031" t="s">
        <v>1384</v>
      </c>
      <c r="G2031" t="s">
        <v>84</v>
      </c>
      <c r="H2031" t="s">
        <v>1389</v>
      </c>
      <c r="I2031" t="s">
        <v>147</v>
      </c>
      <c r="J2031" t="s">
        <v>74</v>
      </c>
      <c r="K2031">
        <v>1790</v>
      </c>
      <c r="O2031" t="s">
        <v>68</v>
      </c>
      <c r="P2031" t="s">
        <v>75</v>
      </c>
      <c r="U2031" s="9" t="s">
        <v>136</v>
      </c>
      <c r="V2031" t="s">
        <v>137</v>
      </c>
      <c r="W2031" t="s">
        <v>138</v>
      </c>
      <c r="X2031" t="s">
        <v>86</v>
      </c>
      <c r="Y2031" t="s">
        <v>920</v>
      </c>
      <c r="Z2031" t="s">
        <v>71</v>
      </c>
      <c r="AB2031" t="str">
        <f t="shared" si="93"/>
        <v>46295</v>
      </c>
    </row>
    <row r="2032" ht="14.25" spans="1:28">
      <c r="A2032" s="5" t="s">
        <v>28</v>
      </c>
      <c r="B2032" s="5" t="s">
        <v>697</v>
      </c>
      <c r="C2032" s="5">
        <v>2027</v>
      </c>
      <c r="D2032" s="5" t="s">
        <v>30</v>
      </c>
      <c r="E2032" t="s">
        <v>1388</v>
      </c>
      <c r="F2032" t="s">
        <v>1384</v>
      </c>
      <c r="G2032" t="s">
        <v>84</v>
      </c>
      <c r="H2032" t="s">
        <v>1389</v>
      </c>
      <c r="I2032" t="s">
        <v>147</v>
      </c>
      <c r="J2032" t="s">
        <v>74</v>
      </c>
      <c r="K2032">
        <v>1790</v>
      </c>
      <c r="O2032" t="s">
        <v>68</v>
      </c>
      <c r="P2032" t="s">
        <v>76</v>
      </c>
      <c r="U2032" s="9" t="s">
        <v>136</v>
      </c>
      <c r="V2032" t="s">
        <v>137</v>
      </c>
      <c r="W2032" t="s">
        <v>138</v>
      </c>
      <c r="X2032" t="s">
        <v>86</v>
      </c>
      <c r="Y2032" t="s">
        <v>920</v>
      </c>
      <c r="Z2032" t="s">
        <v>71</v>
      </c>
      <c r="AB2032" t="str">
        <f t="shared" si="93"/>
        <v>46295</v>
      </c>
    </row>
    <row r="2033" ht="14.25" spans="1:28">
      <c r="A2033" s="5" t="s">
        <v>28</v>
      </c>
      <c r="B2033" s="5" t="s">
        <v>697</v>
      </c>
      <c r="C2033" s="5">
        <v>2027</v>
      </c>
      <c r="D2033" s="5" t="s">
        <v>30</v>
      </c>
      <c r="E2033" t="s">
        <v>1388</v>
      </c>
      <c r="F2033" t="s">
        <v>1384</v>
      </c>
      <c r="G2033" t="s">
        <v>84</v>
      </c>
      <c r="H2033" t="s">
        <v>1389</v>
      </c>
      <c r="I2033" t="s">
        <v>147</v>
      </c>
      <c r="J2033" t="s">
        <v>74</v>
      </c>
      <c r="K2033">
        <v>1790</v>
      </c>
      <c r="O2033" t="s">
        <v>68</v>
      </c>
      <c r="P2033" t="s">
        <v>77</v>
      </c>
      <c r="U2033" s="9" t="s">
        <v>136</v>
      </c>
      <c r="V2033" t="s">
        <v>137</v>
      </c>
      <c r="W2033" t="s">
        <v>138</v>
      </c>
      <c r="X2033" t="s">
        <v>86</v>
      </c>
      <c r="Y2033" t="s">
        <v>920</v>
      </c>
      <c r="Z2033" t="s">
        <v>71</v>
      </c>
      <c r="AB2033" t="str">
        <f t="shared" si="93"/>
        <v>46295</v>
      </c>
    </row>
    <row r="2034" ht="14.25" spans="1:28">
      <c r="A2034" s="5" t="s">
        <v>28</v>
      </c>
      <c r="B2034" s="5" t="s">
        <v>697</v>
      </c>
      <c r="C2034" s="5">
        <v>2027</v>
      </c>
      <c r="D2034" s="5" t="s">
        <v>30</v>
      </c>
      <c r="E2034" t="s">
        <v>1388</v>
      </c>
      <c r="F2034" t="s">
        <v>1384</v>
      </c>
      <c r="G2034" t="s">
        <v>84</v>
      </c>
      <c r="H2034" t="s">
        <v>1389</v>
      </c>
      <c r="I2034" t="s">
        <v>147</v>
      </c>
      <c r="J2034" t="s">
        <v>74</v>
      </c>
      <c r="K2034">
        <v>1790</v>
      </c>
      <c r="O2034" t="s">
        <v>68</v>
      </c>
      <c r="P2034" t="s">
        <v>78</v>
      </c>
      <c r="U2034" s="9" t="s">
        <v>136</v>
      </c>
      <c r="V2034" t="s">
        <v>137</v>
      </c>
      <c r="W2034" t="s">
        <v>138</v>
      </c>
      <c r="X2034" t="s">
        <v>86</v>
      </c>
      <c r="Y2034" t="s">
        <v>920</v>
      </c>
      <c r="Z2034" t="s">
        <v>71</v>
      </c>
      <c r="AB2034" t="str">
        <f t="shared" si="93"/>
        <v>46295</v>
      </c>
    </row>
    <row r="2035" ht="14.25" spans="1:28">
      <c r="A2035" s="5" t="s">
        <v>28</v>
      </c>
      <c r="B2035" s="5" t="s">
        <v>697</v>
      </c>
      <c r="C2035" s="5">
        <v>2027</v>
      </c>
      <c r="D2035" s="5" t="s">
        <v>30</v>
      </c>
      <c r="E2035" t="s">
        <v>1388</v>
      </c>
      <c r="F2035" t="s">
        <v>1384</v>
      </c>
      <c r="G2035" t="s">
        <v>84</v>
      </c>
      <c r="H2035" t="s">
        <v>1389</v>
      </c>
      <c r="I2035" t="s">
        <v>147</v>
      </c>
      <c r="J2035" t="s">
        <v>74</v>
      </c>
      <c r="K2035">
        <v>1790</v>
      </c>
      <c r="O2035" t="s">
        <v>68</v>
      </c>
      <c r="P2035" t="s">
        <v>79</v>
      </c>
      <c r="U2035" s="9" t="s">
        <v>136</v>
      </c>
      <c r="V2035" t="s">
        <v>137</v>
      </c>
      <c r="W2035" t="s">
        <v>138</v>
      </c>
      <c r="X2035" t="s">
        <v>86</v>
      </c>
      <c r="Y2035" t="s">
        <v>920</v>
      </c>
      <c r="Z2035" t="s">
        <v>71</v>
      </c>
      <c r="AB2035" t="str">
        <f t="shared" ref="AB2035:AB2098" si="96">MID(E2035,6,5)</f>
        <v>46295</v>
      </c>
    </row>
    <row r="2036" ht="14.25" spans="1:28">
      <c r="A2036" s="5" t="s">
        <v>28</v>
      </c>
      <c r="B2036" s="5" t="s">
        <v>697</v>
      </c>
      <c r="C2036" s="5">
        <v>2027</v>
      </c>
      <c r="D2036" s="5" t="s">
        <v>30</v>
      </c>
      <c r="E2036" t="s">
        <v>1390</v>
      </c>
      <c r="F2036" t="s">
        <v>1391</v>
      </c>
      <c r="G2036" t="s">
        <v>221</v>
      </c>
      <c r="H2036" t="s">
        <v>1392</v>
      </c>
      <c r="I2036" t="s">
        <v>112</v>
      </c>
      <c r="J2036" t="s">
        <v>67</v>
      </c>
      <c r="K2036">
        <v>1390</v>
      </c>
      <c r="O2036" t="s">
        <v>68</v>
      </c>
      <c r="P2036" t="s">
        <v>69</v>
      </c>
      <c r="R2036">
        <f t="shared" si="94"/>
        <v>0</v>
      </c>
      <c r="S2036">
        <f>SUMIFS([1]Sheet1!$T:$T,[1]Sheet1!$I:$I,E2036,[1]Sheet1!$C:$C,A2036)</f>
        <v>20</v>
      </c>
      <c r="T2036">
        <f t="shared" si="95"/>
        <v>-20</v>
      </c>
      <c r="U2036" s="9" t="s">
        <v>136</v>
      </c>
      <c r="V2036" t="s">
        <v>1150</v>
      </c>
      <c r="W2036" t="s">
        <v>138</v>
      </c>
      <c r="X2036" t="s">
        <v>70</v>
      </c>
      <c r="Y2036" t="s">
        <v>1190</v>
      </c>
      <c r="Z2036" t="s">
        <v>1214</v>
      </c>
      <c r="AB2036" t="str">
        <f t="shared" si="96"/>
        <v>46303</v>
      </c>
    </row>
    <row r="2037" ht="14.25" spans="1:28">
      <c r="A2037" s="5" t="s">
        <v>28</v>
      </c>
      <c r="B2037" s="5" t="s">
        <v>697</v>
      </c>
      <c r="C2037" s="5">
        <v>2027</v>
      </c>
      <c r="D2037" s="5" t="s">
        <v>30</v>
      </c>
      <c r="E2037" t="s">
        <v>1390</v>
      </c>
      <c r="F2037" t="s">
        <v>1391</v>
      </c>
      <c r="G2037" t="s">
        <v>221</v>
      </c>
      <c r="H2037" t="s">
        <v>1392</v>
      </c>
      <c r="I2037" t="s">
        <v>112</v>
      </c>
      <c r="J2037" t="s">
        <v>67</v>
      </c>
      <c r="K2037">
        <v>1390</v>
      </c>
      <c r="O2037" t="s">
        <v>68</v>
      </c>
      <c r="P2037" t="s">
        <v>72</v>
      </c>
      <c r="U2037" s="9" t="s">
        <v>136</v>
      </c>
      <c r="V2037" t="s">
        <v>1150</v>
      </c>
      <c r="W2037" t="s">
        <v>138</v>
      </c>
      <c r="X2037" t="s">
        <v>70</v>
      </c>
      <c r="Y2037" t="s">
        <v>1190</v>
      </c>
      <c r="Z2037" t="s">
        <v>1214</v>
      </c>
      <c r="AB2037" t="str">
        <f t="shared" si="96"/>
        <v>46303</v>
      </c>
    </row>
    <row r="2038" ht="14.25" spans="1:28">
      <c r="A2038" s="5" t="s">
        <v>28</v>
      </c>
      <c r="B2038" s="5" t="s">
        <v>697</v>
      </c>
      <c r="C2038" s="5">
        <v>2027</v>
      </c>
      <c r="D2038" s="5" t="s">
        <v>30</v>
      </c>
      <c r="E2038" t="s">
        <v>1390</v>
      </c>
      <c r="F2038" t="s">
        <v>1391</v>
      </c>
      <c r="G2038" t="s">
        <v>221</v>
      </c>
      <c r="H2038" t="s">
        <v>1392</v>
      </c>
      <c r="I2038" t="s">
        <v>112</v>
      </c>
      <c r="J2038" t="s">
        <v>67</v>
      </c>
      <c r="K2038">
        <v>1390</v>
      </c>
      <c r="O2038" t="s">
        <v>68</v>
      </c>
      <c r="P2038" t="s">
        <v>73</v>
      </c>
      <c r="U2038" s="9" t="s">
        <v>136</v>
      </c>
      <c r="V2038" t="s">
        <v>1150</v>
      </c>
      <c r="W2038" t="s">
        <v>138</v>
      </c>
      <c r="X2038" t="s">
        <v>70</v>
      </c>
      <c r="Y2038" t="s">
        <v>1190</v>
      </c>
      <c r="Z2038" t="s">
        <v>1214</v>
      </c>
      <c r="AB2038" t="str">
        <f t="shared" si="96"/>
        <v>46303</v>
      </c>
    </row>
    <row r="2039" ht="14.25" spans="1:28">
      <c r="A2039" s="5" t="s">
        <v>28</v>
      </c>
      <c r="B2039" s="5" t="s">
        <v>697</v>
      </c>
      <c r="C2039" s="5">
        <v>2027</v>
      </c>
      <c r="D2039" s="5" t="s">
        <v>30</v>
      </c>
      <c r="E2039" t="s">
        <v>1390</v>
      </c>
      <c r="F2039" t="s">
        <v>1391</v>
      </c>
      <c r="G2039" t="s">
        <v>221</v>
      </c>
      <c r="H2039" t="s">
        <v>1392</v>
      </c>
      <c r="I2039" t="s">
        <v>112</v>
      </c>
      <c r="J2039" t="s">
        <v>67</v>
      </c>
      <c r="K2039">
        <v>1390</v>
      </c>
      <c r="O2039" t="s">
        <v>68</v>
      </c>
      <c r="P2039" t="s">
        <v>74</v>
      </c>
      <c r="U2039" s="9" t="s">
        <v>136</v>
      </c>
      <c r="V2039" t="s">
        <v>1150</v>
      </c>
      <c r="W2039" t="s">
        <v>138</v>
      </c>
      <c r="X2039" t="s">
        <v>70</v>
      </c>
      <c r="Y2039" t="s">
        <v>1190</v>
      </c>
      <c r="Z2039" t="s">
        <v>1214</v>
      </c>
      <c r="AB2039" t="str">
        <f t="shared" si="96"/>
        <v>46303</v>
      </c>
    </row>
    <row r="2040" ht="14.25" spans="1:28">
      <c r="A2040" s="5" t="s">
        <v>28</v>
      </c>
      <c r="B2040" s="5" t="s">
        <v>697</v>
      </c>
      <c r="C2040" s="5">
        <v>2027</v>
      </c>
      <c r="D2040" s="5" t="s">
        <v>30</v>
      </c>
      <c r="E2040" t="s">
        <v>1390</v>
      </c>
      <c r="F2040" t="s">
        <v>1391</v>
      </c>
      <c r="G2040" t="s">
        <v>221</v>
      </c>
      <c r="H2040" t="s">
        <v>1392</v>
      </c>
      <c r="I2040" t="s">
        <v>112</v>
      </c>
      <c r="J2040" t="s">
        <v>67</v>
      </c>
      <c r="K2040">
        <v>1390</v>
      </c>
      <c r="O2040" t="s">
        <v>68</v>
      </c>
      <c r="P2040" t="s">
        <v>75</v>
      </c>
      <c r="U2040" s="9" t="s">
        <v>136</v>
      </c>
      <c r="V2040" t="s">
        <v>1150</v>
      </c>
      <c r="W2040" t="s">
        <v>138</v>
      </c>
      <c r="X2040" t="s">
        <v>70</v>
      </c>
      <c r="Y2040" t="s">
        <v>1190</v>
      </c>
      <c r="Z2040" t="s">
        <v>1214</v>
      </c>
      <c r="AB2040" t="str">
        <f t="shared" si="96"/>
        <v>46303</v>
      </c>
    </row>
    <row r="2041" ht="14.25" spans="1:28">
      <c r="A2041" s="5" t="s">
        <v>28</v>
      </c>
      <c r="B2041" s="5" t="s">
        <v>697</v>
      </c>
      <c r="C2041" s="5">
        <v>2027</v>
      </c>
      <c r="D2041" s="5" t="s">
        <v>30</v>
      </c>
      <c r="E2041" t="s">
        <v>1390</v>
      </c>
      <c r="F2041" t="s">
        <v>1391</v>
      </c>
      <c r="G2041" t="s">
        <v>221</v>
      </c>
      <c r="H2041" t="s">
        <v>1392</v>
      </c>
      <c r="I2041" t="s">
        <v>112</v>
      </c>
      <c r="J2041" t="s">
        <v>67</v>
      </c>
      <c r="K2041">
        <v>1390</v>
      </c>
      <c r="O2041" t="s">
        <v>68</v>
      </c>
      <c r="P2041" t="s">
        <v>76</v>
      </c>
      <c r="U2041" s="9" t="s">
        <v>136</v>
      </c>
      <c r="V2041" t="s">
        <v>1150</v>
      </c>
      <c r="W2041" t="s">
        <v>138</v>
      </c>
      <c r="X2041" t="s">
        <v>70</v>
      </c>
      <c r="Y2041" t="s">
        <v>1190</v>
      </c>
      <c r="Z2041" t="s">
        <v>1214</v>
      </c>
      <c r="AB2041" t="str">
        <f t="shared" si="96"/>
        <v>46303</v>
      </c>
    </row>
    <row r="2042" ht="14.25" spans="1:28">
      <c r="A2042" s="5" t="s">
        <v>28</v>
      </c>
      <c r="B2042" s="5" t="s">
        <v>697</v>
      </c>
      <c r="C2042" s="5">
        <v>2027</v>
      </c>
      <c r="D2042" s="5" t="s">
        <v>30</v>
      </c>
      <c r="E2042" t="s">
        <v>1390</v>
      </c>
      <c r="F2042" t="s">
        <v>1391</v>
      </c>
      <c r="G2042" t="s">
        <v>221</v>
      </c>
      <c r="H2042" t="s">
        <v>1392</v>
      </c>
      <c r="I2042" t="s">
        <v>112</v>
      </c>
      <c r="J2042" t="s">
        <v>67</v>
      </c>
      <c r="K2042">
        <v>1390</v>
      </c>
      <c r="O2042" t="s">
        <v>68</v>
      </c>
      <c r="P2042" t="s">
        <v>77</v>
      </c>
      <c r="U2042" s="9" t="s">
        <v>136</v>
      </c>
      <c r="V2042" t="s">
        <v>1150</v>
      </c>
      <c r="W2042" t="s">
        <v>138</v>
      </c>
      <c r="X2042" t="s">
        <v>70</v>
      </c>
      <c r="Y2042" t="s">
        <v>1190</v>
      </c>
      <c r="Z2042" t="s">
        <v>1214</v>
      </c>
      <c r="AB2042" t="str">
        <f t="shared" si="96"/>
        <v>46303</v>
      </c>
    </row>
    <row r="2043" ht="14.25" spans="1:28">
      <c r="A2043" s="5" t="s">
        <v>28</v>
      </c>
      <c r="B2043" s="5" t="s">
        <v>697</v>
      </c>
      <c r="C2043" s="5">
        <v>2027</v>
      </c>
      <c r="D2043" s="5" t="s">
        <v>30</v>
      </c>
      <c r="E2043" t="s">
        <v>1390</v>
      </c>
      <c r="F2043" t="s">
        <v>1391</v>
      </c>
      <c r="G2043" t="s">
        <v>221</v>
      </c>
      <c r="H2043" t="s">
        <v>1392</v>
      </c>
      <c r="I2043" t="s">
        <v>112</v>
      </c>
      <c r="J2043" t="s">
        <v>67</v>
      </c>
      <c r="K2043">
        <v>1390</v>
      </c>
      <c r="O2043" t="s">
        <v>68</v>
      </c>
      <c r="P2043" t="s">
        <v>78</v>
      </c>
      <c r="U2043" s="9" t="s">
        <v>136</v>
      </c>
      <c r="V2043" t="s">
        <v>1150</v>
      </c>
      <c r="W2043" t="s">
        <v>138</v>
      </c>
      <c r="X2043" t="s">
        <v>70</v>
      </c>
      <c r="Y2043" t="s">
        <v>1190</v>
      </c>
      <c r="Z2043" t="s">
        <v>1214</v>
      </c>
      <c r="AB2043" t="str">
        <f t="shared" si="96"/>
        <v>46303</v>
      </c>
    </row>
    <row r="2044" ht="14.25" spans="1:28">
      <c r="A2044" s="5" t="s">
        <v>28</v>
      </c>
      <c r="B2044" s="5" t="s">
        <v>697</v>
      </c>
      <c r="C2044" s="5">
        <v>2027</v>
      </c>
      <c r="D2044" s="5" t="s">
        <v>30</v>
      </c>
      <c r="E2044" t="s">
        <v>1390</v>
      </c>
      <c r="F2044" t="s">
        <v>1391</v>
      </c>
      <c r="G2044" t="s">
        <v>221</v>
      </c>
      <c r="H2044" t="s">
        <v>1392</v>
      </c>
      <c r="I2044" t="s">
        <v>112</v>
      </c>
      <c r="J2044" t="s">
        <v>67</v>
      </c>
      <c r="K2044">
        <v>1390</v>
      </c>
      <c r="O2044" t="s">
        <v>68</v>
      </c>
      <c r="P2044" t="s">
        <v>79</v>
      </c>
      <c r="U2044" s="9" t="s">
        <v>136</v>
      </c>
      <c r="V2044" t="s">
        <v>1150</v>
      </c>
      <c r="W2044" t="s">
        <v>138</v>
      </c>
      <c r="X2044" t="s">
        <v>70</v>
      </c>
      <c r="Y2044" t="s">
        <v>1190</v>
      </c>
      <c r="Z2044" t="s">
        <v>1214</v>
      </c>
      <c r="AB2044" t="str">
        <f t="shared" si="96"/>
        <v>46303</v>
      </c>
    </row>
    <row r="2045" ht="14.25" spans="1:28">
      <c r="A2045" s="5" t="s">
        <v>28</v>
      </c>
      <c r="B2045" s="5" t="s">
        <v>697</v>
      </c>
      <c r="C2045" s="5">
        <v>2027</v>
      </c>
      <c r="D2045" s="5" t="s">
        <v>30</v>
      </c>
      <c r="E2045" t="s">
        <v>1393</v>
      </c>
      <c r="F2045" t="s">
        <v>1391</v>
      </c>
      <c r="G2045" t="s">
        <v>1075</v>
      </c>
      <c r="H2045" t="s">
        <v>1394</v>
      </c>
      <c r="I2045" t="s">
        <v>112</v>
      </c>
      <c r="J2045" t="s">
        <v>67</v>
      </c>
      <c r="K2045">
        <v>1390</v>
      </c>
      <c r="O2045" t="s">
        <v>68</v>
      </c>
      <c r="P2045" t="s">
        <v>69</v>
      </c>
      <c r="R2045">
        <f t="shared" si="94"/>
        <v>0</v>
      </c>
      <c r="S2045">
        <f>SUMIFS([1]Sheet1!$T:$T,[1]Sheet1!$I:$I,E2045,[1]Sheet1!$C:$C,A2045)</f>
        <v>12</v>
      </c>
      <c r="T2045">
        <f t="shared" si="95"/>
        <v>-12</v>
      </c>
      <c r="U2045" s="9" t="s">
        <v>136</v>
      </c>
      <c r="V2045" t="s">
        <v>1150</v>
      </c>
      <c r="W2045" t="s">
        <v>138</v>
      </c>
      <c r="X2045" t="s">
        <v>1077</v>
      </c>
      <c r="Y2045" t="s">
        <v>1190</v>
      </c>
      <c r="Z2045" t="s">
        <v>1214</v>
      </c>
      <c r="AB2045" t="str">
        <f t="shared" si="96"/>
        <v>46303</v>
      </c>
    </row>
    <row r="2046" ht="14.25" spans="1:28">
      <c r="A2046" s="5" t="s">
        <v>28</v>
      </c>
      <c r="B2046" s="5" t="s">
        <v>697</v>
      </c>
      <c r="C2046" s="5">
        <v>2027</v>
      </c>
      <c r="D2046" s="5" t="s">
        <v>30</v>
      </c>
      <c r="E2046" t="s">
        <v>1393</v>
      </c>
      <c r="F2046" t="s">
        <v>1391</v>
      </c>
      <c r="G2046" t="s">
        <v>1075</v>
      </c>
      <c r="H2046" t="s">
        <v>1394</v>
      </c>
      <c r="I2046" t="s">
        <v>112</v>
      </c>
      <c r="J2046" t="s">
        <v>67</v>
      </c>
      <c r="K2046">
        <v>1390</v>
      </c>
      <c r="O2046" t="s">
        <v>68</v>
      </c>
      <c r="P2046" t="s">
        <v>72</v>
      </c>
      <c r="U2046" s="9" t="s">
        <v>136</v>
      </c>
      <c r="V2046" t="s">
        <v>1150</v>
      </c>
      <c r="W2046" t="s">
        <v>138</v>
      </c>
      <c r="X2046" t="s">
        <v>1077</v>
      </c>
      <c r="Y2046" t="s">
        <v>1190</v>
      </c>
      <c r="Z2046" t="s">
        <v>1214</v>
      </c>
      <c r="AB2046" t="str">
        <f t="shared" si="96"/>
        <v>46303</v>
      </c>
    </row>
    <row r="2047" ht="14.25" spans="1:28">
      <c r="A2047" s="5" t="s">
        <v>28</v>
      </c>
      <c r="B2047" s="5" t="s">
        <v>697</v>
      </c>
      <c r="C2047" s="5">
        <v>2027</v>
      </c>
      <c r="D2047" s="5" t="s">
        <v>30</v>
      </c>
      <c r="E2047" t="s">
        <v>1393</v>
      </c>
      <c r="F2047" t="s">
        <v>1391</v>
      </c>
      <c r="G2047" t="s">
        <v>1075</v>
      </c>
      <c r="H2047" t="s">
        <v>1394</v>
      </c>
      <c r="I2047" t="s">
        <v>112</v>
      </c>
      <c r="J2047" t="s">
        <v>67</v>
      </c>
      <c r="K2047">
        <v>1390</v>
      </c>
      <c r="O2047" t="s">
        <v>68</v>
      </c>
      <c r="P2047" t="s">
        <v>73</v>
      </c>
      <c r="U2047" s="9" t="s">
        <v>136</v>
      </c>
      <c r="V2047" t="s">
        <v>1150</v>
      </c>
      <c r="W2047" t="s">
        <v>138</v>
      </c>
      <c r="X2047" t="s">
        <v>1077</v>
      </c>
      <c r="Y2047" t="s">
        <v>1190</v>
      </c>
      <c r="Z2047" t="s">
        <v>1214</v>
      </c>
      <c r="AB2047" t="str">
        <f t="shared" si="96"/>
        <v>46303</v>
      </c>
    </row>
    <row r="2048" ht="14.25" spans="1:28">
      <c r="A2048" s="5" t="s">
        <v>28</v>
      </c>
      <c r="B2048" s="5" t="s">
        <v>697</v>
      </c>
      <c r="C2048" s="5">
        <v>2027</v>
      </c>
      <c r="D2048" s="5" t="s">
        <v>30</v>
      </c>
      <c r="E2048" t="s">
        <v>1393</v>
      </c>
      <c r="F2048" t="s">
        <v>1391</v>
      </c>
      <c r="G2048" t="s">
        <v>1075</v>
      </c>
      <c r="H2048" t="s">
        <v>1394</v>
      </c>
      <c r="I2048" t="s">
        <v>112</v>
      </c>
      <c r="J2048" t="s">
        <v>67</v>
      </c>
      <c r="K2048">
        <v>1390</v>
      </c>
      <c r="O2048" t="s">
        <v>68</v>
      </c>
      <c r="P2048" t="s">
        <v>74</v>
      </c>
      <c r="U2048" s="9" t="s">
        <v>136</v>
      </c>
      <c r="V2048" t="s">
        <v>1150</v>
      </c>
      <c r="W2048" t="s">
        <v>138</v>
      </c>
      <c r="X2048" t="s">
        <v>1077</v>
      </c>
      <c r="Y2048" t="s">
        <v>1190</v>
      </c>
      <c r="Z2048" t="s">
        <v>1214</v>
      </c>
      <c r="AB2048" t="str">
        <f t="shared" si="96"/>
        <v>46303</v>
      </c>
    </row>
    <row r="2049" ht="14.25" spans="1:28">
      <c r="A2049" s="5" t="s">
        <v>28</v>
      </c>
      <c r="B2049" s="5" t="s">
        <v>697</v>
      </c>
      <c r="C2049" s="5">
        <v>2027</v>
      </c>
      <c r="D2049" s="5" t="s">
        <v>30</v>
      </c>
      <c r="E2049" t="s">
        <v>1393</v>
      </c>
      <c r="F2049" t="s">
        <v>1391</v>
      </c>
      <c r="G2049" t="s">
        <v>1075</v>
      </c>
      <c r="H2049" t="s">
        <v>1394</v>
      </c>
      <c r="I2049" t="s">
        <v>112</v>
      </c>
      <c r="J2049" t="s">
        <v>67</v>
      </c>
      <c r="K2049">
        <v>1390</v>
      </c>
      <c r="O2049" t="s">
        <v>68</v>
      </c>
      <c r="P2049" t="s">
        <v>75</v>
      </c>
      <c r="U2049" s="9" t="s">
        <v>136</v>
      </c>
      <c r="V2049" t="s">
        <v>1150</v>
      </c>
      <c r="W2049" t="s">
        <v>138</v>
      </c>
      <c r="X2049" t="s">
        <v>1077</v>
      </c>
      <c r="Y2049" t="s">
        <v>1190</v>
      </c>
      <c r="Z2049" t="s">
        <v>1214</v>
      </c>
      <c r="AB2049" t="str">
        <f t="shared" si="96"/>
        <v>46303</v>
      </c>
    </row>
    <row r="2050" ht="14.25" spans="1:28">
      <c r="A2050" s="5" t="s">
        <v>28</v>
      </c>
      <c r="B2050" s="5" t="s">
        <v>697</v>
      </c>
      <c r="C2050" s="5">
        <v>2027</v>
      </c>
      <c r="D2050" s="5" t="s">
        <v>30</v>
      </c>
      <c r="E2050" t="s">
        <v>1393</v>
      </c>
      <c r="F2050" t="s">
        <v>1391</v>
      </c>
      <c r="G2050" t="s">
        <v>1075</v>
      </c>
      <c r="H2050" t="s">
        <v>1394</v>
      </c>
      <c r="I2050" t="s">
        <v>112</v>
      </c>
      <c r="J2050" t="s">
        <v>67</v>
      </c>
      <c r="K2050">
        <v>1390</v>
      </c>
      <c r="O2050" t="s">
        <v>68</v>
      </c>
      <c r="P2050" t="s">
        <v>76</v>
      </c>
      <c r="U2050" s="9" t="s">
        <v>136</v>
      </c>
      <c r="V2050" t="s">
        <v>1150</v>
      </c>
      <c r="W2050" t="s">
        <v>138</v>
      </c>
      <c r="X2050" t="s">
        <v>1077</v>
      </c>
      <c r="Y2050" t="s">
        <v>1190</v>
      </c>
      <c r="Z2050" t="s">
        <v>1214</v>
      </c>
      <c r="AB2050" t="str">
        <f t="shared" si="96"/>
        <v>46303</v>
      </c>
    </row>
    <row r="2051" ht="14.25" spans="1:28">
      <c r="A2051" s="5" t="s">
        <v>28</v>
      </c>
      <c r="B2051" s="5" t="s">
        <v>697</v>
      </c>
      <c r="C2051" s="5">
        <v>2027</v>
      </c>
      <c r="D2051" s="5" t="s">
        <v>30</v>
      </c>
      <c r="E2051" t="s">
        <v>1393</v>
      </c>
      <c r="F2051" t="s">
        <v>1391</v>
      </c>
      <c r="G2051" t="s">
        <v>1075</v>
      </c>
      <c r="H2051" t="s">
        <v>1394</v>
      </c>
      <c r="I2051" t="s">
        <v>112</v>
      </c>
      <c r="J2051" t="s">
        <v>67</v>
      </c>
      <c r="K2051">
        <v>1390</v>
      </c>
      <c r="O2051" t="s">
        <v>68</v>
      </c>
      <c r="P2051" t="s">
        <v>77</v>
      </c>
      <c r="U2051" s="9" t="s">
        <v>136</v>
      </c>
      <c r="V2051" t="s">
        <v>1150</v>
      </c>
      <c r="W2051" t="s">
        <v>138</v>
      </c>
      <c r="X2051" t="s">
        <v>1077</v>
      </c>
      <c r="Y2051" t="s">
        <v>1190</v>
      </c>
      <c r="Z2051" t="s">
        <v>1214</v>
      </c>
      <c r="AB2051" t="str">
        <f t="shared" si="96"/>
        <v>46303</v>
      </c>
    </row>
    <row r="2052" ht="14.25" spans="1:28">
      <c r="A2052" s="5" t="s">
        <v>28</v>
      </c>
      <c r="B2052" s="5" t="s">
        <v>697</v>
      </c>
      <c r="C2052" s="5">
        <v>2027</v>
      </c>
      <c r="D2052" s="5" t="s">
        <v>30</v>
      </c>
      <c r="E2052" t="s">
        <v>1393</v>
      </c>
      <c r="F2052" t="s">
        <v>1391</v>
      </c>
      <c r="G2052" t="s">
        <v>1075</v>
      </c>
      <c r="H2052" t="s">
        <v>1394</v>
      </c>
      <c r="I2052" t="s">
        <v>112</v>
      </c>
      <c r="J2052" t="s">
        <v>67</v>
      </c>
      <c r="K2052">
        <v>1390</v>
      </c>
      <c r="O2052" t="s">
        <v>68</v>
      </c>
      <c r="P2052" t="s">
        <v>78</v>
      </c>
      <c r="U2052" s="9" t="s">
        <v>136</v>
      </c>
      <c r="V2052" t="s">
        <v>1150</v>
      </c>
      <c r="W2052" t="s">
        <v>138</v>
      </c>
      <c r="X2052" t="s">
        <v>1077</v>
      </c>
      <c r="Y2052" t="s">
        <v>1190</v>
      </c>
      <c r="Z2052" t="s">
        <v>1214</v>
      </c>
      <c r="AB2052" t="str">
        <f t="shared" si="96"/>
        <v>46303</v>
      </c>
    </row>
    <row r="2053" ht="14.25" spans="1:28">
      <c r="A2053" s="5" t="s">
        <v>28</v>
      </c>
      <c r="B2053" s="5" t="s">
        <v>697</v>
      </c>
      <c r="C2053" s="5">
        <v>2027</v>
      </c>
      <c r="D2053" s="5" t="s">
        <v>30</v>
      </c>
      <c r="E2053" t="s">
        <v>1393</v>
      </c>
      <c r="F2053" t="s">
        <v>1391</v>
      </c>
      <c r="G2053" t="s">
        <v>1075</v>
      </c>
      <c r="H2053" t="s">
        <v>1394</v>
      </c>
      <c r="I2053" t="s">
        <v>112</v>
      </c>
      <c r="J2053" t="s">
        <v>67</v>
      </c>
      <c r="K2053">
        <v>1390</v>
      </c>
      <c r="O2053" t="s">
        <v>68</v>
      </c>
      <c r="P2053" t="s">
        <v>79</v>
      </c>
      <c r="U2053" s="9" t="s">
        <v>136</v>
      </c>
      <c r="V2053" t="s">
        <v>1150</v>
      </c>
      <c r="W2053" t="s">
        <v>138</v>
      </c>
      <c r="X2053" t="s">
        <v>1077</v>
      </c>
      <c r="Y2053" t="s">
        <v>1190</v>
      </c>
      <c r="Z2053" t="s">
        <v>1214</v>
      </c>
      <c r="AB2053" t="str">
        <f t="shared" si="96"/>
        <v>46303</v>
      </c>
    </row>
    <row r="2054" ht="14.25" spans="1:28">
      <c r="A2054" s="5" t="s">
        <v>28</v>
      </c>
      <c r="B2054" s="5" t="s">
        <v>697</v>
      </c>
      <c r="C2054" s="5">
        <v>2027</v>
      </c>
      <c r="D2054" s="5" t="s">
        <v>30</v>
      </c>
      <c r="E2054" t="s">
        <v>1395</v>
      </c>
      <c r="F2054" t="s">
        <v>1396</v>
      </c>
      <c r="G2054" t="s">
        <v>1397</v>
      </c>
      <c r="H2054" t="s">
        <v>1398</v>
      </c>
      <c r="I2054" t="s">
        <v>119</v>
      </c>
      <c r="J2054" t="s">
        <v>36</v>
      </c>
      <c r="K2054">
        <v>1390</v>
      </c>
      <c r="O2054" t="s">
        <v>37</v>
      </c>
      <c r="P2054" t="s">
        <v>38</v>
      </c>
      <c r="R2054">
        <f t="shared" ref="R2050:R2113" si="97">SUMIFS(Q:Q,E:E,E2054)</f>
        <v>0</v>
      </c>
      <c r="S2054">
        <f>SUMIFS([1]Sheet1!$T:$T,[1]Sheet1!$I:$I,E2054,[1]Sheet1!$C:$C,A2054)</f>
        <v>0</v>
      </c>
      <c r="T2054">
        <f t="shared" ref="T2050:T2113" si="98">R2054-S2054</f>
        <v>0</v>
      </c>
      <c r="U2054" s="9" t="s">
        <v>148</v>
      </c>
      <c r="V2054" t="s">
        <v>164</v>
      </c>
      <c r="W2054" t="s">
        <v>138</v>
      </c>
      <c r="X2054" t="s">
        <v>243</v>
      </c>
      <c r="Y2054" t="s">
        <v>1399</v>
      </c>
      <c r="Z2054" t="s">
        <v>41</v>
      </c>
      <c r="AB2054" t="str">
        <f t="shared" si="96"/>
        <v>46336</v>
      </c>
    </row>
    <row r="2055" ht="14.25" spans="1:28">
      <c r="A2055" s="5" t="s">
        <v>28</v>
      </c>
      <c r="B2055" s="5" t="s">
        <v>697</v>
      </c>
      <c r="C2055" s="5">
        <v>2027</v>
      </c>
      <c r="D2055" s="5" t="s">
        <v>30</v>
      </c>
      <c r="E2055" t="s">
        <v>1395</v>
      </c>
      <c r="F2055" t="s">
        <v>1396</v>
      </c>
      <c r="G2055" t="s">
        <v>1397</v>
      </c>
      <c r="H2055" t="s">
        <v>1398</v>
      </c>
      <c r="I2055" t="s">
        <v>119</v>
      </c>
      <c r="J2055" t="s">
        <v>36</v>
      </c>
      <c r="K2055">
        <v>1390</v>
      </c>
      <c r="O2055" t="s">
        <v>37</v>
      </c>
      <c r="P2055" t="s">
        <v>42</v>
      </c>
      <c r="U2055" s="9" t="s">
        <v>148</v>
      </c>
      <c r="V2055" t="s">
        <v>164</v>
      </c>
      <c r="W2055" t="s">
        <v>138</v>
      </c>
      <c r="X2055" t="s">
        <v>243</v>
      </c>
      <c r="Y2055" t="s">
        <v>1399</v>
      </c>
      <c r="Z2055" t="s">
        <v>41</v>
      </c>
      <c r="AB2055" t="str">
        <f t="shared" si="96"/>
        <v>46336</v>
      </c>
    </row>
    <row r="2056" ht="14.25" spans="1:28">
      <c r="A2056" s="5" t="s">
        <v>28</v>
      </c>
      <c r="B2056" s="5" t="s">
        <v>697</v>
      </c>
      <c r="C2056" s="5">
        <v>2027</v>
      </c>
      <c r="D2056" s="5" t="s">
        <v>30</v>
      </c>
      <c r="E2056" t="s">
        <v>1395</v>
      </c>
      <c r="F2056" t="s">
        <v>1396</v>
      </c>
      <c r="G2056" t="s">
        <v>1397</v>
      </c>
      <c r="H2056" t="s">
        <v>1398</v>
      </c>
      <c r="I2056" t="s">
        <v>119</v>
      </c>
      <c r="J2056" t="s">
        <v>36</v>
      </c>
      <c r="K2056">
        <v>1390</v>
      </c>
      <c r="O2056" t="s">
        <v>37</v>
      </c>
      <c r="P2056" t="s">
        <v>43</v>
      </c>
      <c r="U2056" s="9" t="s">
        <v>148</v>
      </c>
      <c r="V2056" t="s">
        <v>164</v>
      </c>
      <c r="W2056" t="s">
        <v>138</v>
      </c>
      <c r="X2056" t="s">
        <v>243</v>
      </c>
      <c r="Y2056" t="s">
        <v>1399</v>
      </c>
      <c r="Z2056" t="s">
        <v>41</v>
      </c>
      <c r="AB2056" t="str">
        <f t="shared" si="96"/>
        <v>46336</v>
      </c>
    </row>
    <row r="2057" ht="14.25" spans="1:28">
      <c r="A2057" s="5" t="s">
        <v>28</v>
      </c>
      <c r="B2057" s="5" t="s">
        <v>697</v>
      </c>
      <c r="C2057" s="5">
        <v>2027</v>
      </c>
      <c r="D2057" s="5" t="s">
        <v>30</v>
      </c>
      <c r="E2057" t="s">
        <v>1395</v>
      </c>
      <c r="F2057" t="s">
        <v>1396</v>
      </c>
      <c r="G2057" t="s">
        <v>1397</v>
      </c>
      <c r="H2057" t="s">
        <v>1398</v>
      </c>
      <c r="I2057" t="s">
        <v>119</v>
      </c>
      <c r="J2057" t="s">
        <v>36</v>
      </c>
      <c r="K2057">
        <v>1390</v>
      </c>
      <c r="O2057" t="s">
        <v>37</v>
      </c>
      <c r="P2057" t="s">
        <v>44</v>
      </c>
      <c r="U2057" s="9" t="s">
        <v>148</v>
      </c>
      <c r="V2057" t="s">
        <v>164</v>
      </c>
      <c r="W2057" t="s">
        <v>138</v>
      </c>
      <c r="X2057" t="s">
        <v>243</v>
      </c>
      <c r="Y2057" t="s">
        <v>1399</v>
      </c>
      <c r="Z2057" t="s">
        <v>41</v>
      </c>
      <c r="AB2057" t="str">
        <f t="shared" si="96"/>
        <v>46336</v>
      </c>
    </row>
    <row r="2058" ht="14.25" spans="1:28">
      <c r="A2058" s="5" t="s">
        <v>28</v>
      </c>
      <c r="B2058" s="5" t="s">
        <v>697</v>
      </c>
      <c r="C2058" s="5">
        <v>2027</v>
      </c>
      <c r="D2058" s="5" t="s">
        <v>30</v>
      </c>
      <c r="E2058" t="s">
        <v>1395</v>
      </c>
      <c r="F2058" t="s">
        <v>1396</v>
      </c>
      <c r="G2058" t="s">
        <v>1397</v>
      </c>
      <c r="H2058" t="s">
        <v>1398</v>
      </c>
      <c r="I2058" t="s">
        <v>119</v>
      </c>
      <c r="J2058" t="s">
        <v>36</v>
      </c>
      <c r="K2058">
        <v>1390</v>
      </c>
      <c r="O2058" t="s">
        <v>37</v>
      </c>
      <c r="P2058" t="s">
        <v>45</v>
      </c>
      <c r="U2058" s="9" t="s">
        <v>148</v>
      </c>
      <c r="V2058" t="s">
        <v>164</v>
      </c>
      <c r="W2058" t="s">
        <v>138</v>
      </c>
      <c r="X2058" t="s">
        <v>243</v>
      </c>
      <c r="Y2058" t="s">
        <v>1399</v>
      </c>
      <c r="Z2058" t="s">
        <v>41</v>
      </c>
      <c r="AB2058" t="str">
        <f t="shared" si="96"/>
        <v>46336</v>
      </c>
    </row>
    <row r="2059" ht="14.25" spans="1:28">
      <c r="A2059" s="5" t="s">
        <v>28</v>
      </c>
      <c r="B2059" s="5" t="s">
        <v>697</v>
      </c>
      <c r="C2059" s="5">
        <v>2027</v>
      </c>
      <c r="D2059" s="5" t="s">
        <v>30</v>
      </c>
      <c r="E2059" t="s">
        <v>1395</v>
      </c>
      <c r="F2059" t="s">
        <v>1396</v>
      </c>
      <c r="G2059" t="s">
        <v>1397</v>
      </c>
      <c r="H2059" t="s">
        <v>1398</v>
      </c>
      <c r="I2059" t="s">
        <v>119</v>
      </c>
      <c r="J2059" t="s">
        <v>36</v>
      </c>
      <c r="K2059">
        <v>1390</v>
      </c>
      <c r="O2059" t="s">
        <v>37</v>
      </c>
      <c r="P2059" t="s">
        <v>46</v>
      </c>
      <c r="U2059" s="9" t="s">
        <v>148</v>
      </c>
      <c r="V2059" t="s">
        <v>164</v>
      </c>
      <c r="W2059" t="s">
        <v>138</v>
      </c>
      <c r="X2059" t="s">
        <v>243</v>
      </c>
      <c r="Y2059" t="s">
        <v>1399</v>
      </c>
      <c r="Z2059" t="s">
        <v>41</v>
      </c>
      <c r="AB2059" t="str">
        <f t="shared" si="96"/>
        <v>46336</v>
      </c>
    </row>
    <row r="2060" ht="14.25" spans="1:28">
      <c r="A2060" s="5" t="s">
        <v>28</v>
      </c>
      <c r="B2060" s="5" t="s">
        <v>697</v>
      </c>
      <c r="C2060" s="5">
        <v>2027</v>
      </c>
      <c r="D2060" s="5" t="s">
        <v>30</v>
      </c>
      <c r="E2060" t="s">
        <v>1400</v>
      </c>
      <c r="F2060" t="s">
        <v>1396</v>
      </c>
      <c r="G2060" t="s">
        <v>100</v>
      </c>
      <c r="H2060" t="s">
        <v>1401</v>
      </c>
      <c r="I2060" t="s">
        <v>119</v>
      </c>
      <c r="J2060" t="s">
        <v>36</v>
      </c>
      <c r="K2060">
        <v>1390</v>
      </c>
      <c r="O2060" t="s">
        <v>37</v>
      </c>
      <c r="P2060" t="s">
        <v>38</v>
      </c>
      <c r="R2060">
        <f t="shared" si="97"/>
        <v>0</v>
      </c>
      <c r="S2060">
        <f>SUMIFS([1]Sheet1!$T:$T,[1]Sheet1!$I:$I,E2060,[1]Sheet1!$C:$C,A2060)</f>
        <v>0</v>
      </c>
      <c r="T2060">
        <f t="shared" si="98"/>
        <v>0</v>
      </c>
      <c r="U2060" s="9" t="s">
        <v>148</v>
      </c>
      <c r="V2060" t="s">
        <v>164</v>
      </c>
      <c r="W2060" t="s">
        <v>138</v>
      </c>
      <c r="X2060" t="s">
        <v>102</v>
      </c>
      <c r="Y2060" t="s">
        <v>1399</v>
      </c>
      <c r="Z2060" t="s">
        <v>41</v>
      </c>
      <c r="AB2060" t="str">
        <f t="shared" si="96"/>
        <v>46336</v>
      </c>
    </row>
    <row r="2061" ht="14.25" spans="1:28">
      <c r="A2061" s="5" t="s">
        <v>28</v>
      </c>
      <c r="B2061" s="5" t="s">
        <v>697</v>
      </c>
      <c r="C2061" s="5">
        <v>2027</v>
      </c>
      <c r="D2061" s="5" t="s">
        <v>30</v>
      </c>
      <c r="E2061" t="s">
        <v>1400</v>
      </c>
      <c r="F2061" t="s">
        <v>1396</v>
      </c>
      <c r="G2061" t="s">
        <v>100</v>
      </c>
      <c r="H2061" t="s">
        <v>1401</v>
      </c>
      <c r="I2061" t="s">
        <v>119</v>
      </c>
      <c r="J2061" t="s">
        <v>36</v>
      </c>
      <c r="K2061">
        <v>1390</v>
      </c>
      <c r="O2061" t="s">
        <v>37</v>
      </c>
      <c r="P2061" t="s">
        <v>42</v>
      </c>
      <c r="U2061" s="9" t="s">
        <v>148</v>
      </c>
      <c r="V2061" t="s">
        <v>164</v>
      </c>
      <c r="W2061" t="s">
        <v>138</v>
      </c>
      <c r="X2061" t="s">
        <v>102</v>
      </c>
      <c r="Y2061" t="s">
        <v>1399</v>
      </c>
      <c r="Z2061" t="s">
        <v>41</v>
      </c>
      <c r="AB2061" t="str">
        <f t="shared" si="96"/>
        <v>46336</v>
      </c>
    </row>
    <row r="2062" ht="14.25" spans="1:28">
      <c r="A2062" s="5" t="s">
        <v>28</v>
      </c>
      <c r="B2062" s="5" t="s">
        <v>697</v>
      </c>
      <c r="C2062" s="5">
        <v>2027</v>
      </c>
      <c r="D2062" s="5" t="s">
        <v>30</v>
      </c>
      <c r="E2062" t="s">
        <v>1400</v>
      </c>
      <c r="F2062" t="s">
        <v>1396</v>
      </c>
      <c r="G2062" t="s">
        <v>100</v>
      </c>
      <c r="H2062" t="s">
        <v>1401</v>
      </c>
      <c r="I2062" t="s">
        <v>119</v>
      </c>
      <c r="J2062" t="s">
        <v>36</v>
      </c>
      <c r="K2062">
        <v>1390</v>
      </c>
      <c r="O2062" t="s">
        <v>37</v>
      </c>
      <c r="P2062" t="s">
        <v>43</v>
      </c>
      <c r="U2062" s="9" t="s">
        <v>148</v>
      </c>
      <c r="V2062" t="s">
        <v>164</v>
      </c>
      <c r="W2062" t="s">
        <v>138</v>
      </c>
      <c r="X2062" t="s">
        <v>102</v>
      </c>
      <c r="Y2062" t="s">
        <v>1399</v>
      </c>
      <c r="Z2062" t="s">
        <v>41</v>
      </c>
      <c r="AB2062" t="str">
        <f t="shared" si="96"/>
        <v>46336</v>
      </c>
    </row>
    <row r="2063" ht="14.25" spans="1:28">
      <c r="A2063" s="5" t="s">
        <v>28</v>
      </c>
      <c r="B2063" s="5" t="s">
        <v>697</v>
      </c>
      <c r="C2063" s="5">
        <v>2027</v>
      </c>
      <c r="D2063" s="5" t="s">
        <v>30</v>
      </c>
      <c r="E2063" t="s">
        <v>1400</v>
      </c>
      <c r="F2063" t="s">
        <v>1396</v>
      </c>
      <c r="G2063" t="s">
        <v>100</v>
      </c>
      <c r="H2063" t="s">
        <v>1401</v>
      </c>
      <c r="I2063" t="s">
        <v>119</v>
      </c>
      <c r="J2063" t="s">
        <v>36</v>
      </c>
      <c r="K2063">
        <v>1390</v>
      </c>
      <c r="O2063" t="s">
        <v>37</v>
      </c>
      <c r="P2063" t="s">
        <v>44</v>
      </c>
      <c r="U2063" s="9" t="s">
        <v>148</v>
      </c>
      <c r="V2063" t="s">
        <v>164</v>
      </c>
      <c r="W2063" t="s">
        <v>138</v>
      </c>
      <c r="X2063" t="s">
        <v>102</v>
      </c>
      <c r="Y2063" t="s">
        <v>1399</v>
      </c>
      <c r="Z2063" t="s">
        <v>41</v>
      </c>
      <c r="AB2063" t="str">
        <f t="shared" si="96"/>
        <v>46336</v>
      </c>
    </row>
    <row r="2064" ht="14.25" spans="1:28">
      <c r="A2064" s="5" t="s">
        <v>28</v>
      </c>
      <c r="B2064" s="5" t="s">
        <v>697</v>
      </c>
      <c r="C2064" s="5">
        <v>2027</v>
      </c>
      <c r="D2064" s="5" t="s">
        <v>30</v>
      </c>
      <c r="E2064" t="s">
        <v>1400</v>
      </c>
      <c r="F2064" t="s">
        <v>1396</v>
      </c>
      <c r="G2064" t="s">
        <v>100</v>
      </c>
      <c r="H2064" t="s">
        <v>1401</v>
      </c>
      <c r="I2064" t="s">
        <v>119</v>
      </c>
      <c r="J2064" t="s">
        <v>36</v>
      </c>
      <c r="K2064">
        <v>1390</v>
      </c>
      <c r="O2064" t="s">
        <v>37</v>
      </c>
      <c r="P2064" t="s">
        <v>45</v>
      </c>
      <c r="U2064" s="9" t="s">
        <v>148</v>
      </c>
      <c r="V2064" t="s">
        <v>164</v>
      </c>
      <c r="W2064" t="s">
        <v>138</v>
      </c>
      <c r="X2064" t="s">
        <v>102</v>
      </c>
      <c r="Y2064" t="s">
        <v>1399</v>
      </c>
      <c r="Z2064" t="s">
        <v>41</v>
      </c>
      <c r="AB2064" t="str">
        <f t="shared" si="96"/>
        <v>46336</v>
      </c>
    </row>
    <row r="2065" ht="14.25" spans="1:28">
      <c r="A2065" s="5" t="s">
        <v>28</v>
      </c>
      <c r="B2065" s="5" t="s">
        <v>697</v>
      </c>
      <c r="C2065" s="5">
        <v>2027</v>
      </c>
      <c r="D2065" s="5" t="s">
        <v>30</v>
      </c>
      <c r="E2065" t="s">
        <v>1400</v>
      </c>
      <c r="F2065" t="s">
        <v>1396</v>
      </c>
      <c r="G2065" t="s">
        <v>100</v>
      </c>
      <c r="H2065" t="s">
        <v>1401</v>
      </c>
      <c r="I2065" t="s">
        <v>119</v>
      </c>
      <c r="J2065" t="s">
        <v>36</v>
      </c>
      <c r="K2065">
        <v>1390</v>
      </c>
      <c r="O2065" t="s">
        <v>37</v>
      </c>
      <c r="P2065" t="s">
        <v>46</v>
      </c>
      <c r="U2065" s="9" t="s">
        <v>148</v>
      </c>
      <c r="V2065" t="s">
        <v>164</v>
      </c>
      <c r="W2065" t="s">
        <v>138</v>
      </c>
      <c r="X2065" t="s">
        <v>102</v>
      </c>
      <c r="Y2065" t="s">
        <v>1399</v>
      </c>
      <c r="Z2065" t="s">
        <v>41</v>
      </c>
      <c r="AB2065" t="str">
        <f t="shared" si="96"/>
        <v>46336</v>
      </c>
    </row>
    <row r="2066" ht="14.25" spans="1:28">
      <c r="A2066" s="5" t="s">
        <v>28</v>
      </c>
      <c r="B2066" s="5" t="s">
        <v>697</v>
      </c>
      <c r="C2066" s="5">
        <v>2027</v>
      </c>
      <c r="D2066" s="5" t="s">
        <v>30</v>
      </c>
      <c r="E2066" t="s">
        <v>1402</v>
      </c>
      <c r="F2066" t="s">
        <v>1396</v>
      </c>
      <c r="G2066" t="s">
        <v>254</v>
      </c>
      <c r="H2066" t="s">
        <v>1403</v>
      </c>
      <c r="I2066" t="s">
        <v>119</v>
      </c>
      <c r="J2066" t="s">
        <v>36</v>
      </c>
      <c r="K2066">
        <v>1390</v>
      </c>
      <c r="O2066" t="s">
        <v>37</v>
      </c>
      <c r="P2066" t="s">
        <v>38</v>
      </c>
      <c r="R2066">
        <f t="shared" si="97"/>
        <v>0</v>
      </c>
      <c r="S2066">
        <f>SUMIFS([1]Sheet1!$T:$T,[1]Sheet1!$I:$I,E2066,[1]Sheet1!$C:$C,A2066)</f>
        <v>0</v>
      </c>
      <c r="T2066">
        <f t="shared" si="98"/>
        <v>0</v>
      </c>
      <c r="U2066" s="9" t="s">
        <v>148</v>
      </c>
      <c r="V2066" t="s">
        <v>164</v>
      </c>
      <c r="W2066" t="s">
        <v>138</v>
      </c>
      <c r="X2066" t="s">
        <v>86</v>
      </c>
      <c r="Y2066" t="s">
        <v>1399</v>
      </c>
      <c r="Z2066" t="s">
        <v>41</v>
      </c>
      <c r="AB2066" t="str">
        <f t="shared" si="96"/>
        <v>46336</v>
      </c>
    </row>
    <row r="2067" ht="14.25" spans="1:28">
      <c r="A2067" s="5" t="s">
        <v>28</v>
      </c>
      <c r="B2067" s="5" t="s">
        <v>697</v>
      </c>
      <c r="C2067" s="5">
        <v>2027</v>
      </c>
      <c r="D2067" s="5" t="s">
        <v>30</v>
      </c>
      <c r="E2067" t="s">
        <v>1402</v>
      </c>
      <c r="F2067" t="s">
        <v>1396</v>
      </c>
      <c r="G2067" t="s">
        <v>254</v>
      </c>
      <c r="H2067" t="s">
        <v>1403</v>
      </c>
      <c r="I2067" t="s">
        <v>119</v>
      </c>
      <c r="J2067" t="s">
        <v>36</v>
      </c>
      <c r="K2067">
        <v>1390</v>
      </c>
      <c r="O2067" t="s">
        <v>37</v>
      </c>
      <c r="P2067" t="s">
        <v>42</v>
      </c>
      <c r="U2067" s="9" t="s">
        <v>148</v>
      </c>
      <c r="V2067" t="s">
        <v>164</v>
      </c>
      <c r="W2067" t="s">
        <v>138</v>
      </c>
      <c r="X2067" t="s">
        <v>86</v>
      </c>
      <c r="Y2067" t="s">
        <v>1399</v>
      </c>
      <c r="Z2067" t="s">
        <v>41</v>
      </c>
      <c r="AB2067" t="str">
        <f t="shared" si="96"/>
        <v>46336</v>
      </c>
    </row>
    <row r="2068" ht="14.25" spans="1:28">
      <c r="A2068" s="5" t="s">
        <v>28</v>
      </c>
      <c r="B2068" s="5" t="s">
        <v>697</v>
      </c>
      <c r="C2068" s="5">
        <v>2027</v>
      </c>
      <c r="D2068" s="5" t="s">
        <v>30</v>
      </c>
      <c r="E2068" t="s">
        <v>1402</v>
      </c>
      <c r="F2068" t="s">
        <v>1396</v>
      </c>
      <c r="G2068" t="s">
        <v>254</v>
      </c>
      <c r="H2068" t="s">
        <v>1403</v>
      </c>
      <c r="I2068" t="s">
        <v>119</v>
      </c>
      <c r="J2068" t="s">
        <v>36</v>
      </c>
      <c r="K2068">
        <v>1390</v>
      </c>
      <c r="O2068" t="s">
        <v>37</v>
      </c>
      <c r="P2068" t="s">
        <v>43</v>
      </c>
      <c r="U2068" s="9" t="s">
        <v>148</v>
      </c>
      <c r="V2068" t="s">
        <v>164</v>
      </c>
      <c r="W2068" t="s">
        <v>138</v>
      </c>
      <c r="X2068" t="s">
        <v>86</v>
      </c>
      <c r="Y2068" t="s">
        <v>1399</v>
      </c>
      <c r="Z2068" t="s">
        <v>41</v>
      </c>
      <c r="AB2068" t="str">
        <f t="shared" si="96"/>
        <v>46336</v>
      </c>
    </row>
    <row r="2069" ht="14.25" spans="1:28">
      <c r="A2069" s="5" t="s">
        <v>28</v>
      </c>
      <c r="B2069" s="5" t="s">
        <v>697</v>
      </c>
      <c r="C2069" s="5">
        <v>2027</v>
      </c>
      <c r="D2069" s="5" t="s">
        <v>30</v>
      </c>
      <c r="E2069" t="s">
        <v>1402</v>
      </c>
      <c r="F2069" t="s">
        <v>1396</v>
      </c>
      <c r="G2069" t="s">
        <v>254</v>
      </c>
      <c r="H2069" t="s">
        <v>1403</v>
      </c>
      <c r="I2069" t="s">
        <v>119</v>
      </c>
      <c r="J2069" t="s">
        <v>36</v>
      </c>
      <c r="K2069">
        <v>1390</v>
      </c>
      <c r="O2069" t="s">
        <v>37</v>
      </c>
      <c r="P2069" t="s">
        <v>44</v>
      </c>
      <c r="U2069" s="9" t="s">
        <v>148</v>
      </c>
      <c r="V2069" t="s">
        <v>164</v>
      </c>
      <c r="W2069" t="s">
        <v>138</v>
      </c>
      <c r="X2069" t="s">
        <v>86</v>
      </c>
      <c r="Y2069" t="s">
        <v>1399</v>
      </c>
      <c r="Z2069" t="s">
        <v>41</v>
      </c>
      <c r="AB2069" t="str">
        <f t="shared" si="96"/>
        <v>46336</v>
      </c>
    </row>
    <row r="2070" ht="14.25" spans="1:28">
      <c r="A2070" s="5" t="s">
        <v>28</v>
      </c>
      <c r="B2070" s="5" t="s">
        <v>697</v>
      </c>
      <c r="C2070" s="5">
        <v>2027</v>
      </c>
      <c r="D2070" s="5" t="s">
        <v>30</v>
      </c>
      <c r="E2070" t="s">
        <v>1402</v>
      </c>
      <c r="F2070" t="s">
        <v>1396</v>
      </c>
      <c r="G2070" t="s">
        <v>254</v>
      </c>
      <c r="H2070" t="s">
        <v>1403</v>
      </c>
      <c r="I2070" t="s">
        <v>119</v>
      </c>
      <c r="J2070" t="s">
        <v>36</v>
      </c>
      <c r="K2070">
        <v>1390</v>
      </c>
      <c r="O2070" t="s">
        <v>37</v>
      </c>
      <c r="P2070" t="s">
        <v>45</v>
      </c>
      <c r="U2070" s="9" t="s">
        <v>148</v>
      </c>
      <c r="V2070" t="s">
        <v>164</v>
      </c>
      <c r="W2070" t="s">
        <v>138</v>
      </c>
      <c r="X2070" t="s">
        <v>86</v>
      </c>
      <c r="Y2070" t="s">
        <v>1399</v>
      </c>
      <c r="Z2070" t="s">
        <v>41</v>
      </c>
      <c r="AB2070" t="str">
        <f t="shared" si="96"/>
        <v>46336</v>
      </c>
    </row>
    <row r="2071" ht="14.25" spans="1:28">
      <c r="A2071" s="5" t="s">
        <v>28</v>
      </c>
      <c r="B2071" s="5" t="s">
        <v>697</v>
      </c>
      <c r="C2071" s="5">
        <v>2027</v>
      </c>
      <c r="D2071" s="5" t="s">
        <v>30</v>
      </c>
      <c r="E2071" t="s">
        <v>1402</v>
      </c>
      <c r="F2071" t="s">
        <v>1396</v>
      </c>
      <c r="G2071" t="s">
        <v>254</v>
      </c>
      <c r="H2071" t="s">
        <v>1403</v>
      </c>
      <c r="I2071" t="s">
        <v>119</v>
      </c>
      <c r="J2071" t="s">
        <v>36</v>
      </c>
      <c r="K2071">
        <v>1390</v>
      </c>
      <c r="O2071" t="s">
        <v>37</v>
      </c>
      <c r="P2071" t="s">
        <v>46</v>
      </c>
      <c r="U2071" s="9" t="s">
        <v>148</v>
      </c>
      <c r="V2071" t="s">
        <v>164</v>
      </c>
      <c r="W2071" t="s">
        <v>138</v>
      </c>
      <c r="X2071" t="s">
        <v>86</v>
      </c>
      <c r="Y2071" t="s">
        <v>1399</v>
      </c>
      <c r="Z2071" t="s">
        <v>41</v>
      </c>
      <c r="AB2071" t="str">
        <f t="shared" si="96"/>
        <v>46336</v>
      </c>
    </row>
    <row r="2072" ht="14.25" spans="1:28">
      <c r="A2072" s="5" t="s">
        <v>28</v>
      </c>
      <c r="B2072" s="5" t="s">
        <v>697</v>
      </c>
      <c r="C2072" s="5">
        <v>2027</v>
      </c>
      <c r="D2072" s="5" t="s">
        <v>30</v>
      </c>
      <c r="E2072" t="s">
        <v>1404</v>
      </c>
      <c r="F2072" t="s">
        <v>1405</v>
      </c>
      <c r="G2072" t="s">
        <v>1093</v>
      </c>
      <c r="H2072" t="s">
        <v>1406</v>
      </c>
      <c r="I2072" t="s">
        <v>147</v>
      </c>
      <c r="J2072" t="s">
        <v>36</v>
      </c>
      <c r="K2072">
        <v>1590</v>
      </c>
      <c r="O2072" t="s">
        <v>37</v>
      </c>
      <c r="P2072" t="s">
        <v>38</v>
      </c>
      <c r="R2072">
        <f t="shared" si="97"/>
        <v>0</v>
      </c>
      <c r="S2072">
        <f>SUMIFS([1]Sheet1!$T:$T,[1]Sheet1!$I:$I,E2072,[1]Sheet1!$C:$C,A2072)</f>
        <v>0</v>
      </c>
      <c r="T2072">
        <f t="shared" si="98"/>
        <v>0</v>
      </c>
      <c r="U2072" s="9" t="s">
        <v>148</v>
      </c>
      <c r="V2072" t="s">
        <v>164</v>
      </c>
      <c r="W2072" t="s">
        <v>138</v>
      </c>
      <c r="X2072" t="s">
        <v>39</v>
      </c>
      <c r="Y2072" t="s">
        <v>827</v>
      </c>
      <c r="Z2072" t="s">
        <v>41</v>
      </c>
      <c r="AB2072" t="str">
        <f t="shared" si="96"/>
        <v>46338</v>
      </c>
    </row>
    <row r="2073" ht="14.25" spans="1:28">
      <c r="A2073" s="5" t="s">
        <v>28</v>
      </c>
      <c r="B2073" s="5" t="s">
        <v>697</v>
      </c>
      <c r="C2073" s="5">
        <v>2027</v>
      </c>
      <c r="D2073" s="5" t="s">
        <v>30</v>
      </c>
      <c r="E2073" t="s">
        <v>1404</v>
      </c>
      <c r="F2073" t="s">
        <v>1405</v>
      </c>
      <c r="G2073" t="s">
        <v>1093</v>
      </c>
      <c r="H2073" t="s">
        <v>1406</v>
      </c>
      <c r="I2073" t="s">
        <v>147</v>
      </c>
      <c r="J2073" t="s">
        <v>36</v>
      </c>
      <c r="K2073">
        <v>1590</v>
      </c>
      <c r="O2073" t="s">
        <v>37</v>
      </c>
      <c r="P2073" t="s">
        <v>42</v>
      </c>
      <c r="U2073" s="9" t="s">
        <v>148</v>
      </c>
      <c r="V2073" t="s">
        <v>164</v>
      </c>
      <c r="W2073" t="s">
        <v>138</v>
      </c>
      <c r="X2073" t="s">
        <v>39</v>
      </c>
      <c r="Y2073" t="s">
        <v>827</v>
      </c>
      <c r="Z2073" t="s">
        <v>41</v>
      </c>
      <c r="AB2073" t="str">
        <f t="shared" si="96"/>
        <v>46338</v>
      </c>
    </row>
    <row r="2074" ht="14.25" spans="1:28">
      <c r="A2074" s="5" t="s">
        <v>28</v>
      </c>
      <c r="B2074" s="5" t="s">
        <v>697</v>
      </c>
      <c r="C2074" s="5">
        <v>2027</v>
      </c>
      <c r="D2074" s="5" t="s">
        <v>30</v>
      </c>
      <c r="E2074" t="s">
        <v>1404</v>
      </c>
      <c r="F2074" t="s">
        <v>1405</v>
      </c>
      <c r="G2074" t="s">
        <v>1093</v>
      </c>
      <c r="H2074" t="s">
        <v>1406</v>
      </c>
      <c r="I2074" t="s">
        <v>147</v>
      </c>
      <c r="J2074" t="s">
        <v>36</v>
      </c>
      <c r="K2074">
        <v>1590</v>
      </c>
      <c r="O2074" t="s">
        <v>37</v>
      </c>
      <c r="P2074" t="s">
        <v>43</v>
      </c>
      <c r="U2074" s="9" t="s">
        <v>148</v>
      </c>
      <c r="V2074" t="s">
        <v>164</v>
      </c>
      <c r="W2074" t="s">
        <v>138</v>
      </c>
      <c r="X2074" t="s">
        <v>39</v>
      </c>
      <c r="Y2074" t="s">
        <v>827</v>
      </c>
      <c r="Z2074" t="s">
        <v>41</v>
      </c>
      <c r="AB2074" t="str">
        <f t="shared" si="96"/>
        <v>46338</v>
      </c>
    </row>
    <row r="2075" ht="14.25" spans="1:28">
      <c r="A2075" s="5" t="s">
        <v>28</v>
      </c>
      <c r="B2075" s="5" t="s">
        <v>697</v>
      </c>
      <c r="C2075" s="5">
        <v>2027</v>
      </c>
      <c r="D2075" s="5" t="s">
        <v>30</v>
      </c>
      <c r="E2075" t="s">
        <v>1404</v>
      </c>
      <c r="F2075" t="s">
        <v>1405</v>
      </c>
      <c r="G2075" t="s">
        <v>1093</v>
      </c>
      <c r="H2075" t="s">
        <v>1406</v>
      </c>
      <c r="I2075" t="s">
        <v>147</v>
      </c>
      <c r="J2075" t="s">
        <v>36</v>
      </c>
      <c r="K2075">
        <v>1590</v>
      </c>
      <c r="O2075" t="s">
        <v>37</v>
      </c>
      <c r="P2075" t="s">
        <v>44</v>
      </c>
      <c r="U2075" s="9" t="s">
        <v>148</v>
      </c>
      <c r="V2075" t="s">
        <v>164</v>
      </c>
      <c r="W2075" t="s">
        <v>138</v>
      </c>
      <c r="X2075" t="s">
        <v>39</v>
      </c>
      <c r="Y2075" t="s">
        <v>827</v>
      </c>
      <c r="Z2075" t="s">
        <v>41</v>
      </c>
      <c r="AB2075" t="str">
        <f t="shared" si="96"/>
        <v>46338</v>
      </c>
    </row>
    <row r="2076" ht="14.25" spans="1:28">
      <c r="A2076" s="5" t="s">
        <v>28</v>
      </c>
      <c r="B2076" s="5" t="s">
        <v>697</v>
      </c>
      <c r="C2076" s="5">
        <v>2027</v>
      </c>
      <c r="D2076" s="5" t="s">
        <v>30</v>
      </c>
      <c r="E2076" t="s">
        <v>1404</v>
      </c>
      <c r="F2076" t="s">
        <v>1405</v>
      </c>
      <c r="G2076" t="s">
        <v>1093</v>
      </c>
      <c r="H2076" t="s">
        <v>1406</v>
      </c>
      <c r="I2076" t="s">
        <v>147</v>
      </c>
      <c r="J2076" t="s">
        <v>36</v>
      </c>
      <c r="K2076">
        <v>1590</v>
      </c>
      <c r="O2076" t="s">
        <v>37</v>
      </c>
      <c r="P2076" t="s">
        <v>45</v>
      </c>
      <c r="U2076" s="9" t="s">
        <v>148</v>
      </c>
      <c r="V2076" t="s">
        <v>164</v>
      </c>
      <c r="W2076" t="s">
        <v>138</v>
      </c>
      <c r="X2076" t="s">
        <v>39</v>
      </c>
      <c r="Y2076" t="s">
        <v>827</v>
      </c>
      <c r="Z2076" t="s">
        <v>41</v>
      </c>
      <c r="AB2076" t="str">
        <f t="shared" si="96"/>
        <v>46338</v>
      </c>
    </row>
    <row r="2077" ht="14.25" spans="1:28">
      <c r="A2077" s="5" t="s">
        <v>28</v>
      </c>
      <c r="B2077" s="5" t="s">
        <v>697</v>
      </c>
      <c r="C2077" s="5">
        <v>2027</v>
      </c>
      <c r="D2077" s="5" t="s">
        <v>30</v>
      </c>
      <c r="E2077" t="s">
        <v>1404</v>
      </c>
      <c r="F2077" t="s">
        <v>1405</v>
      </c>
      <c r="G2077" t="s">
        <v>1093</v>
      </c>
      <c r="H2077" t="s">
        <v>1406</v>
      </c>
      <c r="I2077" t="s">
        <v>147</v>
      </c>
      <c r="J2077" t="s">
        <v>36</v>
      </c>
      <c r="K2077">
        <v>1590</v>
      </c>
      <c r="O2077" t="s">
        <v>37</v>
      </c>
      <c r="P2077" t="s">
        <v>46</v>
      </c>
      <c r="U2077" s="9" t="s">
        <v>148</v>
      </c>
      <c r="V2077" t="s">
        <v>164</v>
      </c>
      <c r="W2077" t="s">
        <v>138</v>
      </c>
      <c r="X2077" t="s">
        <v>39</v>
      </c>
      <c r="Y2077" t="s">
        <v>827</v>
      </c>
      <c r="Z2077" t="s">
        <v>41</v>
      </c>
      <c r="AB2077" t="str">
        <f t="shared" si="96"/>
        <v>46338</v>
      </c>
    </row>
    <row r="2078" ht="14.25" spans="1:28">
      <c r="A2078" s="5" t="s">
        <v>28</v>
      </c>
      <c r="B2078" s="5" t="s">
        <v>697</v>
      </c>
      <c r="C2078" s="5">
        <v>2027</v>
      </c>
      <c r="D2078" s="5" t="s">
        <v>30</v>
      </c>
      <c r="E2078" t="s">
        <v>1407</v>
      </c>
      <c r="F2078" t="s">
        <v>1405</v>
      </c>
      <c r="G2078" t="s">
        <v>100</v>
      </c>
      <c r="H2078" t="s">
        <v>1408</v>
      </c>
      <c r="I2078" t="s">
        <v>147</v>
      </c>
      <c r="J2078" t="s">
        <v>36</v>
      </c>
      <c r="K2078">
        <v>1590</v>
      </c>
      <c r="O2078" t="s">
        <v>37</v>
      </c>
      <c r="P2078" t="s">
        <v>38</v>
      </c>
      <c r="R2078">
        <f t="shared" si="97"/>
        <v>0</v>
      </c>
      <c r="S2078">
        <f>SUMIFS([1]Sheet1!$T:$T,[1]Sheet1!$I:$I,E2078,[1]Sheet1!$C:$C,A2078)</f>
        <v>60</v>
      </c>
      <c r="T2078">
        <f t="shared" si="98"/>
        <v>-60</v>
      </c>
      <c r="U2078" s="9" t="s">
        <v>148</v>
      </c>
      <c r="V2078" t="s">
        <v>164</v>
      </c>
      <c r="W2078" t="s">
        <v>138</v>
      </c>
      <c r="X2078" t="s">
        <v>102</v>
      </c>
      <c r="Y2078" t="s">
        <v>827</v>
      </c>
      <c r="Z2078" t="s">
        <v>41</v>
      </c>
      <c r="AB2078" t="str">
        <f t="shared" si="96"/>
        <v>46338</v>
      </c>
    </row>
    <row r="2079" ht="14.25" spans="1:28">
      <c r="A2079" s="5" t="s">
        <v>28</v>
      </c>
      <c r="B2079" s="5" t="s">
        <v>697</v>
      </c>
      <c r="C2079" s="5">
        <v>2027</v>
      </c>
      <c r="D2079" s="5" t="s">
        <v>30</v>
      </c>
      <c r="E2079" t="s">
        <v>1407</v>
      </c>
      <c r="F2079" t="s">
        <v>1405</v>
      </c>
      <c r="G2079" t="s">
        <v>100</v>
      </c>
      <c r="H2079" t="s">
        <v>1408</v>
      </c>
      <c r="I2079" t="s">
        <v>147</v>
      </c>
      <c r="J2079" t="s">
        <v>36</v>
      </c>
      <c r="K2079">
        <v>1590</v>
      </c>
      <c r="O2079" t="s">
        <v>37</v>
      </c>
      <c r="P2079" t="s">
        <v>42</v>
      </c>
      <c r="U2079" s="9" t="s">
        <v>148</v>
      </c>
      <c r="V2079" t="s">
        <v>164</v>
      </c>
      <c r="W2079" t="s">
        <v>138</v>
      </c>
      <c r="X2079" t="s">
        <v>102</v>
      </c>
      <c r="Y2079" t="s">
        <v>827</v>
      </c>
      <c r="Z2079" t="s">
        <v>41</v>
      </c>
      <c r="AB2079" t="str">
        <f t="shared" si="96"/>
        <v>46338</v>
      </c>
    </row>
    <row r="2080" ht="14.25" spans="1:28">
      <c r="A2080" s="5" t="s">
        <v>28</v>
      </c>
      <c r="B2080" s="5" t="s">
        <v>697</v>
      </c>
      <c r="C2080" s="5">
        <v>2027</v>
      </c>
      <c r="D2080" s="5" t="s">
        <v>30</v>
      </c>
      <c r="E2080" t="s">
        <v>1407</v>
      </c>
      <c r="F2080" t="s">
        <v>1405</v>
      </c>
      <c r="G2080" t="s">
        <v>100</v>
      </c>
      <c r="H2080" t="s">
        <v>1408</v>
      </c>
      <c r="I2080" t="s">
        <v>147</v>
      </c>
      <c r="J2080" t="s">
        <v>36</v>
      </c>
      <c r="K2080">
        <v>1590</v>
      </c>
      <c r="O2080" t="s">
        <v>37</v>
      </c>
      <c r="P2080" t="s">
        <v>43</v>
      </c>
      <c r="U2080" s="9" t="s">
        <v>148</v>
      </c>
      <c r="V2080" t="s">
        <v>164</v>
      </c>
      <c r="W2080" t="s">
        <v>138</v>
      </c>
      <c r="X2080" t="s">
        <v>102</v>
      </c>
      <c r="Y2080" t="s">
        <v>827</v>
      </c>
      <c r="Z2080" t="s">
        <v>41</v>
      </c>
      <c r="AB2080" t="str">
        <f t="shared" si="96"/>
        <v>46338</v>
      </c>
    </row>
    <row r="2081" ht="14.25" spans="1:28">
      <c r="A2081" s="5" t="s">
        <v>28</v>
      </c>
      <c r="B2081" s="5" t="s">
        <v>697</v>
      </c>
      <c r="C2081" s="5">
        <v>2027</v>
      </c>
      <c r="D2081" s="5" t="s">
        <v>30</v>
      </c>
      <c r="E2081" t="s">
        <v>1407</v>
      </c>
      <c r="F2081" t="s">
        <v>1405</v>
      </c>
      <c r="G2081" t="s">
        <v>100</v>
      </c>
      <c r="H2081" t="s">
        <v>1408</v>
      </c>
      <c r="I2081" t="s">
        <v>147</v>
      </c>
      <c r="J2081" t="s">
        <v>36</v>
      </c>
      <c r="K2081">
        <v>1590</v>
      </c>
      <c r="O2081" t="s">
        <v>37</v>
      </c>
      <c r="P2081" t="s">
        <v>44</v>
      </c>
      <c r="U2081" s="9" t="s">
        <v>148</v>
      </c>
      <c r="V2081" t="s">
        <v>164</v>
      </c>
      <c r="W2081" t="s">
        <v>138</v>
      </c>
      <c r="X2081" t="s">
        <v>102</v>
      </c>
      <c r="Y2081" t="s">
        <v>827</v>
      </c>
      <c r="Z2081" t="s">
        <v>41</v>
      </c>
      <c r="AB2081" t="str">
        <f t="shared" si="96"/>
        <v>46338</v>
      </c>
    </row>
    <row r="2082" ht="14.25" spans="1:28">
      <c r="A2082" s="5" t="s">
        <v>28</v>
      </c>
      <c r="B2082" s="5" t="s">
        <v>697</v>
      </c>
      <c r="C2082" s="5">
        <v>2027</v>
      </c>
      <c r="D2082" s="5" t="s">
        <v>30</v>
      </c>
      <c r="E2082" t="s">
        <v>1407</v>
      </c>
      <c r="F2082" t="s">
        <v>1405</v>
      </c>
      <c r="G2082" t="s">
        <v>100</v>
      </c>
      <c r="H2082" t="s">
        <v>1408</v>
      </c>
      <c r="I2082" t="s">
        <v>147</v>
      </c>
      <c r="J2082" t="s">
        <v>36</v>
      </c>
      <c r="K2082">
        <v>1590</v>
      </c>
      <c r="O2082" t="s">
        <v>37</v>
      </c>
      <c r="P2082" t="s">
        <v>45</v>
      </c>
      <c r="U2082" s="9" t="s">
        <v>148</v>
      </c>
      <c r="V2082" t="s">
        <v>164</v>
      </c>
      <c r="W2082" t="s">
        <v>138</v>
      </c>
      <c r="X2082" t="s">
        <v>102</v>
      </c>
      <c r="Y2082" t="s">
        <v>827</v>
      </c>
      <c r="Z2082" t="s">
        <v>41</v>
      </c>
      <c r="AB2082" t="str">
        <f t="shared" si="96"/>
        <v>46338</v>
      </c>
    </row>
    <row r="2083" ht="14.25" spans="1:28">
      <c r="A2083" s="5" t="s">
        <v>28</v>
      </c>
      <c r="B2083" s="5" t="s">
        <v>697</v>
      </c>
      <c r="C2083" s="5">
        <v>2027</v>
      </c>
      <c r="D2083" s="5" t="s">
        <v>30</v>
      </c>
      <c r="E2083" t="s">
        <v>1407</v>
      </c>
      <c r="F2083" t="s">
        <v>1405</v>
      </c>
      <c r="G2083" t="s">
        <v>100</v>
      </c>
      <c r="H2083" t="s">
        <v>1408</v>
      </c>
      <c r="I2083" t="s">
        <v>147</v>
      </c>
      <c r="J2083" t="s">
        <v>36</v>
      </c>
      <c r="K2083">
        <v>1590</v>
      </c>
      <c r="O2083" t="s">
        <v>37</v>
      </c>
      <c r="P2083" t="s">
        <v>46</v>
      </c>
      <c r="U2083" s="9" t="s">
        <v>148</v>
      </c>
      <c r="V2083" t="s">
        <v>164</v>
      </c>
      <c r="W2083" t="s">
        <v>138</v>
      </c>
      <c r="X2083" t="s">
        <v>102</v>
      </c>
      <c r="Y2083" t="s">
        <v>827</v>
      </c>
      <c r="Z2083" t="s">
        <v>41</v>
      </c>
      <c r="AB2083" t="str">
        <f t="shared" si="96"/>
        <v>46338</v>
      </c>
    </row>
    <row r="2084" ht="14.25" spans="1:28">
      <c r="A2084" s="5" t="s">
        <v>28</v>
      </c>
      <c r="B2084" s="5" t="s">
        <v>697</v>
      </c>
      <c r="C2084" s="5">
        <v>2027</v>
      </c>
      <c r="D2084" s="5" t="s">
        <v>30</v>
      </c>
      <c r="E2084" t="s">
        <v>1409</v>
      </c>
      <c r="F2084" t="s">
        <v>1405</v>
      </c>
      <c r="G2084" t="s">
        <v>254</v>
      </c>
      <c r="H2084" t="s">
        <v>1410</v>
      </c>
      <c r="I2084" t="s">
        <v>147</v>
      </c>
      <c r="J2084" t="s">
        <v>36</v>
      </c>
      <c r="K2084">
        <v>1590</v>
      </c>
      <c r="O2084" t="s">
        <v>37</v>
      </c>
      <c r="P2084" t="s">
        <v>38</v>
      </c>
      <c r="R2084">
        <f t="shared" si="97"/>
        <v>0</v>
      </c>
      <c r="S2084">
        <f>SUMIFS([1]Sheet1!$T:$T,[1]Sheet1!$I:$I,E2084,[1]Sheet1!$C:$C,A2084)</f>
        <v>40</v>
      </c>
      <c r="T2084">
        <f t="shared" si="98"/>
        <v>-40</v>
      </c>
      <c r="U2084" s="9" t="s">
        <v>148</v>
      </c>
      <c r="V2084" t="s">
        <v>164</v>
      </c>
      <c r="W2084" t="s">
        <v>138</v>
      </c>
      <c r="X2084" t="s">
        <v>86</v>
      </c>
      <c r="Y2084" t="s">
        <v>827</v>
      </c>
      <c r="Z2084" t="s">
        <v>41</v>
      </c>
      <c r="AB2084" t="str">
        <f t="shared" si="96"/>
        <v>46338</v>
      </c>
    </row>
    <row r="2085" ht="14.25" spans="1:28">
      <c r="A2085" s="5" t="s">
        <v>28</v>
      </c>
      <c r="B2085" s="5" t="s">
        <v>697</v>
      </c>
      <c r="C2085" s="5">
        <v>2027</v>
      </c>
      <c r="D2085" s="5" t="s">
        <v>30</v>
      </c>
      <c r="E2085" t="s">
        <v>1409</v>
      </c>
      <c r="F2085" t="s">
        <v>1405</v>
      </c>
      <c r="G2085" t="s">
        <v>254</v>
      </c>
      <c r="H2085" t="s">
        <v>1410</v>
      </c>
      <c r="I2085" t="s">
        <v>147</v>
      </c>
      <c r="J2085" t="s">
        <v>36</v>
      </c>
      <c r="K2085">
        <v>1590</v>
      </c>
      <c r="O2085" t="s">
        <v>37</v>
      </c>
      <c r="P2085" t="s">
        <v>42</v>
      </c>
      <c r="U2085" s="9" t="s">
        <v>148</v>
      </c>
      <c r="V2085" t="s">
        <v>164</v>
      </c>
      <c r="W2085" t="s">
        <v>138</v>
      </c>
      <c r="X2085" t="s">
        <v>86</v>
      </c>
      <c r="Y2085" t="s">
        <v>827</v>
      </c>
      <c r="Z2085" t="s">
        <v>41</v>
      </c>
      <c r="AB2085" t="str">
        <f t="shared" si="96"/>
        <v>46338</v>
      </c>
    </row>
    <row r="2086" ht="14.25" spans="1:28">
      <c r="A2086" s="5" t="s">
        <v>28</v>
      </c>
      <c r="B2086" s="5" t="s">
        <v>697</v>
      </c>
      <c r="C2086" s="5">
        <v>2027</v>
      </c>
      <c r="D2086" s="5" t="s">
        <v>30</v>
      </c>
      <c r="E2086" t="s">
        <v>1409</v>
      </c>
      <c r="F2086" t="s">
        <v>1405</v>
      </c>
      <c r="G2086" t="s">
        <v>254</v>
      </c>
      <c r="H2086" t="s">
        <v>1410</v>
      </c>
      <c r="I2086" t="s">
        <v>147</v>
      </c>
      <c r="J2086" t="s">
        <v>36</v>
      </c>
      <c r="K2086">
        <v>1590</v>
      </c>
      <c r="O2086" t="s">
        <v>37</v>
      </c>
      <c r="P2086" t="s">
        <v>43</v>
      </c>
      <c r="U2086" s="9" t="s">
        <v>148</v>
      </c>
      <c r="V2086" t="s">
        <v>164</v>
      </c>
      <c r="W2086" t="s">
        <v>138</v>
      </c>
      <c r="X2086" t="s">
        <v>86</v>
      </c>
      <c r="Y2086" t="s">
        <v>827</v>
      </c>
      <c r="Z2086" t="s">
        <v>41</v>
      </c>
      <c r="AB2086" t="str">
        <f t="shared" si="96"/>
        <v>46338</v>
      </c>
    </row>
    <row r="2087" ht="14.25" spans="1:28">
      <c r="A2087" s="5" t="s">
        <v>28</v>
      </c>
      <c r="B2087" s="5" t="s">
        <v>697</v>
      </c>
      <c r="C2087" s="5">
        <v>2027</v>
      </c>
      <c r="D2087" s="5" t="s">
        <v>30</v>
      </c>
      <c r="E2087" t="s">
        <v>1409</v>
      </c>
      <c r="F2087" t="s">
        <v>1405</v>
      </c>
      <c r="G2087" t="s">
        <v>254</v>
      </c>
      <c r="H2087" t="s">
        <v>1410</v>
      </c>
      <c r="I2087" t="s">
        <v>147</v>
      </c>
      <c r="J2087" t="s">
        <v>36</v>
      </c>
      <c r="K2087">
        <v>1590</v>
      </c>
      <c r="O2087" t="s">
        <v>37</v>
      </c>
      <c r="P2087" t="s">
        <v>44</v>
      </c>
      <c r="U2087" s="9" t="s">
        <v>148</v>
      </c>
      <c r="V2087" t="s">
        <v>164</v>
      </c>
      <c r="W2087" t="s">
        <v>138</v>
      </c>
      <c r="X2087" t="s">
        <v>86</v>
      </c>
      <c r="Y2087" t="s">
        <v>827</v>
      </c>
      <c r="Z2087" t="s">
        <v>41</v>
      </c>
      <c r="AB2087" t="str">
        <f t="shared" si="96"/>
        <v>46338</v>
      </c>
    </row>
    <row r="2088" ht="14.25" spans="1:28">
      <c r="A2088" s="5" t="s">
        <v>28</v>
      </c>
      <c r="B2088" s="5" t="s">
        <v>697</v>
      </c>
      <c r="C2088" s="5">
        <v>2027</v>
      </c>
      <c r="D2088" s="5" t="s">
        <v>30</v>
      </c>
      <c r="E2088" t="s">
        <v>1409</v>
      </c>
      <c r="F2088" t="s">
        <v>1405</v>
      </c>
      <c r="G2088" t="s">
        <v>254</v>
      </c>
      <c r="H2088" t="s">
        <v>1410</v>
      </c>
      <c r="I2088" t="s">
        <v>147</v>
      </c>
      <c r="J2088" t="s">
        <v>36</v>
      </c>
      <c r="K2088">
        <v>1590</v>
      </c>
      <c r="O2088" t="s">
        <v>37</v>
      </c>
      <c r="P2088" t="s">
        <v>45</v>
      </c>
      <c r="U2088" s="9" t="s">
        <v>148</v>
      </c>
      <c r="V2088" t="s">
        <v>164</v>
      </c>
      <c r="W2088" t="s">
        <v>138</v>
      </c>
      <c r="X2088" t="s">
        <v>86</v>
      </c>
      <c r="Y2088" t="s">
        <v>827</v>
      </c>
      <c r="Z2088" t="s">
        <v>41</v>
      </c>
      <c r="AB2088" t="str">
        <f t="shared" si="96"/>
        <v>46338</v>
      </c>
    </row>
    <row r="2089" ht="14.25" spans="1:28">
      <c r="A2089" s="5" t="s">
        <v>28</v>
      </c>
      <c r="B2089" s="5" t="s">
        <v>697</v>
      </c>
      <c r="C2089" s="5">
        <v>2027</v>
      </c>
      <c r="D2089" s="5" t="s">
        <v>30</v>
      </c>
      <c r="E2089" t="s">
        <v>1409</v>
      </c>
      <c r="F2089" t="s">
        <v>1405</v>
      </c>
      <c r="G2089" t="s">
        <v>254</v>
      </c>
      <c r="H2089" t="s">
        <v>1410</v>
      </c>
      <c r="I2089" t="s">
        <v>147</v>
      </c>
      <c r="J2089" t="s">
        <v>36</v>
      </c>
      <c r="K2089">
        <v>1590</v>
      </c>
      <c r="O2089" t="s">
        <v>37</v>
      </c>
      <c r="P2089" t="s">
        <v>46</v>
      </c>
      <c r="U2089" s="9" t="s">
        <v>148</v>
      </c>
      <c r="V2089" t="s">
        <v>164</v>
      </c>
      <c r="W2089" t="s">
        <v>138</v>
      </c>
      <c r="X2089" t="s">
        <v>86</v>
      </c>
      <c r="Y2089" t="s">
        <v>827</v>
      </c>
      <c r="Z2089" t="s">
        <v>41</v>
      </c>
      <c r="AB2089" t="str">
        <f t="shared" si="96"/>
        <v>46338</v>
      </c>
    </row>
    <row r="2090" ht="14.25" spans="1:28">
      <c r="A2090" s="5" t="s">
        <v>28</v>
      </c>
      <c r="B2090" s="5" t="s">
        <v>697</v>
      </c>
      <c r="C2090" s="5">
        <v>2027</v>
      </c>
      <c r="D2090" s="5" t="s">
        <v>30</v>
      </c>
      <c r="E2090" t="s">
        <v>1411</v>
      </c>
      <c r="F2090" t="s">
        <v>1412</v>
      </c>
      <c r="G2090" t="s">
        <v>221</v>
      </c>
      <c r="H2090" t="s">
        <v>1413</v>
      </c>
      <c r="I2090" t="s">
        <v>119</v>
      </c>
      <c r="J2090" t="s">
        <v>36</v>
      </c>
      <c r="K2090">
        <v>1590</v>
      </c>
      <c r="O2090" t="s">
        <v>37</v>
      </c>
      <c r="P2090" t="s">
        <v>38</v>
      </c>
      <c r="R2090">
        <f t="shared" si="97"/>
        <v>0</v>
      </c>
      <c r="S2090">
        <f>SUMIFS([1]Sheet1!$T:$T,[1]Sheet1!$I:$I,E2090,[1]Sheet1!$C:$C,A2090)</f>
        <v>0</v>
      </c>
      <c r="T2090">
        <f t="shared" si="98"/>
        <v>0</v>
      </c>
      <c r="U2090" s="9" t="s">
        <v>148</v>
      </c>
      <c r="V2090" t="s">
        <v>164</v>
      </c>
      <c r="W2090" t="s">
        <v>138</v>
      </c>
      <c r="X2090" t="s">
        <v>70</v>
      </c>
      <c r="Y2090" t="s">
        <v>827</v>
      </c>
      <c r="Z2090" t="s">
        <v>41</v>
      </c>
      <c r="AB2090" t="str">
        <f t="shared" si="96"/>
        <v>46341</v>
      </c>
    </row>
    <row r="2091" ht="14.25" spans="1:28">
      <c r="A2091" s="5" t="s">
        <v>28</v>
      </c>
      <c r="B2091" s="5" t="s">
        <v>697</v>
      </c>
      <c r="C2091" s="5">
        <v>2027</v>
      </c>
      <c r="D2091" s="5" t="s">
        <v>30</v>
      </c>
      <c r="E2091" t="s">
        <v>1411</v>
      </c>
      <c r="F2091" t="s">
        <v>1412</v>
      </c>
      <c r="G2091" t="s">
        <v>221</v>
      </c>
      <c r="H2091" t="s">
        <v>1413</v>
      </c>
      <c r="I2091" t="s">
        <v>119</v>
      </c>
      <c r="J2091" t="s">
        <v>36</v>
      </c>
      <c r="K2091">
        <v>1590</v>
      </c>
      <c r="O2091" t="s">
        <v>37</v>
      </c>
      <c r="P2091" t="s">
        <v>42</v>
      </c>
      <c r="U2091" s="9" t="s">
        <v>148</v>
      </c>
      <c r="V2091" t="s">
        <v>164</v>
      </c>
      <c r="W2091" t="s">
        <v>138</v>
      </c>
      <c r="X2091" t="s">
        <v>70</v>
      </c>
      <c r="Y2091" t="s">
        <v>827</v>
      </c>
      <c r="Z2091" t="s">
        <v>41</v>
      </c>
      <c r="AB2091" t="str">
        <f t="shared" si="96"/>
        <v>46341</v>
      </c>
    </row>
    <row r="2092" ht="14.25" spans="1:28">
      <c r="A2092" s="5" t="s">
        <v>28</v>
      </c>
      <c r="B2092" s="5" t="s">
        <v>697</v>
      </c>
      <c r="C2092" s="5">
        <v>2027</v>
      </c>
      <c r="D2092" s="5" t="s">
        <v>30</v>
      </c>
      <c r="E2092" t="s">
        <v>1411</v>
      </c>
      <c r="F2092" t="s">
        <v>1412</v>
      </c>
      <c r="G2092" t="s">
        <v>221</v>
      </c>
      <c r="H2092" t="s">
        <v>1413</v>
      </c>
      <c r="I2092" t="s">
        <v>119</v>
      </c>
      <c r="J2092" t="s">
        <v>36</v>
      </c>
      <c r="K2092">
        <v>1590</v>
      </c>
      <c r="O2092" t="s">
        <v>37</v>
      </c>
      <c r="P2092" t="s">
        <v>43</v>
      </c>
      <c r="U2092" s="9" t="s">
        <v>148</v>
      </c>
      <c r="V2092" t="s">
        <v>164</v>
      </c>
      <c r="W2092" t="s">
        <v>138</v>
      </c>
      <c r="X2092" t="s">
        <v>70</v>
      </c>
      <c r="Y2092" t="s">
        <v>827</v>
      </c>
      <c r="Z2092" t="s">
        <v>41</v>
      </c>
      <c r="AB2092" t="str">
        <f t="shared" si="96"/>
        <v>46341</v>
      </c>
    </row>
    <row r="2093" ht="14.25" spans="1:28">
      <c r="A2093" s="5" t="s">
        <v>28</v>
      </c>
      <c r="B2093" s="5" t="s">
        <v>697</v>
      </c>
      <c r="C2093" s="5">
        <v>2027</v>
      </c>
      <c r="D2093" s="5" t="s">
        <v>30</v>
      </c>
      <c r="E2093" t="s">
        <v>1411</v>
      </c>
      <c r="F2093" t="s">
        <v>1412</v>
      </c>
      <c r="G2093" t="s">
        <v>221</v>
      </c>
      <c r="H2093" t="s">
        <v>1413</v>
      </c>
      <c r="I2093" t="s">
        <v>119</v>
      </c>
      <c r="J2093" t="s">
        <v>36</v>
      </c>
      <c r="K2093">
        <v>1590</v>
      </c>
      <c r="O2093" t="s">
        <v>37</v>
      </c>
      <c r="P2093" t="s">
        <v>44</v>
      </c>
      <c r="U2093" s="9" t="s">
        <v>148</v>
      </c>
      <c r="V2093" t="s">
        <v>164</v>
      </c>
      <c r="W2093" t="s">
        <v>138</v>
      </c>
      <c r="X2093" t="s">
        <v>70</v>
      </c>
      <c r="Y2093" t="s">
        <v>827</v>
      </c>
      <c r="Z2093" t="s">
        <v>41</v>
      </c>
      <c r="AB2093" t="str">
        <f t="shared" si="96"/>
        <v>46341</v>
      </c>
    </row>
    <row r="2094" ht="14.25" spans="1:28">
      <c r="A2094" s="5" t="s">
        <v>28</v>
      </c>
      <c r="B2094" s="5" t="s">
        <v>697</v>
      </c>
      <c r="C2094" s="5">
        <v>2027</v>
      </c>
      <c r="D2094" s="5" t="s">
        <v>30</v>
      </c>
      <c r="E2094" t="s">
        <v>1411</v>
      </c>
      <c r="F2094" t="s">
        <v>1412</v>
      </c>
      <c r="G2094" t="s">
        <v>221</v>
      </c>
      <c r="H2094" t="s">
        <v>1413</v>
      </c>
      <c r="I2094" t="s">
        <v>119</v>
      </c>
      <c r="J2094" t="s">
        <v>36</v>
      </c>
      <c r="K2094">
        <v>1590</v>
      </c>
      <c r="O2094" t="s">
        <v>37</v>
      </c>
      <c r="P2094" t="s">
        <v>45</v>
      </c>
      <c r="U2094" s="9" t="s">
        <v>148</v>
      </c>
      <c r="V2094" t="s">
        <v>164</v>
      </c>
      <c r="W2094" t="s">
        <v>138</v>
      </c>
      <c r="X2094" t="s">
        <v>70</v>
      </c>
      <c r="Y2094" t="s">
        <v>827</v>
      </c>
      <c r="Z2094" t="s">
        <v>41</v>
      </c>
      <c r="AB2094" t="str">
        <f t="shared" si="96"/>
        <v>46341</v>
      </c>
    </row>
    <row r="2095" ht="14.25" spans="1:28">
      <c r="A2095" s="5" t="s">
        <v>28</v>
      </c>
      <c r="B2095" s="5" t="s">
        <v>697</v>
      </c>
      <c r="C2095" s="5">
        <v>2027</v>
      </c>
      <c r="D2095" s="5" t="s">
        <v>30</v>
      </c>
      <c r="E2095" t="s">
        <v>1411</v>
      </c>
      <c r="F2095" t="s">
        <v>1412</v>
      </c>
      <c r="G2095" t="s">
        <v>221</v>
      </c>
      <c r="H2095" t="s">
        <v>1413</v>
      </c>
      <c r="I2095" t="s">
        <v>119</v>
      </c>
      <c r="J2095" t="s">
        <v>36</v>
      </c>
      <c r="K2095">
        <v>1590</v>
      </c>
      <c r="O2095" t="s">
        <v>37</v>
      </c>
      <c r="P2095" t="s">
        <v>46</v>
      </c>
      <c r="U2095" s="9" t="s">
        <v>148</v>
      </c>
      <c r="V2095" t="s">
        <v>164</v>
      </c>
      <c r="W2095" t="s">
        <v>138</v>
      </c>
      <c r="X2095" t="s">
        <v>70</v>
      </c>
      <c r="Y2095" t="s">
        <v>827</v>
      </c>
      <c r="Z2095" t="s">
        <v>41</v>
      </c>
      <c r="AB2095" t="str">
        <f t="shared" si="96"/>
        <v>46341</v>
      </c>
    </row>
    <row r="2096" ht="14.25" spans="1:28">
      <c r="A2096" s="5" t="s">
        <v>28</v>
      </c>
      <c r="B2096" s="5" t="s">
        <v>697</v>
      </c>
      <c r="C2096" s="5">
        <v>2027</v>
      </c>
      <c r="D2096" s="5" t="s">
        <v>30</v>
      </c>
      <c r="E2096" t="s">
        <v>1414</v>
      </c>
      <c r="F2096" t="s">
        <v>1412</v>
      </c>
      <c r="G2096" t="s">
        <v>100</v>
      </c>
      <c r="H2096" t="s">
        <v>1415</v>
      </c>
      <c r="I2096" t="s">
        <v>119</v>
      </c>
      <c r="J2096" t="s">
        <v>36</v>
      </c>
      <c r="K2096">
        <v>1590</v>
      </c>
      <c r="O2096" t="s">
        <v>37</v>
      </c>
      <c r="P2096" t="s">
        <v>38</v>
      </c>
      <c r="R2096">
        <f t="shared" si="97"/>
        <v>0</v>
      </c>
      <c r="S2096">
        <f>SUMIFS([1]Sheet1!$T:$T,[1]Sheet1!$I:$I,E2096,[1]Sheet1!$C:$C,A2096)</f>
        <v>0</v>
      </c>
      <c r="T2096">
        <f t="shared" si="98"/>
        <v>0</v>
      </c>
      <c r="U2096" s="9" t="s">
        <v>148</v>
      </c>
      <c r="V2096" t="s">
        <v>164</v>
      </c>
      <c r="W2096" t="s">
        <v>138</v>
      </c>
      <c r="X2096" t="s">
        <v>102</v>
      </c>
      <c r="Y2096" t="s">
        <v>827</v>
      </c>
      <c r="Z2096" t="s">
        <v>41</v>
      </c>
      <c r="AB2096" t="str">
        <f t="shared" si="96"/>
        <v>46341</v>
      </c>
    </row>
    <row r="2097" ht="14.25" spans="1:28">
      <c r="A2097" s="5" t="s">
        <v>28</v>
      </c>
      <c r="B2097" s="5" t="s">
        <v>697</v>
      </c>
      <c r="C2097" s="5">
        <v>2027</v>
      </c>
      <c r="D2097" s="5" t="s">
        <v>30</v>
      </c>
      <c r="E2097" t="s">
        <v>1414</v>
      </c>
      <c r="F2097" t="s">
        <v>1412</v>
      </c>
      <c r="G2097" t="s">
        <v>100</v>
      </c>
      <c r="H2097" t="s">
        <v>1415</v>
      </c>
      <c r="I2097" t="s">
        <v>119</v>
      </c>
      <c r="J2097" t="s">
        <v>36</v>
      </c>
      <c r="K2097">
        <v>1590</v>
      </c>
      <c r="O2097" t="s">
        <v>37</v>
      </c>
      <c r="P2097" t="s">
        <v>42</v>
      </c>
      <c r="U2097" s="9" t="s">
        <v>148</v>
      </c>
      <c r="V2097" t="s">
        <v>164</v>
      </c>
      <c r="W2097" t="s">
        <v>138</v>
      </c>
      <c r="X2097" t="s">
        <v>102</v>
      </c>
      <c r="Y2097" t="s">
        <v>827</v>
      </c>
      <c r="Z2097" t="s">
        <v>41</v>
      </c>
      <c r="AB2097" t="str">
        <f t="shared" si="96"/>
        <v>46341</v>
      </c>
    </row>
    <row r="2098" ht="14.25" spans="1:28">
      <c r="A2098" s="5" t="s">
        <v>28</v>
      </c>
      <c r="B2098" s="5" t="s">
        <v>697</v>
      </c>
      <c r="C2098" s="5">
        <v>2027</v>
      </c>
      <c r="D2098" s="5" t="s">
        <v>30</v>
      </c>
      <c r="E2098" t="s">
        <v>1414</v>
      </c>
      <c r="F2098" t="s">
        <v>1412</v>
      </c>
      <c r="G2098" t="s">
        <v>100</v>
      </c>
      <c r="H2098" t="s">
        <v>1415</v>
      </c>
      <c r="I2098" t="s">
        <v>119</v>
      </c>
      <c r="J2098" t="s">
        <v>36</v>
      </c>
      <c r="K2098">
        <v>1590</v>
      </c>
      <c r="O2098" t="s">
        <v>37</v>
      </c>
      <c r="P2098" t="s">
        <v>43</v>
      </c>
      <c r="U2098" s="9" t="s">
        <v>148</v>
      </c>
      <c r="V2098" t="s">
        <v>164</v>
      </c>
      <c r="W2098" t="s">
        <v>138</v>
      </c>
      <c r="X2098" t="s">
        <v>102</v>
      </c>
      <c r="Y2098" t="s">
        <v>827</v>
      </c>
      <c r="Z2098" t="s">
        <v>41</v>
      </c>
      <c r="AB2098" t="str">
        <f t="shared" si="96"/>
        <v>46341</v>
      </c>
    </row>
    <row r="2099" ht="14.25" spans="1:28">
      <c r="A2099" s="5" t="s">
        <v>28</v>
      </c>
      <c r="B2099" s="5" t="s">
        <v>697</v>
      </c>
      <c r="C2099" s="5">
        <v>2027</v>
      </c>
      <c r="D2099" s="5" t="s">
        <v>30</v>
      </c>
      <c r="E2099" t="s">
        <v>1414</v>
      </c>
      <c r="F2099" t="s">
        <v>1412</v>
      </c>
      <c r="G2099" t="s">
        <v>100</v>
      </c>
      <c r="H2099" t="s">
        <v>1415</v>
      </c>
      <c r="I2099" t="s">
        <v>119</v>
      </c>
      <c r="J2099" t="s">
        <v>36</v>
      </c>
      <c r="K2099">
        <v>1590</v>
      </c>
      <c r="O2099" t="s">
        <v>37</v>
      </c>
      <c r="P2099" t="s">
        <v>44</v>
      </c>
      <c r="U2099" s="9" t="s">
        <v>148</v>
      </c>
      <c r="V2099" t="s">
        <v>164</v>
      </c>
      <c r="W2099" t="s">
        <v>138</v>
      </c>
      <c r="X2099" t="s">
        <v>102</v>
      </c>
      <c r="Y2099" t="s">
        <v>827</v>
      </c>
      <c r="Z2099" t="s">
        <v>41</v>
      </c>
      <c r="AB2099" t="str">
        <f t="shared" ref="AB2099:AB2162" si="99">MID(E2099,6,5)</f>
        <v>46341</v>
      </c>
    </row>
    <row r="2100" ht="14.25" spans="1:28">
      <c r="A2100" s="5" t="s">
        <v>28</v>
      </c>
      <c r="B2100" s="5" t="s">
        <v>697</v>
      </c>
      <c r="C2100" s="5">
        <v>2027</v>
      </c>
      <c r="D2100" s="5" t="s">
        <v>30</v>
      </c>
      <c r="E2100" t="s">
        <v>1414</v>
      </c>
      <c r="F2100" t="s">
        <v>1412</v>
      </c>
      <c r="G2100" t="s">
        <v>100</v>
      </c>
      <c r="H2100" t="s">
        <v>1415</v>
      </c>
      <c r="I2100" t="s">
        <v>119</v>
      </c>
      <c r="J2100" t="s">
        <v>36</v>
      </c>
      <c r="K2100">
        <v>1590</v>
      </c>
      <c r="O2100" t="s">
        <v>37</v>
      </c>
      <c r="P2100" t="s">
        <v>45</v>
      </c>
      <c r="U2100" s="9" t="s">
        <v>148</v>
      </c>
      <c r="V2100" t="s">
        <v>164</v>
      </c>
      <c r="W2100" t="s">
        <v>138</v>
      </c>
      <c r="X2100" t="s">
        <v>102</v>
      </c>
      <c r="Y2100" t="s">
        <v>827</v>
      </c>
      <c r="Z2100" t="s">
        <v>41</v>
      </c>
      <c r="AB2100" t="str">
        <f t="shared" si="99"/>
        <v>46341</v>
      </c>
    </row>
    <row r="2101" ht="14.25" spans="1:28">
      <c r="A2101" s="5" t="s">
        <v>28</v>
      </c>
      <c r="B2101" s="5" t="s">
        <v>697</v>
      </c>
      <c r="C2101" s="5">
        <v>2027</v>
      </c>
      <c r="D2101" s="5" t="s">
        <v>30</v>
      </c>
      <c r="E2101" t="s">
        <v>1414</v>
      </c>
      <c r="F2101" t="s">
        <v>1412</v>
      </c>
      <c r="G2101" t="s">
        <v>100</v>
      </c>
      <c r="H2101" t="s">
        <v>1415</v>
      </c>
      <c r="I2101" t="s">
        <v>119</v>
      </c>
      <c r="J2101" t="s">
        <v>36</v>
      </c>
      <c r="K2101">
        <v>1590</v>
      </c>
      <c r="O2101" t="s">
        <v>37</v>
      </c>
      <c r="P2101" t="s">
        <v>46</v>
      </c>
      <c r="U2101" s="9" t="s">
        <v>148</v>
      </c>
      <c r="V2101" t="s">
        <v>164</v>
      </c>
      <c r="W2101" t="s">
        <v>138</v>
      </c>
      <c r="X2101" t="s">
        <v>102</v>
      </c>
      <c r="Y2101" t="s">
        <v>827</v>
      </c>
      <c r="Z2101" t="s">
        <v>41</v>
      </c>
      <c r="AB2101" t="str">
        <f t="shared" si="99"/>
        <v>46341</v>
      </c>
    </row>
    <row r="2102" ht="14.25" spans="1:28">
      <c r="A2102" s="5" t="s">
        <v>28</v>
      </c>
      <c r="B2102" s="5" t="s">
        <v>697</v>
      </c>
      <c r="C2102" s="5">
        <v>2027</v>
      </c>
      <c r="D2102" s="5" t="s">
        <v>30</v>
      </c>
      <c r="E2102" t="s">
        <v>1416</v>
      </c>
      <c r="F2102" t="s">
        <v>1412</v>
      </c>
      <c r="G2102" t="s">
        <v>254</v>
      </c>
      <c r="H2102" t="s">
        <v>1417</v>
      </c>
      <c r="I2102" t="s">
        <v>119</v>
      </c>
      <c r="J2102" t="s">
        <v>36</v>
      </c>
      <c r="K2102">
        <v>1590</v>
      </c>
      <c r="O2102" t="s">
        <v>37</v>
      </c>
      <c r="P2102" t="s">
        <v>38</v>
      </c>
      <c r="R2102">
        <f t="shared" si="97"/>
        <v>0</v>
      </c>
      <c r="S2102">
        <f>SUMIFS([1]Sheet1!$T:$T,[1]Sheet1!$I:$I,E2102,[1]Sheet1!$C:$C,A2102)</f>
        <v>0</v>
      </c>
      <c r="T2102">
        <f t="shared" si="98"/>
        <v>0</v>
      </c>
      <c r="U2102" s="9" t="s">
        <v>148</v>
      </c>
      <c r="V2102" t="s">
        <v>164</v>
      </c>
      <c r="W2102" t="s">
        <v>138</v>
      </c>
      <c r="X2102" t="s">
        <v>86</v>
      </c>
      <c r="Y2102" t="s">
        <v>827</v>
      </c>
      <c r="Z2102" t="s">
        <v>41</v>
      </c>
      <c r="AB2102" t="str">
        <f t="shared" si="99"/>
        <v>46341</v>
      </c>
    </row>
    <row r="2103" ht="14.25" spans="1:28">
      <c r="A2103" s="5" t="s">
        <v>28</v>
      </c>
      <c r="B2103" s="5" t="s">
        <v>697</v>
      </c>
      <c r="C2103" s="5">
        <v>2027</v>
      </c>
      <c r="D2103" s="5" t="s">
        <v>30</v>
      </c>
      <c r="E2103" t="s">
        <v>1416</v>
      </c>
      <c r="F2103" t="s">
        <v>1412</v>
      </c>
      <c r="G2103" t="s">
        <v>254</v>
      </c>
      <c r="H2103" t="s">
        <v>1417</v>
      </c>
      <c r="I2103" t="s">
        <v>119</v>
      </c>
      <c r="J2103" t="s">
        <v>36</v>
      </c>
      <c r="K2103">
        <v>1590</v>
      </c>
      <c r="O2103" t="s">
        <v>37</v>
      </c>
      <c r="P2103" t="s">
        <v>42</v>
      </c>
      <c r="U2103" s="9" t="s">
        <v>148</v>
      </c>
      <c r="V2103" t="s">
        <v>164</v>
      </c>
      <c r="W2103" t="s">
        <v>138</v>
      </c>
      <c r="X2103" t="s">
        <v>86</v>
      </c>
      <c r="Y2103" t="s">
        <v>827</v>
      </c>
      <c r="Z2103" t="s">
        <v>41</v>
      </c>
      <c r="AB2103" t="str">
        <f t="shared" si="99"/>
        <v>46341</v>
      </c>
    </row>
    <row r="2104" ht="14.25" spans="1:28">
      <c r="A2104" s="5" t="s">
        <v>28</v>
      </c>
      <c r="B2104" s="5" t="s">
        <v>697</v>
      </c>
      <c r="C2104" s="5">
        <v>2027</v>
      </c>
      <c r="D2104" s="5" t="s">
        <v>30</v>
      </c>
      <c r="E2104" t="s">
        <v>1416</v>
      </c>
      <c r="F2104" t="s">
        <v>1412</v>
      </c>
      <c r="G2104" t="s">
        <v>254</v>
      </c>
      <c r="H2104" t="s">
        <v>1417</v>
      </c>
      <c r="I2104" t="s">
        <v>119</v>
      </c>
      <c r="J2104" t="s">
        <v>36</v>
      </c>
      <c r="K2104">
        <v>1590</v>
      </c>
      <c r="O2104" t="s">
        <v>37</v>
      </c>
      <c r="P2104" t="s">
        <v>43</v>
      </c>
      <c r="U2104" s="9" t="s">
        <v>148</v>
      </c>
      <c r="V2104" t="s">
        <v>164</v>
      </c>
      <c r="W2104" t="s">
        <v>138</v>
      </c>
      <c r="X2104" t="s">
        <v>86</v>
      </c>
      <c r="Y2104" t="s">
        <v>827</v>
      </c>
      <c r="Z2104" t="s">
        <v>41</v>
      </c>
      <c r="AB2104" t="str">
        <f t="shared" si="99"/>
        <v>46341</v>
      </c>
    </row>
    <row r="2105" ht="14.25" spans="1:28">
      <c r="A2105" s="5" t="s">
        <v>28</v>
      </c>
      <c r="B2105" s="5" t="s">
        <v>697</v>
      </c>
      <c r="C2105" s="5">
        <v>2027</v>
      </c>
      <c r="D2105" s="5" t="s">
        <v>30</v>
      </c>
      <c r="E2105" t="s">
        <v>1416</v>
      </c>
      <c r="F2105" t="s">
        <v>1412</v>
      </c>
      <c r="G2105" t="s">
        <v>254</v>
      </c>
      <c r="H2105" t="s">
        <v>1417</v>
      </c>
      <c r="I2105" t="s">
        <v>119</v>
      </c>
      <c r="J2105" t="s">
        <v>36</v>
      </c>
      <c r="K2105">
        <v>1590</v>
      </c>
      <c r="O2105" t="s">
        <v>37</v>
      </c>
      <c r="P2105" t="s">
        <v>44</v>
      </c>
      <c r="U2105" s="9" t="s">
        <v>148</v>
      </c>
      <c r="V2105" t="s">
        <v>164</v>
      </c>
      <c r="W2105" t="s">
        <v>138</v>
      </c>
      <c r="X2105" t="s">
        <v>86</v>
      </c>
      <c r="Y2105" t="s">
        <v>827</v>
      </c>
      <c r="Z2105" t="s">
        <v>41</v>
      </c>
      <c r="AB2105" t="str">
        <f t="shared" si="99"/>
        <v>46341</v>
      </c>
    </row>
    <row r="2106" ht="14.25" spans="1:28">
      <c r="A2106" s="5" t="s">
        <v>28</v>
      </c>
      <c r="B2106" s="5" t="s">
        <v>697</v>
      </c>
      <c r="C2106" s="5">
        <v>2027</v>
      </c>
      <c r="D2106" s="5" t="s">
        <v>30</v>
      </c>
      <c r="E2106" t="s">
        <v>1416</v>
      </c>
      <c r="F2106" t="s">
        <v>1412</v>
      </c>
      <c r="G2106" t="s">
        <v>254</v>
      </c>
      <c r="H2106" t="s">
        <v>1417</v>
      </c>
      <c r="I2106" t="s">
        <v>119</v>
      </c>
      <c r="J2106" t="s">
        <v>36</v>
      </c>
      <c r="K2106">
        <v>1590</v>
      </c>
      <c r="O2106" t="s">
        <v>37</v>
      </c>
      <c r="P2106" t="s">
        <v>45</v>
      </c>
      <c r="U2106" s="9" t="s">
        <v>148</v>
      </c>
      <c r="V2106" t="s">
        <v>164</v>
      </c>
      <c r="W2106" t="s">
        <v>138</v>
      </c>
      <c r="X2106" t="s">
        <v>86</v>
      </c>
      <c r="Y2106" t="s">
        <v>827</v>
      </c>
      <c r="Z2106" t="s">
        <v>41</v>
      </c>
      <c r="AB2106" t="str">
        <f t="shared" si="99"/>
        <v>46341</v>
      </c>
    </row>
    <row r="2107" ht="14.25" spans="1:28">
      <c r="A2107" s="5" t="s">
        <v>28</v>
      </c>
      <c r="B2107" s="5" t="s">
        <v>697</v>
      </c>
      <c r="C2107" s="5">
        <v>2027</v>
      </c>
      <c r="D2107" s="5" t="s">
        <v>30</v>
      </c>
      <c r="E2107" t="s">
        <v>1416</v>
      </c>
      <c r="F2107" t="s">
        <v>1412</v>
      </c>
      <c r="G2107" t="s">
        <v>254</v>
      </c>
      <c r="H2107" t="s">
        <v>1417</v>
      </c>
      <c r="I2107" t="s">
        <v>119</v>
      </c>
      <c r="J2107" t="s">
        <v>36</v>
      </c>
      <c r="K2107">
        <v>1590</v>
      </c>
      <c r="O2107" t="s">
        <v>37</v>
      </c>
      <c r="P2107" t="s">
        <v>46</v>
      </c>
      <c r="U2107" s="9" t="s">
        <v>148</v>
      </c>
      <c r="V2107" t="s">
        <v>164</v>
      </c>
      <c r="W2107" t="s">
        <v>138</v>
      </c>
      <c r="X2107" t="s">
        <v>86</v>
      </c>
      <c r="Y2107" t="s">
        <v>827</v>
      </c>
      <c r="Z2107" t="s">
        <v>41</v>
      </c>
      <c r="AB2107" t="str">
        <f t="shared" si="99"/>
        <v>46341</v>
      </c>
    </row>
    <row r="2108" ht="14.25" spans="1:28">
      <c r="A2108" s="5" t="s">
        <v>28</v>
      </c>
      <c r="B2108" s="5" t="s">
        <v>697</v>
      </c>
      <c r="C2108" s="5">
        <v>2027</v>
      </c>
      <c r="D2108" s="5" t="s">
        <v>30</v>
      </c>
      <c r="E2108" t="s">
        <v>1418</v>
      </c>
      <c r="F2108" t="s">
        <v>1419</v>
      </c>
      <c r="G2108" t="s">
        <v>100</v>
      </c>
      <c r="H2108" t="s">
        <v>1420</v>
      </c>
      <c r="I2108" t="s">
        <v>147</v>
      </c>
      <c r="J2108" t="s">
        <v>36</v>
      </c>
      <c r="K2108">
        <v>1590</v>
      </c>
      <c r="O2108" t="s">
        <v>37</v>
      </c>
      <c r="P2108" t="s">
        <v>38</v>
      </c>
      <c r="R2108">
        <f t="shared" si="97"/>
        <v>0</v>
      </c>
      <c r="S2108">
        <f>SUMIFS([1]Sheet1!$T:$T,[1]Sheet1!$I:$I,E2108,[1]Sheet1!$C:$C,A2108)</f>
        <v>0</v>
      </c>
      <c r="T2108">
        <f t="shared" si="98"/>
        <v>0</v>
      </c>
      <c r="U2108" s="9" t="s">
        <v>148</v>
      </c>
      <c r="V2108" t="s">
        <v>164</v>
      </c>
      <c r="W2108" t="s">
        <v>138</v>
      </c>
      <c r="X2108" t="s">
        <v>102</v>
      </c>
      <c r="Y2108" t="s">
        <v>1272</v>
      </c>
      <c r="Z2108" t="s">
        <v>41</v>
      </c>
      <c r="AB2108" t="str">
        <f t="shared" si="99"/>
        <v>46347</v>
      </c>
    </row>
    <row r="2109" ht="14.25" spans="1:28">
      <c r="A2109" s="5" t="s">
        <v>28</v>
      </c>
      <c r="B2109" s="5" t="s">
        <v>697</v>
      </c>
      <c r="C2109" s="5">
        <v>2027</v>
      </c>
      <c r="D2109" s="5" t="s">
        <v>30</v>
      </c>
      <c r="E2109" t="s">
        <v>1418</v>
      </c>
      <c r="F2109" t="s">
        <v>1419</v>
      </c>
      <c r="G2109" t="s">
        <v>100</v>
      </c>
      <c r="H2109" t="s">
        <v>1420</v>
      </c>
      <c r="I2109" t="s">
        <v>147</v>
      </c>
      <c r="J2109" t="s">
        <v>36</v>
      </c>
      <c r="K2109">
        <v>1590</v>
      </c>
      <c r="O2109" t="s">
        <v>37</v>
      </c>
      <c r="P2109" t="s">
        <v>42</v>
      </c>
      <c r="U2109" s="9" t="s">
        <v>148</v>
      </c>
      <c r="V2109" t="s">
        <v>164</v>
      </c>
      <c r="W2109" t="s">
        <v>138</v>
      </c>
      <c r="X2109" t="s">
        <v>102</v>
      </c>
      <c r="Y2109" t="s">
        <v>1272</v>
      </c>
      <c r="Z2109" t="s">
        <v>41</v>
      </c>
      <c r="AB2109" t="str">
        <f t="shared" si="99"/>
        <v>46347</v>
      </c>
    </row>
    <row r="2110" ht="14.25" spans="1:28">
      <c r="A2110" s="5" t="s">
        <v>28</v>
      </c>
      <c r="B2110" s="5" t="s">
        <v>697</v>
      </c>
      <c r="C2110" s="5">
        <v>2027</v>
      </c>
      <c r="D2110" s="5" t="s">
        <v>30</v>
      </c>
      <c r="E2110" t="s">
        <v>1418</v>
      </c>
      <c r="F2110" t="s">
        <v>1419</v>
      </c>
      <c r="G2110" t="s">
        <v>100</v>
      </c>
      <c r="H2110" t="s">
        <v>1420</v>
      </c>
      <c r="I2110" t="s">
        <v>147</v>
      </c>
      <c r="J2110" t="s">
        <v>36</v>
      </c>
      <c r="K2110">
        <v>1590</v>
      </c>
      <c r="O2110" t="s">
        <v>37</v>
      </c>
      <c r="P2110" t="s">
        <v>43</v>
      </c>
      <c r="U2110" s="9" t="s">
        <v>148</v>
      </c>
      <c r="V2110" t="s">
        <v>164</v>
      </c>
      <c r="W2110" t="s">
        <v>138</v>
      </c>
      <c r="X2110" t="s">
        <v>102</v>
      </c>
      <c r="Y2110" t="s">
        <v>1272</v>
      </c>
      <c r="Z2110" t="s">
        <v>41</v>
      </c>
      <c r="AB2110" t="str">
        <f t="shared" si="99"/>
        <v>46347</v>
      </c>
    </row>
    <row r="2111" ht="14.25" spans="1:28">
      <c r="A2111" s="5" t="s">
        <v>28</v>
      </c>
      <c r="B2111" s="5" t="s">
        <v>697</v>
      </c>
      <c r="C2111" s="5">
        <v>2027</v>
      </c>
      <c r="D2111" s="5" t="s">
        <v>30</v>
      </c>
      <c r="E2111" t="s">
        <v>1418</v>
      </c>
      <c r="F2111" t="s">
        <v>1419</v>
      </c>
      <c r="G2111" t="s">
        <v>100</v>
      </c>
      <c r="H2111" t="s">
        <v>1420</v>
      </c>
      <c r="I2111" t="s">
        <v>147</v>
      </c>
      <c r="J2111" t="s">
        <v>36</v>
      </c>
      <c r="K2111">
        <v>1590</v>
      </c>
      <c r="O2111" t="s">
        <v>37</v>
      </c>
      <c r="P2111" t="s">
        <v>44</v>
      </c>
      <c r="U2111" s="9" t="s">
        <v>148</v>
      </c>
      <c r="V2111" t="s">
        <v>164</v>
      </c>
      <c r="W2111" t="s">
        <v>138</v>
      </c>
      <c r="X2111" t="s">
        <v>102</v>
      </c>
      <c r="Y2111" t="s">
        <v>1272</v>
      </c>
      <c r="Z2111" t="s">
        <v>41</v>
      </c>
      <c r="AB2111" t="str">
        <f t="shared" si="99"/>
        <v>46347</v>
      </c>
    </row>
    <row r="2112" ht="14.25" spans="1:28">
      <c r="A2112" s="5" t="s">
        <v>28</v>
      </c>
      <c r="B2112" s="5" t="s">
        <v>697</v>
      </c>
      <c r="C2112" s="5">
        <v>2027</v>
      </c>
      <c r="D2112" s="5" t="s">
        <v>30</v>
      </c>
      <c r="E2112" t="s">
        <v>1418</v>
      </c>
      <c r="F2112" t="s">
        <v>1419</v>
      </c>
      <c r="G2112" t="s">
        <v>100</v>
      </c>
      <c r="H2112" t="s">
        <v>1420</v>
      </c>
      <c r="I2112" t="s">
        <v>147</v>
      </c>
      <c r="J2112" t="s">
        <v>36</v>
      </c>
      <c r="K2112">
        <v>1590</v>
      </c>
      <c r="O2112" t="s">
        <v>37</v>
      </c>
      <c r="P2112" t="s">
        <v>45</v>
      </c>
      <c r="U2112" s="9" t="s">
        <v>148</v>
      </c>
      <c r="V2112" t="s">
        <v>164</v>
      </c>
      <c r="W2112" t="s">
        <v>138</v>
      </c>
      <c r="X2112" t="s">
        <v>102</v>
      </c>
      <c r="Y2112" t="s">
        <v>1272</v>
      </c>
      <c r="Z2112" t="s">
        <v>41</v>
      </c>
      <c r="AB2112" t="str">
        <f t="shared" si="99"/>
        <v>46347</v>
      </c>
    </row>
    <row r="2113" ht="14.25" spans="1:28">
      <c r="A2113" s="5" t="s">
        <v>28</v>
      </c>
      <c r="B2113" s="5" t="s">
        <v>697</v>
      </c>
      <c r="C2113" s="5">
        <v>2027</v>
      </c>
      <c r="D2113" s="5" t="s">
        <v>30</v>
      </c>
      <c r="E2113" t="s">
        <v>1418</v>
      </c>
      <c r="F2113" t="s">
        <v>1419</v>
      </c>
      <c r="G2113" t="s">
        <v>100</v>
      </c>
      <c r="H2113" t="s">
        <v>1420</v>
      </c>
      <c r="I2113" t="s">
        <v>147</v>
      </c>
      <c r="J2113" t="s">
        <v>36</v>
      </c>
      <c r="K2113">
        <v>1590</v>
      </c>
      <c r="O2113" t="s">
        <v>37</v>
      </c>
      <c r="P2113" t="s">
        <v>46</v>
      </c>
      <c r="U2113" s="9" t="s">
        <v>148</v>
      </c>
      <c r="V2113" t="s">
        <v>164</v>
      </c>
      <c r="W2113" t="s">
        <v>138</v>
      </c>
      <c r="X2113" t="s">
        <v>102</v>
      </c>
      <c r="Y2113" t="s">
        <v>1272</v>
      </c>
      <c r="Z2113" t="s">
        <v>41</v>
      </c>
      <c r="AB2113" t="str">
        <f t="shared" si="99"/>
        <v>46347</v>
      </c>
    </row>
    <row r="2114" ht="14.25" spans="1:28">
      <c r="A2114" s="5" t="s">
        <v>28</v>
      </c>
      <c r="B2114" s="5" t="s">
        <v>697</v>
      </c>
      <c r="C2114" s="5">
        <v>2027</v>
      </c>
      <c r="D2114" s="5" t="s">
        <v>30</v>
      </c>
      <c r="E2114" t="s">
        <v>1421</v>
      </c>
      <c r="F2114" t="s">
        <v>1419</v>
      </c>
      <c r="G2114" t="s">
        <v>254</v>
      </c>
      <c r="H2114" t="s">
        <v>1422</v>
      </c>
      <c r="I2114" t="s">
        <v>147</v>
      </c>
      <c r="J2114" t="s">
        <v>36</v>
      </c>
      <c r="K2114">
        <v>1590</v>
      </c>
      <c r="O2114" t="s">
        <v>37</v>
      </c>
      <c r="P2114" t="s">
        <v>38</v>
      </c>
      <c r="R2114">
        <f t="shared" ref="R2114:R2177" si="100">SUMIFS(Q:Q,E:E,E2114)</f>
        <v>0</v>
      </c>
      <c r="S2114">
        <f>SUMIFS([1]Sheet1!$T:$T,[1]Sheet1!$I:$I,E2114,[1]Sheet1!$C:$C,A2114)</f>
        <v>12</v>
      </c>
      <c r="T2114">
        <f t="shared" ref="T2114:T2177" si="101">R2114-S2114</f>
        <v>-12</v>
      </c>
      <c r="U2114" s="9" t="s">
        <v>148</v>
      </c>
      <c r="V2114" t="s">
        <v>164</v>
      </c>
      <c r="W2114" t="s">
        <v>138</v>
      </c>
      <c r="X2114" t="s">
        <v>86</v>
      </c>
      <c r="Y2114" t="s">
        <v>1272</v>
      </c>
      <c r="Z2114" t="s">
        <v>104</v>
      </c>
      <c r="AB2114" t="str">
        <f t="shared" si="99"/>
        <v>46347</v>
      </c>
    </row>
    <row r="2115" ht="14.25" spans="1:28">
      <c r="A2115" s="5" t="s">
        <v>28</v>
      </c>
      <c r="B2115" s="5" t="s">
        <v>697</v>
      </c>
      <c r="C2115" s="5">
        <v>2027</v>
      </c>
      <c r="D2115" s="5" t="s">
        <v>30</v>
      </c>
      <c r="E2115" t="s">
        <v>1421</v>
      </c>
      <c r="F2115" t="s">
        <v>1419</v>
      </c>
      <c r="G2115" t="s">
        <v>254</v>
      </c>
      <c r="H2115" t="s">
        <v>1422</v>
      </c>
      <c r="I2115" t="s">
        <v>147</v>
      </c>
      <c r="J2115" t="s">
        <v>36</v>
      </c>
      <c r="K2115">
        <v>1590</v>
      </c>
      <c r="O2115" t="s">
        <v>37</v>
      </c>
      <c r="P2115" t="s">
        <v>42</v>
      </c>
      <c r="U2115" s="9" t="s">
        <v>148</v>
      </c>
      <c r="V2115" t="s">
        <v>164</v>
      </c>
      <c r="W2115" t="s">
        <v>138</v>
      </c>
      <c r="X2115" t="s">
        <v>86</v>
      </c>
      <c r="Y2115" t="s">
        <v>1272</v>
      </c>
      <c r="Z2115" t="s">
        <v>104</v>
      </c>
      <c r="AB2115" t="str">
        <f t="shared" si="99"/>
        <v>46347</v>
      </c>
    </row>
    <row r="2116" ht="14.25" spans="1:28">
      <c r="A2116" s="5" t="s">
        <v>28</v>
      </c>
      <c r="B2116" s="5" t="s">
        <v>697</v>
      </c>
      <c r="C2116" s="5">
        <v>2027</v>
      </c>
      <c r="D2116" s="5" t="s">
        <v>30</v>
      </c>
      <c r="E2116" t="s">
        <v>1421</v>
      </c>
      <c r="F2116" t="s">
        <v>1419</v>
      </c>
      <c r="G2116" t="s">
        <v>254</v>
      </c>
      <c r="H2116" t="s">
        <v>1422</v>
      </c>
      <c r="I2116" t="s">
        <v>147</v>
      </c>
      <c r="J2116" t="s">
        <v>36</v>
      </c>
      <c r="K2116">
        <v>1590</v>
      </c>
      <c r="O2116" t="s">
        <v>37</v>
      </c>
      <c r="P2116" t="s">
        <v>43</v>
      </c>
      <c r="U2116" s="9" t="s">
        <v>148</v>
      </c>
      <c r="V2116" t="s">
        <v>164</v>
      </c>
      <c r="W2116" t="s">
        <v>138</v>
      </c>
      <c r="X2116" t="s">
        <v>86</v>
      </c>
      <c r="Y2116" t="s">
        <v>1272</v>
      </c>
      <c r="Z2116" t="s">
        <v>104</v>
      </c>
      <c r="AB2116" t="str">
        <f t="shared" si="99"/>
        <v>46347</v>
      </c>
    </row>
    <row r="2117" ht="14.25" spans="1:28">
      <c r="A2117" s="5" t="s">
        <v>28</v>
      </c>
      <c r="B2117" s="5" t="s">
        <v>697</v>
      </c>
      <c r="C2117" s="5">
        <v>2027</v>
      </c>
      <c r="D2117" s="5" t="s">
        <v>30</v>
      </c>
      <c r="E2117" t="s">
        <v>1421</v>
      </c>
      <c r="F2117" t="s">
        <v>1419</v>
      </c>
      <c r="G2117" t="s">
        <v>254</v>
      </c>
      <c r="H2117" t="s">
        <v>1422</v>
      </c>
      <c r="I2117" t="s">
        <v>147</v>
      </c>
      <c r="J2117" t="s">
        <v>36</v>
      </c>
      <c r="K2117">
        <v>1590</v>
      </c>
      <c r="O2117" t="s">
        <v>37</v>
      </c>
      <c r="P2117" t="s">
        <v>44</v>
      </c>
      <c r="U2117" s="9" t="s">
        <v>148</v>
      </c>
      <c r="V2117" t="s">
        <v>164</v>
      </c>
      <c r="W2117" t="s">
        <v>138</v>
      </c>
      <c r="X2117" t="s">
        <v>86</v>
      </c>
      <c r="Y2117" t="s">
        <v>1272</v>
      </c>
      <c r="Z2117" t="s">
        <v>104</v>
      </c>
      <c r="AB2117" t="str">
        <f t="shared" si="99"/>
        <v>46347</v>
      </c>
    </row>
    <row r="2118" ht="14.25" spans="1:28">
      <c r="A2118" s="5" t="s">
        <v>28</v>
      </c>
      <c r="B2118" s="5" t="s">
        <v>697</v>
      </c>
      <c r="C2118" s="5">
        <v>2027</v>
      </c>
      <c r="D2118" s="5" t="s">
        <v>30</v>
      </c>
      <c r="E2118" t="s">
        <v>1421</v>
      </c>
      <c r="F2118" t="s">
        <v>1419</v>
      </c>
      <c r="G2118" t="s">
        <v>254</v>
      </c>
      <c r="H2118" t="s">
        <v>1422</v>
      </c>
      <c r="I2118" t="s">
        <v>147</v>
      </c>
      <c r="J2118" t="s">
        <v>36</v>
      </c>
      <c r="K2118">
        <v>1590</v>
      </c>
      <c r="O2118" t="s">
        <v>37</v>
      </c>
      <c r="P2118" t="s">
        <v>45</v>
      </c>
      <c r="U2118" s="9" t="s">
        <v>148</v>
      </c>
      <c r="V2118" t="s">
        <v>164</v>
      </c>
      <c r="W2118" t="s">
        <v>138</v>
      </c>
      <c r="X2118" t="s">
        <v>86</v>
      </c>
      <c r="Y2118" t="s">
        <v>1272</v>
      </c>
      <c r="Z2118" t="s">
        <v>104</v>
      </c>
      <c r="AB2118" t="str">
        <f t="shared" si="99"/>
        <v>46347</v>
      </c>
    </row>
    <row r="2119" ht="14.25" spans="1:28">
      <c r="A2119" s="5" t="s">
        <v>28</v>
      </c>
      <c r="B2119" s="5" t="s">
        <v>697</v>
      </c>
      <c r="C2119" s="5">
        <v>2027</v>
      </c>
      <c r="D2119" s="5" t="s">
        <v>30</v>
      </c>
      <c r="E2119" t="s">
        <v>1421</v>
      </c>
      <c r="F2119" t="s">
        <v>1419</v>
      </c>
      <c r="G2119" t="s">
        <v>254</v>
      </c>
      <c r="H2119" t="s">
        <v>1422</v>
      </c>
      <c r="I2119" t="s">
        <v>147</v>
      </c>
      <c r="J2119" t="s">
        <v>36</v>
      </c>
      <c r="K2119">
        <v>1590</v>
      </c>
      <c r="O2119" t="s">
        <v>37</v>
      </c>
      <c r="P2119" t="s">
        <v>46</v>
      </c>
      <c r="U2119" s="9" t="s">
        <v>148</v>
      </c>
      <c r="V2119" t="s">
        <v>164</v>
      </c>
      <c r="W2119" t="s">
        <v>138</v>
      </c>
      <c r="X2119" t="s">
        <v>86</v>
      </c>
      <c r="Y2119" t="s">
        <v>1272</v>
      </c>
      <c r="Z2119" t="s">
        <v>104</v>
      </c>
      <c r="AB2119" t="str">
        <f t="shared" si="99"/>
        <v>46347</v>
      </c>
    </row>
    <row r="2120" ht="14.25" spans="1:28">
      <c r="A2120" s="5" t="s">
        <v>28</v>
      </c>
      <c r="B2120" s="5" t="s">
        <v>697</v>
      </c>
      <c r="C2120" s="5">
        <v>2027</v>
      </c>
      <c r="D2120" s="5" t="s">
        <v>30</v>
      </c>
      <c r="E2120" t="s">
        <v>1423</v>
      </c>
      <c r="F2120" t="s">
        <v>1424</v>
      </c>
      <c r="G2120" t="s">
        <v>1053</v>
      </c>
      <c r="H2120" t="s">
        <v>1425</v>
      </c>
      <c r="I2120" t="s">
        <v>119</v>
      </c>
      <c r="J2120" t="s">
        <v>36</v>
      </c>
      <c r="K2120">
        <v>1590</v>
      </c>
      <c r="O2120" t="s">
        <v>37</v>
      </c>
      <c r="P2120" t="s">
        <v>38</v>
      </c>
      <c r="R2120">
        <f t="shared" si="100"/>
        <v>0</v>
      </c>
      <c r="S2120">
        <f>SUMIFS([1]Sheet1!$T:$T,[1]Sheet1!$I:$I,E2120,[1]Sheet1!$C:$C,A2120)</f>
        <v>0</v>
      </c>
      <c r="T2120">
        <f t="shared" si="101"/>
        <v>0</v>
      </c>
      <c r="U2120" s="9" t="s">
        <v>148</v>
      </c>
      <c r="V2120" t="s">
        <v>164</v>
      </c>
      <c r="W2120" t="s">
        <v>138</v>
      </c>
      <c r="X2120" t="s">
        <v>243</v>
      </c>
      <c r="Y2120" t="s">
        <v>237</v>
      </c>
      <c r="Z2120" t="s">
        <v>104</v>
      </c>
      <c r="AB2120" t="str">
        <f t="shared" si="99"/>
        <v>46350</v>
      </c>
    </row>
    <row r="2121" ht="14.25" spans="1:28">
      <c r="A2121" s="5" t="s">
        <v>28</v>
      </c>
      <c r="B2121" s="5" t="s">
        <v>697</v>
      </c>
      <c r="C2121" s="5">
        <v>2027</v>
      </c>
      <c r="D2121" s="5" t="s">
        <v>30</v>
      </c>
      <c r="E2121" t="s">
        <v>1423</v>
      </c>
      <c r="F2121" t="s">
        <v>1424</v>
      </c>
      <c r="G2121" t="s">
        <v>1053</v>
      </c>
      <c r="H2121" t="s">
        <v>1425</v>
      </c>
      <c r="I2121" t="s">
        <v>119</v>
      </c>
      <c r="J2121" t="s">
        <v>36</v>
      </c>
      <c r="K2121">
        <v>1590</v>
      </c>
      <c r="O2121" t="s">
        <v>37</v>
      </c>
      <c r="P2121" t="s">
        <v>42</v>
      </c>
      <c r="U2121" s="9" t="s">
        <v>148</v>
      </c>
      <c r="V2121" t="s">
        <v>164</v>
      </c>
      <c r="W2121" t="s">
        <v>138</v>
      </c>
      <c r="X2121" t="s">
        <v>243</v>
      </c>
      <c r="Y2121" t="s">
        <v>237</v>
      </c>
      <c r="Z2121" t="s">
        <v>104</v>
      </c>
      <c r="AB2121" t="str">
        <f t="shared" si="99"/>
        <v>46350</v>
      </c>
    </row>
    <row r="2122" ht="14.25" spans="1:28">
      <c r="A2122" s="5" t="s">
        <v>28</v>
      </c>
      <c r="B2122" s="5" t="s">
        <v>697</v>
      </c>
      <c r="C2122" s="5">
        <v>2027</v>
      </c>
      <c r="D2122" s="5" t="s">
        <v>30</v>
      </c>
      <c r="E2122" t="s">
        <v>1423</v>
      </c>
      <c r="F2122" t="s">
        <v>1424</v>
      </c>
      <c r="G2122" t="s">
        <v>1053</v>
      </c>
      <c r="H2122" t="s">
        <v>1425</v>
      </c>
      <c r="I2122" t="s">
        <v>119</v>
      </c>
      <c r="J2122" t="s">
        <v>36</v>
      </c>
      <c r="K2122">
        <v>1590</v>
      </c>
      <c r="O2122" t="s">
        <v>37</v>
      </c>
      <c r="P2122" t="s">
        <v>43</v>
      </c>
      <c r="U2122" s="9" t="s">
        <v>148</v>
      </c>
      <c r="V2122" t="s">
        <v>164</v>
      </c>
      <c r="W2122" t="s">
        <v>138</v>
      </c>
      <c r="X2122" t="s">
        <v>243</v>
      </c>
      <c r="Y2122" t="s">
        <v>237</v>
      </c>
      <c r="Z2122" t="s">
        <v>104</v>
      </c>
      <c r="AB2122" t="str">
        <f t="shared" si="99"/>
        <v>46350</v>
      </c>
    </row>
    <row r="2123" ht="14.25" spans="1:28">
      <c r="A2123" s="5" t="s">
        <v>28</v>
      </c>
      <c r="B2123" s="5" t="s">
        <v>697</v>
      </c>
      <c r="C2123" s="5">
        <v>2027</v>
      </c>
      <c r="D2123" s="5" t="s">
        <v>30</v>
      </c>
      <c r="E2123" t="s">
        <v>1423</v>
      </c>
      <c r="F2123" t="s">
        <v>1424</v>
      </c>
      <c r="G2123" t="s">
        <v>1053</v>
      </c>
      <c r="H2123" t="s">
        <v>1425</v>
      </c>
      <c r="I2123" t="s">
        <v>119</v>
      </c>
      <c r="J2123" t="s">
        <v>36</v>
      </c>
      <c r="K2123">
        <v>1590</v>
      </c>
      <c r="O2123" t="s">
        <v>37</v>
      </c>
      <c r="P2123" t="s">
        <v>44</v>
      </c>
      <c r="U2123" s="9" t="s">
        <v>148</v>
      </c>
      <c r="V2123" t="s">
        <v>164</v>
      </c>
      <c r="W2123" t="s">
        <v>138</v>
      </c>
      <c r="X2123" t="s">
        <v>243</v>
      </c>
      <c r="Y2123" t="s">
        <v>237</v>
      </c>
      <c r="Z2123" t="s">
        <v>104</v>
      </c>
      <c r="AB2123" t="str">
        <f t="shared" si="99"/>
        <v>46350</v>
      </c>
    </row>
    <row r="2124" ht="14.25" spans="1:28">
      <c r="A2124" s="5" t="s">
        <v>28</v>
      </c>
      <c r="B2124" s="5" t="s">
        <v>697</v>
      </c>
      <c r="C2124" s="5">
        <v>2027</v>
      </c>
      <c r="D2124" s="5" t="s">
        <v>30</v>
      </c>
      <c r="E2124" t="s">
        <v>1423</v>
      </c>
      <c r="F2124" t="s">
        <v>1424</v>
      </c>
      <c r="G2124" t="s">
        <v>1053</v>
      </c>
      <c r="H2124" t="s">
        <v>1425</v>
      </c>
      <c r="I2124" t="s">
        <v>119</v>
      </c>
      <c r="J2124" t="s">
        <v>36</v>
      </c>
      <c r="K2124">
        <v>1590</v>
      </c>
      <c r="O2124" t="s">
        <v>37</v>
      </c>
      <c r="P2124" t="s">
        <v>45</v>
      </c>
      <c r="U2124" s="9" t="s">
        <v>148</v>
      </c>
      <c r="V2124" t="s">
        <v>164</v>
      </c>
      <c r="W2124" t="s">
        <v>138</v>
      </c>
      <c r="X2124" t="s">
        <v>243</v>
      </c>
      <c r="Y2124" t="s">
        <v>237</v>
      </c>
      <c r="Z2124" t="s">
        <v>104</v>
      </c>
      <c r="AB2124" t="str">
        <f t="shared" si="99"/>
        <v>46350</v>
      </c>
    </row>
    <row r="2125" ht="14.25" spans="1:28">
      <c r="A2125" s="5" t="s">
        <v>28</v>
      </c>
      <c r="B2125" s="5" t="s">
        <v>697</v>
      </c>
      <c r="C2125" s="5">
        <v>2027</v>
      </c>
      <c r="D2125" s="5" t="s">
        <v>30</v>
      </c>
      <c r="E2125" t="s">
        <v>1423</v>
      </c>
      <c r="F2125" t="s">
        <v>1424</v>
      </c>
      <c r="G2125" t="s">
        <v>1053</v>
      </c>
      <c r="H2125" t="s">
        <v>1425</v>
      </c>
      <c r="I2125" t="s">
        <v>119</v>
      </c>
      <c r="J2125" t="s">
        <v>36</v>
      </c>
      <c r="K2125">
        <v>1590</v>
      </c>
      <c r="O2125" t="s">
        <v>37</v>
      </c>
      <c r="P2125" t="s">
        <v>46</v>
      </c>
      <c r="U2125" s="9" t="s">
        <v>148</v>
      </c>
      <c r="V2125" t="s">
        <v>164</v>
      </c>
      <c r="W2125" t="s">
        <v>138</v>
      </c>
      <c r="X2125" t="s">
        <v>243</v>
      </c>
      <c r="Y2125" t="s">
        <v>237</v>
      </c>
      <c r="Z2125" t="s">
        <v>104</v>
      </c>
      <c r="AB2125" t="str">
        <f t="shared" si="99"/>
        <v>46350</v>
      </c>
    </row>
    <row r="2126" ht="14.25" spans="1:28">
      <c r="A2126" s="5" t="s">
        <v>28</v>
      </c>
      <c r="B2126" s="5" t="s">
        <v>697</v>
      </c>
      <c r="C2126" s="5">
        <v>2027</v>
      </c>
      <c r="D2126" s="5" t="s">
        <v>30</v>
      </c>
      <c r="E2126" t="s">
        <v>1426</v>
      </c>
      <c r="F2126" t="s">
        <v>1424</v>
      </c>
      <c r="G2126" t="s">
        <v>254</v>
      </c>
      <c r="H2126" t="s">
        <v>1427</v>
      </c>
      <c r="I2126" t="s">
        <v>119</v>
      </c>
      <c r="J2126" t="s">
        <v>36</v>
      </c>
      <c r="K2126">
        <v>1590</v>
      </c>
      <c r="O2126" t="s">
        <v>37</v>
      </c>
      <c r="P2126" t="s">
        <v>38</v>
      </c>
      <c r="R2126">
        <f t="shared" si="100"/>
        <v>0</v>
      </c>
      <c r="S2126">
        <f>SUMIFS([1]Sheet1!$T:$T,[1]Sheet1!$I:$I,E2126,[1]Sheet1!$C:$C,A2126)</f>
        <v>0</v>
      </c>
      <c r="T2126">
        <f t="shared" si="101"/>
        <v>0</v>
      </c>
      <c r="U2126" s="9" t="s">
        <v>148</v>
      </c>
      <c r="V2126" t="s">
        <v>164</v>
      </c>
      <c r="W2126" t="s">
        <v>138</v>
      </c>
      <c r="X2126" t="s">
        <v>86</v>
      </c>
      <c r="Y2126" t="s">
        <v>237</v>
      </c>
      <c r="Z2126" t="s">
        <v>104</v>
      </c>
      <c r="AB2126" t="str">
        <f t="shared" si="99"/>
        <v>46350</v>
      </c>
    </row>
    <row r="2127" ht="14.25" spans="1:28">
      <c r="A2127" s="5" t="s">
        <v>28</v>
      </c>
      <c r="B2127" s="5" t="s">
        <v>697</v>
      </c>
      <c r="C2127" s="5">
        <v>2027</v>
      </c>
      <c r="D2127" s="5" t="s">
        <v>30</v>
      </c>
      <c r="E2127" t="s">
        <v>1426</v>
      </c>
      <c r="F2127" t="s">
        <v>1424</v>
      </c>
      <c r="G2127" t="s">
        <v>254</v>
      </c>
      <c r="H2127" t="s">
        <v>1427</v>
      </c>
      <c r="I2127" t="s">
        <v>119</v>
      </c>
      <c r="J2127" t="s">
        <v>36</v>
      </c>
      <c r="K2127">
        <v>1590</v>
      </c>
      <c r="O2127" t="s">
        <v>37</v>
      </c>
      <c r="P2127" t="s">
        <v>42</v>
      </c>
      <c r="U2127" s="9" t="s">
        <v>148</v>
      </c>
      <c r="V2127" t="s">
        <v>164</v>
      </c>
      <c r="W2127" t="s">
        <v>138</v>
      </c>
      <c r="X2127" t="s">
        <v>86</v>
      </c>
      <c r="Y2127" t="s">
        <v>237</v>
      </c>
      <c r="Z2127" t="s">
        <v>104</v>
      </c>
      <c r="AB2127" t="str">
        <f t="shared" si="99"/>
        <v>46350</v>
      </c>
    </row>
    <row r="2128" ht="14.25" spans="1:28">
      <c r="A2128" s="5" t="s">
        <v>28</v>
      </c>
      <c r="B2128" s="5" t="s">
        <v>697</v>
      </c>
      <c r="C2128" s="5">
        <v>2027</v>
      </c>
      <c r="D2128" s="5" t="s">
        <v>30</v>
      </c>
      <c r="E2128" t="s">
        <v>1426</v>
      </c>
      <c r="F2128" t="s">
        <v>1424</v>
      </c>
      <c r="G2128" t="s">
        <v>254</v>
      </c>
      <c r="H2128" t="s">
        <v>1427</v>
      </c>
      <c r="I2128" t="s">
        <v>119</v>
      </c>
      <c r="J2128" t="s">
        <v>36</v>
      </c>
      <c r="K2128">
        <v>1590</v>
      </c>
      <c r="O2128" t="s">
        <v>37</v>
      </c>
      <c r="P2128" t="s">
        <v>43</v>
      </c>
      <c r="U2128" s="9" t="s">
        <v>148</v>
      </c>
      <c r="V2128" t="s">
        <v>164</v>
      </c>
      <c r="W2128" t="s">
        <v>138</v>
      </c>
      <c r="X2128" t="s">
        <v>86</v>
      </c>
      <c r="Y2128" t="s">
        <v>237</v>
      </c>
      <c r="Z2128" t="s">
        <v>104</v>
      </c>
      <c r="AB2128" t="str">
        <f t="shared" si="99"/>
        <v>46350</v>
      </c>
    </row>
    <row r="2129" ht="14.25" spans="1:28">
      <c r="A2129" s="5" t="s">
        <v>28</v>
      </c>
      <c r="B2129" s="5" t="s">
        <v>697</v>
      </c>
      <c r="C2129" s="5">
        <v>2027</v>
      </c>
      <c r="D2129" s="5" t="s">
        <v>30</v>
      </c>
      <c r="E2129" t="s">
        <v>1426</v>
      </c>
      <c r="F2129" t="s">
        <v>1424</v>
      </c>
      <c r="G2129" t="s">
        <v>254</v>
      </c>
      <c r="H2129" t="s">
        <v>1427</v>
      </c>
      <c r="I2129" t="s">
        <v>119</v>
      </c>
      <c r="J2129" t="s">
        <v>36</v>
      </c>
      <c r="K2129">
        <v>1590</v>
      </c>
      <c r="O2129" t="s">
        <v>37</v>
      </c>
      <c r="P2129" t="s">
        <v>44</v>
      </c>
      <c r="U2129" s="9" t="s">
        <v>148</v>
      </c>
      <c r="V2129" t="s">
        <v>164</v>
      </c>
      <c r="W2129" t="s">
        <v>138</v>
      </c>
      <c r="X2129" t="s">
        <v>86</v>
      </c>
      <c r="Y2129" t="s">
        <v>237</v>
      </c>
      <c r="Z2129" t="s">
        <v>104</v>
      </c>
      <c r="AB2129" t="str">
        <f t="shared" si="99"/>
        <v>46350</v>
      </c>
    </row>
    <row r="2130" ht="14.25" spans="1:28">
      <c r="A2130" s="5" t="s">
        <v>28</v>
      </c>
      <c r="B2130" s="5" t="s">
        <v>697</v>
      </c>
      <c r="C2130" s="5">
        <v>2027</v>
      </c>
      <c r="D2130" s="5" t="s">
        <v>30</v>
      </c>
      <c r="E2130" t="s">
        <v>1426</v>
      </c>
      <c r="F2130" t="s">
        <v>1424</v>
      </c>
      <c r="G2130" t="s">
        <v>254</v>
      </c>
      <c r="H2130" t="s">
        <v>1427</v>
      </c>
      <c r="I2130" t="s">
        <v>119</v>
      </c>
      <c r="J2130" t="s">
        <v>36</v>
      </c>
      <c r="K2130">
        <v>1590</v>
      </c>
      <c r="O2130" t="s">
        <v>37</v>
      </c>
      <c r="P2130" t="s">
        <v>45</v>
      </c>
      <c r="U2130" s="9" t="s">
        <v>148</v>
      </c>
      <c r="V2130" t="s">
        <v>164</v>
      </c>
      <c r="W2130" t="s">
        <v>138</v>
      </c>
      <c r="X2130" t="s">
        <v>86</v>
      </c>
      <c r="Y2130" t="s">
        <v>237</v>
      </c>
      <c r="Z2130" t="s">
        <v>104</v>
      </c>
      <c r="AB2130" t="str">
        <f t="shared" si="99"/>
        <v>46350</v>
      </c>
    </row>
    <row r="2131" ht="14.25" spans="1:28">
      <c r="A2131" s="5" t="s">
        <v>28</v>
      </c>
      <c r="B2131" s="5" t="s">
        <v>697</v>
      </c>
      <c r="C2131" s="5">
        <v>2027</v>
      </c>
      <c r="D2131" s="5" t="s">
        <v>30</v>
      </c>
      <c r="E2131" t="s">
        <v>1426</v>
      </c>
      <c r="F2131" t="s">
        <v>1424</v>
      </c>
      <c r="G2131" t="s">
        <v>254</v>
      </c>
      <c r="H2131" t="s">
        <v>1427</v>
      </c>
      <c r="I2131" t="s">
        <v>119</v>
      </c>
      <c r="J2131" t="s">
        <v>36</v>
      </c>
      <c r="K2131">
        <v>1590</v>
      </c>
      <c r="O2131" t="s">
        <v>37</v>
      </c>
      <c r="P2131" t="s">
        <v>46</v>
      </c>
      <c r="U2131" s="9" t="s">
        <v>148</v>
      </c>
      <c r="V2131" t="s">
        <v>164</v>
      </c>
      <c r="W2131" t="s">
        <v>138</v>
      </c>
      <c r="X2131" t="s">
        <v>86</v>
      </c>
      <c r="Y2131" t="s">
        <v>237</v>
      </c>
      <c r="Z2131" t="s">
        <v>104</v>
      </c>
      <c r="AB2131" t="str">
        <f t="shared" si="99"/>
        <v>46350</v>
      </c>
    </row>
    <row r="2132" ht="14.25" spans="1:28">
      <c r="A2132" s="5" t="s">
        <v>28</v>
      </c>
      <c r="B2132" s="5" t="s">
        <v>697</v>
      </c>
      <c r="C2132" s="5">
        <v>2027</v>
      </c>
      <c r="D2132" s="5" t="s">
        <v>30</v>
      </c>
      <c r="E2132" t="s">
        <v>1428</v>
      </c>
      <c r="F2132" t="s">
        <v>1429</v>
      </c>
      <c r="G2132" t="s">
        <v>100</v>
      </c>
      <c r="H2132" t="s">
        <v>1430</v>
      </c>
      <c r="I2132" t="s">
        <v>119</v>
      </c>
      <c r="J2132" t="s">
        <v>36</v>
      </c>
      <c r="K2132">
        <v>2690</v>
      </c>
      <c r="O2132" t="s">
        <v>37</v>
      </c>
      <c r="P2132" t="s">
        <v>38</v>
      </c>
      <c r="R2132">
        <f t="shared" si="100"/>
        <v>0</v>
      </c>
      <c r="S2132">
        <f>SUMIFS([1]Sheet1!$T:$T,[1]Sheet1!$I:$I,E2132,[1]Sheet1!$C:$C,A2132)</f>
        <v>0</v>
      </c>
      <c r="T2132">
        <f t="shared" si="101"/>
        <v>0</v>
      </c>
      <c r="U2132" s="9" t="s">
        <v>242</v>
      </c>
      <c r="V2132" t="s">
        <v>242</v>
      </c>
      <c r="W2132" t="s">
        <v>138</v>
      </c>
      <c r="X2132" t="s">
        <v>102</v>
      </c>
      <c r="Y2132" t="s">
        <v>179</v>
      </c>
      <c r="Z2132" t="s">
        <v>41</v>
      </c>
      <c r="AB2132" t="str">
        <f t="shared" si="99"/>
        <v>46362</v>
      </c>
    </row>
    <row r="2133" ht="14.25" spans="1:28">
      <c r="A2133" s="5" t="s">
        <v>28</v>
      </c>
      <c r="B2133" s="5" t="s">
        <v>697</v>
      </c>
      <c r="C2133" s="5">
        <v>2027</v>
      </c>
      <c r="D2133" s="5" t="s">
        <v>30</v>
      </c>
      <c r="E2133" t="s">
        <v>1428</v>
      </c>
      <c r="F2133" t="s">
        <v>1429</v>
      </c>
      <c r="G2133" t="s">
        <v>100</v>
      </c>
      <c r="H2133" t="s">
        <v>1430</v>
      </c>
      <c r="I2133" t="s">
        <v>119</v>
      </c>
      <c r="J2133" t="s">
        <v>36</v>
      </c>
      <c r="K2133">
        <v>2690</v>
      </c>
      <c r="O2133" t="s">
        <v>37</v>
      </c>
      <c r="P2133" t="s">
        <v>42</v>
      </c>
      <c r="U2133" s="9" t="s">
        <v>242</v>
      </c>
      <c r="V2133" t="s">
        <v>242</v>
      </c>
      <c r="W2133" t="s">
        <v>138</v>
      </c>
      <c r="X2133" t="s">
        <v>102</v>
      </c>
      <c r="Y2133" t="s">
        <v>179</v>
      </c>
      <c r="Z2133" t="s">
        <v>41</v>
      </c>
      <c r="AB2133" t="str">
        <f t="shared" si="99"/>
        <v>46362</v>
      </c>
    </row>
    <row r="2134" ht="14.25" spans="1:28">
      <c r="A2134" s="5" t="s">
        <v>28</v>
      </c>
      <c r="B2134" s="5" t="s">
        <v>697</v>
      </c>
      <c r="C2134" s="5">
        <v>2027</v>
      </c>
      <c r="D2134" s="5" t="s">
        <v>30</v>
      </c>
      <c r="E2134" t="s">
        <v>1428</v>
      </c>
      <c r="F2134" t="s">
        <v>1429</v>
      </c>
      <c r="G2134" t="s">
        <v>100</v>
      </c>
      <c r="H2134" t="s">
        <v>1430</v>
      </c>
      <c r="I2134" t="s">
        <v>119</v>
      </c>
      <c r="J2134" t="s">
        <v>36</v>
      </c>
      <c r="K2134">
        <v>2690</v>
      </c>
      <c r="O2134" t="s">
        <v>37</v>
      </c>
      <c r="P2134" t="s">
        <v>43</v>
      </c>
      <c r="U2134" s="9" t="s">
        <v>242</v>
      </c>
      <c r="V2134" t="s">
        <v>242</v>
      </c>
      <c r="W2134" t="s">
        <v>138</v>
      </c>
      <c r="X2134" t="s">
        <v>102</v>
      </c>
      <c r="Y2134" t="s">
        <v>179</v>
      </c>
      <c r="Z2134" t="s">
        <v>41</v>
      </c>
      <c r="AB2134" t="str">
        <f t="shared" si="99"/>
        <v>46362</v>
      </c>
    </row>
    <row r="2135" ht="14.25" spans="1:28">
      <c r="A2135" s="5" t="s">
        <v>28</v>
      </c>
      <c r="B2135" s="5" t="s">
        <v>697</v>
      </c>
      <c r="C2135" s="5">
        <v>2027</v>
      </c>
      <c r="D2135" s="5" t="s">
        <v>30</v>
      </c>
      <c r="E2135" t="s">
        <v>1428</v>
      </c>
      <c r="F2135" t="s">
        <v>1429</v>
      </c>
      <c r="G2135" t="s">
        <v>100</v>
      </c>
      <c r="H2135" t="s">
        <v>1430</v>
      </c>
      <c r="I2135" t="s">
        <v>119</v>
      </c>
      <c r="J2135" t="s">
        <v>36</v>
      </c>
      <c r="K2135">
        <v>2690</v>
      </c>
      <c r="O2135" t="s">
        <v>37</v>
      </c>
      <c r="P2135" t="s">
        <v>44</v>
      </c>
      <c r="U2135" s="9" t="s">
        <v>242</v>
      </c>
      <c r="V2135" t="s">
        <v>242</v>
      </c>
      <c r="W2135" t="s">
        <v>138</v>
      </c>
      <c r="X2135" t="s">
        <v>102</v>
      </c>
      <c r="Y2135" t="s">
        <v>179</v>
      </c>
      <c r="Z2135" t="s">
        <v>41</v>
      </c>
      <c r="AB2135" t="str">
        <f t="shared" si="99"/>
        <v>46362</v>
      </c>
    </row>
    <row r="2136" ht="14.25" spans="1:28">
      <c r="A2136" s="5" t="s">
        <v>28</v>
      </c>
      <c r="B2136" s="5" t="s">
        <v>697</v>
      </c>
      <c r="C2136" s="5">
        <v>2027</v>
      </c>
      <c r="D2136" s="5" t="s">
        <v>30</v>
      </c>
      <c r="E2136" t="s">
        <v>1428</v>
      </c>
      <c r="F2136" t="s">
        <v>1429</v>
      </c>
      <c r="G2136" t="s">
        <v>100</v>
      </c>
      <c r="H2136" t="s">
        <v>1430</v>
      </c>
      <c r="I2136" t="s">
        <v>119</v>
      </c>
      <c r="J2136" t="s">
        <v>36</v>
      </c>
      <c r="K2136">
        <v>2690</v>
      </c>
      <c r="O2136" t="s">
        <v>37</v>
      </c>
      <c r="P2136" t="s">
        <v>45</v>
      </c>
      <c r="U2136" s="9" t="s">
        <v>242</v>
      </c>
      <c r="V2136" t="s">
        <v>242</v>
      </c>
      <c r="W2136" t="s">
        <v>138</v>
      </c>
      <c r="X2136" t="s">
        <v>102</v>
      </c>
      <c r="Y2136" t="s">
        <v>179</v>
      </c>
      <c r="Z2136" t="s">
        <v>41</v>
      </c>
      <c r="AB2136" t="str">
        <f t="shared" si="99"/>
        <v>46362</v>
      </c>
    </row>
    <row r="2137" ht="14.25" spans="1:28">
      <c r="A2137" s="5" t="s">
        <v>28</v>
      </c>
      <c r="B2137" s="5" t="s">
        <v>697</v>
      </c>
      <c r="C2137" s="5">
        <v>2027</v>
      </c>
      <c r="D2137" s="5" t="s">
        <v>30</v>
      </c>
      <c r="E2137" t="s">
        <v>1428</v>
      </c>
      <c r="F2137" t="s">
        <v>1429</v>
      </c>
      <c r="G2137" t="s">
        <v>100</v>
      </c>
      <c r="H2137" t="s">
        <v>1430</v>
      </c>
      <c r="I2137" t="s">
        <v>119</v>
      </c>
      <c r="J2137" t="s">
        <v>36</v>
      </c>
      <c r="K2137">
        <v>2690</v>
      </c>
      <c r="O2137" t="s">
        <v>37</v>
      </c>
      <c r="P2137" t="s">
        <v>46</v>
      </c>
      <c r="U2137" s="9" t="s">
        <v>242</v>
      </c>
      <c r="V2137" t="s">
        <v>242</v>
      </c>
      <c r="W2137" t="s">
        <v>138</v>
      </c>
      <c r="X2137" t="s">
        <v>102</v>
      </c>
      <c r="Y2137" t="s">
        <v>179</v>
      </c>
      <c r="Z2137" t="s">
        <v>41</v>
      </c>
      <c r="AB2137" t="str">
        <f t="shared" si="99"/>
        <v>46362</v>
      </c>
    </row>
    <row r="2138" ht="14.25" spans="1:28">
      <c r="A2138" s="5" t="s">
        <v>28</v>
      </c>
      <c r="B2138" s="5" t="s">
        <v>697</v>
      </c>
      <c r="C2138" s="5">
        <v>2027</v>
      </c>
      <c r="D2138" s="5" t="s">
        <v>30</v>
      </c>
      <c r="E2138" t="s">
        <v>1431</v>
      </c>
      <c r="F2138" t="s">
        <v>1429</v>
      </c>
      <c r="G2138" t="s">
        <v>1376</v>
      </c>
      <c r="H2138" t="s">
        <v>1432</v>
      </c>
      <c r="I2138" t="s">
        <v>119</v>
      </c>
      <c r="J2138" t="s">
        <v>36</v>
      </c>
      <c r="K2138">
        <v>2690</v>
      </c>
      <c r="O2138" t="s">
        <v>37</v>
      </c>
      <c r="P2138" t="s">
        <v>38</v>
      </c>
      <c r="R2138">
        <f t="shared" si="100"/>
        <v>0</v>
      </c>
      <c r="S2138">
        <f>SUMIFS([1]Sheet1!$T:$T,[1]Sheet1!$I:$I,E2138,[1]Sheet1!$C:$C,A2138)</f>
        <v>30</v>
      </c>
      <c r="T2138">
        <f t="shared" si="101"/>
        <v>-30</v>
      </c>
      <c r="U2138" s="9" t="s">
        <v>242</v>
      </c>
      <c r="V2138" t="s">
        <v>242</v>
      </c>
      <c r="W2138" t="s">
        <v>138</v>
      </c>
      <c r="X2138" t="s">
        <v>1106</v>
      </c>
      <c r="Y2138" t="s">
        <v>179</v>
      </c>
      <c r="Z2138" t="s">
        <v>41</v>
      </c>
      <c r="AB2138" t="str">
        <f t="shared" si="99"/>
        <v>46362</v>
      </c>
    </row>
    <row r="2139" ht="14.25" spans="1:28">
      <c r="A2139" s="5" t="s">
        <v>28</v>
      </c>
      <c r="B2139" s="5" t="s">
        <v>697</v>
      </c>
      <c r="C2139" s="5">
        <v>2027</v>
      </c>
      <c r="D2139" s="5" t="s">
        <v>30</v>
      </c>
      <c r="E2139" t="s">
        <v>1431</v>
      </c>
      <c r="F2139" t="s">
        <v>1429</v>
      </c>
      <c r="G2139" t="s">
        <v>1376</v>
      </c>
      <c r="H2139" t="s">
        <v>1432</v>
      </c>
      <c r="I2139" t="s">
        <v>119</v>
      </c>
      <c r="J2139" t="s">
        <v>36</v>
      </c>
      <c r="K2139">
        <v>2690</v>
      </c>
      <c r="O2139" t="s">
        <v>37</v>
      </c>
      <c r="P2139" t="s">
        <v>42</v>
      </c>
      <c r="U2139" s="9" t="s">
        <v>242</v>
      </c>
      <c r="V2139" t="s">
        <v>242</v>
      </c>
      <c r="W2139" t="s">
        <v>138</v>
      </c>
      <c r="X2139" t="s">
        <v>1106</v>
      </c>
      <c r="Y2139" t="s">
        <v>179</v>
      </c>
      <c r="Z2139" t="s">
        <v>41</v>
      </c>
      <c r="AB2139" t="str">
        <f t="shared" si="99"/>
        <v>46362</v>
      </c>
    </row>
    <row r="2140" ht="14.25" spans="1:28">
      <c r="A2140" s="5" t="s">
        <v>28</v>
      </c>
      <c r="B2140" s="5" t="s">
        <v>697</v>
      </c>
      <c r="C2140" s="5">
        <v>2027</v>
      </c>
      <c r="D2140" s="5" t="s">
        <v>30</v>
      </c>
      <c r="E2140" t="s">
        <v>1431</v>
      </c>
      <c r="F2140" t="s">
        <v>1429</v>
      </c>
      <c r="G2140" t="s">
        <v>1376</v>
      </c>
      <c r="H2140" t="s">
        <v>1432</v>
      </c>
      <c r="I2140" t="s">
        <v>119</v>
      </c>
      <c r="J2140" t="s">
        <v>36</v>
      </c>
      <c r="K2140">
        <v>2690</v>
      </c>
      <c r="O2140" t="s">
        <v>37</v>
      </c>
      <c r="P2140" t="s">
        <v>43</v>
      </c>
      <c r="U2140" s="9" t="s">
        <v>242</v>
      </c>
      <c r="V2140" t="s">
        <v>242</v>
      </c>
      <c r="W2140" t="s">
        <v>138</v>
      </c>
      <c r="X2140" t="s">
        <v>1106</v>
      </c>
      <c r="Y2140" t="s">
        <v>179</v>
      </c>
      <c r="Z2140" t="s">
        <v>41</v>
      </c>
      <c r="AB2140" t="str">
        <f t="shared" si="99"/>
        <v>46362</v>
      </c>
    </row>
    <row r="2141" ht="14.25" spans="1:28">
      <c r="A2141" s="5" t="s">
        <v>28</v>
      </c>
      <c r="B2141" s="5" t="s">
        <v>697</v>
      </c>
      <c r="C2141" s="5">
        <v>2027</v>
      </c>
      <c r="D2141" s="5" t="s">
        <v>30</v>
      </c>
      <c r="E2141" t="s">
        <v>1431</v>
      </c>
      <c r="F2141" t="s">
        <v>1429</v>
      </c>
      <c r="G2141" t="s">
        <v>1376</v>
      </c>
      <c r="H2141" t="s">
        <v>1432</v>
      </c>
      <c r="I2141" t="s">
        <v>119</v>
      </c>
      <c r="J2141" t="s">
        <v>36</v>
      </c>
      <c r="K2141">
        <v>2690</v>
      </c>
      <c r="O2141" t="s">
        <v>37</v>
      </c>
      <c r="P2141" t="s">
        <v>44</v>
      </c>
      <c r="U2141" s="9" t="s">
        <v>242</v>
      </c>
      <c r="V2141" t="s">
        <v>242</v>
      </c>
      <c r="W2141" t="s">
        <v>138</v>
      </c>
      <c r="X2141" t="s">
        <v>1106</v>
      </c>
      <c r="Y2141" t="s">
        <v>179</v>
      </c>
      <c r="Z2141" t="s">
        <v>41</v>
      </c>
      <c r="AB2141" t="str">
        <f t="shared" si="99"/>
        <v>46362</v>
      </c>
    </row>
    <row r="2142" ht="14.25" spans="1:28">
      <c r="A2142" s="5" t="s">
        <v>28</v>
      </c>
      <c r="B2142" s="5" t="s">
        <v>697</v>
      </c>
      <c r="C2142" s="5">
        <v>2027</v>
      </c>
      <c r="D2142" s="5" t="s">
        <v>30</v>
      </c>
      <c r="E2142" t="s">
        <v>1431</v>
      </c>
      <c r="F2142" t="s">
        <v>1429</v>
      </c>
      <c r="G2142" t="s">
        <v>1376</v>
      </c>
      <c r="H2142" t="s">
        <v>1432</v>
      </c>
      <c r="I2142" t="s">
        <v>119</v>
      </c>
      <c r="J2142" t="s">
        <v>36</v>
      </c>
      <c r="K2142">
        <v>2690</v>
      </c>
      <c r="O2142" t="s">
        <v>37</v>
      </c>
      <c r="P2142" t="s">
        <v>45</v>
      </c>
      <c r="U2142" s="9" t="s">
        <v>242</v>
      </c>
      <c r="V2142" t="s">
        <v>242</v>
      </c>
      <c r="W2142" t="s">
        <v>138</v>
      </c>
      <c r="X2142" t="s">
        <v>1106</v>
      </c>
      <c r="Y2142" t="s">
        <v>179</v>
      </c>
      <c r="Z2142" t="s">
        <v>41</v>
      </c>
      <c r="AB2142" t="str">
        <f t="shared" si="99"/>
        <v>46362</v>
      </c>
    </row>
    <row r="2143" ht="14.25" spans="1:28">
      <c r="A2143" s="5" t="s">
        <v>28</v>
      </c>
      <c r="B2143" s="5" t="s">
        <v>697</v>
      </c>
      <c r="C2143" s="5">
        <v>2027</v>
      </c>
      <c r="D2143" s="5" t="s">
        <v>30</v>
      </c>
      <c r="E2143" t="s">
        <v>1431</v>
      </c>
      <c r="F2143" t="s">
        <v>1429</v>
      </c>
      <c r="G2143" t="s">
        <v>1376</v>
      </c>
      <c r="H2143" t="s">
        <v>1432</v>
      </c>
      <c r="I2143" t="s">
        <v>119</v>
      </c>
      <c r="J2143" t="s">
        <v>36</v>
      </c>
      <c r="K2143">
        <v>2690</v>
      </c>
      <c r="O2143" t="s">
        <v>37</v>
      </c>
      <c r="P2143" t="s">
        <v>46</v>
      </c>
      <c r="U2143" s="9" t="s">
        <v>242</v>
      </c>
      <c r="V2143" t="s">
        <v>242</v>
      </c>
      <c r="W2143" t="s">
        <v>138</v>
      </c>
      <c r="X2143" t="s">
        <v>1106</v>
      </c>
      <c r="Y2143" t="s">
        <v>179</v>
      </c>
      <c r="Z2143" t="s">
        <v>41</v>
      </c>
      <c r="AB2143" t="str">
        <f t="shared" si="99"/>
        <v>46362</v>
      </c>
    </row>
    <row r="2144" ht="14.25" spans="1:28">
      <c r="A2144" s="5" t="s">
        <v>28</v>
      </c>
      <c r="B2144" s="5" t="s">
        <v>697</v>
      </c>
      <c r="C2144" s="5">
        <v>2027</v>
      </c>
      <c r="D2144" s="5" t="s">
        <v>30</v>
      </c>
      <c r="E2144" t="s">
        <v>1433</v>
      </c>
      <c r="F2144" t="s">
        <v>1434</v>
      </c>
      <c r="G2144" t="s">
        <v>1435</v>
      </c>
      <c r="H2144" t="s">
        <v>1436</v>
      </c>
      <c r="I2144" t="s">
        <v>119</v>
      </c>
      <c r="J2144" t="s">
        <v>36</v>
      </c>
      <c r="K2144">
        <v>2990</v>
      </c>
      <c r="O2144" t="s">
        <v>37</v>
      </c>
      <c r="P2144" t="s">
        <v>38</v>
      </c>
      <c r="R2144">
        <f t="shared" si="100"/>
        <v>0</v>
      </c>
      <c r="S2144">
        <f>SUMIFS([1]Sheet1!$T:$T,[1]Sheet1!$I:$I,E2144,[1]Sheet1!$C:$C,A2144)</f>
        <v>60</v>
      </c>
      <c r="T2144">
        <f t="shared" si="101"/>
        <v>-60</v>
      </c>
      <c r="U2144" s="9" t="s">
        <v>242</v>
      </c>
      <c r="V2144" t="s">
        <v>242</v>
      </c>
      <c r="W2144" t="s">
        <v>138</v>
      </c>
      <c r="Y2144" t="s">
        <v>179</v>
      </c>
      <c r="Z2144" t="s">
        <v>104</v>
      </c>
      <c r="AB2144" t="str">
        <f t="shared" si="99"/>
        <v>46371</v>
      </c>
    </row>
    <row r="2145" ht="14.25" spans="1:28">
      <c r="A2145" s="5" t="s">
        <v>28</v>
      </c>
      <c r="B2145" s="5" t="s">
        <v>697</v>
      </c>
      <c r="C2145" s="5">
        <v>2027</v>
      </c>
      <c r="D2145" s="5" t="s">
        <v>30</v>
      </c>
      <c r="E2145" t="s">
        <v>1433</v>
      </c>
      <c r="F2145" t="s">
        <v>1434</v>
      </c>
      <c r="G2145" t="s">
        <v>1435</v>
      </c>
      <c r="H2145" t="s">
        <v>1436</v>
      </c>
      <c r="I2145" t="s">
        <v>119</v>
      </c>
      <c r="J2145" t="s">
        <v>36</v>
      </c>
      <c r="K2145">
        <v>2990</v>
      </c>
      <c r="O2145" t="s">
        <v>37</v>
      </c>
      <c r="P2145" t="s">
        <v>42</v>
      </c>
      <c r="U2145" s="9" t="s">
        <v>242</v>
      </c>
      <c r="V2145" t="s">
        <v>242</v>
      </c>
      <c r="W2145" t="s">
        <v>138</v>
      </c>
      <c r="Y2145" t="s">
        <v>179</v>
      </c>
      <c r="Z2145" t="s">
        <v>104</v>
      </c>
      <c r="AB2145" t="str">
        <f t="shared" si="99"/>
        <v>46371</v>
      </c>
    </row>
    <row r="2146" ht="14.25" spans="1:28">
      <c r="A2146" s="5" t="s">
        <v>28</v>
      </c>
      <c r="B2146" s="5" t="s">
        <v>697</v>
      </c>
      <c r="C2146" s="5">
        <v>2027</v>
      </c>
      <c r="D2146" s="5" t="s">
        <v>30</v>
      </c>
      <c r="E2146" t="s">
        <v>1433</v>
      </c>
      <c r="F2146" t="s">
        <v>1434</v>
      </c>
      <c r="G2146" t="s">
        <v>1435</v>
      </c>
      <c r="H2146" t="s">
        <v>1436</v>
      </c>
      <c r="I2146" t="s">
        <v>119</v>
      </c>
      <c r="J2146" t="s">
        <v>36</v>
      </c>
      <c r="K2146">
        <v>2990</v>
      </c>
      <c r="O2146" t="s">
        <v>37</v>
      </c>
      <c r="P2146" t="s">
        <v>43</v>
      </c>
      <c r="U2146" s="9" t="s">
        <v>242</v>
      </c>
      <c r="V2146" t="s">
        <v>242</v>
      </c>
      <c r="W2146" t="s">
        <v>138</v>
      </c>
      <c r="Y2146" t="s">
        <v>179</v>
      </c>
      <c r="Z2146" t="s">
        <v>104</v>
      </c>
      <c r="AB2146" t="str">
        <f t="shared" si="99"/>
        <v>46371</v>
      </c>
    </row>
    <row r="2147" ht="14.25" spans="1:28">
      <c r="A2147" s="5" t="s">
        <v>28</v>
      </c>
      <c r="B2147" s="5" t="s">
        <v>697</v>
      </c>
      <c r="C2147" s="5">
        <v>2027</v>
      </c>
      <c r="D2147" s="5" t="s">
        <v>30</v>
      </c>
      <c r="E2147" t="s">
        <v>1433</v>
      </c>
      <c r="F2147" t="s">
        <v>1434</v>
      </c>
      <c r="G2147" t="s">
        <v>1435</v>
      </c>
      <c r="H2147" t="s">
        <v>1436</v>
      </c>
      <c r="I2147" t="s">
        <v>119</v>
      </c>
      <c r="J2147" t="s">
        <v>36</v>
      </c>
      <c r="K2147">
        <v>2990</v>
      </c>
      <c r="O2147" t="s">
        <v>37</v>
      </c>
      <c r="P2147" t="s">
        <v>44</v>
      </c>
      <c r="U2147" s="9" t="s">
        <v>242</v>
      </c>
      <c r="V2147" t="s">
        <v>242</v>
      </c>
      <c r="W2147" t="s">
        <v>138</v>
      </c>
      <c r="Y2147" t="s">
        <v>179</v>
      </c>
      <c r="Z2147" t="s">
        <v>104</v>
      </c>
      <c r="AB2147" t="str">
        <f t="shared" si="99"/>
        <v>46371</v>
      </c>
    </row>
    <row r="2148" ht="14.25" spans="1:28">
      <c r="A2148" s="5" t="s">
        <v>28</v>
      </c>
      <c r="B2148" s="5" t="s">
        <v>697</v>
      </c>
      <c r="C2148" s="5">
        <v>2027</v>
      </c>
      <c r="D2148" s="5" t="s">
        <v>30</v>
      </c>
      <c r="E2148" t="s">
        <v>1433</v>
      </c>
      <c r="F2148" t="s">
        <v>1434</v>
      </c>
      <c r="G2148" t="s">
        <v>1435</v>
      </c>
      <c r="H2148" t="s">
        <v>1436</v>
      </c>
      <c r="I2148" t="s">
        <v>119</v>
      </c>
      <c r="J2148" t="s">
        <v>36</v>
      </c>
      <c r="K2148">
        <v>2990</v>
      </c>
      <c r="O2148" t="s">
        <v>37</v>
      </c>
      <c r="P2148" t="s">
        <v>45</v>
      </c>
      <c r="U2148" s="9" t="s">
        <v>242</v>
      </c>
      <c r="V2148" t="s">
        <v>242</v>
      </c>
      <c r="W2148" t="s">
        <v>138</v>
      </c>
      <c r="Y2148" t="s">
        <v>179</v>
      </c>
      <c r="Z2148" t="s">
        <v>104</v>
      </c>
      <c r="AB2148" t="str">
        <f t="shared" si="99"/>
        <v>46371</v>
      </c>
    </row>
    <row r="2149" ht="14.25" spans="1:28">
      <c r="A2149" s="5" t="s">
        <v>28</v>
      </c>
      <c r="B2149" s="5" t="s">
        <v>697</v>
      </c>
      <c r="C2149" s="5">
        <v>2027</v>
      </c>
      <c r="D2149" s="5" t="s">
        <v>30</v>
      </c>
      <c r="E2149" t="s">
        <v>1433</v>
      </c>
      <c r="F2149" t="s">
        <v>1434</v>
      </c>
      <c r="G2149" t="s">
        <v>1435</v>
      </c>
      <c r="H2149" t="s">
        <v>1436</v>
      </c>
      <c r="I2149" t="s">
        <v>119</v>
      </c>
      <c r="J2149" t="s">
        <v>36</v>
      </c>
      <c r="K2149">
        <v>2990</v>
      </c>
      <c r="O2149" t="s">
        <v>37</v>
      </c>
      <c r="P2149" t="s">
        <v>46</v>
      </c>
      <c r="U2149" s="9" t="s">
        <v>242</v>
      </c>
      <c r="V2149" t="s">
        <v>242</v>
      </c>
      <c r="W2149" t="s">
        <v>138</v>
      </c>
      <c r="Y2149" t="s">
        <v>179</v>
      </c>
      <c r="Z2149" t="s">
        <v>104</v>
      </c>
      <c r="AB2149" t="str">
        <f t="shared" si="99"/>
        <v>46371</v>
      </c>
    </row>
    <row r="2150" ht="14.25" spans="1:28">
      <c r="A2150" s="5" t="s">
        <v>28</v>
      </c>
      <c r="B2150" s="5" t="s">
        <v>697</v>
      </c>
      <c r="C2150" s="5">
        <v>2027</v>
      </c>
      <c r="D2150" s="5" t="s">
        <v>30</v>
      </c>
      <c r="E2150" t="s">
        <v>1437</v>
      </c>
      <c r="F2150" t="s">
        <v>1438</v>
      </c>
      <c r="G2150" t="s">
        <v>1325</v>
      </c>
      <c r="H2150" t="s">
        <v>1439</v>
      </c>
      <c r="I2150" t="s">
        <v>119</v>
      </c>
      <c r="J2150" t="s">
        <v>36</v>
      </c>
      <c r="K2150">
        <v>3990</v>
      </c>
      <c r="O2150" t="s">
        <v>37</v>
      </c>
      <c r="P2150" t="s">
        <v>38</v>
      </c>
      <c r="R2150">
        <f t="shared" si="100"/>
        <v>0</v>
      </c>
      <c r="S2150">
        <f>SUMIFS([1]Sheet1!$T:$T,[1]Sheet1!$I:$I,E2150,[1]Sheet1!$C:$C,A2150)</f>
        <v>20</v>
      </c>
      <c r="T2150">
        <f t="shared" si="101"/>
        <v>-20</v>
      </c>
      <c r="U2150" s="9" t="s">
        <v>242</v>
      </c>
      <c r="V2150" t="s">
        <v>242</v>
      </c>
      <c r="W2150" t="s">
        <v>138</v>
      </c>
      <c r="X2150" t="s">
        <v>50</v>
      </c>
      <c r="Y2150" t="s">
        <v>179</v>
      </c>
      <c r="Z2150" t="s">
        <v>104</v>
      </c>
      <c r="AA2150" t="s">
        <v>1440</v>
      </c>
      <c r="AB2150" t="str">
        <f t="shared" si="99"/>
        <v>46372</v>
      </c>
    </row>
    <row r="2151" ht="14.25" spans="1:28">
      <c r="A2151" s="5" t="s">
        <v>28</v>
      </c>
      <c r="B2151" s="5" t="s">
        <v>697</v>
      </c>
      <c r="C2151" s="5">
        <v>2027</v>
      </c>
      <c r="D2151" s="5" t="s">
        <v>30</v>
      </c>
      <c r="E2151" t="s">
        <v>1437</v>
      </c>
      <c r="F2151" t="s">
        <v>1438</v>
      </c>
      <c r="G2151" t="s">
        <v>1325</v>
      </c>
      <c r="H2151" t="s">
        <v>1439</v>
      </c>
      <c r="I2151" t="s">
        <v>119</v>
      </c>
      <c r="J2151" t="s">
        <v>36</v>
      </c>
      <c r="K2151">
        <v>3990</v>
      </c>
      <c r="O2151" t="s">
        <v>37</v>
      </c>
      <c r="P2151" t="s">
        <v>42</v>
      </c>
      <c r="U2151" s="9" t="s">
        <v>242</v>
      </c>
      <c r="V2151" t="s">
        <v>242</v>
      </c>
      <c r="W2151" t="s">
        <v>138</v>
      </c>
      <c r="X2151" t="s">
        <v>50</v>
      </c>
      <c r="Y2151" t="s">
        <v>179</v>
      </c>
      <c r="Z2151" t="s">
        <v>104</v>
      </c>
      <c r="AA2151" t="s">
        <v>1440</v>
      </c>
      <c r="AB2151" t="str">
        <f t="shared" si="99"/>
        <v>46372</v>
      </c>
    </row>
    <row r="2152" ht="14.25" spans="1:28">
      <c r="A2152" s="5" t="s">
        <v>28</v>
      </c>
      <c r="B2152" s="5" t="s">
        <v>697</v>
      </c>
      <c r="C2152" s="5">
        <v>2027</v>
      </c>
      <c r="D2152" s="5" t="s">
        <v>30</v>
      </c>
      <c r="E2152" t="s">
        <v>1437</v>
      </c>
      <c r="F2152" t="s">
        <v>1438</v>
      </c>
      <c r="G2152" t="s">
        <v>1325</v>
      </c>
      <c r="H2152" t="s">
        <v>1439</v>
      </c>
      <c r="I2152" t="s">
        <v>119</v>
      </c>
      <c r="J2152" t="s">
        <v>36</v>
      </c>
      <c r="K2152">
        <v>3990</v>
      </c>
      <c r="O2152" t="s">
        <v>37</v>
      </c>
      <c r="P2152" t="s">
        <v>43</v>
      </c>
      <c r="U2152" s="9" t="s">
        <v>242</v>
      </c>
      <c r="V2152" t="s">
        <v>242</v>
      </c>
      <c r="W2152" t="s">
        <v>138</v>
      </c>
      <c r="X2152" t="s">
        <v>50</v>
      </c>
      <c r="Y2152" t="s">
        <v>179</v>
      </c>
      <c r="Z2152" t="s">
        <v>104</v>
      </c>
      <c r="AA2152" t="s">
        <v>1440</v>
      </c>
      <c r="AB2152" t="str">
        <f t="shared" si="99"/>
        <v>46372</v>
      </c>
    </row>
    <row r="2153" ht="14.25" spans="1:28">
      <c r="A2153" s="5" t="s">
        <v>28</v>
      </c>
      <c r="B2153" s="5" t="s">
        <v>697</v>
      </c>
      <c r="C2153" s="5">
        <v>2027</v>
      </c>
      <c r="D2153" s="5" t="s">
        <v>30</v>
      </c>
      <c r="E2153" t="s">
        <v>1437</v>
      </c>
      <c r="F2153" t="s">
        <v>1438</v>
      </c>
      <c r="G2153" t="s">
        <v>1325</v>
      </c>
      <c r="H2153" t="s">
        <v>1439</v>
      </c>
      <c r="I2153" t="s">
        <v>119</v>
      </c>
      <c r="J2153" t="s">
        <v>36</v>
      </c>
      <c r="K2153">
        <v>3990</v>
      </c>
      <c r="O2153" t="s">
        <v>37</v>
      </c>
      <c r="P2153" t="s">
        <v>44</v>
      </c>
      <c r="U2153" s="9" t="s">
        <v>242</v>
      </c>
      <c r="V2153" t="s">
        <v>242</v>
      </c>
      <c r="W2153" t="s">
        <v>138</v>
      </c>
      <c r="X2153" t="s">
        <v>50</v>
      </c>
      <c r="Y2153" t="s">
        <v>179</v>
      </c>
      <c r="Z2153" t="s">
        <v>104</v>
      </c>
      <c r="AA2153" t="s">
        <v>1440</v>
      </c>
      <c r="AB2153" t="str">
        <f t="shared" si="99"/>
        <v>46372</v>
      </c>
    </row>
    <row r="2154" ht="14.25" spans="1:28">
      <c r="A2154" s="5" t="s">
        <v>28</v>
      </c>
      <c r="B2154" s="5" t="s">
        <v>697</v>
      </c>
      <c r="C2154" s="5">
        <v>2027</v>
      </c>
      <c r="D2154" s="5" t="s">
        <v>30</v>
      </c>
      <c r="E2154" t="s">
        <v>1437</v>
      </c>
      <c r="F2154" t="s">
        <v>1438</v>
      </c>
      <c r="G2154" t="s">
        <v>1325</v>
      </c>
      <c r="H2154" t="s">
        <v>1439</v>
      </c>
      <c r="I2154" t="s">
        <v>119</v>
      </c>
      <c r="J2154" t="s">
        <v>36</v>
      </c>
      <c r="K2154">
        <v>3990</v>
      </c>
      <c r="O2154" t="s">
        <v>37</v>
      </c>
      <c r="P2154" t="s">
        <v>45</v>
      </c>
      <c r="U2154" s="9" t="s">
        <v>242</v>
      </c>
      <c r="V2154" t="s">
        <v>242</v>
      </c>
      <c r="W2154" t="s">
        <v>138</v>
      </c>
      <c r="X2154" t="s">
        <v>50</v>
      </c>
      <c r="Y2154" t="s">
        <v>179</v>
      </c>
      <c r="Z2154" t="s">
        <v>104</v>
      </c>
      <c r="AA2154" t="s">
        <v>1440</v>
      </c>
      <c r="AB2154" t="str">
        <f t="shared" si="99"/>
        <v>46372</v>
      </c>
    </row>
    <row r="2155" ht="14.25" spans="1:28">
      <c r="A2155" s="5" t="s">
        <v>28</v>
      </c>
      <c r="B2155" s="5" t="s">
        <v>697</v>
      </c>
      <c r="C2155" s="5">
        <v>2027</v>
      </c>
      <c r="D2155" s="5" t="s">
        <v>30</v>
      </c>
      <c r="E2155" t="s">
        <v>1437</v>
      </c>
      <c r="F2155" t="s">
        <v>1438</v>
      </c>
      <c r="G2155" t="s">
        <v>1325</v>
      </c>
      <c r="H2155" t="s">
        <v>1439</v>
      </c>
      <c r="I2155" t="s">
        <v>119</v>
      </c>
      <c r="J2155" t="s">
        <v>36</v>
      </c>
      <c r="K2155">
        <v>3990</v>
      </c>
      <c r="O2155" t="s">
        <v>37</v>
      </c>
      <c r="P2155" t="s">
        <v>46</v>
      </c>
      <c r="U2155" s="9" t="s">
        <v>242</v>
      </c>
      <c r="V2155" t="s">
        <v>242</v>
      </c>
      <c r="W2155" t="s">
        <v>138</v>
      </c>
      <c r="X2155" t="s">
        <v>50</v>
      </c>
      <c r="Y2155" t="s">
        <v>179</v>
      </c>
      <c r="Z2155" t="s">
        <v>104</v>
      </c>
      <c r="AA2155" t="s">
        <v>1440</v>
      </c>
      <c r="AB2155" t="str">
        <f t="shared" si="99"/>
        <v>46372</v>
      </c>
    </row>
    <row r="2156" ht="14.25" spans="1:28">
      <c r="A2156" s="5" t="s">
        <v>28</v>
      </c>
      <c r="B2156" s="5" t="s">
        <v>697</v>
      </c>
      <c r="C2156" s="5">
        <v>2027</v>
      </c>
      <c r="D2156" s="5" t="s">
        <v>30</v>
      </c>
      <c r="E2156" t="s">
        <v>1441</v>
      </c>
      <c r="F2156" t="s">
        <v>1442</v>
      </c>
      <c r="G2156" t="s">
        <v>100</v>
      </c>
      <c r="H2156" t="s">
        <v>1443</v>
      </c>
      <c r="I2156" t="s">
        <v>119</v>
      </c>
      <c r="J2156" t="s">
        <v>36</v>
      </c>
      <c r="K2156">
        <v>1390</v>
      </c>
      <c r="O2156" t="s">
        <v>37</v>
      </c>
      <c r="P2156" t="s">
        <v>38</v>
      </c>
      <c r="R2156">
        <f t="shared" si="100"/>
        <v>0</v>
      </c>
      <c r="S2156">
        <f>SUMIFS([1]Sheet1!$T:$T,[1]Sheet1!$I:$I,E2156,[1]Sheet1!$C:$C,A2156)</f>
        <v>0</v>
      </c>
      <c r="T2156">
        <f t="shared" si="101"/>
        <v>0</v>
      </c>
      <c r="U2156" s="9" t="s">
        <v>136</v>
      </c>
      <c r="V2156" t="s">
        <v>137</v>
      </c>
      <c r="W2156" t="s">
        <v>138</v>
      </c>
      <c r="X2156" t="s">
        <v>102</v>
      </c>
      <c r="Y2156" t="s">
        <v>1361</v>
      </c>
      <c r="Z2156" t="s">
        <v>41</v>
      </c>
      <c r="AB2156" t="str">
        <f t="shared" si="99"/>
        <v>46379</v>
      </c>
    </row>
    <row r="2157" ht="14.25" spans="1:28">
      <c r="A2157" s="5" t="s">
        <v>28</v>
      </c>
      <c r="B2157" s="5" t="s">
        <v>697</v>
      </c>
      <c r="C2157" s="5">
        <v>2027</v>
      </c>
      <c r="D2157" s="5" t="s">
        <v>30</v>
      </c>
      <c r="E2157" t="s">
        <v>1441</v>
      </c>
      <c r="F2157" t="s">
        <v>1442</v>
      </c>
      <c r="G2157" t="s">
        <v>100</v>
      </c>
      <c r="H2157" t="s">
        <v>1443</v>
      </c>
      <c r="I2157" t="s">
        <v>119</v>
      </c>
      <c r="J2157" t="s">
        <v>36</v>
      </c>
      <c r="K2157">
        <v>1390</v>
      </c>
      <c r="O2157" t="s">
        <v>37</v>
      </c>
      <c r="P2157" t="s">
        <v>42</v>
      </c>
      <c r="U2157" s="9" t="s">
        <v>136</v>
      </c>
      <c r="V2157" t="s">
        <v>137</v>
      </c>
      <c r="W2157" t="s">
        <v>138</v>
      </c>
      <c r="X2157" t="s">
        <v>102</v>
      </c>
      <c r="Y2157" t="s">
        <v>1361</v>
      </c>
      <c r="Z2157" t="s">
        <v>41</v>
      </c>
      <c r="AB2157" t="str">
        <f t="shared" si="99"/>
        <v>46379</v>
      </c>
    </row>
    <row r="2158" ht="14.25" spans="1:28">
      <c r="A2158" s="5" t="s">
        <v>28</v>
      </c>
      <c r="B2158" s="5" t="s">
        <v>697</v>
      </c>
      <c r="C2158" s="5">
        <v>2027</v>
      </c>
      <c r="D2158" s="5" t="s">
        <v>30</v>
      </c>
      <c r="E2158" t="s">
        <v>1441</v>
      </c>
      <c r="F2158" t="s">
        <v>1442</v>
      </c>
      <c r="G2158" t="s">
        <v>100</v>
      </c>
      <c r="H2158" t="s">
        <v>1443</v>
      </c>
      <c r="I2158" t="s">
        <v>119</v>
      </c>
      <c r="J2158" t="s">
        <v>36</v>
      </c>
      <c r="K2158">
        <v>1390</v>
      </c>
      <c r="O2158" t="s">
        <v>37</v>
      </c>
      <c r="P2158" t="s">
        <v>43</v>
      </c>
      <c r="U2158" s="9" t="s">
        <v>136</v>
      </c>
      <c r="V2158" t="s">
        <v>137</v>
      </c>
      <c r="W2158" t="s">
        <v>138</v>
      </c>
      <c r="X2158" t="s">
        <v>102</v>
      </c>
      <c r="Y2158" t="s">
        <v>1361</v>
      </c>
      <c r="Z2158" t="s">
        <v>41</v>
      </c>
      <c r="AB2158" t="str">
        <f t="shared" si="99"/>
        <v>46379</v>
      </c>
    </row>
    <row r="2159" ht="14.25" spans="1:28">
      <c r="A2159" s="5" t="s">
        <v>28</v>
      </c>
      <c r="B2159" s="5" t="s">
        <v>697</v>
      </c>
      <c r="C2159" s="5">
        <v>2027</v>
      </c>
      <c r="D2159" s="5" t="s">
        <v>30</v>
      </c>
      <c r="E2159" t="s">
        <v>1441</v>
      </c>
      <c r="F2159" t="s">
        <v>1442</v>
      </c>
      <c r="G2159" t="s">
        <v>100</v>
      </c>
      <c r="H2159" t="s">
        <v>1443</v>
      </c>
      <c r="I2159" t="s">
        <v>119</v>
      </c>
      <c r="J2159" t="s">
        <v>36</v>
      </c>
      <c r="K2159">
        <v>1390</v>
      </c>
      <c r="O2159" t="s">
        <v>37</v>
      </c>
      <c r="P2159" t="s">
        <v>44</v>
      </c>
      <c r="U2159" s="9" t="s">
        <v>136</v>
      </c>
      <c r="V2159" t="s">
        <v>137</v>
      </c>
      <c r="W2159" t="s">
        <v>138</v>
      </c>
      <c r="X2159" t="s">
        <v>102</v>
      </c>
      <c r="Y2159" t="s">
        <v>1361</v>
      </c>
      <c r="Z2159" t="s">
        <v>41</v>
      </c>
      <c r="AB2159" t="str">
        <f t="shared" si="99"/>
        <v>46379</v>
      </c>
    </row>
    <row r="2160" ht="14.25" spans="1:28">
      <c r="A2160" s="5" t="s">
        <v>28</v>
      </c>
      <c r="B2160" s="5" t="s">
        <v>697</v>
      </c>
      <c r="C2160" s="5">
        <v>2027</v>
      </c>
      <c r="D2160" s="5" t="s">
        <v>30</v>
      </c>
      <c r="E2160" t="s">
        <v>1441</v>
      </c>
      <c r="F2160" t="s">
        <v>1442</v>
      </c>
      <c r="G2160" t="s">
        <v>100</v>
      </c>
      <c r="H2160" t="s">
        <v>1443</v>
      </c>
      <c r="I2160" t="s">
        <v>119</v>
      </c>
      <c r="J2160" t="s">
        <v>36</v>
      </c>
      <c r="K2160">
        <v>1390</v>
      </c>
      <c r="O2160" t="s">
        <v>37</v>
      </c>
      <c r="P2160" t="s">
        <v>45</v>
      </c>
      <c r="U2160" s="9" t="s">
        <v>136</v>
      </c>
      <c r="V2160" t="s">
        <v>137</v>
      </c>
      <c r="W2160" t="s">
        <v>138</v>
      </c>
      <c r="X2160" t="s">
        <v>102</v>
      </c>
      <c r="Y2160" t="s">
        <v>1361</v>
      </c>
      <c r="Z2160" t="s">
        <v>41</v>
      </c>
      <c r="AB2160" t="str">
        <f t="shared" si="99"/>
        <v>46379</v>
      </c>
    </row>
    <row r="2161" ht="14.25" spans="1:28">
      <c r="A2161" s="5" t="s">
        <v>28</v>
      </c>
      <c r="B2161" s="5" t="s">
        <v>697</v>
      </c>
      <c r="C2161" s="5">
        <v>2027</v>
      </c>
      <c r="D2161" s="5" t="s">
        <v>30</v>
      </c>
      <c r="E2161" t="s">
        <v>1441</v>
      </c>
      <c r="F2161" t="s">
        <v>1442</v>
      </c>
      <c r="G2161" t="s">
        <v>100</v>
      </c>
      <c r="H2161" t="s">
        <v>1443</v>
      </c>
      <c r="I2161" t="s">
        <v>119</v>
      </c>
      <c r="J2161" t="s">
        <v>36</v>
      </c>
      <c r="K2161">
        <v>1390</v>
      </c>
      <c r="O2161" t="s">
        <v>37</v>
      </c>
      <c r="P2161" t="s">
        <v>46</v>
      </c>
      <c r="U2161" s="9" t="s">
        <v>136</v>
      </c>
      <c r="V2161" t="s">
        <v>137</v>
      </c>
      <c r="W2161" t="s">
        <v>138</v>
      </c>
      <c r="X2161" t="s">
        <v>102</v>
      </c>
      <c r="Y2161" t="s">
        <v>1361</v>
      </c>
      <c r="Z2161" t="s">
        <v>41</v>
      </c>
      <c r="AB2161" t="str">
        <f t="shared" si="99"/>
        <v>46379</v>
      </c>
    </row>
    <row r="2162" ht="14.25" spans="1:28">
      <c r="A2162" s="5" t="s">
        <v>28</v>
      </c>
      <c r="B2162" s="5" t="s">
        <v>697</v>
      </c>
      <c r="C2162" s="5">
        <v>2027</v>
      </c>
      <c r="D2162" s="5" t="s">
        <v>30</v>
      </c>
      <c r="E2162" t="s">
        <v>1444</v>
      </c>
      <c r="F2162" t="s">
        <v>1442</v>
      </c>
      <c r="G2162" t="s">
        <v>1053</v>
      </c>
      <c r="H2162" t="s">
        <v>1445</v>
      </c>
      <c r="I2162" t="s">
        <v>119</v>
      </c>
      <c r="J2162" t="s">
        <v>36</v>
      </c>
      <c r="K2162">
        <v>1390</v>
      </c>
      <c r="O2162" t="s">
        <v>37</v>
      </c>
      <c r="P2162" t="s">
        <v>38</v>
      </c>
      <c r="R2162">
        <f t="shared" si="100"/>
        <v>0</v>
      </c>
      <c r="S2162">
        <f>SUMIFS([1]Sheet1!$T:$T,[1]Sheet1!$I:$I,E2162,[1]Sheet1!$C:$C,A2162)</f>
        <v>0</v>
      </c>
      <c r="T2162">
        <f t="shared" si="101"/>
        <v>0</v>
      </c>
      <c r="U2162" s="9" t="s">
        <v>136</v>
      </c>
      <c r="V2162" t="s">
        <v>137</v>
      </c>
      <c r="W2162" t="s">
        <v>138</v>
      </c>
      <c r="X2162" t="s">
        <v>243</v>
      </c>
      <c r="Y2162" t="s">
        <v>1361</v>
      </c>
      <c r="Z2162" t="s">
        <v>41</v>
      </c>
      <c r="AB2162" t="str">
        <f t="shared" si="99"/>
        <v>46379</v>
      </c>
    </row>
    <row r="2163" ht="14.25" spans="1:28">
      <c r="A2163" s="5" t="s">
        <v>28</v>
      </c>
      <c r="B2163" s="5" t="s">
        <v>697</v>
      </c>
      <c r="C2163" s="5">
        <v>2027</v>
      </c>
      <c r="D2163" s="5" t="s">
        <v>30</v>
      </c>
      <c r="E2163" t="s">
        <v>1444</v>
      </c>
      <c r="F2163" t="s">
        <v>1442</v>
      </c>
      <c r="G2163" t="s">
        <v>1053</v>
      </c>
      <c r="H2163" t="s">
        <v>1445</v>
      </c>
      <c r="I2163" t="s">
        <v>119</v>
      </c>
      <c r="J2163" t="s">
        <v>36</v>
      </c>
      <c r="K2163">
        <v>1390</v>
      </c>
      <c r="O2163" t="s">
        <v>37</v>
      </c>
      <c r="P2163" t="s">
        <v>42</v>
      </c>
      <c r="U2163" s="9" t="s">
        <v>136</v>
      </c>
      <c r="V2163" t="s">
        <v>137</v>
      </c>
      <c r="W2163" t="s">
        <v>138</v>
      </c>
      <c r="X2163" t="s">
        <v>243</v>
      </c>
      <c r="Y2163" t="s">
        <v>1361</v>
      </c>
      <c r="Z2163" t="s">
        <v>41</v>
      </c>
      <c r="AB2163" t="str">
        <f t="shared" ref="AB2163:AB2226" si="102">MID(E2163,6,5)</f>
        <v>46379</v>
      </c>
    </row>
    <row r="2164" ht="14.25" spans="1:28">
      <c r="A2164" s="5" t="s">
        <v>28</v>
      </c>
      <c r="B2164" s="5" t="s">
        <v>697</v>
      </c>
      <c r="C2164" s="5">
        <v>2027</v>
      </c>
      <c r="D2164" s="5" t="s">
        <v>30</v>
      </c>
      <c r="E2164" t="s">
        <v>1444</v>
      </c>
      <c r="F2164" t="s">
        <v>1442</v>
      </c>
      <c r="G2164" t="s">
        <v>1053</v>
      </c>
      <c r="H2164" t="s">
        <v>1445</v>
      </c>
      <c r="I2164" t="s">
        <v>119</v>
      </c>
      <c r="J2164" t="s">
        <v>36</v>
      </c>
      <c r="K2164">
        <v>1390</v>
      </c>
      <c r="O2164" t="s">
        <v>37</v>
      </c>
      <c r="P2164" t="s">
        <v>43</v>
      </c>
      <c r="U2164" s="9" t="s">
        <v>136</v>
      </c>
      <c r="V2164" t="s">
        <v>137</v>
      </c>
      <c r="W2164" t="s">
        <v>138</v>
      </c>
      <c r="X2164" t="s">
        <v>243</v>
      </c>
      <c r="Y2164" t="s">
        <v>1361</v>
      </c>
      <c r="Z2164" t="s">
        <v>41</v>
      </c>
      <c r="AB2164" t="str">
        <f t="shared" si="102"/>
        <v>46379</v>
      </c>
    </row>
    <row r="2165" ht="14.25" spans="1:28">
      <c r="A2165" s="5" t="s">
        <v>28</v>
      </c>
      <c r="B2165" s="5" t="s">
        <v>697</v>
      </c>
      <c r="C2165" s="5">
        <v>2027</v>
      </c>
      <c r="D2165" s="5" t="s">
        <v>30</v>
      </c>
      <c r="E2165" t="s">
        <v>1444</v>
      </c>
      <c r="F2165" t="s">
        <v>1442</v>
      </c>
      <c r="G2165" t="s">
        <v>1053</v>
      </c>
      <c r="H2165" t="s">
        <v>1445</v>
      </c>
      <c r="I2165" t="s">
        <v>119</v>
      </c>
      <c r="J2165" t="s">
        <v>36</v>
      </c>
      <c r="K2165">
        <v>1390</v>
      </c>
      <c r="O2165" t="s">
        <v>37</v>
      </c>
      <c r="P2165" t="s">
        <v>44</v>
      </c>
      <c r="U2165" s="9" t="s">
        <v>136</v>
      </c>
      <c r="V2165" t="s">
        <v>137</v>
      </c>
      <c r="W2165" t="s">
        <v>138</v>
      </c>
      <c r="X2165" t="s">
        <v>243</v>
      </c>
      <c r="Y2165" t="s">
        <v>1361</v>
      </c>
      <c r="Z2165" t="s">
        <v>41</v>
      </c>
      <c r="AB2165" t="str">
        <f t="shared" si="102"/>
        <v>46379</v>
      </c>
    </row>
    <row r="2166" ht="14.25" spans="1:28">
      <c r="A2166" s="5" t="s">
        <v>28</v>
      </c>
      <c r="B2166" s="5" t="s">
        <v>697</v>
      </c>
      <c r="C2166" s="5">
        <v>2027</v>
      </c>
      <c r="D2166" s="5" t="s">
        <v>30</v>
      </c>
      <c r="E2166" t="s">
        <v>1444</v>
      </c>
      <c r="F2166" t="s">
        <v>1442</v>
      </c>
      <c r="G2166" t="s">
        <v>1053</v>
      </c>
      <c r="H2166" t="s">
        <v>1445</v>
      </c>
      <c r="I2166" t="s">
        <v>119</v>
      </c>
      <c r="J2166" t="s">
        <v>36</v>
      </c>
      <c r="K2166">
        <v>1390</v>
      </c>
      <c r="O2166" t="s">
        <v>37</v>
      </c>
      <c r="P2166" t="s">
        <v>45</v>
      </c>
      <c r="U2166" s="9" t="s">
        <v>136</v>
      </c>
      <c r="V2166" t="s">
        <v>137</v>
      </c>
      <c r="W2166" t="s">
        <v>138</v>
      </c>
      <c r="X2166" t="s">
        <v>243</v>
      </c>
      <c r="Y2166" t="s">
        <v>1361</v>
      </c>
      <c r="Z2166" t="s">
        <v>41</v>
      </c>
      <c r="AB2166" t="str">
        <f t="shared" si="102"/>
        <v>46379</v>
      </c>
    </row>
    <row r="2167" ht="14.25" spans="1:28">
      <c r="A2167" s="5" t="s">
        <v>28</v>
      </c>
      <c r="B2167" s="5" t="s">
        <v>697</v>
      </c>
      <c r="C2167" s="5">
        <v>2027</v>
      </c>
      <c r="D2167" s="5" t="s">
        <v>30</v>
      </c>
      <c r="E2167" t="s">
        <v>1444</v>
      </c>
      <c r="F2167" t="s">
        <v>1442</v>
      </c>
      <c r="G2167" t="s">
        <v>1053</v>
      </c>
      <c r="H2167" t="s">
        <v>1445</v>
      </c>
      <c r="I2167" t="s">
        <v>119</v>
      </c>
      <c r="J2167" t="s">
        <v>36</v>
      </c>
      <c r="K2167">
        <v>1390</v>
      </c>
      <c r="O2167" t="s">
        <v>37</v>
      </c>
      <c r="P2167" t="s">
        <v>46</v>
      </c>
      <c r="U2167" s="9" t="s">
        <v>136</v>
      </c>
      <c r="V2167" t="s">
        <v>137</v>
      </c>
      <c r="W2167" t="s">
        <v>138</v>
      </c>
      <c r="X2167" t="s">
        <v>243</v>
      </c>
      <c r="Y2167" t="s">
        <v>1361</v>
      </c>
      <c r="Z2167" t="s">
        <v>41</v>
      </c>
      <c r="AB2167" t="str">
        <f t="shared" si="102"/>
        <v>46379</v>
      </c>
    </row>
    <row r="2168" ht="14.25" spans="1:28">
      <c r="A2168" s="5" t="s">
        <v>28</v>
      </c>
      <c r="B2168" s="5" t="s">
        <v>697</v>
      </c>
      <c r="C2168" s="5">
        <v>2027</v>
      </c>
      <c r="D2168" s="5" t="s">
        <v>30</v>
      </c>
      <c r="E2168" t="s">
        <v>1446</v>
      </c>
      <c r="F2168" t="s">
        <v>1447</v>
      </c>
      <c r="G2168" t="s">
        <v>1448</v>
      </c>
      <c r="H2168" t="s">
        <v>1449</v>
      </c>
      <c r="I2168" t="s">
        <v>147</v>
      </c>
      <c r="J2168" t="s">
        <v>36</v>
      </c>
      <c r="K2168">
        <v>1790</v>
      </c>
      <c r="O2168" t="s">
        <v>37</v>
      </c>
      <c r="P2168" t="s">
        <v>38</v>
      </c>
      <c r="R2168">
        <f t="shared" si="100"/>
        <v>0</v>
      </c>
      <c r="S2168">
        <f>SUMIFS([1]Sheet1!$T:$T,[1]Sheet1!$I:$I,E2168,[1]Sheet1!$C:$C,A2168)</f>
        <v>0</v>
      </c>
      <c r="T2168">
        <f t="shared" si="101"/>
        <v>0</v>
      </c>
      <c r="U2168" s="9" t="s">
        <v>148</v>
      </c>
      <c r="V2168" t="s">
        <v>164</v>
      </c>
      <c r="W2168" t="s">
        <v>138</v>
      </c>
      <c r="X2168" t="s">
        <v>70</v>
      </c>
      <c r="Y2168" t="s">
        <v>827</v>
      </c>
      <c r="Z2168" t="s">
        <v>41</v>
      </c>
      <c r="AB2168" t="str">
        <f t="shared" si="102"/>
        <v>46389</v>
      </c>
    </row>
    <row r="2169" ht="14.25" spans="1:28">
      <c r="A2169" s="5" t="s">
        <v>28</v>
      </c>
      <c r="B2169" s="5" t="s">
        <v>697</v>
      </c>
      <c r="C2169" s="5">
        <v>2027</v>
      </c>
      <c r="D2169" s="5" t="s">
        <v>30</v>
      </c>
      <c r="E2169" t="s">
        <v>1446</v>
      </c>
      <c r="F2169" t="s">
        <v>1447</v>
      </c>
      <c r="G2169" t="s">
        <v>1448</v>
      </c>
      <c r="H2169" t="s">
        <v>1449</v>
      </c>
      <c r="I2169" t="s">
        <v>147</v>
      </c>
      <c r="J2169" t="s">
        <v>36</v>
      </c>
      <c r="K2169">
        <v>1790</v>
      </c>
      <c r="O2169" t="s">
        <v>37</v>
      </c>
      <c r="P2169" t="s">
        <v>42</v>
      </c>
      <c r="U2169" s="9" t="s">
        <v>148</v>
      </c>
      <c r="V2169" t="s">
        <v>164</v>
      </c>
      <c r="W2169" t="s">
        <v>138</v>
      </c>
      <c r="X2169" t="s">
        <v>70</v>
      </c>
      <c r="Y2169" t="s">
        <v>827</v>
      </c>
      <c r="Z2169" t="s">
        <v>41</v>
      </c>
      <c r="AB2169" t="str">
        <f t="shared" si="102"/>
        <v>46389</v>
      </c>
    </row>
    <row r="2170" ht="14.25" spans="1:28">
      <c r="A2170" s="5" t="s">
        <v>28</v>
      </c>
      <c r="B2170" s="5" t="s">
        <v>697</v>
      </c>
      <c r="C2170" s="5">
        <v>2027</v>
      </c>
      <c r="D2170" s="5" t="s">
        <v>30</v>
      </c>
      <c r="E2170" t="s">
        <v>1446</v>
      </c>
      <c r="F2170" t="s">
        <v>1447</v>
      </c>
      <c r="G2170" t="s">
        <v>1448</v>
      </c>
      <c r="H2170" t="s">
        <v>1449</v>
      </c>
      <c r="I2170" t="s">
        <v>147</v>
      </c>
      <c r="J2170" t="s">
        <v>36</v>
      </c>
      <c r="K2170">
        <v>1790</v>
      </c>
      <c r="O2170" t="s">
        <v>37</v>
      </c>
      <c r="P2170" t="s">
        <v>43</v>
      </c>
      <c r="U2170" s="9" t="s">
        <v>148</v>
      </c>
      <c r="V2170" t="s">
        <v>164</v>
      </c>
      <c r="W2170" t="s">
        <v>138</v>
      </c>
      <c r="X2170" t="s">
        <v>70</v>
      </c>
      <c r="Y2170" t="s">
        <v>827</v>
      </c>
      <c r="Z2170" t="s">
        <v>41</v>
      </c>
      <c r="AB2170" t="str">
        <f t="shared" si="102"/>
        <v>46389</v>
      </c>
    </row>
    <row r="2171" ht="14.25" spans="1:28">
      <c r="A2171" s="5" t="s">
        <v>28</v>
      </c>
      <c r="B2171" s="5" t="s">
        <v>697</v>
      </c>
      <c r="C2171" s="5">
        <v>2027</v>
      </c>
      <c r="D2171" s="5" t="s">
        <v>30</v>
      </c>
      <c r="E2171" t="s">
        <v>1446</v>
      </c>
      <c r="F2171" t="s">
        <v>1447</v>
      </c>
      <c r="G2171" t="s">
        <v>1448</v>
      </c>
      <c r="H2171" t="s">
        <v>1449</v>
      </c>
      <c r="I2171" t="s">
        <v>147</v>
      </c>
      <c r="J2171" t="s">
        <v>36</v>
      </c>
      <c r="K2171">
        <v>1790</v>
      </c>
      <c r="O2171" t="s">
        <v>37</v>
      </c>
      <c r="P2171" t="s">
        <v>44</v>
      </c>
      <c r="U2171" s="9" t="s">
        <v>148</v>
      </c>
      <c r="V2171" t="s">
        <v>164</v>
      </c>
      <c r="W2171" t="s">
        <v>138</v>
      </c>
      <c r="X2171" t="s">
        <v>70</v>
      </c>
      <c r="Y2171" t="s">
        <v>827</v>
      </c>
      <c r="Z2171" t="s">
        <v>41</v>
      </c>
      <c r="AB2171" t="str">
        <f t="shared" si="102"/>
        <v>46389</v>
      </c>
    </row>
    <row r="2172" ht="14.25" spans="1:28">
      <c r="A2172" s="5" t="s">
        <v>28</v>
      </c>
      <c r="B2172" s="5" t="s">
        <v>697</v>
      </c>
      <c r="C2172" s="5">
        <v>2027</v>
      </c>
      <c r="D2172" s="5" t="s">
        <v>30</v>
      </c>
      <c r="E2172" t="s">
        <v>1446</v>
      </c>
      <c r="F2172" t="s">
        <v>1447</v>
      </c>
      <c r="G2172" t="s">
        <v>1448</v>
      </c>
      <c r="H2172" t="s">
        <v>1449</v>
      </c>
      <c r="I2172" t="s">
        <v>147</v>
      </c>
      <c r="J2172" t="s">
        <v>36</v>
      </c>
      <c r="K2172">
        <v>1790</v>
      </c>
      <c r="O2172" t="s">
        <v>37</v>
      </c>
      <c r="P2172" t="s">
        <v>45</v>
      </c>
      <c r="U2172" s="9" t="s">
        <v>148</v>
      </c>
      <c r="V2172" t="s">
        <v>164</v>
      </c>
      <c r="W2172" t="s">
        <v>138</v>
      </c>
      <c r="X2172" t="s">
        <v>70</v>
      </c>
      <c r="Y2172" t="s">
        <v>827</v>
      </c>
      <c r="Z2172" t="s">
        <v>41</v>
      </c>
      <c r="AB2172" t="str">
        <f t="shared" si="102"/>
        <v>46389</v>
      </c>
    </row>
    <row r="2173" ht="14.25" spans="1:28">
      <c r="A2173" s="5" t="s">
        <v>28</v>
      </c>
      <c r="B2173" s="5" t="s">
        <v>697</v>
      </c>
      <c r="C2173" s="5">
        <v>2027</v>
      </c>
      <c r="D2173" s="5" t="s">
        <v>30</v>
      </c>
      <c r="E2173" t="s">
        <v>1446</v>
      </c>
      <c r="F2173" t="s">
        <v>1447</v>
      </c>
      <c r="G2173" t="s">
        <v>1448</v>
      </c>
      <c r="H2173" t="s">
        <v>1449</v>
      </c>
      <c r="I2173" t="s">
        <v>147</v>
      </c>
      <c r="J2173" t="s">
        <v>36</v>
      </c>
      <c r="K2173">
        <v>1790</v>
      </c>
      <c r="O2173" t="s">
        <v>37</v>
      </c>
      <c r="P2173" t="s">
        <v>46</v>
      </c>
      <c r="U2173" s="9" t="s">
        <v>148</v>
      </c>
      <c r="V2173" t="s">
        <v>164</v>
      </c>
      <c r="W2173" t="s">
        <v>138</v>
      </c>
      <c r="X2173" t="s">
        <v>70</v>
      </c>
      <c r="Y2173" t="s">
        <v>827</v>
      </c>
      <c r="Z2173" t="s">
        <v>41</v>
      </c>
      <c r="AB2173" t="str">
        <f t="shared" si="102"/>
        <v>46389</v>
      </c>
    </row>
    <row r="2174" ht="14.25" spans="1:28">
      <c r="A2174" s="5" t="s">
        <v>28</v>
      </c>
      <c r="B2174" s="5" t="s">
        <v>697</v>
      </c>
      <c r="C2174" s="5">
        <v>2027</v>
      </c>
      <c r="D2174" s="5" t="s">
        <v>30</v>
      </c>
      <c r="E2174" t="s">
        <v>1450</v>
      </c>
      <c r="F2174" t="s">
        <v>1447</v>
      </c>
      <c r="G2174" t="s">
        <v>254</v>
      </c>
      <c r="H2174" t="s">
        <v>1451</v>
      </c>
      <c r="I2174" t="s">
        <v>147</v>
      </c>
      <c r="J2174" t="s">
        <v>36</v>
      </c>
      <c r="K2174">
        <v>1790</v>
      </c>
      <c r="O2174" t="s">
        <v>37</v>
      </c>
      <c r="P2174" t="s">
        <v>38</v>
      </c>
      <c r="R2174">
        <f t="shared" si="100"/>
        <v>0</v>
      </c>
      <c r="S2174">
        <f>SUMIFS([1]Sheet1!$T:$T,[1]Sheet1!$I:$I,E2174,[1]Sheet1!$C:$C,A2174)</f>
        <v>0</v>
      </c>
      <c r="T2174">
        <f t="shared" si="101"/>
        <v>0</v>
      </c>
      <c r="U2174" s="9" t="s">
        <v>148</v>
      </c>
      <c r="V2174" t="s">
        <v>164</v>
      </c>
      <c r="W2174" t="s">
        <v>138</v>
      </c>
      <c r="X2174" t="s">
        <v>86</v>
      </c>
      <c r="Y2174" t="s">
        <v>827</v>
      </c>
      <c r="Z2174" t="s">
        <v>41</v>
      </c>
      <c r="AB2174" t="str">
        <f t="shared" si="102"/>
        <v>46389</v>
      </c>
    </row>
    <row r="2175" ht="14.25" spans="1:28">
      <c r="A2175" s="5" t="s">
        <v>28</v>
      </c>
      <c r="B2175" s="5" t="s">
        <v>697</v>
      </c>
      <c r="C2175" s="5">
        <v>2027</v>
      </c>
      <c r="D2175" s="5" t="s">
        <v>30</v>
      </c>
      <c r="E2175" t="s">
        <v>1450</v>
      </c>
      <c r="F2175" t="s">
        <v>1447</v>
      </c>
      <c r="G2175" t="s">
        <v>254</v>
      </c>
      <c r="H2175" t="s">
        <v>1451</v>
      </c>
      <c r="I2175" t="s">
        <v>147</v>
      </c>
      <c r="J2175" t="s">
        <v>36</v>
      </c>
      <c r="K2175">
        <v>1790</v>
      </c>
      <c r="O2175" t="s">
        <v>37</v>
      </c>
      <c r="P2175" t="s">
        <v>42</v>
      </c>
      <c r="U2175" s="9" t="s">
        <v>148</v>
      </c>
      <c r="V2175" t="s">
        <v>164</v>
      </c>
      <c r="W2175" t="s">
        <v>138</v>
      </c>
      <c r="X2175" t="s">
        <v>86</v>
      </c>
      <c r="Y2175" t="s">
        <v>827</v>
      </c>
      <c r="Z2175" t="s">
        <v>41</v>
      </c>
      <c r="AB2175" t="str">
        <f t="shared" si="102"/>
        <v>46389</v>
      </c>
    </row>
    <row r="2176" ht="14.25" spans="1:28">
      <c r="A2176" s="5" t="s">
        <v>28</v>
      </c>
      <c r="B2176" s="5" t="s">
        <v>697</v>
      </c>
      <c r="C2176" s="5">
        <v>2027</v>
      </c>
      <c r="D2176" s="5" t="s">
        <v>30</v>
      </c>
      <c r="E2176" t="s">
        <v>1450</v>
      </c>
      <c r="F2176" t="s">
        <v>1447</v>
      </c>
      <c r="G2176" t="s">
        <v>254</v>
      </c>
      <c r="H2176" t="s">
        <v>1451</v>
      </c>
      <c r="I2176" t="s">
        <v>147</v>
      </c>
      <c r="J2176" t="s">
        <v>36</v>
      </c>
      <c r="K2176">
        <v>1790</v>
      </c>
      <c r="O2176" t="s">
        <v>37</v>
      </c>
      <c r="P2176" t="s">
        <v>43</v>
      </c>
      <c r="U2176" s="9" t="s">
        <v>148</v>
      </c>
      <c r="V2176" t="s">
        <v>164</v>
      </c>
      <c r="W2176" t="s">
        <v>138</v>
      </c>
      <c r="X2176" t="s">
        <v>86</v>
      </c>
      <c r="Y2176" t="s">
        <v>827</v>
      </c>
      <c r="Z2176" t="s">
        <v>41</v>
      </c>
      <c r="AB2176" t="str">
        <f t="shared" si="102"/>
        <v>46389</v>
      </c>
    </row>
    <row r="2177" ht="14.25" spans="1:28">
      <c r="A2177" s="5" t="s">
        <v>28</v>
      </c>
      <c r="B2177" s="5" t="s">
        <v>697</v>
      </c>
      <c r="C2177" s="5">
        <v>2027</v>
      </c>
      <c r="D2177" s="5" t="s">
        <v>30</v>
      </c>
      <c r="E2177" t="s">
        <v>1450</v>
      </c>
      <c r="F2177" t="s">
        <v>1447</v>
      </c>
      <c r="G2177" t="s">
        <v>254</v>
      </c>
      <c r="H2177" t="s">
        <v>1451</v>
      </c>
      <c r="I2177" t="s">
        <v>147</v>
      </c>
      <c r="J2177" t="s">
        <v>36</v>
      </c>
      <c r="K2177">
        <v>1790</v>
      </c>
      <c r="O2177" t="s">
        <v>37</v>
      </c>
      <c r="P2177" t="s">
        <v>44</v>
      </c>
      <c r="U2177" s="9" t="s">
        <v>148</v>
      </c>
      <c r="V2177" t="s">
        <v>164</v>
      </c>
      <c r="W2177" t="s">
        <v>138</v>
      </c>
      <c r="X2177" t="s">
        <v>86</v>
      </c>
      <c r="Y2177" t="s">
        <v>827</v>
      </c>
      <c r="Z2177" t="s">
        <v>41</v>
      </c>
      <c r="AB2177" t="str">
        <f t="shared" si="102"/>
        <v>46389</v>
      </c>
    </row>
    <row r="2178" ht="14.25" spans="1:28">
      <c r="A2178" s="5" t="s">
        <v>28</v>
      </c>
      <c r="B2178" s="5" t="s">
        <v>697</v>
      </c>
      <c r="C2178" s="5">
        <v>2027</v>
      </c>
      <c r="D2178" s="5" t="s">
        <v>30</v>
      </c>
      <c r="E2178" t="s">
        <v>1450</v>
      </c>
      <c r="F2178" t="s">
        <v>1447</v>
      </c>
      <c r="G2178" t="s">
        <v>254</v>
      </c>
      <c r="H2178" t="s">
        <v>1451</v>
      </c>
      <c r="I2178" t="s">
        <v>147</v>
      </c>
      <c r="J2178" t="s">
        <v>36</v>
      </c>
      <c r="K2178">
        <v>1790</v>
      </c>
      <c r="O2178" t="s">
        <v>37</v>
      </c>
      <c r="P2178" t="s">
        <v>45</v>
      </c>
      <c r="U2178" s="9" t="s">
        <v>148</v>
      </c>
      <c r="V2178" t="s">
        <v>164</v>
      </c>
      <c r="W2178" t="s">
        <v>138</v>
      </c>
      <c r="X2178" t="s">
        <v>86</v>
      </c>
      <c r="Y2178" t="s">
        <v>827</v>
      </c>
      <c r="Z2178" t="s">
        <v>41</v>
      </c>
      <c r="AB2178" t="str">
        <f t="shared" si="102"/>
        <v>46389</v>
      </c>
    </row>
    <row r="2179" ht="14.25" spans="1:28">
      <c r="A2179" s="5" t="s">
        <v>28</v>
      </c>
      <c r="B2179" s="5" t="s">
        <v>697</v>
      </c>
      <c r="C2179" s="5">
        <v>2027</v>
      </c>
      <c r="D2179" s="5" t="s">
        <v>30</v>
      </c>
      <c r="E2179" t="s">
        <v>1450</v>
      </c>
      <c r="F2179" t="s">
        <v>1447</v>
      </c>
      <c r="G2179" t="s">
        <v>254</v>
      </c>
      <c r="H2179" t="s">
        <v>1451</v>
      </c>
      <c r="I2179" t="s">
        <v>147</v>
      </c>
      <c r="J2179" t="s">
        <v>36</v>
      </c>
      <c r="K2179">
        <v>1790</v>
      </c>
      <c r="O2179" t="s">
        <v>37</v>
      </c>
      <c r="P2179" t="s">
        <v>46</v>
      </c>
      <c r="U2179" s="9" t="s">
        <v>148</v>
      </c>
      <c r="V2179" t="s">
        <v>164</v>
      </c>
      <c r="W2179" t="s">
        <v>138</v>
      </c>
      <c r="X2179" t="s">
        <v>86</v>
      </c>
      <c r="Y2179" t="s">
        <v>827</v>
      </c>
      <c r="Z2179" t="s">
        <v>41</v>
      </c>
      <c r="AB2179" t="str">
        <f t="shared" si="102"/>
        <v>46389</v>
      </c>
    </row>
    <row r="2180" ht="14.25" spans="1:28">
      <c r="A2180" s="5" t="s">
        <v>28</v>
      </c>
      <c r="B2180" s="5" t="s">
        <v>697</v>
      </c>
      <c r="C2180" s="5">
        <v>2027</v>
      </c>
      <c r="D2180" s="5" t="s">
        <v>30</v>
      </c>
      <c r="E2180" t="s">
        <v>1452</v>
      </c>
      <c r="F2180" t="s">
        <v>1453</v>
      </c>
      <c r="G2180" t="s">
        <v>100</v>
      </c>
      <c r="H2180" t="s">
        <v>1454</v>
      </c>
      <c r="I2180" t="s">
        <v>112</v>
      </c>
      <c r="J2180" t="s">
        <v>36</v>
      </c>
      <c r="K2180">
        <v>1590</v>
      </c>
      <c r="O2180" t="s">
        <v>37</v>
      </c>
      <c r="P2180" t="s">
        <v>38</v>
      </c>
      <c r="R2180">
        <f t="shared" ref="R2178:R2241" si="103">SUMIFS(Q:Q,E:E,E2180)</f>
        <v>0</v>
      </c>
      <c r="S2180">
        <f>SUMIFS([1]Sheet1!$T:$T,[1]Sheet1!$I:$I,E2180,[1]Sheet1!$C:$C,A2180)</f>
        <v>0</v>
      </c>
      <c r="T2180">
        <f t="shared" ref="T2178:T2241" si="104">R2180-S2180</f>
        <v>0</v>
      </c>
      <c r="U2180" s="9" t="s">
        <v>148</v>
      </c>
      <c r="V2180" t="s">
        <v>184</v>
      </c>
      <c r="W2180" t="s">
        <v>138</v>
      </c>
      <c r="X2180" t="s">
        <v>102</v>
      </c>
      <c r="Y2180" t="s">
        <v>1455</v>
      </c>
      <c r="Z2180" t="s">
        <v>41</v>
      </c>
      <c r="AB2180" t="str">
        <f t="shared" si="102"/>
        <v>46391</v>
      </c>
    </row>
    <row r="2181" ht="14.25" spans="1:28">
      <c r="A2181" s="5" t="s">
        <v>28</v>
      </c>
      <c r="B2181" s="5" t="s">
        <v>697</v>
      </c>
      <c r="C2181" s="5">
        <v>2027</v>
      </c>
      <c r="D2181" s="5" t="s">
        <v>30</v>
      </c>
      <c r="E2181" t="s">
        <v>1452</v>
      </c>
      <c r="F2181" t="s">
        <v>1453</v>
      </c>
      <c r="G2181" t="s">
        <v>100</v>
      </c>
      <c r="H2181" t="s">
        <v>1454</v>
      </c>
      <c r="I2181" t="s">
        <v>112</v>
      </c>
      <c r="J2181" t="s">
        <v>36</v>
      </c>
      <c r="K2181">
        <v>1590</v>
      </c>
      <c r="O2181" t="s">
        <v>37</v>
      </c>
      <c r="P2181" t="s">
        <v>42</v>
      </c>
      <c r="U2181" s="9" t="s">
        <v>148</v>
      </c>
      <c r="V2181" t="s">
        <v>184</v>
      </c>
      <c r="W2181" t="s">
        <v>138</v>
      </c>
      <c r="X2181" t="s">
        <v>102</v>
      </c>
      <c r="Y2181" t="s">
        <v>1455</v>
      </c>
      <c r="Z2181" t="s">
        <v>41</v>
      </c>
      <c r="AB2181" t="str">
        <f t="shared" si="102"/>
        <v>46391</v>
      </c>
    </row>
    <row r="2182" ht="14.25" spans="1:28">
      <c r="A2182" s="5" t="s">
        <v>28</v>
      </c>
      <c r="B2182" s="5" t="s">
        <v>697</v>
      </c>
      <c r="C2182" s="5">
        <v>2027</v>
      </c>
      <c r="D2182" s="5" t="s">
        <v>30</v>
      </c>
      <c r="E2182" t="s">
        <v>1452</v>
      </c>
      <c r="F2182" t="s">
        <v>1453</v>
      </c>
      <c r="G2182" t="s">
        <v>100</v>
      </c>
      <c r="H2182" t="s">
        <v>1454</v>
      </c>
      <c r="I2182" t="s">
        <v>112</v>
      </c>
      <c r="J2182" t="s">
        <v>36</v>
      </c>
      <c r="K2182">
        <v>1590</v>
      </c>
      <c r="O2182" t="s">
        <v>37</v>
      </c>
      <c r="P2182" t="s">
        <v>43</v>
      </c>
      <c r="U2182" s="9" t="s">
        <v>148</v>
      </c>
      <c r="V2182" t="s">
        <v>184</v>
      </c>
      <c r="W2182" t="s">
        <v>138</v>
      </c>
      <c r="X2182" t="s">
        <v>102</v>
      </c>
      <c r="Y2182" t="s">
        <v>1455</v>
      </c>
      <c r="Z2182" t="s">
        <v>41</v>
      </c>
      <c r="AB2182" t="str">
        <f t="shared" si="102"/>
        <v>46391</v>
      </c>
    </row>
    <row r="2183" ht="14.25" spans="1:28">
      <c r="A2183" s="5" t="s">
        <v>28</v>
      </c>
      <c r="B2183" s="5" t="s">
        <v>697</v>
      </c>
      <c r="C2183" s="5">
        <v>2027</v>
      </c>
      <c r="D2183" s="5" t="s">
        <v>30</v>
      </c>
      <c r="E2183" t="s">
        <v>1452</v>
      </c>
      <c r="F2183" t="s">
        <v>1453</v>
      </c>
      <c r="G2183" t="s">
        <v>100</v>
      </c>
      <c r="H2183" t="s">
        <v>1454</v>
      </c>
      <c r="I2183" t="s">
        <v>112</v>
      </c>
      <c r="J2183" t="s">
        <v>36</v>
      </c>
      <c r="K2183">
        <v>1590</v>
      </c>
      <c r="O2183" t="s">
        <v>37</v>
      </c>
      <c r="P2183" t="s">
        <v>44</v>
      </c>
      <c r="U2183" s="9" t="s">
        <v>148</v>
      </c>
      <c r="V2183" t="s">
        <v>184</v>
      </c>
      <c r="W2183" t="s">
        <v>138</v>
      </c>
      <c r="X2183" t="s">
        <v>102</v>
      </c>
      <c r="Y2183" t="s">
        <v>1455</v>
      </c>
      <c r="Z2183" t="s">
        <v>41</v>
      </c>
      <c r="AB2183" t="str">
        <f t="shared" si="102"/>
        <v>46391</v>
      </c>
    </row>
    <row r="2184" ht="14.25" spans="1:28">
      <c r="A2184" s="5" t="s">
        <v>28</v>
      </c>
      <c r="B2184" s="5" t="s">
        <v>697</v>
      </c>
      <c r="C2184" s="5">
        <v>2027</v>
      </c>
      <c r="D2184" s="5" t="s">
        <v>30</v>
      </c>
      <c r="E2184" t="s">
        <v>1452</v>
      </c>
      <c r="F2184" t="s">
        <v>1453</v>
      </c>
      <c r="G2184" t="s">
        <v>100</v>
      </c>
      <c r="H2184" t="s">
        <v>1454</v>
      </c>
      <c r="I2184" t="s">
        <v>112</v>
      </c>
      <c r="J2184" t="s">
        <v>36</v>
      </c>
      <c r="K2184">
        <v>1590</v>
      </c>
      <c r="O2184" t="s">
        <v>37</v>
      </c>
      <c r="P2184" t="s">
        <v>45</v>
      </c>
      <c r="U2184" s="9" t="s">
        <v>148</v>
      </c>
      <c r="V2184" t="s">
        <v>184</v>
      </c>
      <c r="W2184" t="s">
        <v>138</v>
      </c>
      <c r="X2184" t="s">
        <v>102</v>
      </c>
      <c r="Y2184" t="s">
        <v>1455</v>
      </c>
      <c r="Z2184" t="s">
        <v>41</v>
      </c>
      <c r="AB2184" t="str">
        <f t="shared" si="102"/>
        <v>46391</v>
      </c>
    </row>
    <row r="2185" ht="14.25" spans="1:28">
      <c r="A2185" s="5" t="s">
        <v>28</v>
      </c>
      <c r="B2185" s="5" t="s">
        <v>697</v>
      </c>
      <c r="C2185" s="5">
        <v>2027</v>
      </c>
      <c r="D2185" s="5" t="s">
        <v>30</v>
      </c>
      <c r="E2185" t="s">
        <v>1452</v>
      </c>
      <c r="F2185" t="s">
        <v>1453</v>
      </c>
      <c r="G2185" t="s">
        <v>100</v>
      </c>
      <c r="H2185" t="s">
        <v>1454</v>
      </c>
      <c r="I2185" t="s">
        <v>112</v>
      </c>
      <c r="J2185" t="s">
        <v>36</v>
      </c>
      <c r="K2185">
        <v>1590</v>
      </c>
      <c r="O2185" t="s">
        <v>37</v>
      </c>
      <c r="P2185" t="s">
        <v>46</v>
      </c>
      <c r="U2185" s="9" t="s">
        <v>148</v>
      </c>
      <c r="V2185" t="s">
        <v>184</v>
      </c>
      <c r="W2185" t="s">
        <v>138</v>
      </c>
      <c r="X2185" t="s">
        <v>102</v>
      </c>
      <c r="Y2185" t="s">
        <v>1455</v>
      </c>
      <c r="Z2185" t="s">
        <v>41</v>
      </c>
      <c r="AB2185" t="str">
        <f t="shared" si="102"/>
        <v>46391</v>
      </c>
    </row>
    <row r="2186" ht="14.25" spans="1:28">
      <c r="A2186" s="5" t="s">
        <v>28</v>
      </c>
      <c r="B2186" s="5" t="s">
        <v>697</v>
      </c>
      <c r="C2186" s="5">
        <v>2027</v>
      </c>
      <c r="D2186" s="5" t="s">
        <v>30</v>
      </c>
      <c r="E2186" t="s">
        <v>1456</v>
      </c>
      <c r="F2186" t="s">
        <v>1457</v>
      </c>
      <c r="G2186" t="s">
        <v>100</v>
      </c>
      <c r="H2186" t="s">
        <v>1458</v>
      </c>
      <c r="I2186" t="s">
        <v>119</v>
      </c>
      <c r="J2186" t="s">
        <v>36</v>
      </c>
      <c r="K2186">
        <v>1390</v>
      </c>
      <c r="O2186" t="s">
        <v>37</v>
      </c>
      <c r="P2186" t="s">
        <v>38</v>
      </c>
      <c r="R2186">
        <f t="shared" si="103"/>
        <v>0</v>
      </c>
      <c r="S2186">
        <f>SUMIFS([1]Sheet1!$T:$T,[1]Sheet1!$I:$I,E2186,[1]Sheet1!$C:$C,A2186)</f>
        <v>60</v>
      </c>
      <c r="T2186">
        <f t="shared" si="104"/>
        <v>-60</v>
      </c>
      <c r="U2186" s="9" t="s">
        <v>148</v>
      </c>
      <c r="V2186" t="s">
        <v>164</v>
      </c>
      <c r="W2186" t="s">
        <v>138</v>
      </c>
      <c r="X2186" t="s">
        <v>102</v>
      </c>
      <c r="Y2186" t="s">
        <v>827</v>
      </c>
      <c r="Z2186" t="s">
        <v>41</v>
      </c>
      <c r="AB2186" t="str">
        <f t="shared" si="102"/>
        <v>46395</v>
      </c>
    </row>
    <row r="2187" ht="14.25" spans="1:28">
      <c r="A2187" s="5" t="s">
        <v>28</v>
      </c>
      <c r="B2187" s="5" t="s">
        <v>697</v>
      </c>
      <c r="C2187" s="5">
        <v>2027</v>
      </c>
      <c r="D2187" s="5" t="s">
        <v>30</v>
      </c>
      <c r="E2187" t="s">
        <v>1456</v>
      </c>
      <c r="F2187" t="s">
        <v>1457</v>
      </c>
      <c r="G2187" t="s">
        <v>100</v>
      </c>
      <c r="H2187" t="s">
        <v>1458</v>
      </c>
      <c r="I2187" t="s">
        <v>119</v>
      </c>
      <c r="J2187" t="s">
        <v>36</v>
      </c>
      <c r="K2187">
        <v>1390</v>
      </c>
      <c r="O2187" t="s">
        <v>37</v>
      </c>
      <c r="P2187" t="s">
        <v>42</v>
      </c>
      <c r="U2187" s="9" t="s">
        <v>148</v>
      </c>
      <c r="V2187" t="s">
        <v>164</v>
      </c>
      <c r="W2187" t="s">
        <v>138</v>
      </c>
      <c r="X2187" t="s">
        <v>102</v>
      </c>
      <c r="Y2187" t="s">
        <v>827</v>
      </c>
      <c r="Z2187" t="s">
        <v>41</v>
      </c>
      <c r="AB2187" t="str">
        <f t="shared" si="102"/>
        <v>46395</v>
      </c>
    </row>
    <row r="2188" ht="14.25" spans="1:28">
      <c r="A2188" s="5" t="s">
        <v>28</v>
      </c>
      <c r="B2188" s="5" t="s">
        <v>697</v>
      </c>
      <c r="C2188" s="5">
        <v>2027</v>
      </c>
      <c r="D2188" s="5" t="s">
        <v>30</v>
      </c>
      <c r="E2188" t="s">
        <v>1456</v>
      </c>
      <c r="F2188" t="s">
        <v>1457</v>
      </c>
      <c r="G2188" t="s">
        <v>100</v>
      </c>
      <c r="H2188" t="s">
        <v>1458</v>
      </c>
      <c r="I2188" t="s">
        <v>119</v>
      </c>
      <c r="J2188" t="s">
        <v>36</v>
      </c>
      <c r="K2188">
        <v>1390</v>
      </c>
      <c r="O2188" t="s">
        <v>37</v>
      </c>
      <c r="P2188" t="s">
        <v>43</v>
      </c>
      <c r="U2188" s="9" t="s">
        <v>148</v>
      </c>
      <c r="V2188" t="s">
        <v>164</v>
      </c>
      <c r="W2188" t="s">
        <v>138</v>
      </c>
      <c r="X2188" t="s">
        <v>102</v>
      </c>
      <c r="Y2188" t="s">
        <v>827</v>
      </c>
      <c r="Z2188" t="s">
        <v>41</v>
      </c>
      <c r="AB2188" t="str">
        <f t="shared" si="102"/>
        <v>46395</v>
      </c>
    </row>
    <row r="2189" ht="14.25" spans="1:28">
      <c r="A2189" s="5" t="s">
        <v>28</v>
      </c>
      <c r="B2189" s="5" t="s">
        <v>697</v>
      </c>
      <c r="C2189" s="5">
        <v>2027</v>
      </c>
      <c r="D2189" s="5" t="s">
        <v>30</v>
      </c>
      <c r="E2189" t="s">
        <v>1456</v>
      </c>
      <c r="F2189" t="s">
        <v>1457</v>
      </c>
      <c r="G2189" t="s">
        <v>100</v>
      </c>
      <c r="H2189" t="s">
        <v>1458</v>
      </c>
      <c r="I2189" t="s">
        <v>119</v>
      </c>
      <c r="J2189" t="s">
        <v>36</v>
      </c>
      <c r="K2189">
        <v>1390</v>
      </c>
      <c r="O2189" t="s">
        <v>37</v>
      </c>
      <c r="P2189" t="s">
        <v>44</v>
      </c>
      <c r="U2189" s="9" t="s">
        <v>148</v>
      </c>
      <c r="V2189" t="s">
        <v>164</v>
      </c>
      <c r="W2189" t="s">
        <v>138</v>
      </c>
      <c r="X2189" t="s">
        <v>102</v>
      </c>
      <c r="Y2189" t="s">
        <v>827</v>
      </c>
      <c r="Z2189" t="s">
        <v>41</v>
      </c>
      <c r="AB2189" t="str">
        <f t="shared" si="102"/>
        <v>46395</v>
      </c>
    </row>
    <row r="2190" ht="14.25" spans="1:28">
      <c r="A2190" s="5" t="s">
        <v>28</v>
      </c>
      <c r="B2190" s="5" t="s">
        <v>697</v>
      </c>
      <c r="C2190" s="5">
        <v>2027</v>
      </c>
      <c r="D2190" s="5" t="s">
        <v>30</v>
      </c>
      <c r="E2190" t="s">
        <v>1456</v>
      </c>
      <c r="F2190" t="s">
        <v>1457</v>
      </c>
      <c r="G2190" t="s">
        <v>100</v>
      </c>
      <c r="H2190" t="s">
        <v>1458</v>
      </c>
      <c r="I2190" t="s">
        <v>119</v>
      </c>
      <c r="J2190" t="s">
        <v>36</v>
      </c>
      <c r="K2190">
        <v>1390</v>
      </c>
      <c r="O2190" t="s">
        <v>37</v>
      </c>
      <c r="P2190" t="s">
        <v>45</v>
      </c>
      <c r="U2190" s="9" t="s">
        <v>148</v>
      </c>
      <c r="V2190" t="s">
        <v>164</v>
      </c>
      <c r="W2190" t="s">
        <v>138</v>
      </c>
      <c r="X2190" t="s">
        <v>102</v>
      </c>
      <c r="Y2190" t="s">
        <v>827</v>
      </c>
      <c r="Z2190" t="s">
        <v>41</v>
      </c>
      <c r="AB2190" t="str">
        <f t="shared" si="102"/>
        <v>46395</v>
      </c>
    </row>
    <row r="2191" ht="14.25" spans="1:28">
      <c r="A2191" s="5" t="s">
        <v>28</v>
      </c>
      <c r="B2191" s="5" t="s">
        <v>697</v>
      </c>
      <c r="C2191" s="5">
        <v>2027</v>
      </c>
      <c r="D2191" s="5" t="s">
        <v>30</v>
      </c>
      <c r="E2191" t="s">
        <v>1456</v>
      </c>
      <c r="F2191" t="s">
        <v>1457</v>
      </c>
      <c r="G2191" t="s">
        <v>100</v>
      </c>
      <c r="H2191" t="s">
        <v>1458</v>
      </c>
      <c r="I2191" t="s">
        <v>119</v>
      </c>
      <c r="J2191" t="s">
        <v>36</v>
      </c>
      <c r="K2191">
        <v>1390</v>
      </c>
      <c r="O2191" t="s">
        <v>37</v>
      </c>
      <c r="P2191" t="s">
        <v>46</v>
      </c>
      <c r="U2191" s="9" t="s">
        <v>148</v>
      </c>
      <c r="V2191" t="s">
        <v>164</v>
      </c>
      <c r="W2191" t="s">
        <v>138</v>
      </c>
      <c r="X2191" t="s">
        <v>102</v>
      </c>
      <c r="Y2191" t="s">
        <v>827</v>
      </c>
      <c r="Z2191" t="s">
        <v>41</v>
      </c>
      <c r="AB2191" t="str">
        <f t="shared" si="102"/>
        <v>46395</v>
      </c>
    </row>
    <row r="2192" ht="14.25" spans="1:28">
      <c r="A2192" s="5" t="s">
        <v>28</v>
      </c>
      <c r="B2192" s="5" t="s">
        <v>697</v>
      </c>
      <c r="C2192" s="5">
        <v>2027</v>
      </c>
      <c r="D2192" s="5" t="s">
        <v>30</v>
      </c>
      <c r="E2192" t="s">
        <v>1459</v>
      </c>
      <c r="F2192" t="s">
        <v>1457</v>
      </c>
      <c r="G2192" t="s">
        <v>1460</v>
      </c>
      <c r="H2192" t="s">
        <v>1461</v>
      </c>
      <c r="I2192" t="s">
        <v>119</v>
      </c>
      <c r="J2192" t="s">
        <v>36</v>
      </c>
      <c r="K2192">
        <v>1390</v>
      </c>
      <c r="O2192" t="s">
        <v>37</v>
      </c>
      <c r="P2192" t="s">
        <v>38</v>
      </c>
      <c r="R2192">
        <f t="shared" si="103"/>
        <v>0</v>
      </c>
      <c r="S2192">
        <f>SUMIFS([1]Sheet1!$T:$T,[1]Sheet1!$I:$I,E2192,[1]Sheet1!$C:$C,A2192)</f>
        <v>40</v>
      </c>
      <c r="T2192">
        <f t="shared" si="104"/>
        <v>-40</v>
      </c>
      <c r="U2192" s="9" t="s">
        <v>148</v>
      </c>
      <c r="V2192" t="s">
        <v>164</v>
      </c>
      <c r="W2192" t="s">
        <v>138</v>
      </c>
      <c r="X2192" t="s">
        <v>503</v>
      </c>
      <c r="Y2192" t="s">
        <v>827</v>
      </c>
      <c r="Z2192" t="s">
        <v>41</v>
      </c>
      <c r="AB2192" t="str">
        <f t="shared" si="102"/>
        <v>46395</v>
      </c>
    </row>
    <row r="2193" ht="14.25" spans="1:28">
      <c r="A2193" s="5" t="s">
        <v>28</v>
      </c>
      <c r="B2193" s="5" t="s">
        <v>697</v>
      </c>
      <c r="C2193" s="5">
        <v>2027</v>
      </c>
      <c r="D2193" s="5" t="s">
        <v>30</v>
      </c>
      <c r="E2193" t="s">
        <v>1459</v>
      </c>
      <c r="F2193" t="s">
        <v>1457</v>
      </c>
      <c r="G2193" t="s">
        <v>1460</v>
      </c>
      <c r="H2193" t="s">
        <v>1461</v>
      </c>
      <c r="I2193" t="s">
        <v>119</v>
      </c>
      <c r="J2193" t="s">
        <v>36</v>
      </c>
      <c r="K2193">
        <v>1390</v>
      </c>
      <c r="O2193" t="s">
        <v>37</v>
      </c>
      <c r="P2193" t="s">
        <v>42</v>
      </c>
      <c r="U2193" s="9" t="s">
        <v>148</v>
      </c>
      <c r="V2193" t="s">
        <v>164</v>
      </c>
      <c r="W2193" t="s">
        <v>138</v>
      </c>
      <c r="X2193" t="s">
        <v>503</v>
      </c>
      <c r="Y2193" t="s">
        <v>827</v>
      </c>
      <c r="Z2193" t="s">
        <v>41</v>
      </c>
      <c r="AB2193" t="str">
        <f t="shared" si="102"/>
        <v>46395</v>
      </c>
    </row>
    <row r="2194" ht="14.25" spans="1:28">
      <c r="A2194" s="5" t="s">
        <v>28</v>
      </c>
      <c r="B2194" s="5" t="s">
        <v>697</v>
      </c>
      <c r="C2194" s="5">
        <v>2027</v>
      </c>
      <c r="D2194" s="5" t="s">
        <v>30</v>
      </c>
      <c r="E2194" t="s">
        <v>1459</v>
      </c>
      <c r="F2194" t="s">
        <v>1457</v>
      </c>
      <c r="G2194" t="s">
        <v>1460</v>
      </c>
      <c r="H2194" t="s">
        <v>1461</v>
      </c>
      <c r="I2194" t="s">
        <v>119</v>
      </c>
      <c r="J2194" t="s">
        <v>36</v>
      </c>
      <c r="K2194">
        <v>1390</v>
      </c>
      <c r="O2194" t="s">
        <v>37</v>
      </c>
      <c r="P2194" t="s">
        <v>43</v>
      </c>
      <c r="U2194" s="9" t="s">
        <v>148</v>
      </c>
      <c r="V2194" t="s">
        <v>164</v>
      </c>
      <c r="W2194" t="s">
        <v>138</v>
      </c>
      <c r="X2194" t="s">
        <v>503</v>
      </c>
      <c r="Y2194" t="s">
        <v>827</v>
      </c>
      <c r="Z2194" t="s">
        <v>41</v>
      </c>
      <c r="AB2194" t="str">
        <f t="shared" si="102"/>
        <v>46395</v>
      </c>
    </row>
    <row r="2195" ht="14.25" spans="1:28">
      <c r="A2195" s="5" t="s">
        <v>28</v>
      </c>
      <c r="B2195" s="5" t="s">
        <v>697</v>
      </c>
      <c r="C2195" s="5">
        <v>2027</v>
      </c>
      <c r="D2195" s="5" t="s">
        <v>30</v>
      </c>
      <c r="E2195" t="s">
        <v>1459</v>
      </c>
      <c r="F2195" t="s">
        <v>1457</v>
      </c>
      <c r="G2195" t="s">
        <v>1460</v>
      </c>
      <c r="H2195" t="s">
        <v>1461</v>
      </c>
      <c r="I2195" t="s">
        <v>119</v>
      </c>
      <c r="J2195" t="s">
        <v>36</v>
      </c>
      <c r="K2195">
        <v>1390</v>
      </c>
      <c r="O2195" t="s">
        <v>37</v>
      </c>
      <c r="P2195" t="s">
        <v>44</v>
      </c>
      <c r="U2195" s="9" t="s">
        <v>148</v>
      </c>
      <c r="V2195" t="s">
        <v>164</v>
      </c>
      <c r="W2195" t="s">
        <v>138</v>
      </c>
      <c r="X2195" t="s">
        <v>503</v>
      </c>
      <c r="Y2195" t="s">
        <v>827</v>
      </c>
      <c r="Z2195" t="s">
        <v>41</v>
      </c>
      <c r="AB2195" t="str">
        <f t="shared" si="102"/>
        <v>46395</v>
      </c>
    </row>
    <row r="2196" ht="14.25" spans="1:28">
      <c r="A2196" s="5" t="s">
        <v>28</v>
      </c>
      <c r="B2196" s="5" t="s">
        <v>697</v>
      </c>
      <c r="C2196" s="5">
        <v>2027</v>
      </c>
      <c r="D2196" s="5" t="s">
        <v>30</v>
      </c>
      <c r="E2196" t="s">
        <v>1459</v>
      </c>
      <c r="F2196" t="s">
        <v>1457</v>
      </c>
      <c r="G2196" t="s">
        <v>1460</v>
      </c>
      <c r="H2196" t="s">
        <v>1461</v>
      </c>
      <c r="I2196" t="s">
        <v>119</v>
      </c>
      <c r="J2196" t="s">
        <v>36</v>
      </c>
      <c r="K2196">
        <v>1390</v>
      </c>
      <c r="O2196" t="s">
        <v>37</v>
      </c>
      <c r="P2196" t="s">
        <v>45</v>
      </c>
      <c r="U2196" s="9" t="s">
        <v>148</v>
      </c>
      <c r="V2196" t="s">
        <v>164</v>
      </c>
      <c r="W2196" t="s">
        <v>138</v>
      </c>
      <c r="X2196" t="s">
        <v>503</v>
      </c>
      <c r="Y2196" t="s">
        <v>827</v>
      </c>
      <c r="Z2196" t="s">
        <v>41</v>
      </c>
      <c r="AB2196" t="str">
        <f t="shared" si="102"/>
        <v>46395</v>
      </c>
    </row>
    <row r="2197" ht="14.25" spans="1:28">
      <c r="A2197" s="5" t="s">
        <v>28</v>
      </c>
      <c r="B2197" s="5" t="s">
        <v>697</v>
      </c>
      <c r="C2197" s="5">
        <v>2027</v>
      </c>
      <c r="D2197" s="5" t="s">
        <v>30</v>
      </c>
      <c r="E2197" t="s">
        <v>1459</v>
      </c>
      <c r="F2197" t="s">
        <v>1457</v>
      </c>
      <c r="G2197" t="s">
        <v>1460</v>
      </c>
      <c r="H2197" t="s">
        <v>1461</v>
      </c>
      <c r="I2197" t="s">
        <v>119</v>
      </c>
      <c r="J2197" t="s">
        <v>36</v>
      </c>
      <c r="K2197">
        <v>1390</v>
      </c>
      <c r="O2197" t="s">
        <v>37</v>
      </c>
      <c r="P2197" t="s">
        <v>46</v>
      </c>
      <c r="U2197" s="9" t="s">
        <v>148</v>
      </c>
      <c r="V2197" t="s">
        <v>164</v>
      </c>
      <c r="W2197" t="s">
        <v>138</v>
      </c>
      <c r="X2197" t="s">
        <v>503</v>
      </c>
      <c r="Y2197" t="s">
        <v>827</v>
      </c>
      <c r="Z2197" t="s">
        <v>41</v>
      </c>
      <c r="AB2197" t="str">
        <f t="shared" si="102"/>
        <v>46395</v>
      </c>
    </row>
    <row r="2198" ht="14.25" spans="1:28">
      <c r="A2198" s="5" t="s">
        <v>28</v>
      </c>
      <c r="B2198" s="5" t="s">
        <v>697</v>
      </c>
      <c r="C2198" s="5">
        <v>2027</v>
      </c>
      <c r="D2198" s="5" t="s">
        <v>30</v>
      </c>
      <c r="E2198" t="s">
        <v>1462</v>
      </c>
      <c r="F2198" t="s">
        <v>1463</v>
      </c>
      <c r="G2198" t="s">
        <v>89</v>
      </c>
      <c r="H2198" t="s">
        <v>1464</v>
      </c>
      <c r="I2198" t="s">
        <v>119</v>
      </c>
      <c r="J2198" t="s">
        <v>36</v>
      </c>
      <c r="K2198">
        <v>1990</v>
      </c>
      <c r="O2198" t="s">
        <v>1465</v>
      </c>
      <c r="P2198" t="s">
        <v>208</v>
      </c>
      <c r="R2198">
        <f t="shared" si="103"/>
        <v>0</v>
      </c>
      <c r="S2198">
        <f>SUMIFS([1]Sheet1!$T:$T,[1]Sheet1!$I:$I,E2198,[1]Sheet1!$C:$C,A2198)</f>
        <v>0</v>
      </c>
      <c r="T2198">
        <f t="shared" si="104"/>
        <v>0</v>
      </c>
      <c r="U2198" s="9" t="s">
        <v>136</v>
      </c>
      <c r="V2198" t="s">
        <v>137</v>
      </c>
      <c r="W2198" t="s">
        <v>138</v>
      </c>
      <c r="X2198" t="s">
        <v>39</v>
      </c>
      <c r="Y2198" t="s">
        <v>103</v>
      </c>
      <c r="Z2198" t="s">
        <v>41</v>
      </c>
      <c r="AB2198" t="str">
        <f t="shared" si="102"/>
        <v>46406</v>
      </c>
    </row>
    <row r="2199" ht="14.25" spans="1:28">
      <c r="A2199" s="5" t="s">
        <v>28</v>
      </c>
      <c r="B2199" s="5" t="s">
        <v>697</v>
      </c>
      <c r="C2199" s="5">
        <v>2027</v>
      </c>
      <c r="D2199" s="5" t="s">
        <v>30</v>
      </c>
      <c r="E2199" t="s">
        <v>1462</v>
      </c>
      <c r="F2199" t="s">
        <v>1463</v>
      </c>
      <c r="G2199" t="s">
        <v>89</v>
      </c>
      <c r="H2199" t="s">
        <v>1464</v>
      </c>
      <c r="I2199" t="s">
        <v>119</v>
      </c>
      <c r="J2199" t="s">
        <v>36</v>
      </c>
      <c r="K2199">
        <v>1990</v>
      </c>
      <c r="O2199" t="s">
        <v>1465</v>
      </c>
      <c r="P2199" t="s">
        <v>210</v>
      </c>
      <c r="U2199" s="9" t="s">
        <v>136</v>
      </c>
      <c r="V2199" t="s">
        <v>137</v>
      </c>
      <c r="W2199" t="s">
        <v>138</v>
      </c>
      <c r="X2199" t="s">
        <v>39</v>
      </c>
      <c r="Y2199" t="s">
        <v>103</v>
      </c>
      <c r="Z2199" t="s">
        <v>41</v>
      </c>
      <c r="AB2199" t="str">
        <f t="shared" si="102"/>
        <v>46406</v>
      </c>
    </row>
    <row r="2200" ht="14.25" spans="1:28">
      <c r="A2200" s="5" t="s">
        <v>28</v>
      </c>
      <c r="B2200" s="5" t="s">
        <v>697</v>
      </c>
      <c r="C2200" s="5">
        <v>2027</v>
      </c>
      <c r="D2200" s="5" t="s">
        <v>30</v>
      </c>
      <c r="E2200" t="s">
        <v>1462</v>
      </c>
      <c r="F2200" t="s">
        <v>1463</v>
      </c>
      <c r="G2200" t="s">
        <v>89</v>
      </c>
      <c r="H2200" t="s">
        <v>1464</v>
      </c>
      <c r="I2200" t="s">
        <v>119</v>
      </c>
      <c r="J2200" t="s">
        <v>36</v>
      </c>
      <c r="K2200">
        <v>1990</v>
      </c>
      <c r="O2200" t="s">
        <v>1465</v>
      </c>
      <c r="P2200" t="s">
        <v>1466</v>
      </c>
      <c r="U2200" s="9" t="s">
        <v>136</v>
      </c>
      <c r="V2200" t="s">
        <v>137</v>
      </c>
      <c r="W2200" t="s">
        <v>138</v>
      </c>
      <c r="X2200" t="s">
        <v>39</v>
      </c>
      <c r="Y2200" t="s">
        <v>103</v>
      </c>
      <c r="Z2200" t="s">
        <v>41</v>
      </c>
      <c r="AB2200" t="str">
        <f t="shared" si="102"/>
        <v>46406</v>
      </c>
    </row>
    <row r="2201" ht="14.25" spans="1:28">
      <c r="A2201" s="5" t="s">
        <v>28</v>
      </c>
      <c r="B2201" s="5" t="s">
        <v>697</v>
      </c>
      <c r="C2201" s="5">
        <v>2027</v>
      </c>
      <c r="D2201" s="5" t="s">
        <v>30</v>
      </c>
      <c r="E2201" t="s">
        <v>1462</v>
      </c>
      <c r="F2201" t="s">
        <v>1463</v>
      </c>
      <c r="G2201" t="s">
        <v>89</v>
      </c>
      <c r="H2201" t="s">
        <v>1464</v>
      </c>
      <c r="I2201" t="s">
        <v>119</v>
      </c>
      <c r="J2201" t="s">
        <v>36</v>
      </c>
      <c r="K2201">
        <v>1990</v>
      </c>
      <c r="O2201" t="s">
        <v>1465</v>
      </c>
      <c r="P2201" t="s">
        <v>1467</v>
      </c>
      <c r="U2201" s="9" t="s">
        <v>136</v>
      </c>
      <c r="V2201" t="s">
        <v>137</v>
      </c>
      <c r="W2201" t="s">
        <v>138</v>
      </c>
      <c r="X2201" t="s">
        <v>39</v>
      </c>
      <c r="Y2201" t="s">
        <v>103</v>
      </c>
      <c r="Z2201" t="s">
        <v>41</v>
      </c>
      <c r="AB2201" t="str">
        <f t="shared" si="102"/>
        <v>46406</v>
      </c>
    </row>
    <row r="2202" ht="14.25" spans="1:28">
      <c r="A2202" s="5" t="s">
        <v>28</v>
      </c>
      <c r="B2202" s="5" t="s">
        <v>697</v>
      </c>
      <c r="C2202" s="5">
        <v>2027</v>
      </c>
      <c r="D2202" s="5" t="s">
        <v>30</v>
      </c>
      <c r="E2202" t="s">
        <v>1462</v>
      </c>
      <c r="F2202" t="s">
        <v>1463</v>
      </c>
      <c r="G2202" t="s">
        <v>89</v>
      </c>
      <c r="H2202" t="s">
        <v>1464</v>
      </c>
      <c r="I2202" t="s">
        <v>119</v>
      </c>
      <c r="J2202" t="s">
        <v>36</v>
      </c>
      <c r="K2202">
        <v>1990</v>
      </c>
      <c r="O2202" t="s">
        <v>1465</v>
      </c>
      <c r="P2202" t="s">
        <v>1468</v>
      </c>
      <c r="U2202" s="9" t="s">
        <v>136</v>
      </c>
      <c r="V2202" t="s">
        <v>137</v>
      </c>
      <c r="W2202" t="s">
        <v>138</v>
      </c>
      <c r="X2202" t="s">
        <v>39</v>
      </c>
      <c r="Y2202" t="s">
        <v>103</v>
      </c>
      <c r="Z2202" t="s">
        <v>41</v>
      </c>
      <c r="AB2202" t="str">
        <f t="shared" si="102"/>
        <v>46406</v>
      </c>
    </row>
    <row r="2203" ht="14.25" spans="1:28">
      <c r="A2203" s="5" t="s">
        <v>28</v>
      </c>
      <c r="B2203" s="5" t="s">
        <v>697</v>
      </c>
      <c r="C2203" s="5">
        <v>2027</v>
      </c>
      <c r="D2203" s="5" t="s">
        <v>30</v>
      </c>
      <c r="E2203" t="s">
        <v>1469</v>
      </c>
      <c r="F2203" t="s">
        <v>1470</v>
      </c>
      <c r="G2203" t="s">
        <v>100</v>
      </c>
      <c r="H2203" t="s">
        <v>1471</v>
      </c>
      <c r="I2203" t="s">
        <v>119</v>
      </c>
      <c r="J2203" t="s">
        <v>36</v>
      </c>
      <c r="K2203">
        <v>2990</v>
      </c>
      <c r="O2203" t="s">
        <v>37</v>
      </c>
      <c r="P2203" t="s">
        <v>38</v>
      </c>
      <c r="R2203">
        <f t="shared" si="103"/>
        <v>0</v>
      </c>
      <c r="S2203">
        <f>SUMIFS([1]Sheet1!$T:$T,[1]Sheet1!$I:$I,E2203,[1]Sheet1!$C:$C,A2203)</f>
        <v>0</v>
      </c>
      <c r="T2203">
        <f t="shared" si="104"/>
        <v>0</v>
      </c>
      <c r="U2203" s="9" t="s">
        <v>242</v>
      </c>
      <c r="V2203" t="s">
        <v>242</v>
      </c>
      <c r="W2203" t="s">
        <v>138</v>
      </c>
      <c r="X2203" t="s">
        <v>102</v>
      </c>
      <c r="Y2203" t="s">
        <v>179</v>
      </c>
      <c r="Z2203" t="s">
        <v>41</v>
      </c>
      <c r="AB2203" t="str">
        <f t="shared" si="102"/>
        <v>46418</v>
      </c>
    </row>
    <row r="2204" ht="14.25" spans="1:28">
      <c r="A2204" s="5" t="s">
        <v>28</v>
      </c>
      <c r="B2204" s="5" t="s">
        <v>697</v>
      </c>
      <c r="C2204" s="5">
        <v>2027</v>
      </c>
      <c r="D2204" s="5" t="s">
        <v>30</v>
      </c>
      <c r="E2204" t="s">
        <v>1469</v>
      </c>
      <c r="F2204" t="s">
        <v>1470</v>
      </c>
      <c r="G2204" t="s">
        <v>100</v>
      </c>
      <c r="H2204" t="s">
        <v>1471</v>
      </c>
      <c r="I2204" t="s">
        <v>119</v>
      </c>
      <c r="J2204" t="s">
        <v>36</v>
      </c>
      <c r="K2204">
        <v>2990</v>
      </c>
      <c r="O2204" t="s">
        <v>37</v>
      </c>
      <c r="P2204" t="s">
        <v>42</v>
      </c>
      <c r="U2204" s="9" t="s">
        <v>242</v>
      </c>
      <c r="V2204" t="s">
        <v>242</v>
      </c>
      <c r="W2204" t="s">
        <v>138</v>
      </c>
      <c r="X2204" t="s">
        <v>102</v>
      </c>
      <c r="Y2204" t="s">
        <v>179</v>
      </c>
      <c r="Z2204" t="s">
        <v>41</v>
      </c>
      <c r="AB2204" t="str">
        <f t="shared" si="102"/>
        <v>46418</v>
      </c>
    </row>
    <row r="2205" ht="14.25" spans="1:28">
      <c r="A2205" s="5" t="s">
        <v>28</v>
      </c>
      <c r="B2205" s="5" t="s">
        <v>697</v>
      </c>
      <c r="C2205" s="5">
        <v>2027</v>
      </c>
      <c r="D2205" s="5" t="s">
        <v>30</v>
      </c>
      <c r="E2205" t="s">
        <v>1469</v>
      </c>
      <c r="F2205" t="s">
        <v>1470</v>
      </c>
      <c r="G2205" t="s">
        <v>100</v>
      </c>
      <c r="H2205" t="s">
        <v>1471</v>
      </c>
      <c r="I2205" t="s">
        <v>119</v>
      </c>
      <c r="J2205" t="s">
        <v>36</v>
      </c>
      <c r="K2205">
        <v>2990</v>
      </c>
      <c r="O2205" t="s">
        <v>37</v>
      </c>
      <c r="P2205" t="s">
        <v>43</v>
      </c>
      <c r="U2205" s="9" t="s">
        <v>242</v>
      </c>
      <c r="V2205" t="s">
        <v>242</v>
      </c>
      <c r="W2205" t="s">
        <v>138</v>
      </c>
      <c r="X2205" t="s">
        <v>102</v>
      </c>
      <c r="Y2205" t="s">
        <v>179</v>
      </c>
      <c r="Z2205" t="s">
        <v>41</v>
      </c>
      <c r="AB2205" t="str">
        <f t="shared" si="102"/>
        <v>46418</v>
      </c>
    </row>
    <row r="2206" ht="14.25" spans="1:28">
      <c r="A2206" s="5" t="s">
        <v>28</v>
      </c>
      <c r="B2206" s="5" t="s">
        <v>697</v>
      </c>
      <c r="C2206" s="5">
        <v>2027</v>
      </c>
      <c r="D2206" s="5" t="s">
        <v>30</v>
      </c>
      <c r="E2206" t="s">
        <v>1469</v>
      </c>
      <c r="F2206" t="s">
        <v>1470</v>
      </c>
      <c r="G2206" t="s">
        <v>100</v>
      </c>
      <c r="H2206" t="s">
        <v>1471</v>
      </c>
      <c r="I2206" t="s">
        <v>119</v>
      </c>
      <c r="J2206" t="s">
        <v>36</v>
      </c>
      <c r="K2206">
        <v>2990</v>
      </c>
      <c r="O2206" t="s">
        <v>37</v>
      </c>
      <c r="P2206" t="s">
        <v>44</v>
      </c>
      <c r="U2206" s="9" t="s">
        <v>242</v>
      </c>
      <c r="V2206" t="s">
        <v>242</v>
      </c>
      <c r="W2206" t="s">
        <v>138</v>
      </c>
      <c r="X2206" t="s">
        <v>102</v>
      </c>
      <c r="Y2206" t="s">
        <v>179</v>
      </c>
      <c r="Z2206" t="s">
        <v>41</v>
      </c>
      <c r="AB2206" t="str">
        <f t="shared" si="102"/>
        <v>46418</v>
      </c>
    </row>
    <row r="2207" ht="14.25" spans="1:28">
      <c r="A2207" s="5" t="s">
        <v>28</v>
      </c>
      <c r="B2207" s="5" t="s">
        <v>697</v>
      </c>
      <c r="C2207" s="5">
        <v>2027</v>
      </c>
      <c r="D2207" s="5" t="s">
        <v>30</v>
      </c>
      <c r="E2207" t="s">
        <v>1469</v>
      </c>
      <c r="F2207" t="s">
        <v>1470</v>
      </c>
      <c r="G2207" t="s">
        <v>100</v>
      </c>
      <c r="H2207" t="s">
        <v>1471</v>
      </c>
      <c r="I2207" t="s">
        <v>119</v>
      </c>
      <c r="J2207" t="s">
        <v>36</v>
      </c>
      <c r="K2207">
        <v>2990</v>
      </c>
      <c r="O2207" t="s">
        <v>37</v>
      </c>
      <c r="P2207" t="s">
        <v>45</v>
      </c>
      <c r="U2207" s="9" t="s">
        <v>242</v>
      </c>
      <c r="V2207" t="s">
        <v>242</v>
      </c>
      <c r="W2207" t="s">
        <v>138</v>
      </c>
      <c r="X2207" t="s">
        <v>102</v>
      </c>
      <c r="Y2207" t="s">
        <v>179</v>
      </c>
      <c r="Z2207" t="s">
        <v>41</v>
      </c>
      <c r="AB2207" t="str">
        <f t="shared" si="102"/>
        <v>46418</v>
      </c>
    </row>
    <row r="2208" ht="14.25" spans="1:28">
      <c r="A2208" s="5" t="s">
        <v>28</v>
      </c>
      <c r="B2208" s="5" t="s">
        <v>697</v>
      </c>
      <c r="C2208" s="5">
        <v>2027</v>
      </c>
      <c r="D2208" s="5" t="s">
        <v>30</v>
      </c>
      <c r="E2208" t="s">
        <v>1469</v>
      </c>
      <c r="F2208" t="s">
        <v>1470</v>
      </c>
      <c r="G2208" t="s">
        <v>100</v>
      </c>
      <c r="H2208" t="s">
        <v>1471</v>
      </c>
      <c r="I2208" t="s">
        <v>119</v>
      </c>
      <c r="J2208" t="s">
        <v>36</v>
      </c>
      <c r="K2208">
        <v>2990</v>
      </c>
      <c r="O2208" t="s">
        <v>37</v>
      </c>
      <c r="P2208" t="s">
        <v>46</v>
      </c>
      <c r="U2208" s="9" t="s">
        <v>242</v>
      </c>
      <c r="V2208" t="s">
        <v>242</v>
      </c>
      <c r="W2208" t="s">
        <v>138</v>
      </c>
      <c r="X2208" t="s">
        <v>102</v>
      </c>
      <c r="Y2208" t="s">
        <v>179</v>
      </c>
      <c r="Z2208" t="s">
        <v>41</v>
      </c>
      <c r="AB2208" t="str">
        <f t="shared" si="102"/>
        <v>46418</v>
      </c>
    </row>
    <row r="2209" ht="14.25" spans="1:28">
      <c r="A2209" s="5" t="s">
        <v>28</v>
      </c>
      <c r="B2209" s="5" t="s">
        <v>697</v>
      </c>
      <c r="C2209" s="5">
        <v>2027</v>
      </c>
      <c r="D2209" s="5" t="s">
        <v>30</v>
      </c>
      <c r="E2209" t="s">
        <v>1472</v>
      </c>
      <c r="F2209" t="s">
        <v>1473</v>
      </c>
      <c r="G2209" t="s">
        <v>89</v>
      </c>
      <c r="H2209" t="s">
        <v>1474</v>
      </c>
      <c r="I2209" t="s">
        <v>147</v>
      </c>
      <c r="J2209" t="s">
        <v>36</v>
      </c>
      <c r="K2209">
        <v>2990</v>
      </c>
      <c r="O2209" t="s">
        <v>1465</v>
      </c>
      <c r="P2209" t="s">
        <v>208</v>
      </c>
      <c r="R2209">
        <f t="shared" si="103"/>
        <v>0</v>
      </c>
      <c r="S2209">
        <f>SUMIFS([1]Sheet1!$T:$T,[1]Sheet1!$I:$I,E2209,[1]Sheet1!$C:$C,A2209)</f>
        <v>24</v>
      </c>
      <c r="T2209">
        <f t="shared" si="104"/>
        <v>-24</v>
      </c>
      <c r="U2209" s="9" t="s">
        <v>242</v>
      </c>
      <c r="V2209" t="s">
        <v>242</v>
      </c>
      <c r="W2209" t="s">
        <v>138</v>
      </c>
      <c r="X2209" t="s">
        <v>39</v>
      </c>
      <c r="Y2209" t="s">
        <v>179</v>
      </c>
      <c r="Z2209" t="s">
        <v>41</v>
      </c>
      <c r="AB2209" t="str">
        <f t="shared" si="102"/>
        <v>46429</v>
      </c>
    </row>
    <row r="2210" ht="14.25" spans="1:28">
      <c r="A2210" s="5" t="s">
        <v>28</v>
      </c>
      <c r="B2210" s="5" t="s">
        <v>697</v>
      </c>
      <c r="C2210" s="5">
        <v>2027</v>
      </c>
      <c r="D2210" s="5" t="s">
        <v>30</v>
      </c>
      <c r="E2210" t="s">
        <v>1472</v>
      </c>
      <c r="F2210" t="s">
        <v>1473</v>
      </c>
      <c r="G2210" t="s">
        <v>89</v>
      </c>
      <c r="H2210" t="s">
        <v>1474</v>
      </c>
      <c r="I2210" t="s">
        <v>147</v>
      </c>
      <c r="J2210" t="s">
        <v>36</v>
      </c>
      <c r="K2210">
        <v>2990</v>
      </c>
      <c r="O2210" t="s">
        <v>1465</v>
      </c>
      <c r="P2210" t="s">
        <v>210</v>
      </c>
      <c r="U2210" s="9" t="s">
        <v>242</v>
      </c>
      <c r="V2210" t="s">
        <v>242</v>
      </c>
      <c r="W2210" t="s">
        <v>138</v>
      </c>
      <c r="X2210" t="s">
        <v>39</v>
      </c>
      <c r="Y2210" t="s">
        <v>179</v>
      </c>
      <c r="Z2210" t="s">
        <v>41</v>
      </c>
      <c r="AB2210" t="str">
        <f t="shared" si="102"/>
        <v>46429</v>
      </c>
    </row>
    <row r="2211" ht="14.25" spans="1:28">
      <c r="A2211" s="5" t="s">
        <v>28</v>
      </c>
      <c r="B2211" s="5" t="s">
        <v>697</v>
      </c>
      <c r="C2211" s="5">
        <v>2027</v>
      </c>
      <c r="D2211" s="5" t="s">
        <v>30</v>
      </c>
      <c r="E2211" t="s">
        <v>1472</v>
      </c>
      <c r="F2211" t="s">
        <v>1473</v>
      </c>
      <c r="G2211" t="s">
        <v>89</v>
      </c>
      <c r="H2211" t="s">
        <v>1474</v>
      </c>
      <c r="I2211" t="s">
        <v>147</v>
      </c>
      <c r="J2211" t="s">
        <v>36</v>
      </c>
      <c r="K2211">
        <v>2990</v>
      </c>
      <c r="O2211" t="s">
        <v>1465</v>
      </c>
      <c r="P2211" t="s">
        <v>1466</v>
      </c>
      <c r="U2211" s="9" t="s">
        <v>242</v>
      </c>
      <c r="V2211" t="s">
        <v>242</v>
      </c>
      <c r="W2211" t="s">
        <v>138</v>
      </c>
      <c r="X2211" t="s">
        <v>39</v>
      </c>
      <c r="Y2211" t="s">
        <v>179</v>
      </c>
      <c r="Z2211" t="s">
        <v>41</v>
      </c>
      <c r="AB2211" t="str">
        <f t="shared" si="102"/>
        <v>46429</v>
      </c>
    </row>
    <row r="2212" ht="14.25" spans="1:28">
      <c r="A2212" s="5" t="s">
        <v>28</v>
      </c>
      <c r="B2212" s="5" t="s">
        <v>697</v>
      </c>
      <c r="C2212" s="5">
        <v>2027</v>
      </c>
      <c r="D2212" s="5" t="s">
        <v>30</v>
      </c>
      <c r="E2212" t="s">
        <v>1472</v>
      </c>
      <c r="F2212" t="s">
        <v>1473</v>
      </c>
      <c r="G2212" t="s">
        <v>89</v>
      </c>
      <c r="H2212" t="s">
        <v>1474</v>
      </c>
      <c r="I2212" t="s">
        <v>147</v>
      </c>
      <c r="J2212" t="s">
        <v>36</v>
      </c>
      <c r="K2212">
        <v>2990</v>
      </c>
      <c r="O2212" t="s">
        <v>1465</v>
      </c>
      <c r="P2212" t="s">
        <v>1467</v>
      </c>
      <c r="U2212" s="9" t="s">
        <v>242</v>
      </c>
      <c r="V2212" t="s">
        <v>242</v>
      </c>
      <c r="W2212" t="s">
        <v>138</v>
      </c>
      <c r="X2212" t="s">
        <v>39</v>
      </c>
      <c r="Y2212" t="s">
        <v>179</v>
      </c>
      <c r="Z2212" t="s">
        <v>41</v>
      </c>
      <c r="AB2212" t="str">
        <f t="shared" si="102"/>
        <v>46429</v>
      </c>
    </row>
    <row r="2213" ht="14.25" spans="1:28">
      <c r="A2213" s="5" t="s">
        <v>28</v>
      </c>
      <c r="B2213" s="5" t="s">
        <v>697</v>
      </c>
      <c r="C2213" s="5">
        <v>2027</v>
      </c>
      <c r="D2213" s="5" t="s">
        <v>30</v>
      </c>
      <c r="E2213" t="s">
        <v>1472</v>
      </c>
      <c r="F2213" t="s">
        <v>1473</v>
      </c>
      <c r="G2213" t="s">
        <v>89</v>
      </c>
      <c r="H2213" t="s">
        <v>1474</v>
      </c>
      <c r="I2213" t="s">
        <v>147</v>
      </c>
      <c r="J2213" t="s">
        <v>36</v>
      </c>
      <c r="K2213">
        <v>2990</v>
      </c>
      <c r="O2213" t="s">
        <v>1465</v>
      </c>
      <c r="P2213" t="s">
        <v>1468</v>
      </c>
      <c r="U2213" s="9" t="s">
        <v>242</v>
      </c>
      <c r="V2213" t="s">
        <v>242</v>
      </c>
      <c r="W2213" t="s">
        <v>138</v>
      </c>
      <c r="X2213" t="s">
        <v>39</v>
      </c>
      <c r="Y2213" t="s">
        <v>179</v>
      </c>
      <c r="Z2213" t="s">
        <v>41</v>
      </c>
      <c r="AB2213" t="str">
        <f t="shared" si="102"/>
        <v>46429</v>
      </c>
    </row>
    <row r="2214" ht="14.25" spans="1:28">
      <c r="A2214" s="5" t="s">
        <v>28</v>
      </c>
      <c r="B2214" s="5" t="s">
        <v>697</v>
      </c>
      <c r="C2214" s="5">
        <v>2027</v>
      </c>
      <c r="D2214" s="5" t="s">
        <v>30</v>
      </c>
      <c r="E2214" t="s">
        <v>1475</v>
      </c>
      <c r="F2214" t="s">
        <v>1473</v>
      </c>
      <c r="G2214" t="s">
        <v>1448</v>
      </c>
      <c r="H2214" t="s">
        <v>1476</v>
      </c>
      <c r="I2214" t="s">
        <v>147</v>
      </c>
      <c r="J2214" t="s">
        <v>36</v>
      </c>
      <c r="K2214">
        <v>2990</v>
      </c>
      <c r="O2214" t="s">
        <v>1465</v>
      </c>
      <c r="P2214" t="s">
        <v>208</v>
      </c>
      <c r="R2214">
        <f t="shared" si="103"/>
        <v>0</v>
      </c>
      <c r="S2214">
        <f>SUMIFS([1]Sheet1!$T:$T,[1]Sheet1!$I:$I,E2214,[1]Sheet1!$C:$C,A2214)</f>
        <v>12</v>
      </c>
      <c r="T2214">
        <f t="shared" si="104"/>
        <v>-12</v>
      </c>
      <c r="U2214" s="9" t="s">
        <v>242</v>
      </c>
      <c r="V2214" t="s">
        <v>242</v>
      </c>
      <c r="W2214" t="s">
        <v>138</v>
      </c>
      <c r="X2214" t="s">
        <v>70</v>
      </c>
      <c r="Y2214" t="s">
        <v>179</v>
      </c>
      <c r="Z2214" t="s">
        <v>41</v>
      </c>
      <c r="AB2214" t="str">
        <f t="shared" si="102"/>
        <v>46429</v>
      </c>
    </row>
    <row r="2215" ht="14.25" spans="1:28">
      <c r="A2215" s="5" t="s">
        <v>28</v>
      </c>
      <c r="B2215" s="5" t="s">
        <v>697</v>
      </c>
      <c r="C2215" s="5">
        <v>2027</v>
      </c>
      <c r="D2215" s="5" t="s">
        <v>30</v>
      </c>
      <c r="E2215" t="s">
        <v>1475</v>
      </c>
      <c r="F2215" t="s">
        <v>1473</v>
      </c>
      <c r="G2215" t="s">
        <v>1448</v>
      </c>
      <c r="H2215" t="s">
        <v>1476</v>
      </c>
      <c r="I2215" t="s">
        <v>147</v>
      </c>
      <c r="J2215" t="s">
        <v>36</v>
      </c>
      <c r="K2215">
        <v>2990</v>
      </c>
      <c r="O2215" t="s">
        <v>1465</v>
      </c>
      <c r="P2215" t="s">
        <v>210</v>
      </c>
      <c r="U2215" s="9" t="s">
        <v>242</v>
      </c>
      <c r="V2215" t="s">
        <v>242</v>
      </c>
      <c r="W2215" t="s">
        <v>138</v>
      </c>
      <c r="X2215" t="s">
        <v>70</v>
      </c>
      <c r="Y2215" t="s">
        <v>179</v>
      </c>
      <c r="Z2215" t="s">
        <v>41</v>
      </c>
      <c r="AB2215" t="str">
        <f t="shared" si="102"/>
        <v>46429</v>
      </c>
    </row>
    <row r="2216" ht="14.25" spans="1:28">
      <c r="A2216" s="5" t="s">
        <v>28</v>
      </c>
      <c r="B2216" s="5" t="s">
        <v>697</v>
      </c>
      <c r="C2216" s="5">
        <v>2027</v>
      </c>
      <c r="D2216" s="5" t="s">
        <v>30</v>
      </c>
      <c r="E2216" t="s">
        <v>1475</v>
      </c>
      <c r="F2216" t="s">
        <v>1473</v>
      </c>
      <c r="G2216" t="s">
        <v>1448</v>
      </c>
      <c r="H2216" t="s">
        <v>1476</v>
      </c>
      <c r="I2216" t="s">
        <v>147</v>
      </c>
      <c r="J2216" t="s">
        <v>36</v>
      </c>
      <c r="K2216">
        <v>2990</v>
      </c>
      <c r="O2216" t="s">
        <v>1465</v>
      </c>
      <c r="P2216" t="s">
        <v>1466</v>
      </c>
      <c r="U2216" s="9" t="s">
        <v>242</v>
      </c>
      <c r="V2216" t="s">
        <v>242</v>
      </c>
      <c r="W2216" t="s">
        <v>138</v>
      </c>
      <c r="X2216" t="s">
        <v>70</v>
      </c>
      <c r="Y2216" t="s">
        <v>179</v>
      </c>
      <c r="Z2216" t="s">
        <v>41</v>
      </c>
      <c r="AB2216" t="str">
        <f t="shared" si="102"/>
        <v>46429</v>
      </c>
    </row>
    <row r="2217" ht="14.25" spans="1:28">
      <c r="A2217" s="5" t="s">
        <v>28</v>
      </c>
      <c r="B2217" s="5" t="s">
        <v>697</v>
      </c>
      <c r="C2217" s="5">
        <v>2027</v>
      </c>
      <c r="D2217" s="5" t="s">
        <v>30</v>
      </c>
      <c r="E2217" t="s">
        <v>1475</v>
      </c>
      <c r="F2217" t="s">
        <v>1473</v>
      </c>
      <c r="G2217" t="s">
        <v>1448</v>
      </c>
      <c r="H2217" t="s">
        <v>1476</v>
      </c>
      <c r="I2217" t="s">
        <v>147</v>
      </c>
      <c r="J2217" t="s">
        <v>36</v>
      </c>
      <c r="K2217">
        <v>2990</v>
      </c>
      <c r="O2217" t="s">
        <v>1465</v>
      </c>
      <c r="P2217" t="s">
        <v>1467</v>
      </c>
      <c r="U2217" s="9" t="s">
        <v>242</v>
      </c>
      <c r="V2217" t="s">
        <v>242</v>
      </c>
      <c r="W2217" t="s">
        <v>138</v>
      </c>
      <c r="X2217" t="s">
        <v>70</v>
      </c>
      <c r="Y2217" t="s">
        <v>179</v>
      </c>
      <c r="Z2217" t="s">
        <v>41</v>
      </c>
      <c r="AB2217" t="str">
        <f t="shared" si="102"/>
        <v>46429</v>
      </c>
    </row>
    <row r="2218" ht="14.25" spans="1:28">
      <c r="A2218" s="5" t="s">
        <v>28</v>
      </c>
      <c r="B2218" s="5" t="s">
        <v>697</v>
      </c>
      <c r="C2218" s="5">
        <v>2027</v>
      </c>
      <c r="D2218" s="5" t="s">
        <v>30</v>
      </c>
      <c r="E2218" t="s">
        <v>1475</v>
      </c>
      <c r="F2218" t="s">
        <v>1473</v>
      </c>
      <c r="G2218" t="s">
        <v>1448</v>
      </c>
      <c r="H2218" t="s">
        <v>1476</v>
      </c>
      <c r="I2218" t="s">
        <v>147</v>
      </c>
      <c r="J2218" t="s">
        <v>36</v>
      </c>
      <c r="K2218">
        <v>2990</v>
      </c>
      <c r="O2218" t="s">
        <v>1465</v>
      </c>
      <c r="P2218" t="s">
        <v>1468</v>
      </c>
      <c r="U2218" s="9" t="s">
        <v>242</v>
      </c>
      <c r="V2218" t="s">
        <v>242</v>
      </c>
      <c r="W2218" t="s">
        <v>138</v>
      </c>
      <c r="X2218" t="s">
        <v>70</v>
      </c>
      <c r="Y2218" t="s">
        <v>179</v>
      </c>
      <c r="Z2218" t="s">
        <v>41</v>
      </c>
      <c r="AB2218" t="str">
        <f t="shared" si="102"/>
        <v>46429</v>
      </c>
    </row>
    <row r="2219" ht="14.25" spans="1:28">
      <c r="A2219" s="5" t="s">
        <v>28</v>
      </c>
      <c r="B2219" s="5" t="s">
        <v>697</v>
      </c>
      <c r="C2219" s="5">
        <v>2027</v>
      </c>
      <c r="D2219" s="5" t="s">
        <v>30</v>
      </c>
      <c r="E2219" t="s">
        <v>1477</v>
      </c>
      <c r="F2219" t="s">
        <v>1478</v>
      </c>
      <c r="G2219" t="s">
        <v>1479</v>
      </c>
      <c r="H2219" t="s">
        <v>1480</v>
      </c>
      <c r="I2219" t="s">
        <v>147</v>
      </c>
      <c r="J2219" t="s">
        <v>36</v>
      </c>
      <c r="K2219">
        <v>3390</v>
      </c>
      <c r="O2219" t="s">
        <v>1465</v>
      </c>
      <c r="P2219" t="s">
        <v>208</v>
      </c>
      <c r="R2219">
        <f t="shared" si="103"/>
        <v>0</v>
      </c>
      <c r="S2219">
        <f>SUMIFS([1]Sheet1!$T:$T,[1]Sheet1!$I:$I,E2219,[1]Sheet1!$C:$C,A2219)</f>
        <v>12</v>
      </c>
      <c r="T2219">
        <f t="shared" si="104"/>
        <v>-12</v>
      </c>
      <c r="U2219" s="9" t="s">
        <v>242</v>
      </c>
      <c r="V2219" t="s">
        <v>242</v>
      </c>
      <c r="W2219" t="s">
        <v>138</v>
      </c>
      <c r="X2219" t="s">
        <v>191</v>
      </c>
      <c r="Y2219" t="s">
        <v>179</v>
      </c>
      <c r="Z2219" t="s">
        <v>41</v>
      </c>
      <c r="AB2219" t="str">
        <f t="shared" si="102"/>
        <v>46436</v>
      </c>
    </row>
    <row r="2220" ht="14.25" spans="1:28">
      <c r="A2220" s="5" t="s">
        <v>28</v>
      </c>
      <c r="B2220" s="5" t="s">
        <v>697</v>
      </c>
      <c r="C2220" s="5">
        <v>2027</v>
      </c>
      <c r="D2220" s="5" t="s">
        <v>30</v>
      </c>
      <c r="E2220" t="s">
        <v>1477</v>
      </c>
      <c r="F2220" t="s">
        <v>1478</v>
      </c>
      <c r="G2220" t="s">
        <v>1479</v>
      </c>
      <c r="H2220" t="s">
        <v>1480</v>
      </c>
      <c r="I2220" t="s">
        <v>147</v>
      </c>
      <c r="J2220" t="s">
        <v>36</v>
      </c>
      <c r="K2220">
        <v>3390</v>
      </c>
      <c r="O2220" t="s">
        <v>1465</v>
      </c>
      <c r="P2220" t="s">
        <v>210</v>
      </c>
      <c r="U2220" s="9" t="s">
        <v>242</v>
      </c>
      <c r="V2220" t="s">
        <v>242</v>
      </c>
      <c r="W2220" t="s">
        <v>138</v>
      </c>
      <c r="X2220" t="s">
        <v>191</v>
      </c>
      <c r="Y2220" t="s">
        <v>179</v>
      </c>
      <c r="Z2220" t="s">
        <v>41</v>
      </c>
      <c r="AB2220" t="str">
        <f t="shared" si="102"/>
        <v>46436</v>
      </c>
    </row>
    <row r="2221" ht="14.25" spans="1:28">
      <c r="A2221" s="5" t="s">
        <v>28</v>
      </c>
      <c r="B2221" s="5" t="s">
        <v>697</v>
      </c>
      <c r="C2221" s="5">
        <v>2027</v>
      </c>
      <c r="D2221" s="5" t="s">
        <v>30</v>
      </c>
      <c r="E2221" t="s">
        <v>1477</v>
      </c>
      <c r="F2221" t="s">
        <v>1478</v>
      </c>
      <c r="G2221" t="s">
        <v>1479</v>
      </c>
      <c r="H2221" t="s">
        <v>1480</v>
      </c>
      <c r="I2221" t="s">
        <v>147</v>
      </c>
      <c r="J2221" t="s">
        <v>36</v>
      </c>
      <c r="K2221">
        <v>3390</v>
      </c>
      <c r="O2221" t="s">
        <v>1465</v>
      </c>
      <c r="P2221" t="s">
        <v>1466</v>
      </c>
      <c r="U2221" s="9" t="s">
        <v>242</v>
      </c>
      <c r="V2221" t="s">
        <v>242</v>
      </c>
      <c r="W2221" t="s">
        <v>138</v>
      </c>
      <c r="X2221" t="s">
        <v>191</v>
      </c>
      <c r="Y2221" t="s">
        <v>179</v>
      </c>
      <c r="Z2221" t="s">
        <v>41</v>
      </c>
      <c r="AB2221" t="str">
        <f t="shared" si="102"/>
        <v>46436</v>
      </c>
    </row>
    <row r="2222" ht="14.25" spans="1:28">
      <c r="A2222" s="5" t="s">
        <v>28</v>
      </c>
      <c r="B2222" s="5" t="s">
        <v>697</v>
      </c>
      <c r="C2222" s="5">
        <v>2027</v>
      </c>
      <c r="D2222" s="5" t="s">
        <v>30</v>
      </c>
      <c r="E2222" t="s">
        <v>1477</v>
      </c>
      <c r="F2222" t="s">
        <v>1478</v>
      </c>
      <c r="G2222" t="s">
        <v>1479</v>
      </c>
      <c r="H2222" t="s">
        <v>1480</v>
      </c>
      <c r="I2222" t="s">
        <v>147</v>
      </c>
      <c r="J2222" t="s">
        <v>36</v>
      </c>
      <c r="K2222">
        <v>3390</v>
      </c>
      <c r="O2222" t="s">
        <v>1465</v>
      </c>
      <c r="P2222" t="s">
        <v>1467</v>
      </c>
      <c r="U2222" s="9" t="s">
        <v>242</v>
      </c>
      <c r="V2222" t="s">
        <v>242</v>
      </c>
      <c r="W2222" t="s">
        <v>138</v>
      </c>
      <c r="X2222" t="s">
        <v>191</v>
      </c>
      <c r="Y2222" t="s">
        <v>179</v>
      </c>
      <c r="Z2222" t="s">
        <v>41</v>
      </c>
      <c r="AB2222" t="str">
        <f t="shared" si="102"/>
        <v>46436</v>
      </c>
    </row>
    <row r="2223" ht="14.25" spans="1:28">
      <c r="A2223" s="5" t="s">
        <v>28</v>
      </c>
      <c r="B2223" s="5" t="s">
        <v>697</v>
      </c>
      <c r="C2223" s="5">
        <v>2027</v>
      </c>
      <c r="D2223" s="5" t="s">
        <v>30</v>
      </c>
      <c r="E2223" t="s">
        <v>1477</v>
      </c>
      <c r="F2223" t="s">
        <v>1478</v>
      </c>
      <c r="G2223" t="s">
        <v>1479</v>
      </c>
      <c r="H2223" t="s">
        <v>1480</v>
      </c>
      <c r="I2223" t="s">
        <v>147</v>
      </c>
      <c r="J2223" t="s">
        <v>36</v>
      </c>
      <c r="K2223">
        <v>3390</v>
      </c>
      <c r="O2223" t="s">
        <v>1465</v>
      </c>
      <c r="P2223" t="s">
        <v>1468</v>
      </c>
      <c r="U2223" s="9" t="s">
        <v>242</v>
      </c>
      <c r="V2223" t="s">
        <v>242</v>
      </c>
      <c r="W2223" t="s">
        <v>138</v>
      </c>
      <c r="X2223" t="s">
        <v>191</v>
      </c>
      <c r="Y2223" t="s">
        <v>179</v>
      </c>
      <c r="Z2223" t="s">
        <v>41</v>
      </c>
      <c r="AB2223" t="str">
        <f t="shared" si="102"/>
        <v>46436</v>
      </c>
    </row>
    <row r="2224" ht="14.25" spans="1:28">
      <c r="A2224" s="5" t="s">
        <v>28</v>
      </c>
      <c r="B2224" s="5" t="s">
        <v>697</v>
      </c>
      <c r="C2224" s="5">
        <v>2027</v>
      </c>
      <c r="D2224" s="5" t="s">
        <v>30</v>
      </c>
      <c r="E2224" t="s">
        <v>1481</v>
      </c>
      <c r="F2224" t="s">
        <v>1478</v>
      </c>
      <c r="G2224" t="s">
        <v>100</v>
      </c>
      <c r="H2224" t="s">
        <v>1482</v>
      </c>
      <c r="I2224" t="s">
        <v>147</v>
      </c>
      <c r="J2224" t="s">
        <v>36</v>
      </c>
      <c r="K2224">
        <v>3390</v>
      </c>
      <c r="O2224" t="s">
        <v>1465</v>
      </c>
      <c r="P2224" t="s">
        <v>208</v>
      </c>
      <c r="R2224">
        <f t="shared" si="103"/>
        <v>0</v>
      </c>
      <c r="S2224">
        <f>SUMIFS([1]Sheet1!$T:$T,[1]Sheet1!$I:$I,E2224,[1]Sheet1!$C:$C,A2224)</f>
        <v>0</v>
      </c>
      <c r="T2224">
        <f t="shared" si="104"/>
        <v>0</v>
      </c>
      <c r="U2224" s="9" t="s">
        <v>242</v>
      </c>
      <c r="V2224" t="s">
        <v>242</v>
      </c>
      <c r="W2224" t="s">
        <v>138</v>
      </c>
      <c r="X2224" t="s">
        <v>102</v>
      </c>
      <c r="Y2224" t="s">
        <v>179</v>
      </c>
      <c r="Z2224" t="s">
        <v>41</v>
      </c>
      <c r="AB2224" t="str">
        <f t="shared" si="102"/>
        <v>46436</v>
      </c>
    </row>
    <row r="2225" ht="14.25" spans="1:28">
      <c r="A2225" s="5" t="s">
        <v>28</v>
      </c>
      <c r="B2225" s="5" t="s">
        <v>697</v>
      </c>
      <c r="C2225" s="5">
        <v>2027</v>
      </c>
      <c r="D2225" s="5" t="s">
        <v>30</v>
      </c>
      <c r="E2225" t="s">
        <v>1481</v>
      </c>
      <c r="F2225" t="s">
        <v>1478</v>
      </c>
      <c r="G2225" t="s">
        <v>100</v>
      </c>
      <c r="H2225" t="s">
        <v>1482</v>
      </c>
      <c r="I2225" t="s">
        <v>147</v>
      </c>
      <c r="J2225" t="s">
        <v>36</v>
      </c>
      <c r="K2225">
        <v>3390</v>
      </c>
      <c r="O2225" t="s">
        <v>1465</v>
      </c>
      <c r="P2225" t="s">
        <v>210</v>
      </c>
      <c r="U2225" s="9" t="s">
        <v>242</v>
      </c>
      <c r="V2225" t="s">
        <v>242</v>
      </c>
      <c r="W2225" t="s">
        <v>138</v>
      </c>
      <c r="X2225" t="s">
        <v>102</v>
      </c>
      <c r="Y2225" t="s">
        <v>179</v>
      </c>
      <c r="Z2225" t="s">
        <v>41</v>
      </c>
      <c r="AB2225" t="str">
        <f t="shared" si="102"/>
        <v>46436</v>
      </c>
    </row>
    <row r="2226" ht="14.25" spans="1:28">
      <c r="A2226" s="5" t="s">
        <v>28</v>
      </c>
      <c r="B2226" s="5" t="s">
        <v>697</v>
      </c>
      <c r="C2226" s="5">
        <v>2027</v>
      </c>
      <c r="D2226" s="5" t="s">
        <v>30</v>
      </c>
      <c r="E2226" t="s">
        <v>1481</v>
      </c>
      <c r="F2226" t="s">
        <v>1478</v>
      </c>
      <c r="G2226" t="s">
        <v>100</v>
      </c>
      <c r="H2226" t="s">
        <v>1482</v>
      </c>
      <c r="I2226" t="s">
        <v>147</v>
      </c>
      <c r="J2226" t="s">
        <v>36</v>
      </c>
      <c r="K2226">
        <v>3390</v>
      </c>
      <c r="O2226" t="s">
        <v>1465</v>
      </c>
      <c r="P2226" t="s">
        <v>1466</v>
      </c>
      <c r="U2226" s="9" t="s">
        <v>242</v>
      </c>
      <c r="V2226" t="s">
        <v>242</v>
      </c>
      <c r="W2226" t="s">
        <v>138</v>
      </c>
      <c r="X2226" t="s">
        <v>102</v>
      </c>
      <c r="Y2226" t="s">
        <v>179</v>
      </c>
      <c r="Z2226" t="s">
        <v>41</v>
      </c>
      <c r="AB2226" t="str">
        <f t="shared" si="102"/>
        <v>46436</v>
      </c>
    </row>
    <row r="2227" ht="14.25" spans="1:28">
      <c r="A2227" s="5" t="s">
        <v>28</v>
      </c>
      <c r="B2227" s="5" t="s">
        <v>697</v>
      </c>
      <c r="C2227" s="5">
        <v>2027</v>
      </c>
      <c r="D2227" s="5" t="s">
        <v>30</v>
      </c>
      <c r="E2227" t="s">
        <v>1481</v>
      </c>
      <c r="F2227" t="s">
        <v>1478</v>
      </c>
      <c r="G2227" t="s">
        <v>100</v>
      </c>
      <c r="H2227" t="s">
        <v>1482</v>
      </c>
      <c r="I2227" t="s">
        <v>147</v>
      </c>
      <c r="J2227" t="s">
        <v>36</v>
      </c>
      <c r="K2227">
        <v>3390</v>
      </c>
      <c r="O2227" t="s">
        <v>1465</v>
      </c>
      <c r="P2227" t="s">
        <v>1467</v>
      </c>
      <c r="U2227" s="9" t="s">
        <v>242</v>
      </c>
      <c r="V2227" t="s">
        <v>242</v>
      </c>
      <c r="W2227" t="s">
        <v>138</v>
      </c>
      <c r="X2227" t="s">
        <v>102</v>
      </c>
      <c r="Y2227" t="s">
        <v>179</v>
      </c>
      <c r="Z2227" t="s">
        <v>41</v>
      </c>
      <c r="AB2227" t="str">
        <f t="shared" ref="AB2227:AB2290" si="105">MID(E2227,6,5)</f>
        <v>46436</v>
      </c>
    </row>
    <row r="2228" ht="14.25" spans="1:28">
      <c r="A2228" s="5" t="s">
        <v>28</v>
      </c>
      <c r="B2228" s="5" t="s">
        <v>697</v>
      </c>
      <c r="C2228" s="5">
        <v>2027</v>
      </c>
      <c r="D2228" s="5" t="s">
        <v>30</v>
      </c>
      <c r="E2228" t="s">
        <v>1481</v>
      </c>
      <c r="F2228" t="s">
        <v>1478</v>
      </c>
      <c r="G2228" t="s">
        <v>100</v>
      </c>
      <c r="H2228" t="s">
        <v>1482</v>
      </c>
      <c r="I2228" t="s">
        <v>147</v>
      </c>
      <c r="J2228" t="s">
        <v>36</v>
      </c>
      <c r="K2228">
        <v>3390</v>
      </c>
      <c r="O2228" t="s">
        <v>1465</v>
      </c>
      <c r="P2228" t="s">
        <v>1468</v>
      </c>
      <c r="U2228" s="9" t="s">
        <v>242</v>
      </c>
      <c r="V2228" t="s">
        <v>242</v>
      </c>
      <c r="W2228" t="s">
        <v>138</v>
      </c>
      <c r="X2228" t="s">
        <v>102</v>
      </c>
      <c r="Y2228" t="s">
        <v>179</v>
      </c>
      <c r="Z2228" t="s">
        <v>41</v>
      </c>
      <c r="AB2228" t="str">
        <f t="shared" si="105"/>
        <v>46436</v>
      </c>
    </row>
    <row r="2229" ht="14.25" spans="1:28">
      <c r="A2229" s="5" t="s">
        <v>28</v>
      </c>
      <c r="B2229" s="5" t="s">
        <v>697</v>
      </c>
      <c r="C2229" s="5">
        <v>2027</v>
      </c>
      <c r="D2229" s="5" t="s">
        <v>30</v>
      </c>
      <c r="E2229" t="s">
        <v>1483</v>
      </c>
      <c r="F2229" t="s">
        <v>1484</v>
      </c>
      <c r="G2229" t="s">
        <v>1228</v>
      </c>
      <c r="H2229" t="s">
        <v>1485</v>
      </c>
      <c r="I2229" t="s">
        <v>119</v>
      </c>
      <c r="J2229" t="s">
        <v>36</v>
      </c>
      <c r="K2229">
        <v>1590</v>
      </c>
      <c r="O2229" t="s">
        <v>37</v>
      </c>
      <c r="P2229" t="s">
        <v>38</v>
      </c>
      <c r="R2229">
        <f t="shared" si="103"/>
        <v>0</v>
      </c>
      <c r="S2229">
        <f>SUMIFS([1]Sheet1!$T:$T,[1]Sheet1!$I:$I,E2229,[1]Sheet1!$C:$C,A2229)</f>
        <v>80</v>
      </c>
      <c r="T2229">
        <f t="shared" si="104"/>
        <v>-80</v>
      </c>
      <c r="U2229" s="9" t="s">
        <v>148</v>
      </c>
      <c r="V2229" t="s">
        <v>233</v>
      </c>
      <c r="W2229" t="s">
        <v>138</v>
      </c>
      <c r="X2229" t="s">
        <v>70</v>
      </c>
      <c r="Y2229" t="s">
        <v>40</v>
      </c>
      <c r="Z2229" t="s">
        <v>247</v>
      </c>
      <c r="AB2229" t="str">
        <f t="shared" si="105"/>
        <v>46450</v>
      </c>
    </row>
    <row r="2230" ht="14.25" spans="1:28">
      <c r="A2230" s="5" t="s">
        <v>28</v>
      </c>
      <c r="B2230" s="5" t="s">
        <v>697</v>
      </c>
      <c r="C2230" s="5">
        <v>2027</v>
      </c>
      <c r="D2230" s="5" t="s">
        <v>30</v>
      </c>
      <c r="E2230" t="s">
        <v>1483</v>
      </c>
      <c r="F2230" t="s">
        <v>1484</v>
      </c>
      <c r="G2230" t="s">
        <v>1228</v>
      </c>
      <c r="H2230" t="s">
        <v>1485</v>
      </c>
      <c r="I2230" t="s">
        <v>119</v>
      </c>
      <c r="J2230" t="s">
        <v>36</v>
      </c>
      <c r="K2230">
        <v>1590</v>
      </c>
      <c r="O2230" t="s">
        <v>37</v>
      </c>
      <c r="P2230" t="s">
        <v>42</v>
      </c>
      <c r="U2230" s="9" t="s">
        <v>148</v>
      </c>
      <c r="V2230" t="s">
        <v>233</v>
      </c>
      <c r="W2230" t="s">
        <v>138</v>
      </c>
      <c r="X2230" t="s">
        <v>70</v>
      </c>
      <c r="Y2230" t="s">
        <v>40</v>
      </c>
      <c r="Z2230" t="s">
        <v>247</v>
      </c>
      <c r="AB2230" t="str">
        <f t="shared" si="105"/>
        <v>46450</v>
      </c>
    </row>
    <row r="2231" ht="14.25" spans="1:28">
      <c r="A2231" s="5" t="s">
        <v>28</v>
      </c>
      <c r="B2231" s="5" t="s">
        <v>697</v>
      </c>
      <c r="C2231" s="5">
        <v>2027</v>
      </c>
      <c r="D2231" s="5" t="s">
        <v>30</v>
      </c>
      <c r="E2231" t="s">
        <v>1483</v>
      </c>
      <c r="F2231" t="s">
        <v>1484</v>
      </c>
      <c r="G2231" t="s">
        <v>1228</v>
      </c>
      <c r="H2231" t="s">
        <v>1485</v>
      </c>
      <c r="I2231" t="s">
        <v>119</v>
      </c>
      <c r="J2231" t="s">
        <v>36</v>
      </c>
      <c r="K2231">
        <v>1590</v>
      </c>
      <c r="O2231" t="s">
        <v>37</v>
      </c>
      <c r="P2231" t="s">
        <v>43</v>
      </c>
      <c r="U2231" s="9" t="s">
        <v>148</v>
      </c>
      <c r="V2231" t="s">
        <v>233</v>
      </c>
      <c r="W2231" t="s">
        <v>138</v>
      </c>
      <c r="X2231" t="s">
        <v>70</v>
      </c>
      <c r="Y2231" t="s">
        <v>40</v>
      </c>
      <c r="Z2231" t="s">
        <v>247</v>
      </c>
      <c r="AB2231" t="str">
        <f t="shared" si="105"/>
        <v>46450</v>
      </c>
    </row>
    <row r="2232" ht="14.25" spans="1:28">
      <c r="A2232" s="5" t="s">
        <v>28</v>
      </c>
      <c r="B2232" s="5" t="s">
        <v>697</v>
      </c>
      <c r="C2232" s="5">
        <v>2027</v>
      </c>
      <c r="D2232" s="5" t="s">
        <v>30</v>
      </c>
      <c r="E2232" t="s">
        <v>1483</v>
      </c>
      <c r="F2232" t="s">
        <v>1484</v>
      </c>
      <c r="G2232" t="s">
        <v>1228</v>
      </c>
      <c r="H2232" t="s">
        <v>1485</v>
      </c>
      <c r="I2232" t="s">
        <v>119</v>
      </c>
      <c r="J2232" t="s">
        <v>36</v>
      </c>
      <c r="K2232">
        <v>1590</v>
      </c>
      <c r="O2232" t="s">
        <v>37</v>
      </c>
      <c r="P2232" t="s">
        <v>44</v>
      </c>
      <c r="U2232" s="9" t="s">
        <v>148</v>
      </c>
      <c r="V2232" t="s">
        <v>233</v>
      </c>
      <c r="W2232" t="s">
        <v>138</v>
      </c>
      <c r="X2232" t="s">
        <v>70</v>
      </c>
      <c r="Y2232" t="s">
        <v>40</v>
      </c>
      <c r="Z2232" t="s">
        <v>247</v>
      </c>
      <c r="AB2232" t="str">
        <f t="shared" si="105"/>
        <v>46450</v>
      </c>
    </row>
    <row r="2233" ht="14.25" spans="1:28">
      <c r="A2233" s="5" t="s">
        <v>28</v>
      </c>
      <c r="B2233" s="5" t="s">
        <v>697</v>
      </c>
      <c r="C2233" s="5">
        <v>2027</v>
      </c>
      <c r="D2233" s="5" t="s">
        <v>30</v>
      </c>
      <c r="E2233" t="s">
        <v>1483</v>
      </c>
      <c r="F2233" t="s">
        <v>1484</v>
      </c>
      <c r="G2233" t="s">
        <v>1228</v>
      </c>
      <c r="H2233" t="s">
        <v>1485</v>
      </c>
      <c r="I2233" t="s">
        <v>119</v>
      </c>
      <c r="J2233" t="s">
        <v>36</v>
      </c>
      <c r="K2233">
        <v>1590</v>
      </c>
      <c r="O2233" t="s">
        <v>37</v>
      </c>
      <c r="P2233" t="s">
        <v>45</v>
      </c>
      <c r="U2233" s="9" t="s">
        <v>148</v>
      </c>
      <c r="V2233" t="s">
        <v>233</v>
      </c>
      <c r="W2233" t="s">
        <v>138</v>
      </c>
      <c r="X2233" t="s">
        <v>70</v>
      </c>
      <c r="Y2233" t="s">
        <v>40</v>
      </c>
      <c r="Z2233" t="s">
        <v>247</v>
      </c>
      <c r="AB2233" t="str">
        <f t="shared" si="105"/>
        <v>46450</v>
      </c>
    </row>
    <row r="2234" ht="14.25" spans="1:28">
      <c r="A2234" s="5" t="s">
        <v>28</v>
      </c>
      <c r="B2234" s="5" t="s">
        <v>697</v>
      </c>
      <c r="C2234" s="5">
        <v>2027</v>
      </c>
      <c r="D2234" s="5" t="s">
        <v>30</v>
      </c>
      <c r="E2234" t="s">
        <v>1483</v>
      </c>
      <c r="F2234" t="s">
        <v>1484</v>
      </c>
      <c r="G2234" t="s">
        <v>1228</v>
      </c>
      <c r="H2234" t="s">
        <v>1485</v>
      </c>
      <c r="I2234" t="s">
        <v>119</v>
      </c>
      <c r="J2234" t="s">
        <v>36</v>
      </c>
      <c r="K2234">
        <v>1590</v>
      </c>
      <c r="O2234" t="s">
        <v>37</v>
      </c>
      <c r="P2234" t="s">
        <v>46</v>
      </c>
      <c r="U2234" s="9" t="s">
        <v>148</v>
      </c>
      <c r="V2234" t="s">
        <v>233</v>
      </c>
      <c r="W2234" t="s">
        <v>138</v>
      </c>
      <c r="X2234" t="s">
        <v>70</v>
      </c>
      <c r="Y2234" t="s">
        <v>40</v>
      </c>
      <c r="Z2234" t="s">
        <v>247</v>
      </c>
      <c r="AB2234" t="str">
        <f t="shared" si="105"/>
        <v>46450</v>
      </c>
    </row>
    <row r="2235" ht="14.25" spans="1:28">
      <c r="A2235" s="5" t="s">
        <v>28</v>
      </c>
      <c r="B2235" s="5" t="s">
        <v>697</v>
      </c>
      <c r="C2235" s="5">
        <v>2027</v>
      </c>
      <c r="D2235" s="5" t="s">
        <v>30</v>
      </c>
      <c r="E2235" t="s">
        <v>1486</v>
      </c>
      <c r="F2235" t="s">
        <v>1484</v>
      </c>
      <c r="G2235" t="s">
        <v>1231</v>
      </c>
      <c r="H2235" t="s">
        <v>1487</v>
      </c>
      <c r="I2235" t="s">
        <v>119</v>
      </c>
      <c r="J2235" t="s">
        <v>36</v>
      </c>
      <c r="K2235">
        <v>1590</v>
      </c>
      <c r="O2235" t="s">
        <v>37</v>
      </c>
      <c r="P2235" t="s">
        <v>38</v>
      </c>
      <c r="R2235">
        <f t="shared" si="103"/>
        <v>0</v>
      </c>
      <c r="S2235">
        <f>SUMIFS([1]Sheet1!$T:$T,[1]Sheet1!$I:$I,E2235,[1]Sheet1!$C:$C,A2235)</f>
        <v>0</v>
      </c>
      <c r="T2235">
        <f t="shared" si="104"/>
        <v>0</v>
      </c>
      <c r="U2235" s="9" t="s">
        <v>148</v>
      </c>
      <c r="V2235" t="s">
        <v>233</v>
      </c>
      <c r="W2235" t="s">
        <v>138</v>
      </c>
      <c r="X2235" t="s">
        <v>39</v>
      </c>
      <c r="Y2235" t="s">
        <v>40</v>
      </c>
      <c r="Z2235" t="s">
        <v>247</v>
      </c>
      <c r="AB2235" t="str">
        <f t="shared" si="105"/>
        <v>46450</v>
      </c>
    </row>
    <row r="2236" ht="14.25" spans="1:28">
      <c r="A2236" s="5" t="s">
        <v>28</v>
      </c>
      <c r="B2236" s="5" t="s">
        <v>697</v>
      </c>
      <c r="C2236" s="5">
        <v>2027</v>
      </c>
      <c r="D2236" s="5" t="s">
        <v>30</v>
      </c>
      <c r="E2236" t="s">
        <v>1486</v>
      </c>
      <c r="F2236" t="s">
        <v>1484</v>
      </c>
      <c r="G2236" t="s">
        <v>1231</v>
      </c>
      <c r="H2236" t="s">
        <v>1487</v>
      </c>
      <c r="I2236" t="s">
        <v>119</v>
      </c>
      <c r="J2236" t="s">
        <v>36</v>
      </c>
      <c r="K2236">
        <v>1590</v>
      </c>
      <c r="O2236" t="s">
        <v>37</v>
      </c>
      <c r="P2236" t="s">
        <v>42</v>
      </c>
      <c r="U2236" s="9" t="s">
        <v>148</v>
      </c>
      <c r="V2236" t="s">
        <v>233</v>
      </c>
      <c r="W2236" t="s">
        <v>138</v>
      </c>
      <c r="X2236" t="s">
        <v>39</v>
      </c>
      <c r="Y2236" t="s">
        <v>40</v>
      </c>
      <c r="Z2236" t="s">
        <v>247</v>
      </c>
      <c r="AB2236" t="str">
        <f t="shared" si="105"/>
        <v>46450</v>
      </c>
    </row>
    <row r="2237" ht="14.25" spans="1:28">
      <c r="A2237" s="5" t="s">
        <v>28</v>
      </c>
      <c r="B2237" s="5" t="s">
        <v>697</v>
      </c>
      <c r="C2237" s="5">
        <v>2027</v>
      </c>
      <c r="D2237" s="5" t="s">
        <v>30</v>
      </c>
      <c r="E2237" t="s">
        <v>1486</v>
      </c>
      <c r="F2237" t="s">
        <v>1484</v>
      </c>
      <c r="G2237" t="s">
        <v>1231</v>
      </c>
      <c r="H2237" t="s">
        <v>1487</v>
      </c>
      <c r="I2237" t="s">
        <v>119</v>
      </c>
      <c r="J2237" t="s">
        <v>36</v>
      </c>
      <c r="K2237">
        <v>1590</v>
      </c>
      <c r="O2237" t="s">
        <v>37</v>
      </c>
      <c r="P2237" t="s">
        <v>43</v>
      </c>
      <c r="U2237" s="9" t="s">
        <v>148</v>
      </c>
      <c r="V2237" t="s">
        <v>233</v>
      </c>
      <c r="W2237" t="s">
        <v>138</v>
      </c>
      <c r="X2237" t="s">
        <v>39</v>
      </c>
      <c r="Y2237" t="s">
        <v>40</v>
      </c>
      <c r="Z2237" t="s">
        <v>247</v>
      </c>
      <c r="AB2237" t="str">
        <f t="shared" si="105"/>
        <v>46450</v>
      </c>
    </row>
    <row r="2238" ht="14.25" spans="1:28">
      <c r="A2238" s="5" t="s">
        <v>28</v>
      </c>
      <c r="B2238" s="5" t="s">
        <v>697</v>
      </c>
      <c r="C2238" s="5">
        <v>2027</v>
      </c>
      <c r="D2238" s="5" t="s">
        <v>30</v>
      </c>
      <c r="E2238" t="s">
        <v>1486</v>
      </c>
      <c r="F2238" t="s">
        <v>1484</v>
      </c>
      <c r="G2238" t="s">
        <v>1231</v>
      </c>
      <c r="H2238" t="s">
        <v>1487</v>
      </c>
      <c r="I2238" t="s">
        <v>119</v>
      </c>
      <c r="J2238" t="s">
        <v>36</v>
      </c>
      <c r="K2238">
        <v>1590</v>
      </c>
      <c r="O2238" t="s">
        <v>37</v>
      </c>
      <c r="P2238" t="s">
        <v>44</v>
      </c>
      <c r="U2238" s="9" t="s">
        <v>148</v>
      </c>
      <c r="V2238" t="s">
        <v>233</v>
      </c>
      <c r="W2238" t="s">
        <v>138</v>
      </c>
      <c r="X2238" t="s">
        <v>39</v>
      </c>
      <c r="Y2238" t="s">
        <v>40</v>
      </c>
      <c r="Z2238" t="s">
        <v>247</v>
      </c>
      <c r="AB2238" t="str">
        <f t="shared" si="105"/>
        <v>46450</v>
      </c>
    </row>
    <row r="2239" ht="14.25" spans="1:28">
      <c r="A2239" s="5" t="s">
        <v>28</v>
      </c>
      <c r="B2239" s="5" t="s">
        <v>697</v>
      </c>
      <c r="C2239" s="5">
        <v>2027</v>
      </c>
      <c r="D2239" s="5" t="s">
        <v>30</v>
      </c>
      <c r="E2239" t="s">
        <v>1486</v>
      </c>
      <c r="F2239" t="s">
        <v>1484</v>
      </c>
      <c r="G2239" t="s">
        <v>1231</v>
      </c>
      <c r="H2239" t="s">
        <v>1487</v>
      </c>
      <c r="I2239" t="s">
        <v>119</v>
      </c>
      <c r="J2239" t="s">
        <v>36</v>
      </c>
      <c r="K2239">
        <v>1590</v>
      </c>
      <c r="O2239" t="s">
        <v>37</v>
      </c>
      <c r="P2239" t="s">
        <v>45</v>
      </c>
      <c r="U2239" s="9" t="s">
        <v>148</v>
      </c>
      <c r="V2239" t="s">
        <v>233</v>
      </c>
      <c r="W2239" t="s">
        <v>138</v>
      </c>
      <c r="X2239" t="s">
        <v>39</v>
      </c>
      <c r="Y2239" t="s">
        <v>40</v>
      </c>
      <c r="Z2239" t="s">
        <v>247</v>
      </c>
      <c r="AB2239" t="str">
        <f t="shared" si="105"/>
        <v>46450</v>
      </c>
    </row>
    <row r="2240" ht="14.25" spans="1:28">
      <c r="A2240" s="5" t="s">
        <v>28</v>
      </c>
      <c r="B2240" s="5" t="s">
        <v>697</v>
      </c>
      <c r="C2240" s="5">
        <v>2027</v>
      </c>
      <c r="D2240" s="5" t="s">
        <v>30</v>
      </c>
      <c r="E2240" t="s">
        <v>1486</v>
      </c>
      <c r="F2240" t="s">
        <v>1484</v>
      </c>
      <c r="G2240" t="s">
        <v>1231</v>
      </c>
      <c r="H2240" t="s">
        <v>1487</v>
      </c>
      <c r="I2240" t="s">
        <v>119</v>
      </c>
      <c r="J2240" t="s">
        <v>36</v>
      </c>
      <c r="K2240">
        <v>1590</v>
      </c>
      <c r="O2240" t="s">
        <v>37</v>
      </c>
      <c r="P2240" t="s">
        <v>46</v>
      </c>
      <c r="U2240" s="9" t="s">
        <v>148</v>
      </c>
      <c r="V2240" t="s">
        <v>233</v>
      </c>
      <c r="W2240" t="s">
        <v>138</v>
      </c>
      <c r="X2240" t="s">
        <v>39</v>
      </c>
      <c r="Y2240" t="s">
        <v>40</v>
      </c>
      <c r="Z2240" t="s">
        <v>247</v>
      </c>
      <c r="AB2240" t="str">
        <f t="shared" si="105"/>
        <v>46450</v>
      </c>
    </row>
    <row r="2241" ht="14.25" spans="1:28">
      <c r="A2241" s="5" t="s">
        <v>28</v>
      </c>
      <c r="B2241" s="5" t="s">
        <v>697</v>
      </c>
      <c r="C2241" s="5">
        <v>2027</v>
      </c>
      <c r="D2241" s="5" t="s">
        <v>30</v>
      </c>
      <c r="E2241" t="s">
        <v>1488</v>
      </c>
      <c r="F2241" t="s">
        <v>1489</v>
      </c>
      <c r="G2241" t="s">
        <v>100</v>
      </c>
      <c r="H2241" t="s">
        <v>1490</v>
      </c>
      <c r="I2241" t="s">
        <v>147</v>
      </c>
      <c r="J2241" t="s">
        <v>36</v>
      </c>
      <c r="K2241">
        <v>1190</v>
      </c>
      <c r="O2241" t="s">
        <v>37</v>
      </c>
      <c r="P2241" t="s">
        <v>38</v>
      </c>
      <c r="R2241">
        <f t="shared" si="103"/>
        <v>0</v>
      </c>
      <c r="S2241">
        <f>SUMIFS([1]Sheet1!$T:$T,[1]Sheet1!$I:$I,E2241,[1]Sheet1!$C:$C,A2241)</f>
        <v>60</v>
      </c>
      <c r="T2241">
        <f t="shared" si="104"/>
        <v>-60</v>
      </c>
      <c r="U2241" s="9" t="s">
        <v>148</v>
      </c>
      <c r="V2241" t="s">
        <v>184</v>
      </c>
      <c r="W2241" t="s">
        <v>138</v>
      </c>
      <c r="X2241" t="s">
        <v>102</v>
      </c>
      <c r="Y2241" t="s">
        <v>1491</v>
      </c>
      <c r="Z2241" t="s">
        <v>41</v>
      </c>
      <c r="AA2241" t="s">
        <v>1492</v>
      </c>
      <c r="AB2241" t="str">
        <f t="shared" si="105"/>
        <v>46458</v>
      </c>
    </row>
    <row r="2242" ht="14.25" spans="1:28">
      <c r="A2242" s="5" t="s">
        <v>28</v>
      </c>
      <c r="B2242" s="5" t="s">
        <v>697</v>
      </c>
      <c r="C2242" s="5">
        <v>2027</v>
      </c>
      <c r="D2242" s="5" t="s">
        <v>30</v>
      </c>
      <c r="E2242" t="s">
        <v>1488</v>
      </c>
      <c r="F2242" t="s">
        <v>1489</v>
      </c>
      <c r="G2242" t="s">
        <v>100</v>
      </c>
      <c r="H2242" t="s">
        <v>1490</v>
      </c>
      <c r="I2242" t="s">
        <v>147</v>
      </c>
      <c r="J2242" t="s">
        <v>36</v>
      </c>
      <c r="K2242">
        <v>1190</v>
      </c>
      <c r="O2242" t="s">
        <v>37</v>
      </c>
      <c r="P2242" t="s">
        <v>42</v>
      </c>
      <c r="U2242" s="9" t="s">
        <v>148</v>
      </c>
      <c r="V2242" t="s">
        <v>184</v>
      </c>
      <c r="W2242" t="s">
        <v>138</v>
      </c>
      <c r="X2242" t="s">
        <v>102</v>
      </c>
      <c r="Y2242" t="s">
        <v>1491</v>
      </c>
      <c r="Z2242" t="s">
        <v>41</v>
      </c>
      <c r="AA2242" t="s">
        <v>1492</v>
      </c>
      <c r="AB2242" t="str">
        <f t="shared" si="105"/>
        <v>46458</v>
      </c>
    </row>
    <row r="2243" ht="14.25" spans="1:28">
      <c r="A2243" s="5" t="s">
        <v>28</v>
      </c>
      <c r="B2243" s="5" t="s">
        <v>697</v>
      </c>
      <c r="C2243" s="5">
        <v>2027</v>
      </c>
      <c r="D2243" s="5" t="s">
        <v>30</v>
      </c>
      <c r="E2243" t="s">
        <v>1488</v>
      </c>
      <c r="F2243" t="s">
        <v>1489</v>
      </c>
      <c r="G2243" t="s">
        <v>100</v>
      </c>
      <c r="H2243" t="s">
        <v>1490</v>
      </c>
      <c r="I2243" t="s">
        <v>147</v>
      </c>
      <c r="J2243" t="s">
        <v>36</v>
      </c>
      <c r="K2243">
        <v>1190</v>
      </c>
      <c r="O2243" t="s">
        <v>37</v>
      </c>
      <c r="P2243" t="s">
        <v>43</v>
      </c>
      <c r="U2243" s="9" t="s">
        <v>148</v>
      </c>
      <c r="V2243" t="s">
        <v>184</v>
      </c>
      <c r="W2243" t="s">
        <v>138</v>
      </c>
      <c r="X2243" t="s">
        <v>102</v>
      </c>
      <c r="Y2243" t="s">
        <v>1491</v>
      </c>
      <c r="Z2243" t="s">
        <v>41</v>
      </c>
      <c r="AA2243" t="s">
        <v>1492</v>
      </c>
      <c r="AB2243" t="str">
        <f t="shared" si="105"/>
        <v>46458</v>
      </c>
    </row>
    <row r="2244" ht="14.25" spans="1:28">
      <c r="A2244" s="5" t="s">
        <v>28</v>
      </c>
      <c r="B2244" s="5" t="s">
        <v>697</v>
      </c>
      <c r="C2244" s="5">
        <v>2027</v>
      </c>
      <c r="D2244" s="5" t="s">
        <v>30</v>
      </c>
      <c r="E2244" t="s">
        <v>1488</v>
      </c>
      <c r="F2244" t="s">
        <v>1489</v>
      </c>
      <c r="G2244" t="s">
        <v>100</v>
      </c>
      <c r="H2244" t="s">
        <v>1490</v>
      </c>
      <c r="I2244" t="s">
        <v>147</v>
      </c>
      <c r="J2244" t="s">
        <v>36</v>
      </c>
      <c r="K2244">
        <v>1190</v>
      </c>
      <c r="O2244" t="s">
        <v>37</v>
      </c>
      <c r="P2244" t="s">
        <v>44</v>
      </c>
      <c r="U2244" s="9" t="s">
        <v>148</v>
      </c>
      <c r="V2244" t="s">
        <v>184</v>
      </c>
      <c r="W2244" t="s">
        <v>138</v>
      </c>
      <c r="X2244" t="s">
        <v>102</v>
      </c>
      <c r="Y2244" t="s">
        <v>1491</v>
      </c>
      <c r="Z2244" t="s">
        <v>41</v>
      </c>
      <c r="AA2244" t="s">
        <v>1492</v>
      </c>
      <c r="AB2244" t="str">
        <f t="shared" si="105"/>
        <v>46458</v>
      </c>
    </row>
    <row r="2245" ht="14.25" spans="1:28">
      <c r="A2245" s="5" t="s">
        <v>28</v>
      </c>
      <c r="B2245" s="5" t="s">
        <v>697</v>
      </c>
      <c r="C2245" s="5">
        <v>2027</v>
      </c>
      <c r="D2245" s="5" t="s">
        <v>30</v>
      </c>
      <c r="E2245" t="s">
        <v>1488</v>
      </c>
      <c r="F2245" t="s">
        <v>1489</v>
      </c>
      <c r="G2245" t="s">
        <v>100</v>
      </c>
      <c r="H2245" t="s">
        <v>1490</v>
      </c>
      <c r="I2245" t="s">
        <v>147</v>
      </c>
      <c r="J2245" t="s">
        <v>36</v>
      </c>
      <c r="K2245">
        <v>1190</v>
      </c>
      <c r="O2245" t="s">
        <v>37</v>
      </c>
      <c r="P2245" t="s">
        <v>45</v>
      </c>
      <c r="U2245" s="9" t="s">
        <v>148</v>
      </c>
      <c r="V2245" t="s">
        <v>184</v>
      </c>
      <c r="W2245" t="s">
        <v>138</v>
      </c>
      <c r="X2245" t="s">
        <v>102</v>
      </c>
      <c r="Y2245" t="s">
        <v>1491</v>
      </c>
      <c r="Z2245" t="s">
        <v>41</v>
      </c>
      <c r="AA2245" t="s">
        <v>1492</v>
      </c>
      <c r="AB2245" t="str">
        <f t="shared" si="105"/>
        <v>46458</v>
      </c>
    </row>
    <row r="2246" ht="14.25" spans="1:28">
      <c r="A2246" s="5" t="s">
        <v>28</v>
      </c>
      <c r="B2246" s="5" t="s">
        <v>697</v>
      </c>
      <c r="C2246" s="5">
        <v>2027</v>
      </c>
      <c r="D2246" s="5" t="s">
        <v>30</v>
      </c>
      <c r="E2246" t="s">
        <v>1488</v>
      </c>
      <c r="F2246" t="s">
        <v>1489</v>
      </c>
      <c r="G2246" t="s">
        <v>100</v>
      </c>
      <c r="H2246" t="s">
        <v>1490</v>
      </c>
      <c r="I2246" t="s">
        <v>147</v>
      </c>
      <c r="J2246" t="s">
        <v>36</v>
      </c>
      <c r="K2246">
        <v>1190</v>
      </c>
      <c r="O2246" t="s">
        <v>37</v>
      </c>
      <c r="P2246" t="s">
        <v>46</v>
      </c>
      <c r="U2246" s="9" t="s">
        <v>148</v>
      </c>
      <c r="V2246" t="s">
        <v>184</v>
      </c>
      <c r="W2246" t="s">
        <v>138</v>
      </c>
      <c r="X2246" t="s">
        <v>102</v>
      </c>
      <c r="Y2246" t="s">
        <v>1491</v>
      </c>
      <c r="Z2246" t="s">
        <v>41</v>
      </c>
      <c r="AA2246" t="s">
        <v>1492</v>
      </c>
      <c r="AB2246" t="str">
        <f t="shared" si="105"/>
        <v>46458</v>
      </c>
    </row>
    <row r="2247" ht="14.25" spans="1:28">
      <c r="A2247" s="5" t="s">
        <v>28</v>
      </c>
      <c r="B2247" s="5" t="s">
        <v>697</v>
      </c>
      <c r="C2247" s="5">
        <v>2027</v>
      </c>
      <c r="D2247" s="5" t="s">
        <v>30</v>
      </c>
      <c r="E2247" t="s">
        <v>1493</v>
      </c>
      <c r="F2247" t="s">
        <v>1489</v>
      </c>
      <c r="G2247" t="s">
        <v>60</v>
      </c>
      <c r="H2247" t="s">
        <v>1494</v>
      </c>
      <c r="I2247" t="s">
        <v>147</v>
      </c>
      <c r="J2247" t="s">
        <v>36</v>
      </c>
      <c r="K2247">
        <v>1190</v>
      </c>
      <c r="O2247" t="s">
        <v>37</v>
      </c>
      <c r="P2247" t="s">
        <v>38</v>
      </c>
      <c r="R2247">
        <f t="shared" ref="R2242:R2305" si="106">SUMIFS(Q:Q,E:E,E2247)</f>
        <v>0</v>
      </c>
      <c r="S2247">
        <f>SUMIFS([1]Sheet1!$T:$T,[1]Sheet1!$I:$I,E2247,[1]Sheet1!$C:$C,A2247)</f>
        <v>40</v>
      </c>
      <c r="T2247">
        <f t="shared" ref="T2242:T2305" si="107">R2247-S2247</f>
        <v>-40</v>
      </c>
      <c r="U2247" s="9" t="s">
        <v>148</v>
      </c>
      <c r="V2247" t="s">
        <v>184</v>
      </c>
      <c r="W2247" t="s">
        <v>138</v>
      </c>
      <c r="X2247" t="s">
        <v>62</v>
      </c>
      <c r="Y2247" t="s">
        <v>1491</v>
      </c>
      <c r="Z2247" t="s">
        <v>41</v>
      </c>
      <c r="AA2247" t="s">
        <v>1492</v>
      </c>
      <c r="AB2247" t="str">
        <f t="shared" si="105"/>
        <v>46458</v>
      </c>
    </row>
    <row r="2248" ht="14.25" spans="1:28">
      <c r="A2248" s="5" t="s">
        <v>28</v>
      </c>
      <c r="B2248" s="5" t="s">
        <v>697</v>
      </c>
      <c r="C2248" s="5">
        <v>2027</v>
      </c>
      <c r="D2248" s="5" t="s">
        <v>30</v>
      </c>
      <c r="E2248" t="s">
        <v>1493</v>
      </c>
      <c r="F2248" t="s">
        <v>1489</v>
      </c>
      <c r="G2248" t="s">
        <v>60</v>
      </c>
      <c r="H2248" t="s">
        <v>1494</v>
      </c>
      <c r="I2248" t="s">
        <v>147</v>
      </c>
      <c r="J2248" t="s">
        <v>36</v>
      </c>
      <c r="K2248">
        <v>1190</v>
      </c>
      <c r="O2248" t="s">
        <v>37</v>
      </c>
      <c r="P2248" t="s">
        <v>42</v>
      </c>
      <c r="U2248" s="9" t="s">
        <v>148</v>
      </c>
      <c r="V2248" t="s">
        <v>184</v>
      </c>
      <c r="W2248" t="s">
        <v>138</v>
      </c>
      <c r="X2248" t="s">
        <v>62</v>
      </c>
      <c r="Y2248" t="s">
        <v>1491</v>
      </c>
      <c r="Z2248" t="s">
        <v>41</v>
      </c>
      <c r="AA2248" t="s">
        <v>1492</v>
      </c>
      <c r="AB2248" t="str">
        <f t="shared" si="105"/>
        <v>46458</v>
      </c>
    </row>
    <row r="2249" ht="14.25" spans="1:28">
      <c r="A2249" s="5" t="s">
        <v>28</v>
      </c>
      <c r="B2249" s="5" t="s">
        <v>697</v>
      </c>
      <c r="C2249" s="5">
        <v>2027</v>
      </c>
      <c r="D2249" s="5" t="s">
        <v>30</v>
      </c>
      <c r="E2249" t="s">
        <v>1493</v>
      </c>
      <c r="F2249" t="s">
        <v>1489</v>
      </c>
      <c r="G2249" t="s">
        <v>60</v>
      </c>
      <c r="H2249" t="s">
        <v>1494</v>
      </c>
      <c r="I2249" t="s">
        <v>147</v>
      </c>
      <c r="J2249" t="s">
        <v>36</v>
      </c>
      <c r="K2249">
        <v>1190</v>
      </c>
      <c r="O2249" t="s">
        <v>37</v>
      </c>
      <c r="P2249" t="s">
        <v>43</v>
      </c>
      <c r="U2249" s="9" t="s">
        <v>148</v>
      </c>
      <c r="V2249" t="s">
        <v>184</v>
      </c>
      <c r="W2249" t="s">
        <v>138</v>
      </c>
      <c r="X2249" t="s">
        <v>62</v>
      </c>
      <c r="Y2249" t="s">
        <v>1491</v>
      </c>
      <c r="Z2249" t="s">
        <v>41</v>
      </c>
      <c r="AA2249" t="s">
        <v>1492</v>
      </c>
      <c r="AB2249" t="str">
        <f t="shared" si="105"/>
        <v>46458</v>
      </c>
    </row>
    <row r="2250" ht="14.25" spans="1:28">
      <c r="A2250" s="5" t="s">
        <v>28</v>
      </c>
      <c r="B2250" s="5" t="s">
        <v>697</v>
      </c>
      <c r="C2250" s="5">
        <v>2027</v>
      </c>
      <c r="D2250" s="5" t="s">
        <v>30</v>
      </c>
      <c r="E2250" t="s">
        <v>1493</v>
      </c>
      <c r="F2250" t="s">
        <v>1489</v>
      </c>
      <c r="G2250" t="s">
        <v>60</v>
      </c>
      <c r="H2250" t="s">
        <v>1494</v>
      </c>
      <c r="I2250" t="s">
        <v>147</v>
      </c>
      <c r="J2250" t="s">
        <v>36</v>
      </c>
      <c r="K2250">
        <v>1190</v>
      </c>
      <c r="O2250" t="s">
        <v>37</v>
      </c>
      <c r="P2250" t="s">
        <v>44</v>
      </c>
      <c r="U2250" s="9" t="s">
        <v>148</v>
      </c>
      <c r="V2250" t="s">
        <v>184</v>
      </c>
      <c r="W2250" t="s">
        <v>138</v>
      </c>
      <c r="X2250" t="s">
        <v>62</v>
      </c>
      <c r="Y2250" t="s">
        <v>1491</v>
      </c>
      <c r="Z2250" t="s">
        <v>41</v>
      </c>
      <c r="AA2250" t="s">
        <v>1492</v>
      </c>
      <c r="AB2250" t="str">
        <f t="shared" si="105"/>
        <v>46458</v>
      </c>
    </row>
    <row r="2251" ht="14.25" spans="1:28">
      <c r="A2251" s="5" t="s">
        <v>28</v>
      </c>
      <c r="B2251" s="5" t="s">
        <v>697</v>
      </c>
      <c r="C2251" s="5">
        <v>2027</v>
      </c>
      <c r="D2251" s="5" t="s">
        <v>30</v>
      </c>
      <c r="E2251" t="s">
        <v>1493</v>
      </c>
      <c r="F2251" t="s">
        <v>1489</v>
      </c>
      <c r="G2251" t="s">
        <v>60</v>
      </c>
      <c r="H2251" t="s">
        <v>1494</v>
      </c>
      <c r="I2251" t="s">
        <v>147</v>
      </c>
      <c r="J2251" t="s">
        <v>36</v>
      </c>
      <c r="K2251">
        <v>1190</v>
      </c>
      <c r="O2251" t="s">
        <v>37</v>
      </c>
      <c r="P2251" t="s">
        <v>45</v>
      </c>
      <c r="U2251" s="9" t="s">
        <v>148</v>
      </c>
      <c r="V2251" t="s">
        <v>184</v>
      </c>
      <c r="W2251" t="s">
        <v>138</v>
      </c>
      <c r="X2251" t="s">
        <v>62</v>
      </c>
      <c r="Y2251" t="s">
        <v>1491</v>
      </c>
      <c r="Z2251" t="s">
        <v>41</v>
      </c>
      <c r="AA2251" t="s">
        <v>1492</v>
      </c>
      <c r="AB2251" t="str">
        <f t="shared" si="105"/>
        <v>46458</v>
      </c>
    </row>
    <row r="2252" ht="14.25" spans="1:28">
      <c r="A2252" s="5" t="s">
        <v>28</v>
      </c>
      <c r="B2252" s="5" t="s">
        <v>697</v>
      </c>
      <c r="C2252" s="5">
        <v>2027</v>
      </c>
      <c r="D2252" s="5" t="s">
        <v>30</v>
      </c>
      <c r="E2252" t="s">
        <v>1493</v>
      </c>
      <c r="F2252" t="s">
        <v>1489</v>
      </c>
      <c r="G2252" t="s">
        <v>60</v>
      </c>
      <c r="H2252" t="s">
        <v>1494</v>
      </c>
      <c r="I2252" t="s">
        <v>147</v>
      </c>
      <c r="J2252" t="s">
        <v>36</v>
      </c>
      <c r="K2252">
        <v>1190</v>
      </c>
      <c r="O2252" t="s">
        <v>37</v>
      </c>
      <c r="P2252" t="s">
        <v>46</v>
      </c>
      <c r="U2252" s="9" t="s">
        <v>148</v>
      </c>
      <c r="V2252" t="s">
        <v>184</v>
      </c>
      <c r="W2252" t="s">
        <v>138</v>
      </c>
      <c r="X2252" t="s">
        <v>62</v>
      </c>
      <c r="Y2252" t="s">
        <v>1491</v>
      </c>
      <c r="Z2252" t="s">
        <v>41</v>
      </c>
      <c r="AA2252" t="s">
        <v>1492</v>
      </c>
      <c r="AB2252" t="str">
        <f t="shared" si="105"/>
        <v>46458</v>
      </c>
    </row>
    <row r="2253" ht="14.25" spans="1:28">
      <c r="A2253" s="5" t="s">
        <v>28</v>
      </c>
      <c r="B2253" s="5" t="s">
        <v>697</v>
      </c>
      <c r="C2253" s="5">
        <v>2027</v>
      </c>
      <c r="D2253" s="5" t="s">
        <v>30</v>
      </c>
      <c r="E2253" t="s">
        <v>1495</v>
      </c>
      <c r="F2253" t="s">
        <v>1496</v>
      </c>
      <c r="G2253" t="s">
        <v>221</v>
      </c>
      <c r="H2253" t="s">
        <v>1497</v>
      </c>
      <c r="I2253" t="s">
        <v>147</v>
      </c>
      <c r="J2253" t="s">
        <v>36</v>
      </c>
      <c r="K2253">
        <v>1390</v>
      </c>
      <c r="O2253" t="s">
        <v>37</v>
      </c>
      <c r="P2253" t="s">
        <v>38</v>
      </c>
      <c r="R2253">
        <f t="shared" si="106"/>
        <v>0</v>
      </c>
      <c r="S2253">
        <f>SUMIFS([1]Sheet1!$T:$T,[1]Sheet1!$I:$I,E2253,[1]Sheet1!$C:$C,A2253)</f>
        <v>0</v>
      </c>
      <c r="T2253">
        <f t="shared" si="107"/>
        <v>0</v>
      </c>
      <c r="U2253" s="9" t="s">
        <v>148</v>
      </c>
      <c r="V2253" t="s">
        <v>164</v>
      </c>
      <c r="W2253" t="s">
        <v>138</v>
      </c>
      <c r="X2253" t="s">
        <v>70</v>
      </c>
      <c r="Y2253" t="s">
        <v>1491</v>
      </c>
      <c r="Z2253" t="s">
        <v>41</v>
      </c>
      <c r="AA2253" t="s">
        <v>1492</v>
      </c>
      <c r="AB2253" t="str">
        <f t="shared" si="105"/>
        <v>46469</v>
      </c>
    </row>
    <row r="2254" ht="14.25" spans="1:28">
      <c r="A2254" s="5" t="s">
        <v>28</v>
      </c>
      <c r="B2254" s="5" t="s">
        <v>697</v>
      </c>
      <c r="C2254" s="5">
        <v>2027</v>
      </c>
      <c r="D2254" s="5" t="s">
        <v>30</v>
      </c>
      <c r="E2254" t="s">
        <v>1495</v>
      </c>
      <c r="F2254" t="s">
        <v>1496</v>
      </c>
      <c r="G2254" t="s">
        <v>221</v>
      </c>
      <c r="H2254" t="s">
        <v>1497</v>
      </c>
      <c r="I2254" t="s">
        <v>147</v>
      </c>
      <c r="J2254" t="s">
        <v>36</v>
      </c>
      <c r="K2254">
        <v>1390</v>
      </c>
      <c r="O2254" t="s">
        <v>37</v>
      </c>
      <c r="P2254" t="s">
        <v>42</v>
      </c>
      <c r="U2254" s="9" t="s">
        <v>148</v>
      </c>
      <c r="V2254" t="s">
        <v>164</v>
      </c>
      <c r="W2254" t="s">
        <v>138</v>
      </c>
      <c r="X2254" t="s">
        <v>70</v>
      </c>
      <c r="Y2254" t="s">
        <v>1491</v>
      </c>
      <c r="Z2254" t="s">
        <v>41</v>
      </c>
      <c r="AA2254" t="s">
        <v>1492</v>
      </c>
      <c r="AB2254" t="str">
        <f t="shared" si="105"/>
        <v>46469</v>
      </c>
    </row>
    <row r="2255" ht="14.25" spans="1:28">
      <c r="A2255" s="5" t="s">
        <v>28</v>
      </c>
      <c r="B2255" s="5" t="s">
        <v>697</v>
      </c>
      <c r="C2255" s="5">
        <v>2027</v>
      </c>
      <c r="D2255" s="5" t="s">
        <v>30</v>
      </c>
      <c r="E2255" t="s">
        <v>1495</v>
      </c>
      <c r="F2255" t="s">
        <v>1496</v>
      </c>
      <c r="G2255" t="s">
        <v>221</v>
      </c>
      <c r="H2255" t="s">
        <v>1497</v>
      </c>
      <c r="I2255" t="s">
        <v>147</v>
      </c>
      <c r="J2255" t="s">
        <v>36</v>
      </c>
      <c r="K2255">
        <v>1390</v>
      </c>
      <c r="O2255" t="s">
        <v>37</v>
      </c>
      <c r="P2255" t="s">
        <v>43</v>
      </c>
      <c r="U2255" s="9" t="s">
        <v>148</v>
      </c>
      <c r="V2255" t="s">
        <v>164</v>
      </c>
      <c r="W2255" t="s">
        <v>138</v>
      </c>
      <c r="X2255" t="s">
        <v>70</v>
      </c>
      <c r="Y2255" t="s">
        <v>1491</v>
      </c>
      <c r="Z2255" t="s">
        <v>41</v>
      </c>
      <c r="AA2255" t="s">
        <v>1492</v>
      </c>
      <c r="AB2255" t="str">
        <f t="shared" si="105"/>
        <v>46469</v>
      </c>
    </row>
    <row r="2256" ht="14.25" spans="1:28">
      <c r="A2256" s="5" t="s">
        <v>28</v>
      </c>
      <c r="B2256" s="5" t="s">
        <v>697</v>
      </c>
      <c r="C2256" s="5">
        <v>2027</v>
      </c>
      <c r="D2256" s="5" t="s">
        <v>30</v>
      </c>
      <c r="E2256" t="s">
        <v>1495</v>
      </c>
      <c r="F2256" t="s">
        <v>1496</v>
      </c>
      <c r="G2256" t="s">
        <v>221</v>
      </c>
      <c r="H2256" t="s">
        <v>1497</v>
      </c>
      <c r="I2256" t="s">
        <v>147</v>
      </c>
      <c r="J2256" t="s">
        <v>36</v>
      </c>
      <c r="K2256">
        <v>1390</v>
      </c>
      <c r="O2256" t="s">
        <v>37</v>
      </c>
      <c r="P2256" t="s">
        <v>44</v>
      </c>
      <c r="U2256" s="9" t="s">
        <v>148</v>
      </c>
      <c r="V2256" t="s">
        <v>164</v>
      </c>
      <c r="W2256" t="s">
        <v>138</v>
      </c>
      <c r="X2256" t="s">
        <v>70</v>
      </c>
      <c r="Y2256" t="s">
        <v>1491</v>
      </c>
      <c r="Z2256" t="s">
        <v>41</v>
      </c>
      <c r="AA2256" t="s">
        <v>1492</v>
      </c>
      <c r="AB2256" t="str">
        <f t="shared" si="105"/>
        <v>46469</v>
      </c>
    </row>
    <row r="2257" ht="14.25" spans="1:28">
      <c r="A2257" s="5" t="s">
        <v>28</v>
      </c>
      <c r="B2257" s="5" t="s">
        <v>697</v>
      </c>
      <c r="C2257" s="5">
        <v>2027</v>
      </c>
      <c r="D2257" s="5" t="s">
        <v>30</v>
      </c>
      <c r="E2257" t="s">
        <v>1495</v>
      </c>
      <c r="F2257" t="s">
        <v>1496</v>
      </c>
      <c r="G2257" t="s">
        <v>221</v>
      </c>
      <c r="H2257" t="s">
        <v>1497</v>
      </c>
      <c r="I2257" t="s">
        <v>147</v>
      </c>
      <c r="J2257" t="s">
        <v>36</v>
      </c>
      <c r="K2257">
        <v>1390</v>
      </c>
      <c r="O2257" t="s">
        <v>37</v>
      </c>
      <c r="P2257" t="s">
        <v>45</v>
      </c>
      <c r="U2257" s="9" t="s">
        <v>148</v>
      </c>
      <c r="V2257" t="s">
        <v>164</v>
      </c>
      <c r="W2257" t="s">
        <v>138</v>
      </c>
      <c r="X2257" t="s">
        <v>70</v>
      </c>
      <c r="Y2257" t="s">
        <v>1491</v>
      </c>
      <c r="Z2257" t="s">
        <v>41</v>
      </c>
      <c r="AA2257" t="s">
        <v>1492</v>
      </c>
      <c r="AB2257" t="str">
        <f t="shared" si="105"/>
        <v>46469</v>
      </c>
    </row>
    <row r="2258" ht="14.25" spans="1:28">
      <c r="A2258" s="5" t="s">
        <v>28</v>
      </c>
      <c r="B2258" s="5" t="s">
        <v>697</v>
      </c>
      <c r="C2258" s="5">
        <v>2027</v>
      </c>
      <c r="D2258" s="5" t="s">
        <v>30</v>
      </c>
      <c r="E2258" t="s">
        <v>1495</v>
      </c>
      <c r="F2258" t="s">
        <v>1496</v>
      </c>
      <c r="G2258" t="s">
        <v>221</v>
      </c>
      <c r="H2258" t="s">
        <v>1497</v>
      </c>
      <c r="I2258" t="s">
        <v>147</v>
      </c>
      <c r="J2258" t="s">
        <v>36</v>
      </c>
      <c r="K2258">
        <v>1390</v>
      </c>
      <c r="O2258" t="s">
        <v>37</v>
      </c>
      <c r="P2258" t="s">
        <v>46</v>
      </c>
      <c r="U2258" s="9" t="s">
        <v>148</v>
      </c>
      <c r="V2258" t="s">
        <v>164</v>
      </c>
      <c r="W2258" t="s">
        <v>138</v>
      </c>
      <c r="X2258" t="s">
        <v>70</v>
      </c>
      <c r="Y2258" t="s">
        <v>1491</v>
      </c>
      <c r="Z2258" t="s">
        <v>41</v>
      </c>
      <c r="AA2258" t="s">
        <v>1492</v>
      </c>
      <c r="AB2258" t="str">
        <f t="shared" si="105"/>
        <v>46469</v>
      </c>
    </row>
    <row r="2259" ht="14.25" spans="1:28">
      <c r="A2259" s="5" t="s">
        <v>28</v>
      </c>
      <c r="B2259" s="5" t="s">
        <v>697</v>
      </c>
      <c r="C2259" s="5">
        <v>2027</v>
      </c>
      <c r="D2259" s="5" t="s">
        <v>30</v>
      </c>
      <c r="E2259" t="s">
        <v>1498</v>
      </c>
      <c r="F2259" t="s">
        <v>1496</v>
      </c>
      <c r="G2259" t="s">
        <v>1325</v>
      </c>
      <c r="H2259" t="s">
        <v>1499</v>
      </c>
      <c r="I2259" t="s">
        <v>147</v>
      </c>
      <c r="J2259" t="s">
        <v>36</v>
      </c>
      <c r="K2259">
        <v>1390</v>
      </c>
      <c r="O2259" t="s">
        <v>37</v>
      </c>
      <c r="P2259" t="s">
        <v>38</v>
      </c>
      <c r="R2259">
        <f t="shared" si="106"/>
        <v>0</v>
      </c>
      <c r="S2259">
        <f>SUMIFS([1]Sheet1!$T:$T,[1]Sheet1!$I:$I,E2259,[1]Sheet1!$C:$C,A2259)</f>
        <v>0</v>
      </c>
      <c r="T2259">
        <f t="shared" si="107"/>
        <v>0</v>
      </c>
      <c r="U2259" s="9" t="s">
        <v>148</v>
      </c>
      <c r="V2259" t="s">
        <v>164</v>
      </c>
      <c r="W2259" t="s">
        <v>138</v>
      </c>
      <c r="X2259" t="s">
        <v>50</v>
      </c>
      <c r="Y2259" t="s">
        <v>1491</v>
      </c>
      <c r="Z2259" t="s">
        <v>41</v>
      </c>
      <c r="AA2259" t="s">
        <v>1492</v>
      </c>
      <c r="AB2259" t="str">
        <f t="shared" si="105"/>
        <v>46469</v>
      </c>
    </row>
    <row r="2260" ht="14.25" spans="1:28">
      <c r="A2260" s="5" t="s">
        <v>28</v>
      </c>
      <c r="B2260" s="5" t="s">
        <v>697</v>
      </c>
      <c r="C2260" s="5">
        <v>2027</v>
      </c>
      <c r="D2260" s="5" t="s">
        <v>30</v>
      </c>
      <c r="E2260" t="s">
        <v>1498</v>
      </c>
      <c r="F2260" t="s">
        <v>1496</v>
      </c>
      <c r="G2260" t="s">
        <v>1325</v>
      </c>
      <c r="H2260" t="s">
        <v>1499</v>
      </c>
      <c r="I2260" t="s">
        <v>147</v>
      </c>
      <c r="J2260" t="s">
        <v>36</v>
      </c>
      <c r="K2260">
        <v>1390</v>
      </c>
      <c r="O2260" t="s">
        <v>37</v>
      </c>
      <c r="P2260" t="s">
        <v>42</v>
      </c>
      <c r="U2260" s="9" t="s">
        <v>148</v>
      </c>
      <c r="V2260" t="s">
        <v>164</v>
      </c>
      <c r="W2260" t="s">
        <v>138</v>
      </c>
      <c r="X2260" t="s">
        <v>50</v>
      </c>
      <c r="Y2260" t="s">
        <v>1491</v>
      </c>
      <c r="Z2260" t="s">
        <v>41</v>
      </c>
      <c r="AA2260" t="s">
        <v>1492</v>
      </c>
      <c r="AB2260" t="str">
        <f t="shared" si="105"/>
        <v>46469</v>
      </c>
    </row>
    <row r="2261" ht="14.25" spans="1:28">
      <c r="A2261" s="5" t="s">
        <v>28</v>
      </c>
      <c r="B2261" s="5" t="s">
        <v>697</v>
      </c>
      <c r="C2261" s="5">
        <v>2027</v>
      </c>
      <c r="D2261" s="5" t="s">
        <v>30</v>
      </c>
      <c r="E2261" t="s">
        <v>1498</v>
      </c>
      <c r="F2261" t="s">
        <v>1496</v>
      </c>
      <c r="G2261" t="s">
        <v>1325</v>
      </c>
      <c r="H2261" t="s">
        <v>1499</v>
      </c>
      <c r="I2261" t="s">
        <v>147</v>
      </c>
      <c r="J2261" t="s">
        <v>36</v>
      </c>
      <c r="K2261">
        <v>1390</v>
      </c>
      <c r="O2261" t="s">
        <v>37</v>
      </c>
      <c r="P2261" t="s">
        <v>43</v>
      </c>
      <c r="U2261" s="9" t="s">
        <v>148</v>
      </c>
      <c r="V2261" t="s">
        <v>164</v>
      </c>
      <c r="W2261" t="s">
        <v>138</v>
      </c>
      <c r="X2261" t="s">
        <v>50</v>
      </c>
      <c r="Y2261" t="s">
        <v>1491</v>
      </c>
      <c r="Z2261" t="s">
        <v>41</v>
      </c>
      <c r="AA2261" t="s">
        <v>1492</v>
      </c>
      <c r="AB2261" t="str">
        <f t="shared" si="105"/>
        <v>46469</v>
      </c>
    </row>
    <row r="2262" ht="14.25" spans="1:28">
      <c r="A2262" s="5" t="s">
        <v>28</v>
      </c>
      <c r="B2262" s="5" t="s">
        <v>697</v>
      </c>
      <c r="C2262" s="5">
        <v>2027</v>
      </c>
      <c r="D2262" s="5" t="s">
        <v>30</v>
      </c>
      <c r="E2262" t="s">
        <v>1498</v>
      </c>
      <c r="F2262" t="s">
        <v>1496</v>
      </c>
      <c r="G2262" t="s">
        <v>1325</v>
      </c>
      <c r="H2262" t="s">
        <v>1499</v>
      </c>
      <c r="I2262" t="s">
        <v>147</v>
      </c>
      <c r="J2262" t="s">
        <v>36</v>
      </c>
      <c r="K2262">
        <v>1390</v>
      </c>
      <c r="O2262" t="s">
        <v>37</v>
      </c>
      <c r="P2262" t="s">
        <v>44</v>
      </c>
      <c r="U2262" s="9" t="s">
        <v>148</v>
      </c>
      <c r="V2262" t="s">
        <v>164</v>
      </c>
      <c r="W2262" t="s">
        <v>138</v>
      </c>
      <c r="X2262" t="s">
        <v>50</v>
      </c>
      <c r="Y2262" t="s">
        <v>1491</v>
      </c>
      <c r="Z2262" t="s">
        <v>41</v>
      </c>
      <c r="AA2262" t="s">
        <v>1492</v>
      </c>
      <c r="AB2262" t="str">
        <f t="shared" si="105"/>
        <v>46469</v>
      </c>
    </row>
    <row r="2263" ht="14.25" spans="1:28">
      <c r="A2263" s="5" t="s">
        <v>28</v>
      </c>
      <c r="B2263" s="5" t="s">
        <v>697</v>
      </c>
      <c r="C2263" s="5">
        <v>2027</v>
      </c>
      <c r="D2263" s="5" t="s">
        <v>30</v>
      </c>
      <c r="E2263" t="s">
        <v>1498</v>
      </c>
      <c r="F2263" t="s">
        <v>1496</v>
      </c>
      <c r="G2263" t="s">
        <v>1325</v>
      </c>
      <c r="H2263" t="s">
        <v>1499</v>
      </c>
      <c r="I2263" t="s">
        <v>147</v>
      </c>
      <c r="J2263" t="s">
        <v>36</v>
      </c>
      <c r="K2263">
        <v>1390</v>
      </c>
      <c r="O2263" t="s">
        <v>37</v>
      </c>
      <c r="P2263" t="s">
        <v>45</v>
      </c>
      <c r="U2263" s="9" t="s">
        <v>148</v>
      </c>
      <c r="V2263" t="s">
        <v>164</v>
      </c>
      <c r="W2263" t="s">
        <v>138</v>
      </c>
      <c r="X2263" t="s">
        <v>50</v>
      </c>
      <c r="Y2263" t="s">
        <v>1491</v>
      </c>
      <c r="Z2263" t="s">
        <v>41</v>
      </c>
      <c r="AA2263" t="s">
        <v>1492</v>
      </c>
      <c r="AB2263" t="str">
        <f t="shared" si="105"/>
        <v>46469</v>
      </c>
    </row>
    <row r="2264" ht="14.25" spans="1:28">
      <c r="A2264" s="5" t="s">
        <v>28</v>
      </c>
      <c r="B2264" s="5" t="s">
        <v>697</v>
      </c>
      <c r="C2264" s="5">
        <v>2027</v>
      </c>
      <c r="D2264" s="5" t="s">
        <v>30</v>
      </c>
      <c r="E2264" t="s">
        <v>1498</v>
      </c>
      <c r="F2264" t="s">
        <v>1496</v>
      </c>
      <c r="G2264" t="s">
        <v>1325</v>
      </c>
      <c r="H2264" t="s">
        <v>1499</v>
      </c>
      <c r="I2264" t="s">
        <v>147</v>
      </c>
      <c r="J2264" t="s">
        <v>36</v>
      </c>
      <c r="K2264">
        <v>1390</v>
      </c>
      <c r="O2264" t="s">
        <v>37</v>
      </c>
      <c r="P2264" t="s">
        <v>46</v>
      </c>
      <c r="U2264" s="9" t="s">
        <v>148</v>
      </c>
      <c r="V2264" t="s">
        <v>164</v>
      </c>
      <c r="W2264" t="s">
        <v>138</v>
      </c>
      <c r="X2264" t="s">
        <v>50</v>
      </c>
      <c r="Y2264" t="s">
        <v>1491</v>
      </c>
      <c r="Z2264" t="s">
        <v>41</v>
      </c>
      <c r="AA2264" t="s">
        <v>1492</v>
      </c>
      <c r="AB2264" t="str">
        <f t="shared" si="105"/>
        <v>46469</v>
      </c>
    </row>
    <row r="2265" ht="14.25" spans="1:28">
      <c r="A2265" s="5" t="s">
        <v>28</v>
      </c>
      <c r="B2265" s="5" t="s">
        <v>697</v>
      </c>
      <c r="C2265" s="5">
        <v>2027</v>
      </c>
      <c r="D2265" s="5" t="s">
        <v>30</v>
      </c>
      <c r="E2265" t="s">
        <v>1500</v>
      </c>
      <c r="F2265" t="s">
        <v>1496</v>
      </c>
      <c r="G2265" t="s">
        <v>100</v>
      </c>
      <c r="H2265" t="s">
        <v>1501</v>
      </c>
      <c r="I2265" t="s">
        <v>147</v>
      </c>
      <c r="J2265" t="s">
        <v>36</v>
      </c>
      <c r="K2265">
        <v>1390</v>
      </c>
      <c r="O2265" t="s">
        <v>37</v>
      </c>
      <c r="P2265" t="s">
        <v>38</v>
      </c>
      <c r="R2265">
        <f t="shared" si="106"/>
        <v>0</v>
      </c>
      <c r="S2265">
        <f>SUMIFS([1]Sheet1!$T:$T,[1]Sheet1!$I:$I,E2265,[1]Sheet1!$C:$C,A2265)</f>
        <v>0</v>
      </c>
      <c r="T2265">
        <f t="shared" si="107"/>
        <v>0</v>
      </c>
      <c r="U2265" s="9" t="s">
        <v>148</v>
      </c>
      <c r="V2265" t="s">
        <v>164</v>
      </c>
      <c r="W2265" t="s">
        <v>138</v>
      </c>
      <c r="X2265" t="s">
        <v>102</v>
      </c>
      <c r="Y2265" t="s">
        <v>1491</v>
      </c>
      <c r="Z2265" t="s">
        <v>41</v>
      </c>
      <c r="AA2265" t="s">
        <v>1492</v>
      </c>
      <c r="AB2265" t="str">
        <f t="shared" si="105"/>
        <v>46469</v>
      </c>
    </row>
    <row r="2266" ht="14.25" spans="1:28">
      <c r="A2266" s="5" t="s">
        <v>28</v>
      </c>
      <c r="B2266" s="5" t="s">
        <v>697</v>
      </c>
      <c r="C2266" s="5">
        <v>2027</v>
      </c>
      <c r="D2266" s="5" t="s">
        <v>30</v>
      </c>
      <c r="E2266" t="s">
        <v>1500</v>
      </c>
      <c r="F2266" t="s">
        <v>1496</v>
      </c>
      <c r="G2266" t="s">
        <v>100</v>
      </c>
      <c r="H2266" t="s">
        <v>1501</v>
      </c>
      <c r="I2266" t="s">
        <v>147</v>
      </c>
      <c r="J2266" t="s">
        <v>36</v>
      </c>
      <c r="K2266">
        <v>1390</v>
      </c>
      <c r="O2266" t="s">
        <v>37</v>
      </c>
      <c r="P2266" t="s">
        <v>42</v>
      </c>
      <c r="U2266" s="9" t="s">
        <v>148</v>
      </c>
      <c r="V2266" t="s">
        <v>164</v>
      </c>
      <c r="W2266" t="s">
        <v>138</v>
      </c>
      <c r="X2266" t="s">
        <v>102</v>
      </c>
      <c r="Y2266" t="s">
        <v>1491</v>
      </c>
      <c r="Z2266" t="s">
        <v>41</v>
      </c>
      <c r="AA2266" t="s">
        <v>1492</v>
      </c>
      <c r="AB2266" t="str">
        <f t="shared" si="105"/>
        <v>46469</v>
      </c>
    </row>
    <row r="2267" ht="14.25" spans="1:28">
      <c r="A2267" s="5" t="s">
        <v>28</v>
      </c>
      <c r="B2267" s="5" t="s">
        <v>697</v>
      </c>
      <c r="C2267" s="5">
        <v>2027</v>
      </c>
      <c r="D2267" s="5" t="s">
        <v>30</v>
      </c>
      <c r="E2267" t="s">
        <v>1500</v>
      </c>
      <c r="F2267" t="s">
        <v>1496</v>
      </c>
      <c r="G2267" t="s">
        <v>100</v>
      </c>
      <c r="H2267" t="s">
        <v>1501</v>
      </c>
      <c r="I2267" t="s">
        <v>147</v>
      </c>
      <c r="J2267" t="s">
        <v>36</v>
      </c>
      <c r="K2267">
        <v>1390</v>
      </c>
      <c r="O2267" t="s">
        <v>37</v>
      </c>
      <c r="P2267" t="s">
        <v>43</v>
      </c>
      <c r="U2267" s="9" t="s">
        <v>148</v>
      </c>
      <c r="V2267" t="s">
        <v>164</v>
      </c>
      <c r="W2267" t="s">
        <v>138</v>
      </c>
      <c r="X2267" t="s">
        <v>102</v>
      </c>
      <c r="Y2267" t="s">
        <v>1491</v>
      </c>
      <c r="Z2267" t="s">
        <v>41</v>
      </c>
      <c r="AA2267" t="s">
        <v>1492</v>
      </c>
      <c r="AB2267" t="str">
        <f t="shared" si="105"/>
        <v>46469</v>
      </c>
    </row>
    <row r="2268" ht="14.25" spans="1:28">
      <c r="A2268" s="5" t="s">
        <v>28</v>
      </c>
      <c r="B2268" s="5" t="s">
        <v>697</v>
      </c>
      <c r="C2268" s="5">
        <v>2027</v>
      </c>
      <c r="D2268" s="5" t="s">
        <v>30</v>
      </c>
      <c r="E2268" t="s">
        <v>1500</v>
      </c>
      <c r="F2268" t="s">
        <v>1496</v>
      </c>
      <c r="G2268" t="s">
        <v>100</v>
      </c>
      <c r="H2268" t="s">
        <v>1501</v>
      </c>
      <c r="I2268" t="s">
        <v>147</v>
      </c>
      <c r="J2268" t="s">
        <v>36</v>
      </c>
      <c r="K2268">
        <v>1390</v>
      </c>
      <c r="O2268" t="s">
        <v>37</v>
      </c>
      <c r="P2268" t="s">
        <v>44</v>
      </c>
      <c r="U2268" s="9" t="s">
        <v>148</v>
      </c>
      <c r="V2268" t="s">
        <v>164</v>
      </c>
      <c r="W2268" t="s">
        <v>138</v>
      </c>
      <c r="X2268" t="s">
        <v>102</v>
      </c>
      <c r="Y2268" t="s">
        <v>1491</v>
      </c>
      <c r="Z2268" t="s">
        <v>41</v>
      </c>
      <c r="AA2268" t="s">
        <v>1492</v>
      </c>
      <c r="AB2268" t="str">
        <f t="shared" si="105"/>
        <v>46469</v>
      </c>
    </row>
    <row r="2269" ht="14.25" spans="1:28">
      <c r="A2269" s="5" t="s">
        <v>28</v>
      </c>
      <c r="B2269" s="5" t="s">
        <v>697</v>
      </c>
      <c r="C2269" s="5">
        <v>2027</v>
      </c>
      <c r="D2269" s="5" t="s">
        <v>30</v>
      </c>
      <c r="E2269" t="s">
        <v>1500</v>
      </c>
      <c r="F2269" t="s">
        <v>1496</v>
      </c>
      <c r="G2269" t="s">
        <v>100</v>
      </c>
      <c r="H2269" t="s">
        <v>1501</v>
      </c>
      <c r="I2269" t="s">
        <v>147</v>
      </c>
      <c r="J2269" t="s">
        <v>36</v>
      </c>
      <c r="K2269">
        <v>1390</v>
      </c>
      <c r="O2269" t="s">
        <v>37</v>
      </c>
      <c r="P2269" t="s">
        <v>45</v>
      </c>
      <c r="U2269" s="9" t="s">
        <v>148</v>
      </c>
      <c r="V2269" t="s">
        <v>164</v>
      </c>
      <c r="W2269" t="s">
        <v>138</v>
      </c>
      <c r="X2269" t="s">
        <v>102</v>
      </c>
      <c r="Y2269" t="s">
        <v>1491</v>
      </c>
      <c r="Z2269" t="s">
        <v>41</v>
      </c>
      <c r="AA2269" t="s">
        <v>1492</v>
      </c>
      <c r="AB2269" t="str">
        <f t="shared" si="105"/>
        <v>46469</v>
      </c>
    </row>
    <row r="2270" ht="14.25" spans="1:28">
      <c r="A2270" s="5" t="s">
        <v>28</v>
      </c>
      <c r="B2270" s="5" t="s">
        <v>697</v>
      </c>
      <c r="C2270" s="5">
        <v>2027</v>
      </c>
      <c r="D2270" s="5" t="s">
        <v>30</v>
      </c>
      <c r="E2270" t="s">
        <v>1500</v>
      </c>
      <c r="F2270" t="s">
        <v>1496</v>
      </c>
      <c r="G2270" t="s">
        <v>100</v>
      </c>
      <c r="H2270" t="s">
        <v>1501</v>
      </c>
      <c r="I2270" t="s">
        <v>147</v>
      </c>
      <c r="J2270" t="s">
        <v>36</v>
      </c>
      <c r="K2270">
        <v>1390</v>
      </c>
      <c r="O2270" t="s">
        <v>37</v>
      </c>
      <c r="P2270" t="s">
        <v>46</v>
      </c>
      <c r="U2270" s="9" t="s">
        <v>148</v>
      </c>
      <c r="V2270" t="s">
        <v>164</v>
      </c>
      <c r="W2270" t="s">
        <v>138</v>
      </c>
      <c r="X2270" t="s">
        <v>102</v>
      </c>
      <c r="Y2270" t="s">
        <v>1491</v>
      </c>
      <c r="Z2270" t="s">
        <v>41</v>
      </c>
      <c r="AA2270" t="s">
        <v>1492</v>
      </c>
      <c r="AB2270" t="str">
        <f t="shared" si="105"/>
        <v>46469</v>
      </c>
    </row>
    <row r="2271" ht="14.25" spans="1:28">
      <c r="A2271" s="5" t="s">
        <v>28</v>
      </c>
      <c r="B2271" s="5" t="s">
        <v>697</v>
      </c>
      <c r="C2271" s="5">
        <v>2027</v>
      </c>
      <c r="D2271" s="5" t="s">
        <v>30</v>
      </c>
      <c r="E2271" t="s">
        <v>1502</v>
      </c>
      <c r="F2271" t="s">
        <v>1503</v>
      </c>
      <c r="G2271" t="s">
        <v>221</v>
      </c>
      <c r="H2271" t="s">
        <v>1504</v>
      </c>
      <c r="I2271" t="s">
        <v>147</v>
      </c>
      <c r="J2271" t="s">
        <v>36</v>
      </c>
      <c r="K2271">
        <v>2390</v>
      </c>
      <c r="O2271" t="s">
        <v>37</v>
      </c>
      <c r="P2271" t="s">
        <v>38</v>
      </c>
      <c r="R2271">
        <f t="shared" si="106"/>
        <v>0</v>
      </c>
      <c r="S2271">
        <f>SUMIFS([1]Sheet1!$T:$T,[1]Sheet1!$I:$I,E2271,[1]Sheet1!$C:$C,A2271)</f>
        <v>70</v>
      </c>
      <c r="T2271">
        <f t="shared" si="107"/>
        <v>-70</v>
      </c>
      <c r="U2271" s="9" t="s">
        <v>242</v>
      </c>
      <c r="V2271" t="s">
        <v>242</v>
      </c>
      <c r="W2271" t="s">
        <v>138</v>
      </c>
      <c r="X2271" t="s">
        <v>70</v>
      </c>
      <c r="Y2271" t="s">
        <v>179</v>
      </c>
      <c r="Z2271" t="s">
        <v>41</v>
      </c>
      <c r="AA2271" t="s">
        <v>1505</v>
      </c>
      <c r="AB2271" t="str">
        <f t="shared" si="105"/>
        <v>46471</v>
      </c>
    </row>
    <row r="2272" ht="14.25" spans="1:28">
      <c r="A2272" s="5" t="s">
        <v>28</v>
      </c>
      <c r="B2272" s="5" t="s">
        <v>697</v>
      </c>
      <c r="C2272" s="5">
        <v>2027</v>
      </c>
      <c r="D2272" s="5" t="s">
        <v>30</v>
      </c>
      <c r="E2272" t="s">
        <v>1502</v>
      </c>
      <c r="F2272" t="s">
        <v>1503</v>
      </c>
      <c r="G2272" t="s">
        <v>221</v>
      </c>
      <c r="H2272" t="s">
        <v>1504</v>
      </c>
      <c r="I2272" t="s">
        <v>147</v>
      </c>
      <c r="J2272" t="s">
        <v>36</v>
      </c>
      <c r="K2272">
        <v>2390</v>
      </c>
      <c r="O2272" t="s">
        <v>37</v>
      </c>
      <c r="P2272" t="s">
        <v>42</v>
      </c>
      <c r="U2272" s="9" t="s">
        <v>242</v>
      </c>
      <c r="V2272" t="s">
        <v>242</v>
      </c>
      <c r="W2272" t="s">
        <v>138</v>
      </c>
      <c r="X2272" t="s">
        <v>70</v>
      </c>
      <c r="Y2272" t="s">
        <v>179</v>
      </c>
      <c r="Z2272" t="s">
        <v>41</v>
      </c>
      <c r="AA2272" t="s">
        <v>1505</v>
      </c>
      <c r="AB2272" t="str">
        <f t="shared" si="105"/>
        <v>46471</v>
      </c>
    </row>
    <row r="2273" ht="14.25" spans="1:28">
      <c r="A2273" s="5" t="s">
        <v>28</v>
      </c>
      <c r="B2273" s="5" t="s">
        <v>697</v>
      </c>
      <c r="C2273" s="5">
        <v>2027</v>
      </c>
      <c r="D2273" s="5" t="s">
        <v>30</v>
      </c>
      <c r="E2273" t="s">
        <v>1502</v>
      </c>
      <c r="F2273" t="s">
        <v>1503</v>
      </c>
      <c r="G2273" t="s">
        <v>221</v>
      </c>
      <c r="H2273" t="s">
        <v>1504</v>
      </c>
      <c r="I2273" t="s">
        <v>147</v>
      </c>
      <c r="J2273" t="s">
        <v>36</v>
      </c>
      <c r="K2273">
        <v>2390</v>
      </c>
      <c r="O2273" t="s">
        <v>37</v>
      </c>
      <c r="P2273" t="s">
        <v>43</v>
      </c>
      <c r="U2273" s="9" t="s">
        <v>242</v>
      </c>
      <c r="V2273" t="s">
        <v>242</v>
      </c>
      <c r="W2273" t="s">
        <v>138</v>
      </c>
      <c r="X2273" t="s">
        <v>70</v>
      </c>
      <c r="Y2273" t="s">
        <v>179</v>
      </c>
      <c r="Z2273" t="s">
        <v>41</v>
      </c>
      <c r="AA2273" t="s">
        <v>1505</v>
      </c>
      <c r="AB2273" t="str">
        <f t="shared" si="105"/>
        <v>46471</v>
      </c>
    </row>
    <row r="2274" ht="14.25" spans="1:28">
      <c r="A2274" s="5" t="s">
        <v>28</v>
      </c>
      <c r="B2274" s="5" t="s">
        <v>697</v>
      </c>
      <c r="C2274" s="5">
        <v>2027</v>
      </c>
      <c r="D2274" s="5" t="s">
        <v>30</v>
      </c>
      <c r="E2274" t="s">
        <v>1502</v>
      </c>
      <c r="F2274" t="s">
        <v>1503</v>
      </c>
      <c r="G2274" t="s">
        <v>221</v>
      </c>
      <c r="H2274" t="s">
        <v>1504</v>
      </c>
      <c r="I2274" t="s">
        <v>147</v>
      </c>
      <c r="J2274" t="s">
        <v>36</v>
      </c>
      <c r="K2274">
        <v>2390</v>
      </c>
      <c r="O2274" t="s">
        <v>37</v>
      </c>
      <c r="P2274" t="s">
        <v>44</v>
      </c>
      <c r="U2274" s="9" t="s">
        <v>242</v>
      </c>
      <c r="V2274" t="s">
        <v>242</v>
      </c>
      <c r="W2274" t="s">
        <v>138</v>
      </c>
      <c r="X2274" t="s">
        <v>70</v>
      </c>
      <c r="Y2274" t="s">
        <v>179</v>
      </c>
      <c r="Z2274" t="s">
        <v>41</v>
      </c>
      <c r="AA2274" t="s">
        <v>1505</v>
      </c>
      <c r="AB2274" t="str">
        <f t="shared" si="105"/>
        <v>46471</v>
      </c>
    </row>
    <row r="2275" ht="14.25" spans="1:28">
      <c r="A2275" s="5" t="s">
        <v>28</v>
      </c>
      <c r="B2275" s="5" t="s">
        <v>697</v>
      </c>
      <c r="C2275" s="5">
        <v>2027</v>
      </c>
      <c r="D2275" s="5" t="s">
        <v>30</v>
      </c>
      <c r="E2275" t="s">
        <v>1502</v>
      </c>
      <c r="F2275" t="s">
        <v>1503</v>
      </c>
      <c r="G2275" t="s">
        <v>221</v>
      </c>
      <c r="H2275" t="s">
        <v>1504</v>
      </c>
      <c r="I2275" t="s">
        <v>147</v>
      </c>
      <c r="J2275" t="s">
        <v>36</v>
      </c>
      <c r="K2275">
        <v>2390</v>
      </c>
      <c r="O2275" t="s">
        <v>37</v>
      </c>
      <c r="P2275" t="s">
        <v>45</v>
      </c>
      <c r="U2275" s="9" t="s">
        <v>242</v>
      </c>
      <c r="V2275" t="s">
        <v>242</v>
      </c>
      <c r="W2275" t="s">
        <v>138</v>
      </c>
      <c r="X2275" t="s">
        <v>70</v>
      </c>
      <c r="Y2275" t="s">
        <v>179</v>
      </c>
      <c r="Z2275" t="s">
        <v>41</v>
      </c>
      <c r="AA2275" t="s">
        <v>1505</v>
      </c>
      <c r="AB2275" t="str">
        <f t="shared" si="105"/>
        <v>46471</v>
      </c>
    </row>
    <row r="2276" ht="14.25" spans="1:28">
      <c r="A2276" s="5" t="s">
        <v>28</v>
      </c>
      <c r="B2276" s="5" t="s">
        <v>697</v>
      </c>
      <c r="C2276" s="5">
        <v>2027</v>
      </c>
      <c r="D2276" s="5" t="s">
        <v>30</v>
      </c>
      <c r="E2276" t="s">
        <v>1502</v>
      </c>
      <c r="F2276" t="s">
        <v>1503</v>
      </c>
      <c r="G2276" t="s">
        <v>221</v>
      </c>
      <c r="H2276" t="s">
        <v>1504</v>
      </c>
      <c r="I2276" t="s">
        <v>147</v>
      </c>
      <c r="J2276" t="s">
        <v>36</v>
      </c>
      <c r="K2276">
        <v>2390</v>
      </c>
      <c r="O2276" t="s">
        <v>37</v>
      </c>
      <c r="P2276" t="s">
        <v>46</v>
      </c>
      <c r="U2276" s="9" t="s">
        <v>242</v>
      </c>
      <c r="V2276" t="s">
        <v>242</v>
      </c>
      <c r="W2276" t="s">
        <v>138</v>
      </c>
      <c r="X2276" t="s">
        <v>70</v>
      </c>
      <c r="Y2276" t="s">
        <v>179</v>
      </c>
      <c r="Z2276" t="s">
        <v>41</v>
      </c>
      <c r="AA2276" t="s">
        <v>1505</v>
      </c>
      <c r="AB2276" t="str">
        <f t="shared" si="105"/>
        <v>46471</v>
      </c>
    </row>
    <row r="2277" ht="14.25" spans="1:28">
      <c r="A2277" s="5" t="s">
        <v>28</v>
      </c>
      <c r="B2277" s="5" t="s">
        <v>697</v>
      </c>
      <c r="C2277" s="5">
        <v>2027</v>
      </c>
      <c r="D2277" s="5" t="s">
        <v>30</v>
      </c>
      <c r="E2277" t="s">
        <v>1506</v>
      </c>
      <c r="F2277" t="s">
        <v>1503</v>
      </c>
      <c r="G2277" t="s">
        <v>100</v>
      </c>
      <c r="H2277" t="s">
        <v>1507</v>
      </c>
      <c r="I2277" t="s">
        <v>147</v>
      </c>
      <c r="J2277" t="s">
        <v>36</v>
      </c>
      <c r="K2277">
        <v>2390</v>
      </c>
      <c r="O2277" t="s">
        <v>37</v>
      </c>
      <c r="P2277" t="s">
        <v>38</v>
      </c>
      <c r="R2277">
        <f t="shared" si="106"/>
        <v>0</v>
      </c>
      <c r="S2277">
        <f>SUMIFS([1]Sheet1!$T:$T,[1]Sheet1!$I:$I,E2277,[1]Sheet1!$C:$C,A2277)</f>
        <v>100</v>
      </c>
      <c r="T2277">
        <f t="shared" si="107"/>
        <v>-100</v>
      </c>
      <c r="U2277" s="9" t="s">
        <v>242</v>
      </c>
      <c r="V2277" t="s">
        <v>242</v>
      </c>
      <c r="W2277" t="s">
        <v>138</v>
      </c>
      <c r="X2277" t="s">
        <v>102</v>
      </c>
      <c r="Y2277" t="s">
        <v>179</v>
      </c>
      <c r="Z2277" t="s">
        <v>41</v>
      </c>
      <c r="AA2277" t="s">
        <v>1505</v>
      </c>
      <c r="AB2277" t="str">
        <f t="shared" si="105"/>
        <v>46471</v>
      </c>
    </row>
    <row r="2278" ht="14.25" spans="1:28">
      <c r="A2278" s="5" t="s">
        <v>28</v>
      </c>
      <c r="B2278" s="5" t="s">
        <v>697</v>
      </c>
      <c r="C2278" s="5">
        <v>2027</v>
      </c>
      <c r="D2278" s="5" t="s">
        <v>30</v>
      </c>
      <c r="E2278" t="s">
        <v>1506</v>
      </c>
      <c r="F2278" t="s">
        <v>1503</v>
      </c>
      <c r="G2278" t="s">
        <v>100</v>
      </c>
      <c r="H2278" t="s">
        <v>1507</v>
      </c>
      <c r="I2278" t="s">
        <v>147</v>
      </c>
      <c r="J2278" t="s">
        <v>36</v>
      </c>
      <c r="K2278">
        <v>2390</v>
      </c>
      <c r="O2278" t="s">
        <v>37</v>
      </c>
      <c r="P2278" t="s">
        <v>42</v>
      </c>
      <c r="U2278" s="9" t="s">
        <v>242</v>
      </c>
      <c r="V2278" t="s">
        <v>242</v>
      </c>
      <c r="W2278" t="s">
        <v>138</v>
      </c>
      <c r="X2278" t="s">
        <v>102</v>
      </c>
      <c r="Y2278" t="s">
        <v>179</v>
      </c>
      <c r="Z2278" t="s">
        <v>41</v>
      </c>
      <c r="AA2278" t="s">
        <v>1505</v>
      </c>
      <c r="AB2278" t="str">
        <f t="shared" si="105"/>
        <v>46471</v>
      </c>
    </row>
    <row r="2279" ht="14.25" spans="1:28">
      <c r="A2279" s="5" t="s">
        <v>28</v>
      </c>
      <c r="B2279" s="5" t="s">
        <v>697</v>
      </c>
      <c r="C2279" s="5">
        <v>2027</v>
      </c>
      <c r="D2279" s="5" t="s">
        <v>30</v>
      </c>
      <c r="E2279" t="s">
        <v>1506</v>
      </c>
      <c r="F2279" t="s">
        <v>1503</v>
      </c>
      <c r="G2279" t="s">
        <v>100</v>
      </c>
      <c r="H2279" t="s">
        <v>1507</v>
      </c>
      <c r="I2279" t="s">
        <v>147</v>
      </c>
      <c r="J2279" t="s">
        <v>36</v>
      </c>
      <c r="K2279">
        <v>2390</v>
      </c>
      <c r="O2279" t="s">
        <v>37</v>
      </c>
      <c r="P2279" t="s">
        <v>43</v>
      </c>
      <c r="U2279" s="9" t="s">
        <v>242</v>
      </c>
      <c r="V2279" t="s">
        <v>242</v>
      </c>
      <c r="W2279" t="s">
        <v>138</v>
      </c>
      <c r="X2279" t="s">
        <v>102</v>
      </c>
      <c r="Y2279" t="s">
        <v>179</v>
      </c>
      <c r="Z2279" t="s">
        <v>41</v>
      </c>
      <c r="AA2279" t="s">
        <v>1505</v>
      </c>
      <c r="AB2279" t="str">
        <f t="shared" si="105"/>
        <v>46471</v>
      </c>
    </row>
    <row r="2280" ht="14.25" spans="1:28">
      <c r="A2280" s="5" t="s">
        <v>28</v>
      </c>
      <c r="B2280" s="5" t="s">
        <v>697</v>
      </c>
      <c r="C2280" s="5">
        <v>2027</v>
      </c>
      <c r="D2280" s="5" t="s">
        <v>30</v>
      </c>
      <c r="E2280" t="s">
        <v>1506</v>
      </c>
      <c r="F2280" t="s">
        <v>1503</v>
      </c>
      <c r="G2280" t="s">
        <v>100</v>
      </c>
      <c r="H2280" t="s">
        <v>1507</v>
      </c>
      <c r="I2280" t="s">
        <v>147</v>
      </c>
      <c r="J2280" t="s">
        <v>36</v>
      </c>
      <c r="K2280">
        <v>2390</v>
      </c>
      <c r="O2280" t="s">
        <v>37</v>
      </c>
      <c r="P2280" t="s">
        <v>44</v>
      </c>
      <c r="U2280" s="9" t="s">
        <v>242</v>
      </c>
      <c r="V2280" t="s">
        <v>242</v>
      </c>
      <c r="W2280" t="s">
        <v>138</v>
      </c>
      <c r="X2280" t="s">
        <v>102</v>
      </c>
      <c r="Y2280" t="s">
        <v>179</v>
      </c>
      <c r="Z2280" t="s">
        <v>41</v>
      </c>
      <c r="AA2280" t="s">
        <v>1505</v>
      </c>
      <c r="AB2280" t="str">
        <f t="shared" si="105"/>
        <v>46471</v>
      </c>
    </row>
    <row r="2281" ht="14.25" spans="1:28">
      <c r="A2281" s="5" t="s">
        <v>28</v>
      </c>
      <c r="B2281" s="5" t="s">
        <v>697</v>
      </c>
      <c r="C2281" s="5">
        <v>2027</v>
      </c>
      <c r="D2281" s="5" t="s">
        <v>30</v>
      </c>
      <c r="E2281" t="s">
        <v>1506</v>
      </c>
      <c r="F2281" t="s">
        <v>1503</v>
      </c>
      <c r="G2281" t="s">
        <v>100</v>
      </c>
      <c r="H2281" t="s">
        <v>1507</v>
      </c>
      <c r="I2281" t="s">
        <v>147</v>
      </c>
      <c r="J2281" t="s">
        <v>36</v>
      </c>
      <c r="K2281">
        <v>2390</v>
      </c>
      <c r="O2281" t="s">
        <v>37</v>
      </c>
      <c r="P2281" t="s">
        <v>45</v>
      </c>
      <c r="U2281" s="9" t="s">
        <v>242</v>
      </c>
      <c r="V2281" t="s">
        <v>242</v>
      </c>
      <c r="W2281" t="s">
        <v>138</v>
      </c>
      <c r="X2281" t="s">
        <v>102</v>
      </c>
      <c r="Y2281" t="s">
        <v>179</v>
      </c>
      <c r="Z2281" t="s">
        <v>41</v>
      </c>
      <c r="AA2281" t="s">
        <v>1505</v>
      </c>
      <c r="AB2281" t="str">
        <f t="shared" si="105"/>
        <v>46471</v>
      </c>
    </row>
    <row r="2282" ht="14.25" spans="1:28">
      <c r="A2282" s="5" t="s">
        <v>28</v>
      </c>
      <c r="B2282" s="5" t="s">
        <v>697</v>
      </c>
      <c r="C2282" s="5">
        <v>2027</v>
      </c>
      <c r="D2282" s="5" t="s">
        <v>30</v>
      </c>
      <c r="E2282" t="s">
        <v>1506</v>
      </c>
      <c r="F2282" t="s">
        <v>1503</v>
      </c>
      <c r="G2282" t="s">
        <v>100</v>
      </c>
      <c r="H2282" t="s">
        <v>1507</v>
      </c>
      <c r="I2282" t="s">
        <v>147</v>
      </c>
      <c r="J2282" t="s">
        <v>36</v>
      </c>
      <c r="K2282">
        <v>2390</v>
      </c>
      <c r="O2282" t="s">
        <v>37</v>
      </c>
      <c r="P2282" t="s">
        <v>46</v>
      </c>
      <c r="U2282" s="9" t="s">
        <v>242</v>
      </c>
      <c r="V2282" t="s">
        <v>242</v>
      </c>
      <c r="W2282" t="s">
        <v>138</v>
      </c>
      <c r="X2282" t="s">
        <v>102</v>
      </c>
      <c r="Y2282" t="s">
        <v>179</v>
      </c>
      <c r="Z2282" t="s">
        <v>41</v>
      </c>
      <c r="AA2282" t="s">
        <v>1505</v>
      </c>
      <c r="AB2282" t="str">
        <f t="shared" si="105"/>
        <v>46471</v>
      </c>
    </row>
    <row r="2283" ht="14.25" spans="1:28">
      <c r="A2283" s="5" t="s">
        <v>28</v>
      </c>
      <c r="B2283" s="5" t="s">
        <v>697</v>
      </c>
      <c r="C2283" s="5">
        <v>2027</v>
      </c>
      <c r="D2283" s="5" t="s">
        <v>30</v>
      </c>
      <c r="E2283" t="s">
        <v>1508</v>
      </c>
      <c r="F2283" t="s">
        <v>1509</v>
      </c>
      <c r="G2283" t="s">
        <v>221</v>
      </c>
      <c r="H2283" t="s">
        <v>1510</v>
      </c>
      <c r="I2283" t="s">
        <v>112</v>
      </c>
      <c r="J2283" t="s">
        <v>67</v>
      </c>
      <c r="K2283">
        <v>1390</v>
      </c>
      <c r="O2283" t="s">
        <v>68</v>
      </c>
      <c r="P2283" t="s">
        <v>69</v>
      </c>
      <c r="R2283">
        <f t="shared" si="106"/>
        <v>0</v>
      </c>
      <c r="S2283">
        <f>SUMIFS([1]Sheet1!$T:$T,[1]Sheet1!$I:$I,E2283,[1]Sheet1!$C:$C,A2283)</f>
        <v>30</v>
      </c>
      <c r="T2283">
        <f t="shared" si="107"/>
        <v>-30</v>
      </c>
      <c r="U2283" s="9" t="s">
        <v>136</v>
      </c>
      <c r="V2283" t="s">
        <v>1150</v>
      </c>
      <c r="W2283" t="s">
        <v>138</v>
      </c>
      <c r="X2283" t="s">
        <v>70</v>
      </c>
      <c r="Y2283" t="s">
        <v>103</v>
      </c>
      <c r="Z2283" t="s">
        <v>41</v>
      </c>
      <c r="AB2283" t="str">
        <f t="shared" si="105"/>
        <v>46479</v>
      </c>
    </row>
    <row r="2284" ht="14.25" spans="1:28">
      <c r="A2284" s="5" t="s">
        <v>28</v>
      </c>
      <c r="B2284" s="5" t="s">
        <v>697</v>
      </c>
      <c r="C2284" s="5">
        <v>2027</v>
      </c>
      <c r="D2284" s="5" t="s">
        <v>30</v>
      </c>
      <c r="E2284" t="s">
        <v>1508</v>
      </c>
      <c r="F2284" t="s">
        <v>1509</v>
      </c>
      <c r="G2284" t="s">
        <v>221</v>
      </c>
      <c r="H2284" t="s">
        <v>1510</v>
      </c>
      <c r="I2284" t="s">
        <v>112</v>
      </c>
      <c r="J2284" t="s">
        <v>67</v>
      </c>
      <c r="K2284">
        <v>1390</v>
      </c>
      <c r="O2284" t="s">
        <v>68</v>
      </c>
      <c r="P2284" t="s">
        <v>72</v>
      </c>
      <c r="U2284" s="9" t="s">
        <v>136</v>
      </c>
      <c r="V2284" t="s">
        <v>1150</v>
      </c>
      <c r="W2284" t="s">
        <v>138</v>
      </c>
      <c r="X2284" t="s">
        <v>70</v>
      </c>
      <c r="Y2284" t="s">
        <v>103</v>
      </c>
      <c r="Z2284" t="s">
        <v>41</v>
      </c>
      <c r="AB2284" t="str">
        <f t="shared" si="105"/>
        <v>46479</v>
      </c>
    </row>
    <row r="2285" ht="14.25" spans="1:28">
      <c r="A2285" s="5" t="s">
        <v>28</v>
      </c>
      <c r="B2285" s="5" t="s">
        <v>697</v>
      </c>
      <c r="C2285" s="5">
        <v>2027</v>
      </c>
      <c r="D2285" s="5" t="s">
        <v>30</v>
      </c>
      <c r="E2285" t="s">
        <v>1508</v>
      </c>
      <c r="F2285" t="s">
        <v>1509</v>
      </c>
      <c r="G2285" t="s">
        <v>221</v>
      </c>
      <c r="H2285" t="s">
        <v>1510</v>
      </c>
      <c r="I2285" t="s">
        <v>112</v>
      </c>
      <c r="J2285" t="s">
        <v>67</v>
      </c>
      <c r="K2285">
        <v>1390</v>
      </c>
      <c r="O2285" t="s">
        <v>68</v>
      </c>
      <c r="P2285" t="s">
        <v>73</v>
      </c>
      <c r="U2285" s="9" t="s">
        <v>136</v>
      </c>
      <c r="V2285" t="s">
        <v>1150</v>
      </c>
      <c r="W2285" t="s">
        <v>138</v>
      </c>
      <c r="X2285" t="s">
        <v>70</v>
      </c>
      <c r="Y2285" t="s">
        <v>103</v>
      </c>
      <c r="Z2285" t="s">
        <v>41</v>
      </c>
      <c r="AB2285" t="str">
        <f t="shared" si="105"/>
        <v>46479</v>
      </c>
    </row>
    <row r="2286" ht="14.25" spans="1:28">
      <c r="A2286" s="5" t="s">
        <v>28</v>
      </c>
      <c r="B2286" s="5" t="s">
        <v>697</v>
      </c>
      <c r="C2286" s="5">
        <v>2027</v>
      </c>
      <c r="D2286" s="5" t="s">
        <v>30</v>
      </c>
      <c r="E2286" t="s">
        <v>1508</v>
      </c>
      <c r="F2286" t="s">
        <v>1509</v>
      </c>
      <c r="G2286" t="s">
        <v>221</v>
      </c>
      <c r="H2286" t="s">
        <v>1510</v>
      </c>
      <c r="I2286" t="s">
        <v>112</v>
      </c>
      <c r="J2286" t="s">
        <v>67</v>
      </c>
      <c r="K2286">
        <v>1390</v>
      </c>
      <c r="O2286" t="s">
        <v>68</v>
      </c>
      <c r="P2286" t="s">
        <v>74</v>
      </c>
      <c r="U2286" s="9" t="s">
        <v>136</v>
      </c>
      <c r="V2286" t="s">
        <v>1150</v>
      </c>
      <c r="W2286" t="s">
        <v>138</v>
      </c>
      <c r="X2286" t="s">
        <v>70</v>
      </c>
      <c r="Y2286" t="s">
        <v>103</v>
      </c>
      <c r="Z2286" t="s">
        <v>41</v>
      </c>
      <c r="AB2286" t="str">
        <f t="shared" si="105"/>
        <v>46479</v>
      </c>
    </row>
    <row r="2287" ht="14.25" spans="1:28">
      <c r="A2287" s="5" t="s">
        <v>28</v>
      </c>
      <c r="B2287" s="5" t="s">
        <v>697</v>
      </c>
      <c r="C2287" s="5">
        <v>2027</v>
      </c>
      <c r="D2287" s="5" t="s">
        <v>30</v>
      </c>
      <c r="E2287" t="s">
        <v>1508</v>
      </c>
      <c r="F2287" t="s">
        <v>1509</v>
      </c>
      <c r="G2287" t="s">
        <v>221</v>
      </c>
      <c r="H2287" t="s">
        <v>1510</v>
      </c>
      <c r="I2287" t="s">
        <v>112</v>
      </c>
      <c r="J2287" t="s">
        <v>67</v>
      </c>
      <c r="K2287">
        <v>1390</v>
      </c>
      <c r="O2287" t="s">
        <v>68</v>
      </c>
      <c r="P2287" t="s">
        <v>75</v>
      </c>
      <c r="U2287" s="9" t="s">
        <v>136</v>
      </c>
      <c r="V2287" t="s">
        <v>1150</v>
      </c>
      <c r="W2287" t="s">
        <v>138</v>
      </c>
      <c r="X2287" t="s">
        <v>70</v>
      </c>
      <c r="Y2287" t="s">
        <v>103</v>
      </c>
      <c r="Z2287" t="s">
        <v>41</v>
      </c>
      <c r="AB2287" t="str">
        <f t="shared" si="105"/>
        <v>46479</v>
      </c>
    </row>
    <row r="2288" ht="14.25" spans="1:28">
      <c r="A2288" s="5" t="s">
        <v>28</v>
      </c>
      <c r="B2288" s="5" t="s">
        <v>697</v>
      </c>
      <c r="C2288" s="5">
        <v>2027</v>
      </c>
      <c r="D2288" s="5" t="s">
        <v>30</v>
      </c>
      <c r="E2288" t="s">
        <v>1508</v>
      </c>
      <c r="F2288" t="s">
        <v>1509</v>
      </c>
      <c r="G2288" t="s">
        <v>221</v>
      </c>
      <c r="H2288" t="s">
        <v>1510</v>
      </c>
      <c r="I2288" t="s">
        <v>112</v>
      </c>
      <c r="J2288" t="s">
        <v>67</v>
      </c>
      <c r="K2288">
        <v>1390</v>
      </c>
      <c r="O2288" t="s">
        <v>68</v>
      </c>
      <c r="P2288" t="s">
        <v>76</v>
      </c>
      <c r="U2288" s="9" t="s">
        <v>136</v>
      </c>
      <c r="V2288" t="s">
        <v>1150</v>
      </c>
      <c r="W2288" t="s">
        <v>138</v>
      </c>
      <c r="X2288" t="s">
        <v>70</v>
      </c>
      <c r="Y2288" t="s">
        <v>103</v>
      </c>
      <c r="Z2288" t="s">
        <v>41</v>
      </c>
      <c r="AB2288" t="str">
        <f t="shared" si="105"/>
        <v>46479</v>
      </c>
    </row>
    <row r="2289" ht="14.25" spans="1:28">
      <c r="A2289" s="5" t="s">
        <v>28</v>
      </c>
      <c r="B2289" s="5" t="s">
        <v>697</v>
      </c>
      <c r="C2289" s="5">
        <v>2027</v>
      </c>
      <c r="D2289" s="5" t="s">
        <v>30</v>
      </c>
      <c r="E2289" t="s">
        <v>1508</v>
      </c>
      <c r="F2289" t="s">
        <v>1509</v>
      </c>
      <c r="G2289" t="s">
        <v>221</v>
      </c>
      <c r="H2289" t="s">
        <v>1510</v>
      </c>
      <c r="I2289" t="s">
        <v>112</v>
      </c>
      <c r="J2289" t="s">
        <v>67</v>
      </c>
      <c r="K2289">
        <v>1390</v>
      </c>
      <c r="O2289" t="s">
        <v>68</v>
      </c>
      <c r="P2289" t="s">
        <v>77</v>
      </c>
      <c r="U2289" s="9" t="s">
        <v>136</v>
      </c>
      <c r="V2289" t="s">
        <v>1150</v>
      </c>
      <c r="W2289" t="s">
        <v>138</v>
      </c>
      <c r="X2289" t="s">
        <v>70</v>
      </c>
      <c r="Y2289" t="s">
        <v>103</v>
      </c>
      <c r="Z2289" t="s">
        <v>41</v>
      </c>
      <c r="AB2289" t="str">
        <f t="shared" si="105"/>
        <v>46479</v>
      </c>
    </row>
    <row r="2290" ht="14.25" spans="1:28">
      <c r="A2290" s="5" t="s">
        <v>28</v>
      </c>
      <c r="B2290" s="5" t="s">
        <v>697</v>
      </c>
      <c r="C2290" s="5">
        <v>2027</v>
      </c>
      <c r="D2290" s="5" t="s">
        <v>30</v>
      </c>
      <c r="E2290" t="s">
        <v>1508</v>
      </c>
      <c r="F2290" t="s">
        <v>1509</v>
      </c>
      <c r="G2290" t="s">
        <v>221</v>
      </c>
      <c r="H2290" t="s">
        <v>1510</v>
      </c>
      <c r="I2290" t="s">
        <v>112</v>
      </c>
      <c r="J2290" t="s">
        <v>67</v>
      </c>
      <c r="K2290">
        <v>1390</v>
      </c>
      <c r="O2290" t="s">
        <v>68</v>
      </c>
      <c r="P2290" t="s">
        <v>78</v>
      </c>
      <c r="U2290" s="9" t="s">
        <v>136</v>
      </c>
      <c r="V2290" t="s">
        <v>1150</v>
      </c>
      <c r="W2290" t="s">
        <v>138</v>
      </c>
      <c r="X2290" t="s">
        <v>70</v>
      </c>
      <c r="Y2290" t="s">
        <v>103</v>
      </c>
      <c r="Z2290" t="s">
        <v>41</v>
      </c>
      <c r="AB2290" t="str">
        <f t="shared" si="105"/>
        <v>46479</v>
      </c>
    </row>
    <row r="2291" ht="14.25" spans="1:28">
      <c r="A2291" s="5" t="s">
        <v>28</v>
      </c>
      <c r="B2291" s="5" t="s">
        <v>697</v>
      </c>
      <c r="C2291" s="5">
        <v>2027</v>
      </c>
      <c r="D2291" s="5" t="s">
        <v>30</v>
      </c>
      <c r="E2291" t="s">
        <v>1508</v>
      </c>
      <c r="F2291" t="s">
        <v>1509</v>
      </c>
      <c r="G2291" t="s">
        <v>221</v>
      </c>
      <c r="H2291" t="s">
        <v>1510</v>
      </c>
      <c r="I2291" t="s">
        <v>112</v>
      </c>
      <c r="J2291" t="s">
        <v>67</v>
      </c>
      <c r="K2291">
        <v>1390</v>
      </c>
      <c r="O2291" t="s">
        <v>68</v>
      </c>
      <c r="P2291" t="s">
        <v>79</v>
      </c>
      <c r="U2291" s="9" t="s">
        <v>136</v>
      </c>
      <c r="V2291" t="s">
        <v>1150</v>
      </c>
      <c r="W2291" t="s">
        <v>138</v>
      </c>
      <c r="X2291" t="s">
        <v>70</v>
      </c>
      <c r="Y2291" t="s">
        <v>103</v>
      </c>
      <c r="Z2291" t="s">
        <v>41</v>
      </c>
      <c r="AB2291" t="str">
        <f t="shared" ref="AB2291:AB2354" si="108">MID(E2291,6,5)</f>
        <v>46479</v>
      </c>
    </row>
    <row r="2292" ht="14.25" spans="1:28">
      <c r="A2292" s="5" t="s">
        <v>28</v>
      </c>
      <c r="B2292" s="5" t="s">
        <v>697</v>
      </c>
      <c r="C2292" s="5">
        <v>2027</v>
      </c>
      <c r="D2292" s="5" t="s">
        <v>30</v>
      </c>
      <c r="E2292" t="s">
        <v>1511</v>
      </c>
      <c r="F2292" t="s">
        <v>1509</v>
      </c>
      <c r="G2292" t="s">
        <v>100</v>
      </c>
      <c r="H2292" t="s">
        <v>1512</v>
      </c>
      <c r="I2292" t="s">
        <v>112</v>
      </c>
      <c r="J2292" t="s">
        <v>67</v>
      </c>
      <c r="K2292">
        <v>1390</v>
      </c>
      <c r="O2292" t="s">
        <v>68</v>
      </c>
      <c r="P2292" t="s">
        <v>69</v>
      </c>
      <c r="R2292">
        <f t="shared" si="106"/>
        <v>0</v>
      </c>
      <c r="S2292">
        <f>SUMIFS([1]Sheet1!$T:$T,[1]Sheet1!$I:$I,E2292,[1]Sheet1!$C:$C,A2292)</f>
        <v>40</v>
      </c>
      <c r="T2292">
        <f t="shared" si="107"/>
        <v>-40</v>
      </c>
      <c r="U2292" s="9" t="s">
        <v>136</v>
      </c>
      <c r="V2292" t="s">
        <v>1150</v>
      </c>
      <c r="W2292" t="s">
        <v>138</v>
      </c>
      <c r="X2292" t="s">
        <v>102</v>
      </c>
      <c r="Y2292" t="s">
        <v>103</v>
      </c>
      <c r="Z2292" t="s">
        <v>41</v>
      </c>
      <c r="AB2292" t="str">
        <f t="shared" si="108"/>
        <v>46479</v>
      </c>
    </row>
    <row r="2293" ht="14.25" spans="1:28">
      <c r="A2293" s="5" t="s">
        <v>28</v>
      </c>
      <c r="B2293" s="5" t="s">
        <v>697</v>
      </c>
      <c r="C2293" s="5">
        <v>2027</v>
      </c>
      <c r="D2293" s="5" t="s">
        <v>30</v>
      </c>
      <c r="E2293" t="s">
        <v>1511</v>
      </c>
      <c r="F2293" t="s">
        <v>1509</v>
      </c>
      <c r="G2293" t="s">
        <v>100</v>
      </c>
      <c r="H2293" t="s">
        <v>1512</v>
      </c>
      <c r="I2293" t="s">
        <v>112</v>
      </c>
      <c r="J2293" t="s">
        <v>67</v>
      </c>
      <c r="K2293">
        <v>1390</v>
      </c>
      <c r="O2293" t="s">
        <v>68</v>
      </c>
      <c r="P2293" t="s">
        <v>72</v>
      </c>
      <c r="U2293" s="9" t="s">
        <v>136</v>
      </c>
      <c r="V2293" t="s">
        <v>1150</v>
      </c>
      <c r="W2293" t="s">
        <v>138</v>
      </c>
      <c r="X2293" t="s">
        <v>102</v>
      </c>
      <c r="Y2293" t="s">
        <v>103</v>
      </c>
      <c r="Z2293" t="s">
        <v>41</v>
      </c>
      <c r="AB2293" t="str">
        <f t="shared" si="108"/>
        <v>46479</v>
      </c>
    </row>
    <row r="2294" ht="14.25" spans="1:28">
      <c r="A2294" s="5" t="s">
        <v>28</v>
      </c>
      <c r="B2294" s="5" t="s">
        <v>697</v>
      </c>
      <c r="C2294" s="5">
        <v>2027</v>
      </c>
      <c r="D2294" s="5" t="s">
        <v>30</v>
      </c>
      <c r="E2294" t="s">
        <v>1511</v>
      </c>
      <c r="F2294" t="s">
        <v>1509</v>
      </c>
      <c r="G2294" t="s">
        <v>100</v>
      </c>
      <c r="H2294" t="s">
        <v>1512</v>
      </c>
      <c r="I2294" t="s">
        <v>112</v>
      </c>
      <c r="J2294" t="s">
        <v>67</v>
      </c>
      <c r="K2294">
        <v>1390</v>
      </c>
      <c r="O2294" t="s">
        <v>68</v>
      </c>
      <c r="P2294" t="s">
        <v>73</v>
      </c>
      <c r="U2294" s="9" t="s">
        <v>136</v>
      </c>
      <c r="V2294" t="s">
        <v>1150</v>
      </c>
      <c r="W2294" t="s">
        <v>138</v>
      </c>
      <c r="X2294" t="s">
        <v>102</v>
      </c>
      <c r="Y2294" t="s">
        <v>103</v>
      </c>
      <c r="Z2294" t="s">
        <v>41</v>
      </c>
      <c r="AB2294" t="str">
        <f t="shared" si="108"/>
        <v>46479</v>
      </c>
    </row>
    <row r="2295" ht="14.25" spans="1:28">
      <c r="A2295" s="5" t="s">
        <v>28</v>
      </c>
      <c r="B2295" s="5" t="s">
        <v>697</v>
      </c>
      <c r="C2295" s="5">
        <v>2027</v>
      </c>
      <c r="D2295" s="5" t="s">
        <v>30</v>
      </c>
      <c r="E2295" t="s">
        <v>1511</v>
      </c>
      <c r="F2295" t="s">
        <v>1509</v>
      </c>
      <c r="G2295" t="s">
        <v>100</v>
      </c>
      <c r="H2295" t="s">
        <v>1512</v>
      </c>
      <c r="I2295" t="s">
        <v>112</v>
      </c>
      <c r="J2295" t="s">
        <v>67</v>
      </c>
      <c r="K2295">
        <v>1390</v>
      </c>
      <c r="O2295" t="s">
        <v>68</v>
      </c>
      <c r="P2295" t="s">
        <v>74</v>
      </c>
      <c r="U2295" s="9" t="s">
        <v>136</v>
      </c>
      <c r="V2295" t="s">
        <v>1150</v>
      </c>
      <c r="W2295" t="s">
        <v>138</v>
      </c>
      <c r="X2295" t="s">
        <v>102</v>
      </c>
      <c r="Y2295" t="s">
        <v>103</v>
      </c>
      <c r="Z2295" t="s">
        <v>41</v>
      </c>
      <c r="AB2295" t="str">
        <f t="shared" si="108"/>
        <v>46479</v>
      </c>
    </row>
    <row r="2296" ht="14.25" spans="1:28">
      <c r="A2296" s="5" t="s">
        <v>28</v>
      </c>
      <c r="B2296" s="5" t="s">
        <v>697</v>
      </c>
      <c r="C2296" s="5">
        <v>2027</v>
      </c>
      <c r="D2296" s="5" t="s">
        <v>30</v>
      </c>
      <c r="E2296" t="s">
        <v>1511</v>
      </c>
      <c r="F2296" t="s">
        <v>1509</v>
      </c>
      <c r="G2296" t="s">
        <v>100</v>
      </c>
      <c r="H2296" t="s">
        <v>1512</v>
      </c>
      <c r="I2296" t="s">
        <v>112</v>
      </c>
      <c r="J2296" t="s">
        <v>67</v>
      </c>
      <c r="K2296">
        <v>1390</v>
      </c>
      <c r="O2296" t="s">
        <v>68</v>
      </c>
      <c r="P2296" t="s">
        <v>75</v>
      </c>
      <c r="U2296" s="9" t="s">
        <v>136</v>
      </c>
      <c r="V2296" t="s">
        <v>1150</v>
      </c>
      <c r="W2296" t="s">
        <v>138</v>
      </c>
      <c r="X2296" t="s">
        <v>102</v>
      </c>
      <c r="Y2296" t="s">
        <v>103</v>
      </c>
      <c r="Z2296" t="s">
        <v>41</v>
      </c>
      <c r="AB2296" t="str">
        <f t="shared" si="108"/>
        <v>46479</v>
      </c>
    </row>
    <row r="2297" ht="14.25" spans="1:28">
      <c r="A2297" s="5" t="s">
        <v>28</v>
      </c>
      <c r="B2297" s="5" t="s">
        <v>697</v>
      </c>
      <c r="C2297" s="5">
        <v>2027</v>
      </c>
      <c r="D2297" s="5" t="s">
        <v>30</v>
      </c>
      <c r="E2297" t="s">
        <v>1511</v>
      </c>
      <c r="F2297" t="s">
        <v>1509</v>
      </c>
      <c r="G2297" t="s">
        <v>100</v>
      </c>
      <c r="H2297" t="s">
        <v>1512</v>
      </c>
      <c r="I2297" t="s">
        <v>112</v>
      </c>
      <c r="J2297" t="s">
        <v>67</v>
      </c>
      <c r="K2297">
        <v>1390</v>
      </c>
      <c r="O2297" t="s">
        <v>68</v>
      </c>
      <c r="P2297" t="s">
        <v>76</v>
      </c>
      <c r="U2297" s="9" t="s">
        <v>136</v>
      </c>
      <c r="V2297" t="s">
        <v>1150</v>
      </c>
      <c r="W2297" t="s">
        <v>138</v>
      </c>
      <c r="X2297" t="s">
        <v>102</v>
      </c>
      <c r="Y2297" t="s">
        <v>103</v>
      </c>
      <c r="Z2297" t="s">
        <v>41</v>
      </c>
      <c r="AB2297" t="str">
        <f t="shared" si="108"/>
        <v>46479</v>
      </c>
    </row>
    <row r="2298" ht="14.25" spans="1:28">
      <c r="A2298" s="5" t="s">
        <v>28</v>
      </c>
      <c r="B2298" s="5" t="s">
        <v>697</v>
      </c>
      <c r="C2298" s="5">
        <v>2027</v>
      </c>
      <c r="D2298" s="5" t="s">
        <v>30</v>
      </c>
      <c r="E2298" t="s">
        <v>1511</v>
      </c>
      <c r="F2298" t="s">
        <v>1509</v>
      </c>
      <c r="G2298" t="s">
        <v>100</v>
      </c>
      <c r="H2298" t="s">
        <v>1512</v>
      </c>
      <c r="I2298" t="s">
        <v>112</v>
      </c>
      <c r="J2298" t="s">
        <v>67</v>
      </c>
      <c r="K2298">
        <v>1390</v>
      </c>
      <c r="O2298" t="s">
        <v>68</v>
      </c>
      <c r="P2298" t="s">
        <v>77</v>
      </c>
      <c r="U2298" s="9" t="s">
        <v>136</v>
      </c>
      <c r="V2298" t="s">
        <v>1150</v>
      </c>
      <c r="W2298" t="s">
        <v>138</v>
      </c>
      <c r="X2298" t="s">
        <v>102</v>
      </c>
      <c r="Y2298" t="s">
        <v>103</v>
      </c>
      <c r="Z2298" t="s">
        <v>41</v>
      </c>
      <c r="AB2298" t="str">
        <f t="shared" si="108"/>
        <v>46479</v>
      </c>
    </row>
    <row r="2299" ht="14.25" spans="1:28">
      <c r="A2299" s="5" t="s">
        <v>28</v>
      </c>
      <c r="B2299" s="5" t="s">
        <v>697</v>
      </c>
      <c r="C2299" s="5">
        <v>2027</v>
      </c>
      <c r="D2299" s="5" t="s">
        <v>30</v>
      </c>
      <c r="E2299" t="s">
        <v>1511</v>
      </c>
      <c r="F2299" t="s">
        <v>1509</v>
      </c>
      <c r="G2299" t="s">
        <v>100</v>
      </c>
      <c r="H2299" t="s">
        <v>1512</v>
      </c>
      <c r="I2299" t="s">
        <v>112</v>
      </c>
      <c r="J2299" t="s">
        <v>67</v>
      </c>
      <c r="K2299">
        <v>1390</v>
      </c>
      <c r="O2299" t="s">
        <v>68</v>
      </c>
      <c r="P2299" t="s">
        <v>78</v>
      </c>
      <c r="U2299" s="9" t="s">
        <v>136</v>
      </c>
      <c r="V2299" t="s">
        <v>1150</v>
      </c>
      <c r="W2299" t="s">
        <v>138</v>
      </c>
      <c r="X2299" t="s">
        <v>102</v>
      </c>
      <c r="Y2299" t="s">
        <v>103</v>
      </c>
      <c r="Z2299" t="s">
        <v>41</v>
      </c>
      <c r="AB2299" t="str">
        <f t="shared" si="108"/>
        <v>46479</v>
      </c>
    </row>
    <row r="2300" ht="14.25" spans="1:28">
      <c r="A2300" s="5" t="s">
        <v>28</v>
      </c>
      <c r="B2300" s="5" t="s">
        <v>697</v>
      </c>
      <c r="C2300" s="5">
        <v>2027</v>
      </c>
      <c r="D2300" s="5" t="s">
        <v>30</v>
      </c>
      <c r="E2300" t="s">
        <v>1511</v>
      </c>
      <c r="F2300" t="s">
        <v>1509</v>
      </c>
      <c r="G2300" t="s">
        <v>100</v>
      </c>
      <c r="H2300" t="s">
        <v>1512</v>
      </c>
      <c r="I2300" t="s">
        <v>112</v>
      </c>
      <c r="J2300" t="s">
        <v>67</v>
      </c>
      <c r="K2300">
        <v>1390</v>
      </c>
      <c r="O2300" t="s">
        <v>68</v>
      </c>
      <c r="P2300" t="s">
        <v>79</v>
      </c>
      <c r="U2300" s="9" t="s">
        <v>136</v>
      </c>
      <c r="V2300" t="s">
        <v>1150</v>
      </c>
      <c r="W2300" t="s">
        <v>138</v>
      </c>
      <c r="X2300" t="s">
        <v>102</v>
      </c>
      <c r="Y2300" t="s">
        <v>103</v>
      </c>
      <c r="Z2300" t="s">
        <v>41</v>
      </c>
      <c r="AB2300" t="str">
        <f t="shared" si="108"/>
        <v>46479</v>
      </c>
    </row>
    <row r="2301" ht="14.25" spans="1:28">
      <c r="A2301" s="5" t="s">
        <v>28</v>
      </c>
      <c r="B2301" s="5" t="s">
        <v>697</v>
      </c>
      <c r="C2301" s="5">
        <v>2027</v>
      </c>
      <c r="D2301" s="5" t="s">
        <v>30</v>
      </c>
      <c r="E2301" t="s">
        <v>1513</v>
      </c>
      <c r="F2301" t="s">
        <v>225</v>
      </c>
      <c r="G2301" t="s">
        <v>221</v>
      </c>
      <c r="H2301" t="s">
        <v>1514</v>
      </c>
      <c r="I2301" t="s">
        <v>119</v>
      </c>
      <c r="J2301" t="s">
        <v>36</v>
      </c>
      <c r="K2301">
        <v>1590</v>
      </c>
      <c r="O2301" t="s">
        <v>37</v>
      </c>
      <c r="P2301" t="s">
        <v>38</v>
      </c>
      <c r="R2301">
        <f t="shared" si="106"/>
        <v>0</v>
      </c>
      <c r="S2301">
        <f>SUMIFS([1]Sheet1!$T:$T,[1]Sheet1!$I:$I,E2301,[1]Sheet1!$C:$C,A2301)</f>
        <v>80</v>
      </c>
      <c r="T2301">
        <f t="shared" si="107"/>
        <v>-80</v>
      </c>
      <c r="U2301" s="9" t="s">
        <v>148</v>
      </c>
      <c r="V2301" t="s">
        <v>164</v>
      </c>
      <c r="W2301" t="s">
        <v>138</v>
      </c>
      <c r="X2301" t="s">
        <v>70</v>
      </c>
      <c r="Y2301" t="s">
        <v>228</v>
      </c>
      <c r="Z2301" t="s">
        <v>41</v>
      </c>
      <c r="AB2301" t="str">
        <f t="shared" si="108"/>
        <v>46487</v>
      </c>
    </row>
    <row r="2302" ht="14.25" spans="1:28">
      <c r="A2302" s="5" t="s">
        <v>28</v>
      </c>
      <c r="B2302" s="5" t="s">
        <v>697</v>
      </c>
      <c r="C2302" s="5">
        <v>2027</v>
      </c>
      <c r="D2302" s="5" t="s">
        <v>30</v>
      </c>
      <c r="E2302" t="s">
        <v>1513</v>
      </c>
      <c r="F2302" t="s">
        <v>225</v>
      </c>
      <c r="G2302" t="s">
        <v>221</v>
      </c>
      <c r="H2302" t="s">
        <v>1514</v>
      </c>
      <c r="I2302" t="s">
        <v>119</v>
      </c>
      <c r="J2302" t="s">
        <v>36</v>
      </c>
      <c r="K2302">
        <v>1590</v>
      </c>
      <c r="O2302" t="s">
        <v>37</v>
      </c>
      <c r="P2302" t="s">
        <v>42</v>
      </c>
      <c r="U2302" s="9" t="s">
        <v>148</v>
      </c>
      <c r="V2302" t="s">
        <v>164</v>
      </c>
      <c r="W2302" t="s">
        <v>138</v>
      </c>
      <c r="X2302" t="s">
        <v>70</v>
      </c>
      <c r="Y2302" t="s">
        <v>228</v>
      </c>
      <c r="Z2302" t="s">
        <v>41</v>
      </c>
      <c r="AB2302" t="str">
        <f t="shared" si="108"/>
        <v>46487</v>
      </c>
    </row>
    <row r="2303" ht="14.25" spans="1:28">
      <c r="A2303" s="5" t="s">
        <v>28</v>
      </c>
      <c r="B2303" s="5" t="s">
        <v>697</v>
      </c>
      <c r="C2303" s="5">
        <v>2027</v>
      </c>
      <c r="D2303" s="5" t="s">
        <v>30</v>
      </c>
      <c r="E2303" t="s">
        <v>1513</v>
      </c>
      <c r="F2303" t="s">
        <v>225</v>
      </c>
      <c r="G2303" t="s">
        <v>221</v>
      </c>
      <c r="H2303" t="s">
        <v>1514</v>
      </c>
      <c r="I2303" t="s">
        <v>119</v>
      </c>
      <c r="J2303" t="s">
        <v>36</v>
      </c>
      <c r="K2303">
        <v>1590</v>
      </c>
      <c r="O2303" t="s">
        <v>37</v>
      </c>
      <c r="P2303" t="s">
        <v>43</v>
      </c>
      <c r="U2303" s="9" t="s">
        <v>148</v>
      </c>
      <c r="V2303" t="s">
        <v>164</v>
      </c>
      <c r="W2303" t="s">
        <v>138</v>
      </c>
      <c r="X2303" t="s">
        <v>70</v>
      </c>
      <c r="Y2303" t="s">
        <v>228</v>
      </c>
      <c r="Z2303" t="s">
        <v>41</v>
      </c>
      <c r="AB2303" t="str">
        <f t="shared" si="108"/>
        <v>46487</v>
      </c>
    </row>
    <row r="2304" ht="14.25" spans="1:28">
      <c r="A2304" s="5" t="s">
        <v>28</v>
      </c>
      <c r="B2304" s="5" t="s">
        <v>697</v>
      </c>
      <c r="C2304" s="5">
        <v>2027</v>
      </c>
      <c r="D2304" s="5" t="s">
        <v>30</v>
      </c>
      <c r="E2304" t="s">
        <v>1513</v>
      </c>
      <c r="F2304" t="s">
        <v>225</v>
      </c>
      <c r="G2304" t="s">
        <v>221</v>
      </c>
      <c r="H2304" t="s">
        <v>1514</v>
      </c>
      <c r="I2304" t="s">
        <v>119</v>
      </c>
      <c r="J2304" t="s">
        <v>36</v>
      </c>
      <c r="K2304">
        <v>1590</v>
      </c>
      <c r="O2304" t="s">
        <v>37</v>
      </c>
      <c r="P2304" t="s">
        <v>44</v>
      </c>
      <c r="U2304" s="9" t="s">
        <v>148</v>
      </c>
      <c r="V2304" t="s">
        <v>164</v>
      </c>
      <c r="W2304" t="s">
        <v>138</v>
      </c>
      <c r="X2304" t="s">
        <v>70</v>
      </c>
      <c r="Y2304" t="s">
        <v>228</v>
      </c>
      <c r="Z2304" t="s">
        <v>41</v>
      </c>
      <c r="AB2304" t="str">
        <f t="shared" si="108"/>
        <v>46487</v>
      </c>
    </row>
    <row r="2305" ht="14.25" spans="1:28">
      <c r="A2305" s="5" t="s">
        <v>28</v>
      </c>
      <c r="B2305" s="5" t="s">
        <v>697</v>
      </c>
      <c r="C2305" s="5">
        <v>2027</v>
      </c>
      <c r="D2305" s="5" t="s">
        <v>30</v>
      </c>
      <c r="E2305" t="s">
        <v>1513</v>
      </c>
      <c r="F2305" t="s">
        <v>225</v>
      </c>
      <c r="G2305" t="s">
        <v>221</v>
      </c>
      <c r="H2305" t="s">
        <v>1514</v>
      </c>
      <c r="I2305" t="s">
        <v>119</v>
      </c>
      <c r="J2305" t="s">
        <v>36</v>
      </c>
      <c r="K2305">
        <v>1590</v>
      </c>
      <c r="O2305" t="s">
        <v>37</v>
      </c>
      <c r="P2305" t="s">
        <v>45</v>
      </c>
      <c r="U2305" s="9" t="s">
        <v>148</v>
      </c>
      <c r="V2305" t="s">
        <v>164</v>
      </c>
      <c r="W2305" t="s">
        <v>138</v>
      </c>
      <c r="X2305" t="s">
        <v>70</v>
      </c>
      <c r="Y2305" t="s">
        <v>228</v>
      </c>
      <c r="Z2305" t="s">
        <v>41</v>
      </c>
      <c r="AB2305" t="str">
        <f t="shared" si="108"/>
        <v>46487</v>
      </c>
    </row>
    <row r="2306" ht="14.25" spans="1:28">
      <c r="A2306" s="5" t="s">
        <v>28</v>
      </c>
      <c r="B2306" s="5" t="s">
        <v>697</v>
      </c>
      <c r="C2306" s="5">
        <v>2027</v>
      </c>
      <c r="D2306" s="5" t="s">
        <v>30</v>
      </c>
      <c r="E2306" t="s">
        <v>1513</v>
      </c>
      <c r="F2306" t="s">
        <v>225</v>
      </c>
      <c r="G2306" t="s">
        <v>221</v>
      </c>
      <c r="H2306" t="s">
        <v>1514</v>
      </c>
      <c r="I2306" t="s">
        <v>119</v>
      </c>
      <c r="J2306" t="s">
        <v>36</v>
      </c>
      <c r="K2306">
        <v>1590</v>
      </c>
      <c r="O2306" t="s">
        <v>37</v>
      </c>
      <c r="P2306" t="s">
        <v>46</v>
      </c>
      <c r="U2306" s="9" t="s">
        <v>148</v>
      </c>
      <c r="V2306" t="s">
        <v>164</v>
      </c>
      <c r="W2306" t="s">
        <v>138</v>
      </c>
      <c r="X2306" t="s">
        <v>70</v>
      </c>
      <c r="Y2306" t="s">
        <v>228</v>
      </c>
      <c r="Z2306" t="s">
        <v>41</v>
      </c>
      <c r="AB2306" t="str">
        <f t="shared" si="108"/>
        <v>46487</v>
      </c>
    </row>
    <row r="2307" ht="14.25" spans="1:28">
      <c r="A2307" s="5" t="s">
        <v>28</v>
      </c>
      <c r="B2307" s="5" t="s">
        <v>697</v>
      </c>
      <c r="C2307" s="5">
        <v>2027</v>
      </c>
      <c r="D2307" s="5" t="s">
        <v>30</v>
      </c>
      <c r="E2307" t="s">
        <v>224</v>
      </c>
      <c r="F2307" t="s">
        <v>225</v>
      </c>
      <c r="G2307" t="s">
        <v>226</v>
      </c>
      <c r="H2307" t="s">
        <v>227</v>
      </c>
      <c r="I2307" t="s">
        <v>119</v>
      </c>
      <c r="J2307" t="s">
        <v>36</v>
      </c>
      <c r="K2307">
        <v>1590</v>
      </c>
      <c r="O2307" t="s">
        <v>37</v>
      </c>
      <c r="P2307" t="s">
        <v>38</v>
      </c>
      <c r="R2307">
        <f t="shared" ref="R2306:R2369" si="109">SUMIFS(Q:Q,E:E,E2307)</f>
        <v>0</v>
      </c>
      <c r="S2307">
        <f>SUMIFS([1]Sheet1!$T:$T,[1]Sheet1!$I:$I,E2307,[1]Sheet1!$C:$C,A2307)</f>
        <v>30</v>
      </c>
      <c r="T2307">
        <f t="shared" ref="T2306:T2369" si="110">R2307-S2307</f>
        <v>-30</v>
      </c>
      <c r="U2307" s="9" t="s">
        <v>148</v>
      </c>
      <c r="V2307" t="s">
        <v>164</v>
      </c>
      <c r="W2307" t="s">
        <v>138</v>
      </c>
      <c r="X2307" t="s">
        <v>54</v>
      </c>
      <c r="Y2307" t="s">
        <v>228</v>
      </c>
      <c r="Z2307" t="s">
        <v>41</v>
      </c>
      <c r="AB2307" t="str">
        <f t="shared" si="108"/>
        <v>46487</v>
      </c>
    </row>
    <row r="2308" ht="14.25" spans="1:28">
      <c r="A2308" s="5" t="s">
        <v>28</v>
      </c>
      <c r="B2308" s="5" t="s">
        <v>697</v>
      </c>
      <c r="C2308" s="5">
        <v>2027</v>
      </c>
      <c r="D2308" s="5" t="s">
        <v>30</v>
      </c>
      <c r="E2308" t="s">
        <v>224</v>
      </c>
      <c r="F2308" t="s">
        <v>225</v>
      </c>
      <c r="G2308" t="s">
        <v>226</v>
      </c>
      <c r="H2308" t="s">
        <v>227</v>
      </c>
      <c r="I2308" t="s">
        <v>119</v>
      </c>
      <c r="J2308" t="s">
        <v>36</v>
      </c>
      <c r="K2308">
        <v>1590</v>
      </c>
      <c r="O2308" t="s">
        <v>37</v>
      </c>
      <c r="P2308" t="s">
        <v>42</v>
      </c>
      <c r="U2308" s="9" t="s">
        <v>148</v>
      </c>
      <c r="V2308" t="s">
        <v>164</v>
      </c>
      <c r="W2308" t="s">
        <v>138</v>
      </c>
      <c r="X2308" t="s">
        <v>54</v>
      </c>
      <c r="Y2308" t="s">
        <v>228</v>
      </c>
      <c r="Z2308" t="s">
        <v>41</v>
      </c>
      <c r="AB2308" t="str">
        <f t="shared" si="108"/>
        <v>46487</v>
      </c>
    </row>
    <row r="2309" ht="14.25" spans="1:28">
      <c r="A2309" s="5" t="s">
        <v>28</v>
      </c>
      <c r="B2309" s="5" t="s">
        <v>697</v>
      </c>
      <c r="C2309" s="5">
        <v>2027</v>
      </c>
      <c r="D2309" s="5" t="s">
        <v>30</v>
      </c>
      <c r="E2309" t="s">
        <v>224</v>
      </c>
      <c r="F2309" t="s">
        <v>225</v>
      </c>
      <c r="G2309" t="s">
        <v>226</v>
      </c>
      <c r="H2309" t="s">
        <v>227</v>
      </c>
      <c r="I2309" t="s">
        <v>119</v>
      </c>
      <c r="J2309" t="s">
        <v>36</v>
      </c>
      <c r="K2309">
        <v>1590</v>
      </c>
      <c r="O2309" t="s">
        <v>37</v>
      </c>
      <c r="P2309" t="s">
        <v>43</v>
      </c>
      <c r="U2309" s="9" t="s">
        <v>148</v>
      </c>
      <c r="V2309" t="s">
        <v>164</v>
      </c>
      <c r="W2309" t="s">
        <v>138</v>
      </c>
      <c r="X2309" t="s">
        <v>54</v>
      </c>
      <c r="Y2309" t="s">
        <v>228</v>
      </c>
      <c r="Z2309" t="s">
        <v>41</v>
      </c>
      <c r="AB2309" t="str">
        <f t="shared" si="108"/>
        <v>46487</v>
      </c>
    </row>
    <row r="2310" ht="14.25" spans="1:28">
      <c r="A2310" s="5" t="s">
        <v>28</v>
      </c>
      <c r="B2310" s="5" t="s">
        <v>697</v>
      </c>
      <c r="C2310" s="5">
        <v>2027</v>
      </c>
      <c r="D2310" s="5" t="s">
        <v>30</v>
      </c>
      <c r="E2310" t="s">
        <v>224</v>
      </c>
      <c r="F2310" t="s">
        <v>225</v>
      </c>
      <c r="G2310" t="s">
        <v>226</v>
      </c>
      <c r="H2310" t="s">
        <v>227</v>
      </c>
      <c r="I2310" t="s">
        <v>119</v>
      </c>
      <c r="J2310" t="s">
        <v>36</v>
      </c>
      <c r="K2310">
        <v>1590</v>
      </c>
      <c r="O2310" t="s">
        <v>37</v>
      </c>
      <c r="P2310" t="s">
        <v>44</v>
      </c>
      <c r="U2310" s="9" t="s">
        <v>148</v>
      </c>
      <c r="V2310" t="s">
        <v>164</v>
      </c>
      <c r="W2310" t="s">
        <v>138</v>
      </c>
      <c r="X2310" t="s">
        <v>54</v>
      </c>
      <c r="Y2310" t="s">
        <v>228</v>
      </c>
      <c r="Z2310" t="s">
        <v>41</v>
      </c>
      <c r="AB2310" t="str">
        <f t="shared" si="108"/>
        <v>46487</v>
      </c>
    </row>
    <row r="2311" ht="14.25" spans="1:28">
      <c r="A2311" s="5" t="s">
        <v>28</v>
      </c>
      <c r="B2311" s="5" t="s">
        <v>697</v>
      </c>
      <c r="C2311" s="5">
        <v>2027</v>
      </c>
      <c r="D2311" s="5" t="s">
        <v>30</v>
      </c>
      <c r="E2311" t="s">
        <v>224</v>
      </c>
      <c r="F2311" t="s">
        <v>225</v>
      </c>
      <c r="G2311" t="s">
        <v>226</v>
      </c>
      <c r="H2311" t="s">
        <v>227</v>
      </c>
      <c r="I2311" t="s">
        <v>119</v>
      </c>
      <c r="J2311" t="s">
        <v>36</v>
      </c>
      <c r="K2311">
        <v>1590</v>
      </c>
      <c r="O2311" t="s">
        <v>37</v>
      </c>
      <c r="P2311" t="s">
        <v>45</v>
      </c>
      <c r="U2311" s="9" t="s">
        <v>148</v>
      </c>
      <c r="V2311" t="s">
        <v>164</v>
      </c>
      <c r="W2311" t="s">
        <v>138</v>
      </c>
      <c r="X2311" t="s">
        <v>54</v>
      </c>
      <c r="Y2311" t="s">
        <v>228</v>
      </c>
      <c r="Z2311" t="s">
        <v>41</v>
      </c>
      <c r="AB2311" t="str">
        <f t="shared" si="108"/>
        <v>46487</v>
      </c>
    </row>
    <row r="2312" ht="14.25" spans="1:28">
      <c r="A2312" s="5" t="s">
        <v>28</v>
      </c>
      <c r="B2312" s="5" t="s">
        <v>697</v>
      </c>
      <c r="C2312" s="5">
        <v>2027</v>
      </c>
      <c r="D2312" s="5" t="s">
        <v>30</v>
      </c>
      <c r="E2312" t="s">
        <v>224</v>
      </c>
      <c r="F2312" t="s">
        <v>225</v>
      </c>
      <c r="G2312" t="s">
        <v>226</v>
      </c>
      <c r="H2312" t="s">
        <v>227</v>
      </c>
      <c r="I2312" t="s">
        <v>119</v>
      </c>
      <c r="J2312" t="s">
        <v>36</v>
      </c>
      <c r="K2312">
        <v>1590</v>
      </c>
      <c r="O2312" t="s">
        <v>37</v>
      </c>
      <c r="P2312" t="s">
        <v>46</v>
      </c>
      <c r="U2312" s="9" t="s">
        <v>148</v>
      </c>
      <c r="V2312" t="s">
        <v>164</v>
      </c>
      <c r="W2312" t="s">
        <v>138</v>
      </c>
      <c r="X2312" t="s">
        <v>54</v>
      </c>
      <c r="Y2312" t="s">
        <v>228</v>
      </c>
      <c r="Z2312" t="s">
        <v>41</v>
      </c>
      <c r="AB2312" t="str">
        <f t="shared" si="108"/>
        <v>46487</v>
      </c>
    </row>
    <row r="2313" ht="14.25" spans="1:28">
      <c r="A2313" s="5" t="s">
        <v>28</v>
      </c>
      <c r="B2313" s="5" t="s">
        <v>697</v>
      </c>
      <c r="C2313" s="5">
        <v>2027</v>
      </c>
      <c r="D2313" s="5" t="s">
        <v>30</v>
      </c>
      <c r="E2313" t="s">
        <v>1515</v>
      </c>
      <c r="F2313" t="s">
        <v>1516</v>
      </c>
      <c r="G2313" t="s">
        <v>100</v>
      </c>
      <c r="H2313" t="s">
        <v>1517</v>
      </c>
      <c r="I2313" t="s">
        <v>119</v>
      </c>
      <c r="J2313" t="s">
        <v>36</v>
      </c>
      <c r="K2313">
        <v>1790</v>
      </c>
      <c r="O2313" t="s">
        <v>37</v>
      </c>
      <c r="P2313" t="s">
        <v>38</v>
      </c>
      <c r="R2313">
        <f t="shared" si="109"/>
        <v>0</v>
      </c>
      <c r="S2313">
        <f>SUMIFS([1]Sheet1!$T:$T,[1]Sheet1!$I:$I,E2313,[1]Sheet1!$C:$C,A2313)</f>
        <v>0</v>
      </c>
      <c r="T2313">
        <f t="shared" si="110"/>
        <v>0</v>
      </c>
      <c r="U2313" s="9" t="s">
        <v>148</v>
      </c>
      <c r="V2313" t="s">
        <v>164</v>
      </c>
      <c r="W2313" t="s">
        <v>138</v>
      </c>
      <c r="X2313" t="s">
        <v>102</v>
      </c>
      <c r="Y2313" t="s">
        <v>827</v>
      </c>
      <c r="Z2313" t="s">
        <v>104</v>
      </c>
      <c r="AB2313" t="str">
        <f t="shared" si="108"/>
        <v>46488</v>
      </c>
    </row>
    <row r="2314" ht="14.25" spans="1:28">
      <c r="A2314" s="5" t="s">
        <v>28</v>
      </c>
      <c r="B2314" s="5" t="s">
        <v>697</v>
      </c>
      <c r="C2314" s="5">
        <v>2027</v>
      </c>
      <c r="D2314" s="5" t="s">
        <v>30</v>
      </c>
      <c r="E2314" t="s">
        <v>1515</v>
      </c>
      <c r="F2314" t="s">
        <v>1516</v>
      </c>
      <c r="G2314" t="s">
        <v>100</v>
      </c>
      <c r="H2314" t="s">
        <v>1517</v>
      </c>
      <c r="I2314" t="s">
        <v>119</v>
      </c>
      <c r="J2314" t="s">
        <v>36</v>
      </c>
      <c r="K2314">
        <v>1790</v>
      </c>
      <c r="O2314" t="s">
        <v>37</v>
      </c>
      <c r="P2314" t="s">
        <v>42</v>
      </c>
      <c r="U2314" s="9" t="s">
        <v>148</v>
      </c>
      <c r="V2314" t="s">
        <v>164</v>
      </c>
      <c r="W2314" t="s">
        <v>138</v>
      </c>
      <c r="X2314" t="s">
        <v>102</v>
      </c>
      <c r="Y2314" t="s">
        <v>827</v>
      </c>
      <c r="Z2314" t="s">
        <v>104</v>
      </c>
      <c r="AB2314" t="str">
        <f t="shared" si="108"/>
        <v>46488</v>
      </c>
    </row>
    <row r="2315" ht="14.25" spans="1:28">
      <c r="A2315" s="5" t="s">
        <v>28</v>
      </c>
      <c r="B2315" s="5" t="s">
        <v>697</v>
      </c>
      <c r="C2315" s="5">
        <v>2027</v>
      </c>
      <c r="D2315" s="5" t="s">
        <v>30</v>
      </c>
      <c r="E2315" t="s">
        <v>1515</v>
      </c>
      <c r="F2315" t="s">
        <v>1516</v>
      </c>
      <c r="G2315" t="s">
        <v>100</v>
      </c>
      <c r="H2315" t="s">
        <v>1517</v>
      </c>
      <c r="I2315" t="s">
        <v>119</v>
      </c>
      <c r="J2315" t="s">
        <v>36</v>
      </c>
      <c r="K2315">
        <v>1790</v>
      </c>
      <c r="O2315" t="s">
        <v>37</v>
      </c>
      <c r="P2315" t="s">
        <v>43</v>
      </c>
      <c r="U2315" s="9" t="s">
        <v>148</v>
      </c>
      <c r="V2315" t="s">
        <v>164</v>
      </c>
      <c r="W2315" t="s">
        <v>138</v>
      </c>
      <c r="X2315" t="s">
        <v>102</v>
      </c>
      <c r="Y2315" t="s">
        <v>827</v>
      </c>
      <c r="Z2315" t="s">
        <v>104</v>
      </c>
      <c r="AB2315" t="str">
        <f t="shared" si="108"/>
        <v>46488</v>
      </c>
    </row>
    <row r="2316" ht="14.25" spans="1:28">
      <c r="A2316" s="5" t="s">
        <v>28</v>
      </c>
      <c r="B2316" s="5" t="s">
        <v>697</v>
      </c>
      <c r="C2316" s="5">
        <v>2027</v>
      </c>
      <c r="D2316" s="5" t="s">
        <v>30</v>
      </c>
      <c r="E2316" t="s">
        <v>1515</v>
      </c>
      <c r="F2316" t="s">
        <v>1516</v>
      </c>
      <c r="G2316" t="s">
        <v>100</v>
      </c>
      <c r="H2316" t="s">
        <v>1517</v>
      </c>
      <c r="I2316" t="s">
        <v>119</v>
      </c>
      <c r="J2316" t="s">
        <v>36</v>
      </c>
      <c r="K2316">
        <v>1790</v>
      </c>
      <c r="O2316" t="s">
        <v>37</v>
      </c>
      <c r="P2316" t="s">
        <v>44</v>
      </c>
      <c r="U2316" s="9" t="s">
        <v>148</v>
      </c>
      <c r="V2316" t="s">
        <v>164</v>
      </c>
      <c r="W2316" t="s">
        <v>138</v>
      </c>
      <c r="X2316" t="s">
        <v>102</v>
      </c>
      <c r="Y2316" t="s">
        <v>827</v>
      </c>
      <c r="Z2316" t="s">
        <v>104</v>
      </c>
      <c r="AB2316" t="str">
        <f t="shared" si="108"/>
        <v>46488</v>
      </c>
    </row>
    <row r="2317" ht="14.25" spans="1:28">
      <c r="A2317" s="5" t="s">
        <v>28</v>
      </c>
      <c r="B2317" s="5" t="s">
        <v>697</v>
      </c>
      <c r="C2317" s="5">
        <v>2027</v>
      </c>
      <c r="D2317" s="5" t="s">
        <v>30</v>
      </c>
      <c r="E2317" t="s">
        <v>1515</v>
      </c>
      <c r="F2317" t="s">
        <v>1516</v>
      </c>
      <c r="G2317" t="s">
        <v>100</v>
      </c>
      <c r="H2317" t="s">
        <v>1517</v>
      </c>
      <c r="I2317" t="s">
        <v>119</v>
      </c>
      <c r="J2317" t="s">
        <v>36</v>
      </c>
      <c r="K2317">
        <v>1790</v>
      </c>
      <c r="O2317" t="s">
        <v>37</v>
      </c>
      <c r="P2317" t="s">
        <v>45</v>
      </c>
      <c r="U2317" s="9" t="s">
        <v>148</v>
      </c>
      <c r="V2317" t="s">
        <v>164</v>
      </c>
      <c r="W2317" t="s">
        <v>138</v>
      </c>
      <c r="X2317" t="s">
        <v>102</v>
      </c>
      <c r="Y2317" t="s">
        <v>827</v>
      </c>
      <c r="Z2317" t="s">
        <v>104</v>
      </c>
      <c r="AB2317" t="str">
        <f t="shared" si="108"/>
        <v>46488</v>
      </c>
    </row>
    <row r="2318" ht="14.25" spans="1:28">
      <c r="A2318" s="5" t="s">
        <v>28</v>
      </c>
      <c r="B2318" s="5" t="s">
        <v>697</v>
      </c>
      <c r="C2318" s="5">
        <v>2027</v>
      </c>
      <c r="D2318" s="5" t="s">
        <v>30</v>
      </c>
      <c r="E2318" t="s">
        <v>1515</v>
      </c>
      <c r="F2318" t="s">
        <v>1516</v>
      </c>
      <c r="G2318" t="s">
        <v>100</v>
      </c>
      <c r="H2318" t="s">
        <v>1517</v>
      </c>
      <c r="I2318" t="s">
        <v>119</v>
      </c>
      <c r="J2318" t="s">
        <v>36</v>
      </c>
      <c r="K2318">
        <v>1790</v>
      </c>
      <c r="O2318" t="s">
        <v>37</v>
      </c>
      <c r="P2318" t="s">
        <v>46</v>
      </c>
      <c r="U2318" s="9" t="s">
        <v>148</v>
      </c>
      <c r="V2318" t="s">
        <v>164</v>
      </c>
      <c r="W2318" t="s">
        <v>138</v>
      </c>
      <c r="X2318" t="s">
        <v>102</v>
      </c>
      <c r="Y2318" t="s">
        <v>827</v>
      </c>
      <c r="Z2318" t="s">
        <v>104</v>
      </c>
      <c r="AB2318" t="str">
        <f t="shared" si="108"/>
        <v>46488</v>
      </c>
    </row>
    <row r="2319" ht="14.25" spans="1:28">
      <c r="A2319" s="5" t="s">
        <v>28</v>
      </c>
      <c r="B2319" s="5" t="s">
        <v>697</v>
      </c>
      <c r="C2319" s="5">
        <v>2027</v>
      </c>
      <c r="D2319" s="5" t="s">
        <v>30</v>
      </c>
      <c r="E2319" t="s">
        <v>1518</v>
      </c>
      <c r="F2319" t="s">
        <v>1516</v>
      </c>
      <c r="G2319" t="s">
        <v>254</v>
      </c>
      <c r="H2319" t="s">
        <v>1519</v>
      </c>
      <c r="I2319" t="s">
        <v>119</v>
      </c>
      <c r="J2319" t="s">
        <v>36</v>
      </c>
      <c r="K2319">
        <v>1790</v>
      </c>
      <c r="O2319" t="s">
        <v>37</v>
      </c>
      <c r="P2319" t="s">
        <v>38</v>
      </c>
      <c r="R2319">
        <f t="shared" si="109"/>
        <v>0</v>
      </c>
      <c r="S2319">
        <f>SUMIFS([1]Sheet1!$T:$T,[1]Sheet1!$I:$I,E2319,[1]Sheet1!$C:$C,A2319)</f>
        <v>0</v>
      </c>
      <c r="T2319">
        <f t="shared" si="110"/>
        <v>0</v>
      </c>
      <c r="U2319" s="9" t="s">
        <v>148</v>
      </c>
      <c r="V2319" t="s">
        <v>164</v>
      </c>
      <c r="W2319" t="s">
        <v>138</v>
      </c>
      <c r="X2319" t="s">
        <v>86</v>
      </c>
      <c r="Y2319" t="s">
        <v>827</v>
      </c>
      <c r="Z2319" t="s">
        <v>104</v>
      </c>
      <c r="AB2319" t="str">
        <f t="shared" si="108"/>
        <v>46488</v>
      </c>
    </row>
    <row r="2320" ht="14.25" spans="1:28">
      <c r="A2320" s="5" t="s">
        <v>28</v>
      </c>
      <c r="B2320" s="5" t="s">
        <v>697</v>
      </c>
      <c r="C2320" s="5">
        <v>2027</v>
      </c>
      <c r="D2320" s="5" t="s">
        <v>30</v>
      </c>
      <c r="E2320" t="s">
        <v>1518</v>
      </c>
      <c r="F2320" t="s">
        <v>1516</v>
      </c>
      <c r="G2320" t="s">
        <v>254</v>
      </c>
      <c r="H2320" t="s">
        <v>1519</v>
      </c>
      <c r="I2320" t="s">
        <v>119</v>
      </c>
      <c r="J2320" t="s">
        <v>36</v>
      </c>
      <c r="K2320">
        <v>1790</v>
      </c>
      <c r="O2320" t="s">
        <v>37</v>
      </c>
      <c r="P2320" t="s">
        <v>42</v>
      </c>
      <c r="U2320" s="9" t="s">
        <v>148</v>
      </c>
      <c r="V2320" t="s">
        <v>164</v>
      </c>
      <c r="W2320" t="s">
        <v>138</v>
      </c>
      <c r="X2320" t="s">
        <v>86</v>
      </c>
      <c r="Y2320" t="s">
        <v>827</v>
      </c>
      <c r="Z2320" t="s">
        <v>104</v>
      </c>
      <c r="AB2320" t="str">
        <f t="shared" si="108"/>
        <v>46488</v>
      </c>
    </row>
    <row r="2321" ht="14.25" spans="1:28">
      <c r="A2321" s="5" t="s">
        <v>28</v>
      </c>
      <c r="B2321" s="5" t="s">
        <v>697</v>
      </c>
      <c r="C2321" s="5">
        <v>2027</v>
      </c>
      <c r="D2321" s="5" t="s">
        <v>30</v>
      </c>
      <c r="E2321" t="s">
        <v>1518</v>
      </c>
      <c r="F2321" t="s">
        <v>1516</v>
      </c>
      <c r="G2321" t="s">
        <v>254</v>
      </c>
      <c r="H2321" t="s">
        <v>1519</v>
      </c>
      <c r="I2321" t="s">
        <v>119</v>
      </c>
      <c r="J2321" t="s">
        <v>36</v>
      </c>
      <c r="K2321">
        <v>1790</v>
      </c>
      <c r="O2321" t="s">
        <v>37</v>
      </c>
      <c r="P2321" t="s">
        <v>43</v>
      </c>
      <c r="U2321" s="9" t="s">
        <v>148</v>
      </c>
      <c r="V2321" t="s">
        <v>164</v>
      </c>
      <c r="W2321" t="s">
        <v>138</v>
      </c>
      <c r="X2321" t="s">
        <v>86</v>
      </c>
      <c r="Y2321" t="s">
        <v>827</v>
      </c>
      <c r="Z2321" t="s">
        <v>104</v>
      </c>
      <c r="AB2321" t="str">
        <f t="shared" si="108"/>
        <v>46488</v>
      </c>
    </row>
    <row r="2322" ht="14.25" spans="1:28">
      <c r="A2322" s="5" t="s">
        <v>28</v>
      </c>
      <c r="B2322" s="5" t="s">
        <v>697</v>
      </c>
      <c r="C2322" s="5">
        <v>2027</v>
      </c>
      <c r="D2322" s="5" t="s">
        <v>30</v>
      </c>
      <c r="E2322" t="s">
        <v>1518</v>
      </c>
      <c r="F2322" t="s">
        <v>1516</v>
      </c>
      <c r="G2322" t="s">
        <v>254</v>
      </c>
      <c r="H2322" t="s">
        <v>1519</v>
      </c>
      <c r="I2322" t="s">
        <v>119</v>
      </c>
      <c r="J2322" t="s">
        <v>36</v>
      </c>
      <c r="K2322">
        <v>1790</v>
      </c>
      <c r="O2322" t="s">
        <v>37</v>
      </c>
      <c r="P2322" t="s">
        <v>44</v>
      </c>
      <c r="U2322" s="9" t="s">
        <v>148</v>
      </c>
      <c r="V2322" t="s">
        <v>164</v>
      </c>
      <c r="W2322" t="s">
        <v>138</v>
      </c>
      <c r="X2322" t="s">
        <v>86</v>
      </c>
      <c r="Y2322" t="s">
        <v>827</v>
      </c>
      <c r="Z2322" t="s">
        <v>104</v>
      </c>
      <c r="AB2322" t="str">
        <f t="shared" si="108"/>
        <v>46488</v>
      </c>
    </row>
    <row r="2323" ht="14.25" spans="1:28">
      <c r="A2323" s="5" t="s">
        <v>28</v>
      </c>
      <c r="B2323" s="5" t="s">
        <v>697</v>
      </c>
      <c r="C2323" s="5">
        <v>2027</v>
      </c>
      <c r="D2323" s="5" t="s">
        <v>30</v>
      </c>
      <c r="E2323" t="s">
        <v>1518</v>
      </c>
      <c r="F2323" t="s">
        <v>1516</v>
      </c>
      <c r="G2323" t="s">
        <v>254</v>
      </c>
      <c r="H2323" t="s">
        <v>1519</v>
      </c>
      <c r="I2323" t="s">
        <v>119</v>
      </c>
      <c r="J2323" t="s">
        <v>36</v>
      </c>
      <c r="K2323">
        <v>1790</v>
      </c>
      <c r="O2323" t="s">
        <v>37</v>
      </c>
      <c r="P2323" t="s">
        <v>45</v>
      </c>
      <c r="U2323" s="9" t="s">
        <v>148</v>
      </c>
      <c r="V2323" t="s">
        <v>164</v>
      </c>
      <c r="W2323" t="s">
        <v>138</v>
      </c>
      <c r="X2323" t="s">
        <v>86</v>
      </c>
      <c r="Y2323" t="s">
        <v>827</v>
      </c>
      <c r="Z2323" t="s">
        <v>104</v>
      </c>
      <c r="AB2323" t="str">
        <f t="shared" si="108"/>
        <v>46488</v>
      </c>
    </row>
    <row r="2324" ht="14.25" spans="1:28">
      <c r="A2324" s="5" t="s">
        <v>28</v>
      </c>
      <c r="B2324" s="5" t="s">
        <v>697</v>
      </c>
      <c r="C2324" s="5">
        <v>2027</v>
      </c>
      <c r="D2324" s="5" t="s">
        <v>30</v>
      </c>
      <c r="E2324" t="s">
        <v>1518</v>
      </c>
      <c r="F2324" t="s">
        <v>1516</v>
      </c>
      <c r="G2324" t="s">
        <v>254</v>
      </c>
      <c r="H2324" t="s">
        <v>1519</v>
      </c>
      <c r="I2324" t="s">
        <v>119</v>
      </c>
      <c r="J2324" t="s">
        <v>36</v>
      </c>
      <c r="K2324">
        <v>1790</v>
      </c>
      <c r="O2324" t="s">
        <v>37</v>
      </c>
      <c r="P2324" t="s">
        <v>46</v>
      </c>
      <c r="U2324" s="9" t="s">
        <v>148</v>
      </c>
      <c r="V2324" t="s">
        <v>164</v>
      </c>
      <c r="W2324" t="s">
        <v>138</v>
      </c>
      <c r="X2324" t="s">
        <v>86</v>
      </c>
      <c r="Y2324" t="s">
        <v>827</v>
      </c>
      <c r="Z2324" t="s">
        <v>104</v>
      </c>
      <c r="AB2324" t="str">
        <f t="shared" si="108"/>
        <v>46488</v>
      </c>
    </row>
    <row r="2325" ht="14.25" spans="1:28">
      <c r="A2325" s="5" t="s">
        <v>28</v>
      </c>
      <c r="B2325" s="5" t="s">
        <v>697</v>
      </c>
      <c r="C2325" s="5">
        <v>2027</v>
      </c>
      <c r="D2325" s="5" t="s">
        <v>30</v>
      </c>
      <c r="E2325" t="s">
        <v>1520</v>
      </c>
      <c r="F2325" t="s">
        <v>1521</v>
      </c>
      <c r="G2325" t="s">
        <v>1522</v>
      </c>
      <c r="H2325" t="s">
        <v>1523</v>
      </c>
      <c r="I2325" t="s">
        <v>147</v>
      </c>
      <c r="J2325" t="s">
        <v>36</v>
      </c>
      <c r="K2325">
        <v>1390</v>
      </c>
      <c r="O2325" t="s">
        <v>37</v>
      </c>
      <c r="P2325" t="s">
        <v>38</v>
      </c>
      <c r="R2325">
        <f t="shared" si="109"/>
        <v>0</v>
      </c>
      <c r="S2325">
        <f>SUMIFS([1]Sheet1!$T:$T,[1]Sheet1!$I:$I,E2325,[1]Sheet1!$C:$C,A2325)</f>
        <v>0</v>
      </c>
      <c r="T2325">
        <f t="shared" si="110"/>
        <v>0</v>
      </c>
      <c r="U2325" s="9" t="s">
        <v>148</v>
      </c>
      <c r="V2325" t="s">
        <v>164</v>
      </c>
      <c r="W2325" t="s">
        <v>138</v>
      </c>
      <c r="Y2325" t="s">
        <v>165</v>
      </c>
      <c r="Z2325" t="s">
        <v>41</v>
      </c>
      <c r="AB2325" t="str">
        <f t="shared" si="108"/>
        <v>46504</v>
      </c>
    </row>
    <row r="2326" ht="14.25" spans="1:28">
      <c r="A2326" s="5" t="s">
        <v>28</v>
      </c>
      <c r="B2326" s="5" t="s">
        <v>697</v>
      </c>
      <c r="C2326" s="5">
        <v>2027</v>
      </c>
      <c r="D2326" s="5" t="s">
        <v>30</v>
      </c>
      <c r="E2326" t="s">
        <v>1520</v>
      </c>
      <c r="F2326" t="s">
        <v>1521</v>
      </c>
      <c r="G2326" t="s">
        <v>1522</v>
      </c>
      <c r="H2326" t="s">
        <v>1523</v>
      </c>
      <c r="I2326" t="s">
        <v>147</v>
      </c>
      <c r="J2326" t="s">
        <v>36</v>
      </c>
      <c r="K2326">
        <v>1390</v>
      </c>
      <c r="O2326" t="s">
        <v>37</v>
      </c>
      <c r="P2326" t="s">
        <v>42</v>
      </c>
      <c r="U2326" s="9" t="s">
        <v>148</v>
      </c>
      <c r="V2326" t="s">
        <v>164</v>
      </c>
      <c r="W2326" t="s">
        <v>138</v>
      </c>
      <c r="Y2326" t="s">
        <v>165</v>
      </c>
      <c r="Z2326" t="s">
        <v>41</v>
      </c>
      <c r="AB2326" t="str">
        <f t="shared" si="108"/>
        <v>46504</v>
      </c>
    </row>
    <row r="2327" ht="14.25" spans="1:28">
      <c r="A2327" s="5" t="s">
        <v>28</v>
      </c>
      <c r="B2327" s="5" t="s">
        <v>697</v>
      </c>
      <c r="C2327" s="5">
        <v>2027</v>
      </c>
      <c r="D2327" s="5" t="s">
        <v>30</v>
      </c>
      <c r="E2327" t="s">
        <v>1520</v>
      </c>
      <c r="F2327" t="s">
        <v>1521</v>
      </c>
      <c r="G2327" t="s">
        <v>1522</v>
      </c>
      <c r="H2327" t="s">
        <v>1523</v>
      </c>
      <c r="I2327" t="s">
        <v>147</v>
      </c>
      <c r="J2327" t="s">
        <v>36</v>
      </c>
      <c r="K2327">
        <v>1390</v>
      </c>
      <c r="O2327" t="s">
        <v>37</v>
      </c>
      <c r="P2327" t="s">
        <v>43</v>
      </c>
      <c r="U2327" s="9" t="s">
        <v>148</v>
      </c>
      <c r="V2327" t="s">
        <v>164</v>
      </c>
      <c r="W2327" t="s">
        <v>138</v>
      </c>
      <c r="Y2327" t="s">
        <v>165</v>
      </c>
      <c r="Z2327" t="s">
        <v>41</v>
      </c>
      <c r="AB2327" t="str">
        <f t="shared" si="108"/>
        <v>46504</v>
      </c>
    </row>
    <row r="2328" ht="14.25" spans="1:28">
      <c r="A2328" s="5" t="s">
        <v>28</v>
      </c>
      <c r="B2328" s="5" t="s">
        <v>697</v>
      </c>
      <c r="C2328" s="5">
        <v>2027</v>
      </c>
      <c r="D2328" s="5" t="s">
        <v>30</v>
      </c>
      <c r="E2328" t="s">
        <v>1520</v>
      </c>
      <c r="F2328" t="s">
        <v>1521</v>
      </c>
      <c r="G2328" t="s">
        <v>1522</v>
      </c>
      <c r="H2328" t="s">
        <v>1523</v>
      </c>
      <c r="I2328" t="s">
        <v>147</v>
      </c>
      <c r="J2328" t="s">
        <v>36</v>
      </c>
      <c r="K2328">
        <v>1390</v>
      </c>
      <c r="O2328" t="s">
        <v>37</v>
      </c>
      <c r="P2328" t="s">
        <v>44</v>
      </c>
      <c r="U2328" s="9" t="s">
        <v>148</v>
      </c>
      <c r="V2328" t="s">
        <v>164</v>
      </c>
      <c r="W2328" t="s">
        <v>138</v>
      </c>
      <c r="Y2328" t="s">
        <v>165</v>
      </c>
      <c r="Z2328" t="s">
        <v>41</v>
      </c>
      <c r="AB2328" t="str">
        <f t="shared" si="108"/>
        <v>46504</v>
      </c>
    </row>
    <row r="2329" ht="14.25" spans="1:28">
      <c r="A2329" s="5" t="s">
        <v>28</v>
      </c>
      <c r="B2329" s="5" t="s">
        <v>697</v>
      </c>
      <c r="C2329" s="5">
        <v>2027</v>
      </c>
      <c r="D2329" s="5" t="s">
        <v>30</v>
      </c>
      <c r="E2329" t="s">
        <v>1520</v>
      </c>
      <c r="F2329" t="s">
        <v>1521</v>
      </c>
      <c r="G2329" t="s">
        <v>1522</v>
      </c>
      <c r="H2329" t="s">
        <v>1523</v>
      </c>
      <c r="I2329" t="s">
        <v>147</v>
      </c>
      <c r="J2329" t="s">
        <v>36</v>
      </c>
      <c r="K2329">
        <v>1390</v>
      </c>
      <c r="O2329" t="s">
        <v>37</v>
      </c>
      <c r="P2329" t="s">
        <v>45</v>
      </c>
      <c r="U2329" s="9" t="s">
        <v>148</v>
      </c>
      <c r="V2329" t="s">
        <v>164</v>
      </c>
      <c r="W2329" t="s">
        <v>138</v>
      </c>
      <c r="Y2329" t="s">
        <v>165</v>
      </c>
      <c r="Z2329" t="s">
        <v>41</v>
      </c>
      <c r="AB2329" t="str">
        <f t="shared" si="108"/>
        <v>46504</v>
      </c>
    </row>
    <row r="2330" ht="14.25" spans="1:28">
      <c r="A2330" s="5" t="s">
        <v>28</v>
      </c>
      <c r="B2330" s="5" t="s">
        <v>697</v>
      </c>
      <c r="C2330" s="5">
        <v>2027</v>
      </c>
      <c r="D2330" s="5" t="s">
        <v>30</v>
      </c>
      <c r="E2330" t="s">
        <v>1520</v>
      </c>
      <c r="F2330" t="s">
        <v>1521</v>
      </c>
      <c r="G2330" t="s">
        <v>1522</v>
      </c>
      <c r="H2330" t="s">
        <v>1523</v>
      </c>
      <c r="I2330" t="s">
        <v>147</v>
      </c>
      <c r="J2330" t="s">
        <v>36</v>
      </c>
      <c r="K2330">
        <v>1390</v>
      </c>
      <c r="O2330" t="s">
        <v>37</v>
      </c>
      <c r="P2330" t="s">
        <v>46</v>
      </c>
      <c r="U2330" s="9" t="s">
        <v>148</v>
      </c>
      <c r="V2330" t="s">
        <v>164</v>
      </c>
      <c r="W2330" t="s">
        <v>138</v>
      </c>
      <c r="Y2330" t="s">
        <v>165</v>
      </c>
      <c r="Z2330" t="s">
        <v>41</v>
      </c>
      <c r="AB2330" t="str">
        <f t="shared" si="108"/>
        <v>46504</v>
      </c>
    </row>
    <row r="2331" ht="14.25" spans="1:28">
      <c r="A2331" s="5" t="s">
        <v>28</v>
      </c>
      <c r="B2331" s="5" t="s">
        <v>697</v>
      </c>
      <c r="C2331" s="5">
        <v>2027</v>
      </c>
      <c r="D2331" s="5" t="s">
        <v>30</v>
      </c>
      <c r="E2331" t="s">
        <v>1524</v>
      </c>
      <c r="F2331" t="s">
        <v>1521</v>
      </c>
      <c r="G2331" t="s">
        <v>100</v>
      </c>
      <c r="H2331" t="s">
        <v>1525</v>
      </c>
      <c r="I2331" t="s">
        <v>147</v>
      </c>
      <c r="J2331" t="s">
        <v>36</v>
      </c>
      <c r="K2331">
        <v>1390</v>
      </c>
      <c r="O2331" t="s">
        <v>37</v>
      </c>
      <c r="P2331" t="s">
        <v>38</v>
      </c>
      <c r="R2331">
        <f t="shared" si="109"/>
        <v>0</v>
      </c>
      <c r="S2331">
        <f>SUMIFS([1]Sheet1!$T:$T,[1]Sheet1!$I:$I,E2331,[1]Sheet1!$C:$C,A2331)</f>
        <v>0</v>
      </c>
      <c r="T2331">
        <f t="shared" si="110"/>
        <v>0</v>
      </c>
      <c r="U2331" s="9" t="s">
        <v>148</v>
      </c>
      <c r="V2331" t="s">
        <v>164</v>
      </c>
      <c r="W2331" t="s">
        <v>138</v>
      </c>
      <c r="X2331" t="s">
        <v>102</v>
      </c>
      <c r="Y2331" t="s">
        <v>165</v>
      </c>
      <c r="Z2331" t="s">
        <v>41</v>
      </c>
      <c r="AB2331" t="str">
        <f t="shared" si="108"/>
        <v>46504</v>
      </c>
    </row>
    <row r="2332" ht="14.25" spans="1:28">
      <c r="A2332" s="5" t="s">
        <v>28</v>
      </c>
      <c r="B2332" s="5" t="s">
        <v>697</v>
      </c>
      <c r="C2332" s="5">
        <v>2027</v>
      </c>
      <c r="D2332" s="5" t="s">
        <v>30</v>
      </c>
      <c r="E2332" t="s">
        <v>1524</v>
      </c>
      <c r="F2332" t="s">
        <v>1521</v>
      </c>
      <c r="G2332" t="s">
        <v>100</v>
      </c>
      <c r="H2332" t="s">
        <v>1525</v>
      </c>
      <c r="I2332" t="s">
        <v>147</v>
      </c>
      <c r="J2332" t="s">
        <v>36</v>
      </c>
      <c r="K2332">
        <v>1390</v>
      </c>
      <c r="O2332" t="s">
        <v>37</v>
      </c>
      <c r="P2332" t="s">
        <v>42</v>
      </c>
      <c r="U2332" s="9" t="s">
        <v>148</v>
      </c>
      <c r="V2332" t="s">
        <v>164</v>
      </c>
      <c r="W2332" t="s">
        <v>138</v>
      </c>
      <c r="X2332" t="s">
        <v>102</v>
      </c>
      <c r="Y2332" t="s">
        <v>165</v>
      </c>
      <c r="Z2332" t="s">
        <v>41</v>
      </c>
      <c r="AB2332" t="str">
        <f t="shared" si="108"/>
        <v>46504</v>
      </c>
    </row>
    <row r="2333" ht="14.25" spans="1:28">
      <c r="A2333" s="5" t="s">
        <v>28</v>
      </c>
      <c r="B2333" s="5" t="s">
        <v>697</v>
      </c>
      <c r="C2333" s="5">
        <v>2027</v>
      </c>
      <c r="D2333" s="5" t="s">
        <v>30</v>
      </c>
      <c r="E2333" t="s">
        <v>1524</v>
      </c>
      <c r="F2333" t="s">
        <v>1521</v>
      </c>
      <c r="G2333" t="s">
        <v>100</v>
      </c>
      <c r="H2333" t="s">
        <v>1525</v>
      </c>
      <c r="I2333" t="s">
        <v>147</v>
      </c>
      <c r="J2333" t="s">
        <v>36</v>
      </c>
      <c r="K2333">
        <v>1390</v>
      </c>
      <c r="O2333" t="s">
        <v>37</v>
      </c>
      <c r="P2333" t="s">
        <v>43</v>
      </c>
      <c r="U2333" s="9" t="s">
        <v>148</v>
      </c>
      <c r="V2333" t="s">
        <v>164</v>
      </c>
      <c r="W2333" t="s">
        <v>138</v>
      </c>
      <c r="X2333" t="s">
        <v>102</v>
      </c>
      <c r="Y2333" t="s">
        <v>165</v>
      </c>
      <c r="Z2333" t="s">
        <v>41</v>
      </c>
      <c r="AB2333" t="str">
        <f t="shared" si="108"/>
        <v>46504</v>
      </c>
    </row>
    <row r="2334" ht="14.25" spans="1:28">
      <c r="A2334" s="5" t="s">
        <v>28</v>
      </c>
      <c r="B2334" s="5" t="s">
        <v>697</v>
      </c>
      <c r="C2334" s="5">
        <v>2027</v>
      </c>
      <c r="D2334" s="5" t="s">
        <v>30</v>
      </c>
      <c r="E2334" t="s">
        <v>1524</v>
      </c>
      <c r="F2334" t="s">
        <v>1521</v>
      </c>
      <c r="G2334" t="s">
        <v>100</v>
      </c>
      <c r="H2334" t="s">
        <v>1525</v>
      </c>
      <c r="I2334" t="s">
        <v>147</v>
      </c>
      <c r="J2334" t="s">
        <v>36</v>
      </c>
      <c r="K2334">
        <v>1390</v>
      </c>
      <c r="O2334" t="s">
        <v>37</v>
      </c>
      <c r="P2334" t="s">
        <v>44</v>
      </c>
      <c r="U2334" s="9" t="s">
        <v>148</v>
      </c>
      <c r="V2334" t="s">
        <v>164</v>
      </c>
      <c r="W2334" t="s">
        <v>138</v>
      </c>
      <c r="X2334" t="s">
        <v>102</v>
      </c>
      <c r="Y2334" t="s">
        <v>165</v>
      </c>
      <c r="Z2334" t="s">
        <v>41</v>
      </c>
      <c r="AB2334" t="str">
        <f t="shared" si="108"/>
        <v>46504</v>
      </c>
    </row>
    <row r="2335" ht="14.25" spans="1:28">
      <c r="A2335" s="5" t="s">
        <v>28</v>
      </c>
      <c r="B2335" s="5" t="s">
        <v>697</v>
      </c>
      <c r="C2335" s="5">
        <v>2027</v>
      </c>
      <c r="D2335" s="5" t="s">
        <v>30</v>
      </c>
      <c r="E2335" t="s">
        <v>1524</v>
      </c>
      <c r="F2335" t="s">
        <v>1521</v>
      </c>
      <c r="G2335" t="s">
        <v>100</v>
      </c>
      <c r="H2335" t="s">
        <v>1525</v>
      </c>
      <c r="I2335" t="s">
        <v>147</v>
      </c>
      <c r="J2335" t="s">
        <v>36</v>
      </c>
      <c r="K2335">
        <v>1390</v>
      </c>
      <c r="O2335" t="s">
        <v>37</v>
      </c>
      <c r="P2335" t="s">
        <v>45</v>
      </c>
      <c r="U2335" s="9" t="s">
        <v>148</v>
      </c>
      <c r="V2335" t="s">
        <v>164</v>
      </c>
      <c r="W2335" t="s">
        <v>138</v>
      </c>
      <c r="X2335" t="s">
        <v>102</v>
      </c>
      <c r="Y2335" t="s">
        <v>165</v>
      </c>
      <c r="Z2335" t="s">
        <v>41</v>
      </c>
      <c r="AB2335" t="str">
        <f t="shared" si="108"/>
        <v>46504</v>
      </c>
    </row>
    <row r="2336" ht="14.25" spans="1:28">
      <c r="A2336" s="5" t="s">
        <v>28</v>
      </c>
      <c r="B2336" s="5" t="s">
        <v>697</v>
      </c>
      <c r="C2336" s="5">
        <v>2027</v>
      </c>
      <c r="D2336" s="5" t="s">
        <v>30</v>
      </c>
      <c r="E2336" t="s">
        <v>1524</v>
      </c>
      <c r="F2336" t="s">
        <v>1521</v>
      </c>
      <c r="G2336" t="s">
        <v>100</v>
      </c>
      <c r="H2336" t="s">
        <v>1525</v>
      </c>
      <c r="I2336" t="s">
        <v>147</v>
      </c>
      <c r="J2336" t="s">
        <v>36</v>
      </c>
      <c r="K2336">
        <v>1390</v>
      </c>
      <c r="O2336" t="s">
        <v>37</v>
      </c>
      <c r="P2336" t="s">
        <v>46</v>
      </c>
      <c r="U2336" s="9" t="s">
        <v>148</v>
      </c>
      <c r="V2336" t="s">
        <v>164</v>
      </c>
      <c r="W2336" t="s">
        <v>138</v>
      </c>
      <c r="X2336" t="s">
        <v>102</v>
      </c>
      <c r="Y2336" t="s">
        <v>165</v>
      </c>
      <c r="Z2336" t="s">
        <v>41</v>
      </c>
      <c r="AB2336" t="str">
        <f t="shared" si="108"/>
        <v>46504</v>
      </c>
    </row>
    <row r="2337" ht="14.25" spans="1:28">
      <c r="A2337" s="5" t="s">
        <v>28</v>
      </c>
      <c r="B2337" s="5" t="s">
        <v>697</v>
      </c>
      <c r="C2337" s="5">
        <v>2027</v>
      </c>
      <c r="D2337" s="5" t="s">
        <v>30</v>
      </c>
      <c r="E2337" t="s">
        <v>1526</v>
      </c>
      <c r="F2337" t="s">
        <v>1521</v>
      </c>
      <c r="G2337" t="s">
        <v>254</v>
      </c>
      <c r="H2337" t="s">
        <v>1527</v>
      </c>
      <c r="I2337" t="s">
        <v>147</v>
      </c>
      <c r="J2337" t="s">
        <v>36</v>
      </c>
      <c r="K2337">
        <v>1390</v>
      </c>
      <c r="O2337" t="s">
        <v>37</v>
      </c>
      <c r="P2337" t="s">
        <v>38</v>
      </c>
      <c r="R2337">
        <f t="shared" si="109"/>
        <v>0</v>
      </c>
      <c r="S2337">
        <f>SUMIFS([1]Sheet1!$T:$T,[1]Sheet1!$I:$I,E2337,[1]Sheet1!$C:$C,A2337)</f>
        <v>0</v>
      </c>
      <c r="T2337">
        <f t="shared" si="110"/>
        <v>0</v>
      </c>
      <c r="U2337" s="9" t="s">
        <v>148</v>
      </c>
      <c r="V2337" t="s">
        <v>164</v>
      </c>
      <c r="W2337" t="s">
        <v>138</v>
      </c>
      <c r="X2337" t="s">
        <v>86</v>
      </c>
      <c r="Y2337" t="s">
        <v>165</v>
      </c>
      <c r="Z2337" t="s">
        <v>41</v>
      </c>
      <c r="AB2337" t="str">
        <f t="shared" si="108"/>
        <v>46504</v>
      </c>
    </row>
    <row r="2338" ht="14.25" spans="1:28">
      <c r="A2338" s="5" t="s">
        <v>28</v>
      </c>
      <c r="B2338" s="5" t="s">
        <v>697</v>
      </c>
      <c r="C2338" s="5">
        <v>2027</v>
      </c>
      <c r="D2338" s="5" t="s">
        <v>30</v>
      </c>
      <c r="E2338" t="s">
        <v>1526</v>
      </c>
      <c r="F2338" t="s">
        <v>1521</v>
      </c>
      <c r="G2338" t="s">
        <v>254</v>
      </c>
      <c r="H2338" t="s">
        <v>1527</v>
      </c>
      <c r="I2338" t="s">
        <v>147</v>
      </c>
      <c r="J2338" t="s">
        <v>36</v>
      </c>
      <c r="K2338">
        <v>1390</v>
      </c>
      <c r="O2338" t="s">
        <v>37</v>
      </c>
      <c r="P2338" t="s">
        <v>42</v>
      </c>
      <c r="U2338" s="9" t="s">
        <v>148</v>
      </c>
      <c r="V2338" t="s">
        <v>164</v>
      </c>
      <c r="W2338" t="s">
        <v>138</v>
      </c>
      <c r="X2338" t="s">
        <v>86</v>
      </c>
      <c r="Y2338" t="s">
        <v>165</v>
      </c>
      <c r="Z2338" t="s">
        <v>41</v>
      </c>
      <c r="AB2338" t="str">
        <f t="shared" si="108"/>
        <v>46504</v>
      </c>
    </row>
    <row r="2339" ht="14.25" spans="1:28">
      <c r="A2339" s="5" t="s">
        <v>28</v>
      </c>
      <c r="B2339" s="5" t="s">
        <v>697</v>
      </c>
      <c r="C2339" s="5">
        <v>2027</v>
      </c>
      <c r="D2339" s="5" t="s">
        <v>30</v>
      </c>
      <c r="E2339" t="s">
        <v>1526</v>
      </c>
      <c r="F2339" t="s">
        <v>1521</v>
      </c>
      <c r="G2339" t="s">
        <v>254</v>
      </c>
      <c r="H2339" t="s">
        <v>1527</v>
      </c>
      <c r="I2339" t="s">
        <v>147</v>
      </c>
      <c r="J2339" t="s">
        <v>36</v>
      </c>
      <c r="K2339">
        <v>1390</v>
      </c>
      <c r="O2339" t="s">
        <v>37</v>
      </c>
      <c r="P2339" t="s">
        <v>43</v>
      </c>
      <c r="U2339" s="9" t="s">
        <v>148</v>
      </c>
      <c r="V2339" t="s">
        <v>164</v>
      </c>
      <c r="W2339" t="s">
        <v>138</v>
      </c>
      <c r="X2339" t="s">
        <v>86</v>
      </c>
      <c r="Y2339" t="s">
        <v>165</v>
      </c>
      <c r="Z2339" t="s">
        <v>41</v>
      </c>
      <c r="AB2339" t="str">
        <f t="shared" si="108"/>
        <v>46504</v>
      </c>
    </row>
    <row r="2340" ht="14.25" spans="1:28">
      <c r="A2340" s="5" t="s">
        <v>28</v>
      </c>
      <c r="B2340" s="5" t="s">
        <v>697</v>
      </c>
      <c r="C2340" s="5">
        <v>2027</v>
      </c>
      <c r="D2340" s="5" t="s">
        <v>30</v>
      </c>
      <c r="E2340" t="s">
        <v>1526</v>
      </c>
      <c r="F2340" t="s">
        <v>1521</v>
      </c>
      <c r="G2340" t="s">
        <v>254</v>
      </c>
      <c r="H2340" t="s">
        <v>1527</v>
      </c>
      <c r="I2340" t="s">
        <v>147</v>
      </c>
      <c r="J2340" t="s">
        <v>36</v>
      </c>
      <c r="K2340">
        <v>1390</v>
      </c>
      <c r="O2340" t="s">
        <v>37</v>
      </c>
      <c r="P2340" t="s">
        <v>44</v>
      </c>
      <c r="U2340" s="9" t="s">
        <v>148</v>
      </c>
      <c r="V2340" t="s">
        <v>164</v>
      </c>
      <c r="W2340" t="s">
        <v>138</v>
      </c>
      <c r="X2340" t="s">
        <v>86</v>
      </c>
      <c r="Y2340" t="s">
        <v>165</v>
      </c>
      <c r="Z2340" t="s">
        <v>41</v>
      </c>
      <c r="AB2340" t="str">
        <f t="shared" si="108"/>
        <v>46504</v>
      </c>
    </row>
    <row r="2341" ht="14.25" spans="1:28">
      <c r="A2341" s="5" t="s">
        <v>28</v>
      </c>
      <c r="B2341" s="5" t="s">
        <v>697</v>
      </c>
      <c r="C2341" s="5">
        <v>2027</v>
      </c>
      <c r="D2341" s="5" t="s">
        <v>30</v>
      </c>
      <c r="E2341" t="s">
        <v>1526</v>
      </c>
      <c r="F2341" t="s">
        <v>1521</v>
      </c>
      <c r="G2341" t="s">
        <v>254</v>
      </c>
      <c r="H2341" t="s">
        <v>1527</v>
      </c>
      <c r="I2341" t="s">
        <v>147</v>
      </c>
      <c r="J2341" t="s">
        <v>36</v>
      </c>
      <c r="K2341">
        <v>1390</v>
      </c>
      <c r="O2341" t="s">
        <v>37</v>
      </c>
      <c r="P2341" t="s">
        <v>45</v>
      </c>
      <c r="U2341" s="9" t="s">
        <v>148</v>
      </c>
      <c r="V2341" t="s">
        <v>164</v>
      </c>
      <c r="W2341" t="s">
        <v>138</v>
      </c>
      <c r="X2341" t="s">
        <v>86</v>
      </c>
      <c r="Y2341" t="s">
        <v>165</v>
      </c>
      <c r="Z2341" t="s">
        <v>41</v>
      </c>
      <c r="AB2341" t="str">
        <f t="shared" si="108"/>
        <v>46504</v>
      </c>
    </row>
    <row r="2342" ht="14.25" spans="1:28">
      <c r="A2342" s="5" t="s">
        <v>28</v>
      </c>
      <c r="B2342" s="5" t="s">
        <v>697</v>
      </c>
      <c r="C2342" s="5">
        <v>2027</v>
      </c>
      <c r="D2342" s="5" t="s">
        <v>30</v>
      </c>
      <c r="E2342" t="s">
        <v>1526</v>
      </c>
      <c r="F2342" t="s">
        <v>1521</v>
      </c>
      <c r="G2342" t="s">
        <v>254</v>
      </c>
      <c r="H2342" t="s">
        <v>1527</v>
      </c>
      <c r="I2342" t="s">
        <v>147</v>
      </c>
      <c r="J2342" t="s">
        <v>36</v>
      </c>
      <c r="K2342">
        <v>1390</v>
      </c>
      <c r="O2342" t="s">
        <v>37</v>
      </c>
      <c r="P2342" t="s">
        <v>46</v>
      </c>
      <c r="U2342" s="9" t="s">
        <v>148</v>
      </c>
      <c r="V2342" t="s">
        <v>164</v>
      </c>
      <c r="W2342" t="s">
        <v>138</v>
      </c>
      <c r="X2342" t="s">
        <v>86</v>
      </c>
      <c r="Y2342" t="s">
        <v>165</v>
      </c>
      <c r="Z2342" t="s">
        <v>41</v>
      </c>
      <c r="AB2342" t="str">
        <f t="shared" si="108"/>
        <v>46504</v>
      </c>
    </row>
    <row r="2343" ht="14.25" spans="1:28">
      <c r="A2343" s="5" t="s">
        <v>28</v>
      </c>
      <c r="B2343" s="5" t="s">
        <v>697</v>
      </c>
      <c r="C2343" s="5">
        <v>2027</v>
      </c>
      <c r="D2343" s="5" t="s">
        <v>30</v>
      </c>
      <c r="E2343" t="s">
        <v>1528</v>
      </c>
      <c r="F2343" t="s">
        <v>1529</v>
      </c>
      <c r="G2343" t="s">
        <v>92</v>
      </c>
      <c r="H2343" t="s">
        <v>1530</v>
      </c>
      <c r="I2343" t="s">
        <v>147</v>
      </c>
      <c r="J2343" t="s">
        <v>36</v>
      </c>
      <c r="K2343">
        <v>1390</v>
      </c>
      <c r="O2343" t="s">
        <v>37</v>
      </c>
      <c r="P2343" t="s">
        <v>38</v>
      </c>
      <c r="R2343">
        <f t="shared" si="109"/>
        <v>0</v>
      </c>
      <c r="S2343">
        <f>SUMIFS([1]Sheet1!$T:$T,[1]Sheet1!$I:$I,E2343,[1]Sheet1!$C:$C,A2343)</f>
        <v>0</v>
      </c>
      <c r="T2343">
        <f t="shared" si="110"/>
        <v>0</v>
      </c>
      <c r="U2343" s="9" t="s">
        <v>148</v>
      </c>
      <c r="V2343" t="s">
        <v>164</v>
      </c>
      <c r="W2343" t="s">
        <v>138</v>
      </c>
      <c r="X2343" t="s">
        <v>94</v>
      </c>
      <c r="Y2343" t="s">
        <v>165</v>
      </c>
      <c r="Z2343" t="s">
        <v>41</v>
      </c>
      <c r="AB2343" t="str">
        <f t="shared" si="108"/>
        <v>46505</v>
      </c>
    </row>
    <row r="2344" ht="14.25" spans="1:28">
      <c r="A2344" s="5" t="s">
        <v>28</v>
      </c>
      <c r="B2344" s="5" t="s">
        <v>697</v>
      </c>
      <c r="C2344" s="5">
        <v>2027</v>
      </c>
      <c r="D2344" s="5" t="s">
        <v>30</v>
      </c>
      <c r="E2344" t="s">
        <v>1528</v>
      </c>
      <c r="F2344" t="s">
        <v>1529</v>
      </c>
      <c r="G2344" t="s">
        <v>92</v>
      </c>
      <c r="H2344" t="s">
        <v>1530</v>
      </c>
      <c r="I2344" t="s">
        <v>147</v>
      </c>
      <c r="J2344" t="s">
        <v>36</v>
      </c>
      <c r="K2344">
        <v>1390</v>
      </c>
      <c r="O2344" t="s">
        <v>37</v>
      </c>
      <c r="P2344" t="s">
        <v>42</v>
      </c>
      <c r="U2344" s="9" t="s">
        <v>148</v>
      </c>
      <c r="V2344" t="s">
        <v>164</v>
      </c>
      <c r="W2344" t="s">
        <v>138</v>
      </c>
      <c r="X2344" t="s">
        <v>94</v>
      </c>
      <c r="Y2344" t="s">
        <v>165</v>
      </c>
      <c r="Z2344" t="s">
        <v>41</v>
      </c>
      <c r="AB2344" t="str">
        <f t="shared" si="108"/>
        <v>46505</v>
      </c>
    </row>
    <row r="2345" ht="14.25" spans="1:28">
      <c r="A2345" s="5" t="s">
        <v>28</v>
      </c>
      <c r="B2345" s="5" t="s">
        <v>697</v>
      </c>
      <c r="C2345" s="5">
        <v>2027</v>
      </c>
      <c r="D2345" s="5" t="s">
        <v>30</v>
      </c>
      <c r="E2345" t="s">
        <v>1528</v>
      </c>
      <c r="F2345" t="s">
        <v>1529</v>
      </c>
      <c r="G2345" t="s">
        <v>92</v>
      </c>
      <c r="H2345" t="s">
        <v>1530</v>
      </c>
      <c r="I2345" t="s">
        <v>147</v>
      </c>
      <c r="J2345" t="s">
        <v>36</v>
      </c>
      <c r="K2345">
        <v>1390</v>
      </c>
      <c r="O2345" t="s">
        <v>37</v>
      </c>
      <c r="P2345" t="s">
        <v>43</v>
      </c>
      <c r="U2345" s="9" t="s">
        <v>148</v>
      </c>
      <c r="V2345" t="s">
        <v>164</v>
      </c>
      <c r="W2345" t="s">
        <v>138</v>
      </c>
      <c r="X2345" t="s">
        <v>94</v>
      </c>
      <c r="Y2345" t="s">
        <v>165</v>
      </c>
      <c r="Z2345" t="s">
        <v>41</v>
      </c>
      <c r="AB2345" t="str">
        <f t="shared" si="108"/>
        <v>46505</v>
      </c>
    </row>
    <row r="2346" ht="14.25" spans="1:28">
      <c r="A2346" s="5" t="s">
        <v>28</v>
      </c>
      <c r="B2346" s="5" t="s">
        <v>697</v>
      </c>
      <c r="C2346" s="5">
        <v>2027</v>
      </c>
      <c r="D2346" s="5" t="s">
        <v>30</v>
      </c>
      <c r="E2346" t="s">
        <v>1528</v>
      </c>
      <c r="F2346" t="s">
        <v>1529</v>
      </c>
      <c r="G2346" t="s">
        <v>92</v>
      </c>
      <c r="H2346" t="s">
        <v>1530</v>
      </c>
      <c r="I2346" t="s">
        <v>147</v>
      </c>
      <c r="J2346" t="s">
        <v>36</v>
      </c>
      <c r="K2346">
        <v>1390</v>
      </c>
      <c r="O2346" t="s">
        <v>37</v>
      </c>
      <c r="P2346" t="s">
        <v>44</v>
      </c>
      <c r="U2346" s="9" t="s">
        <v>148</v>
      </c>
      <c r="V2346" t="s">
        <v>164</v>
      </c>
      <c r="W2346" t="s">
        <v>138</v>
      </c>
      <c r="X2346" t="s">
        <v>94</v>
      </c>
      <c r="Y2346" t="s">
        <v>165</v>
      </c>
      <c r="Z2346" t="s">
        <v>41</v>
      </c>
      <c r="AB2346" t="str">
        <f t="shared" si="108"/>
        <v>46505</v>
      </c>
    </row>
    <row r="2347" ht="14.25" spans="1:28">
      <c r="A2347" s="5" t="s">
        <v>28</v>
      </c>
      <c r="B2347" s="5" t="s">
        <v>697</v>
      </c>
      <c r="C2347" s="5">
        <v>2027</v>
      </c>
      <c r="D2347" s="5" t="s">
        <v>30</v>
      </c>
      <c r="E2347" t="s">
        <v>1528</v>
      </c>
      <c r="F2347" t="s">
        <v>1529</v>
      </c>
      <c r="G2347" t="s">
        <v>92</v>
      </c>
      <c r="H2347" t="s">
        <v>1530</v>
      </c>
      <c r="I2347" t="s">
        <v>147</v>
      </c>
      <c r="J2347" t="s">
        <v>36</v>
      </c>
      <c r="K2347">
        <v>1390</v>
      </c>
      <c r="O2347" t="s">
        <v>37</v>
      </c>
      <c r="P2347" t="s">
        <v>45</v>
      </c>
      <c r="U2347" s="9" t="s">
        <v>148</v>
      </c>
      <c r="V2347" t="s">
        <v>164</v>
      </c>
      <c r="W2347" t="s">
        <v>138</v>
      </c>
      <c r="X2347" t="s">
        <v>94</v>
      </c>
      <c r="Y2347" t="s">
        <v>165</v>
      </c>
      <c r="Z2347" t="s">
        <v>41</v>
      </c>
      <c r="AB2347" t="str">
        <f t="shared" si="108"/>
        <v>46505</v>
      </c>
    </row>
    <row r="2348" ht="14.25" spans="1:28">
      <c r="A2348" s="5" t="s">
        <v>28</v>
      </c>
      <c r="B2348" s="5" t="s">
        <v>697</v>
      </c>
      <c r="C2348" s="5">
        <v>2027</v>
      </c>
      <c r="D2348" s="5" t="s">
        <v>30</v>
      </c>
      <c r="E2348" t="s">
        <v>1528</v>
      </c>
      <c r="F2348" t="s">
        <v>1529</v>
      </c>
      <c r="G2348" t="s">
        <v>92</v>
      </c>
      <c r="H2348" t="s">
        <v>1530</v>
      </c>
      <c r="I2348" t="s">
        <v>147</v>
      </c>
      <c r="J2348" t="s">
        <v>36</v>
      </c>
      <c r="K2348">
        <v>1390</v>
      </c>
      <c r="O2348" t="s">
        <v>37</v>
      </c>
      <c r="P2348" t="s">
        <v>46</v>
      </c>
      <c r="U2348" s="9" t="s">
        <v>148</v>
      </c>
      <c r="V2348" t="s">
        <v>164</v>
      </c>
      <c r="W2348" t="s">
        <v>138</v>
      </c>
      <c r="X2348" t="s">
        <v>94</v>
      </c>
      <c r="Y2348" t="s">
        <v>165</v>
      </c>
      <c r="Z2348" t="s">
        <v>41</v>
      </c>
      <c r="AB2348" t="str">
        <f t="shared" si="108"/>
        <v>46505</v>
      </c>
    </row>
    <row r="2349" ht="14.25" spans="1:28">
      <c r="A2349" s="5" t="s">
        <v>28</v>
      </c>
      <c r="B2349" s="5" t="s">
        <v>697</v>
      </c>
      <c r="C2349" s="5">
        <v>2027</v>
      </c>
      <c r="D2349" s="5" t="s">
        <v>30</v>
      </c>
      <c r="E2349" t="s">
        <v>1531</v>
      </c>
      <c r="F2349" t="s">
        <v>1529</v>
      </c>
      <c r="G2349" t="s">
        <v>60</v>
      </c>
      <c r="H2349" t="s">
        <v>1532</v>
      </c>
      <c r="I2349" t="s">
        <v>147</v>
      </c>
      <c r="J2349" t="s">
        <v>36</v>
      </c>
      <c r="K2349">
        <v>1390</v>
      </c>
      <c r="O2349" t="s">
        <v>37</v>
      </c>
      <c r="P2349" t="s">
        <v>38</v>
      </c>
      <c r="R2349">
        <f t="shared" si="109"/>
        <v>0</v>
      </c>
      <c r="S2349">
        <f>SUMIFS([1]Sheet1!$T:$T,[1]Sheet1!$I:$I,E2349,[1]Sheet1!$C:$C,A2349)</f>
        <v>0</v>
      </c>
      <c r="T2349">
        <f t="shared" si="110"/>
        <v>0</v>
      </c>
      <c r="U2349" s="9" t="s">
        <v>148</v>
      </c>
      <c r="V2349" t="s">
        <v>164</v>
      </c>
      <c r="W2349" t="s">
        <v>138</v>
      </c>
      <c r="X2349" t="s">
        <v>62</v>
      </c>
      <c r="Y2349" t="s">
        <v>165</v>
      </c>
      <c r="Z2349" t="s">
        <v>41</v>
      </c>
      <c r="AB2349" t="str">
        <f t="shared" si="108"/>
        <v>46505</v>
      </c>
    </row>
    <row r="2350" ht="14.25" spans="1:28">
      <c r="A2350" s="5" t="s">
        <v>28</v>
      </c>
      <c r="B2350" s="5" t="s">
        <v>697</v>
      </c>
      <c r="C2350" s="5">
        <v>2027</v>
      </c>
      <c r="D2350" s="5" t="s">
        <v>30</v>
      </c>
      <c r="E2350" t="s">
        <v>1531</v>
      </c>
      <c r="F2350" t="s">
        <v>1529</v>
      </c>
      <c r="G2350" t="s">
        <v>60</v>
      </c>
      <c r="H2350" t="s">
        <v>1532</v>
      </c>
      <c r="I2350" t="s">
        <v>147</v>
      </c>
      <c r="J2350" t="s">
        <v>36</v>
      </c>
      <c r="K2350">
        <v>1390</v>
      </c>
      <c r="O2350" t="s">
        <v>37</v>
      </c>
      <c r="P2350" t="s">
        <v>42</v>
      </c>
      <c r="U2350" s="9" t="s">
        <v>148</v>
      </c>
      <c r="V2350" t="s">
        <v>164</v>
      </c>
      <c r="W2350" t="s">
        <v>138</v>
      </c>
      <c r="X2350" t="s">
        <v>62</v>
      </c>
      <c r="Y2350" t="s">
        <v>165</v>
      </c>
      <c r="Z2350" t="s">
        <v>41</v>
      </c>
      <c r="AB2350" t="str">
        <f t="shared" si="108"/>
        <v>46505</v>
      </c>
    </row>
    <row r="2351" ht="14.25" spans="1:28">
      <c r="A2351" s="5" t="s">
        <v>28</v>
      </c>
      <c r="B2351" s="5" t="s">
        <v>697</v>
      </c>
      <c r="C2351" s="5">
        <v>2027</v>
      </c>
      <c r="D2351" s="5" t="s">
        <v>30</v>
      </c>
      <c r="E2351" t="s">
        <v>1531</v>
      </c>
      <c r="F2351" t="s">
        <v>1529</v>
      </c>
      <c r="G2351" t="s">
        <v>60</v>
      </c>
      <c r="H2351" t="s">
        <v>1532</v>
      </c>
      <c r="I2351" t="s">
        <v>147</v>
      </c>
      <c r="J2351" t="s">
        <v>36</v>
      </c>
      <c r="K2351">
        <v>1390</v>
      </c>
      <c r="O2351" t="s">
        <v>37</v>
      </c>
      <c r="P2351" t="s">
        <v>43</v>
      </c>
      <c r="U2351" s="9" t="s">
        <v>148</v>
      </c>
      <c r="V2351" t="s">
        <v>164</v>
      </c>
      <c r="W2351" t="s">
        <v>138</v>
      </c>
      <c r="X2351" t="s">
        <v>62</v>
      </c>
      <c r="Y2351" t="s">
        <v>165</v>
      </c>
      <c r="Z2351" t="s">
        <v>41</v>
      </c>
      <c r="AB2351" t="str">
        <f t="shared" si="108"/>
        <v>46505</v>
      </c>
    </row>
    <row r="2352" ht="14.25" spans="1:28">
      <c r="A2352" s="5" t="s">
        <v>28</v>
      </c>
      <c r="B2352" s="5" t="s">
        <v>697</v>
      </c>
      <c r="C2352" s="5">
        <v>2027</v>
      </c>
      <c r="D2352" s="5" t="s">
        <v>30</v>
      </c>
      <c r="E2352" t="s">
        <v>1531</v>
      </c>
      <c r="F2352" t="s">
        <v>1529</v>
      </c>
      <c r="G2352" t="s">
        <v>60</v>
      </c>
      <c r="H2352" t="s">
        <v>1532</v>
      </c>
      <c r="I2352" t="s">
        <v>147</v>
      </c>
      <c r="J2352" t="s">
        <v>36</v>
      </c>
      <c r="K2352">
        <v>1390</v>
      </c>
      <c r="O2352" t="s">
        <v>37</v>
      </c>
      <c r="P2352" t="s">
        <v>44</v>
      </c>
      <c r="U2352" s="9" t="s">
        <v>148</v>
      </c>
      <c r="V2352" t="s">
        <v>164</v>
      </c>
      <c r="W2352" t="s">
        <v>138</v>
      </c>
      <c r="X2352" t="s">
        <v>62</v>
      </c>
      <c r="Y2352" t="s">
        <v>165</v>
      </c>
      <c r="Z2352" t="s">
        <v>41</v>
      </c>
      <c r="AB2352" t="str">
        <f t="shared" si="108"/>
        <v>46505</v>
      </c>
    </row>
    <row r="2353" ht="14.25" spans="1:28">
      <c r="A2353" s="5" t="s">
        <v>28</v>
      </c>
      <c r="B2353" s="5" t="s">
        <v>697</v>
      </c>
      <c r="C2353" s="5">
        <v>2027</v>
      </c>
      <c r="D2353" s="5" t="s">
        <v>30</v>
      </c>
      <c r="E2353" t="s">
        <v>1531</v>
      </c>
      <c r="F2353" t="s">
        <v>1529</v>
      </c>
      <c r="G2353" t="s">
        <v>60</v>
      </c>
      <c r="H2353" t="s">
        <v>1532</v>
      </c>
      <c r="I2353" t="s">
        <v>147</v>
      </c>
      <c r="J2353" t="s">
        <v>36</v>
      </c>
      <c r="K2353">
        <v>1390</v>
      </c>
      <c r="O2353" t="s">
        <v>37</v>
      </c>
      <c r="P2353" t="s">
        <v>45</v>
      </c>
      <c r="U2353" s="9" t="s">
        <v>148</v>
      </c>
      <c r="V2353" t="s">
        <v>164</v>
      </c>
      <c r="W2353" t="s">
        <v>138</v>
      </c>
      <c r="X2353" t="s">
        <v>62</v>
      </c>
      <c r="Y2353" t="s">
        <v>165</v>
      </c>
      <c r="Z2353" t="s">
        <v>41</v>
      </c>
      <c r="AB2353" t="str">
        <f t="shared" si="108"/>
        <v>46505</v>
      </c>
    </row>
    <row r="2354" ht="14.25" spans="1:28">
      <c r="A2354" s="5" t="s">
        <v>28</v>
      </c>
      <c r="B2354" s="5" t="s">
        <v>697</v>
      </c>
      <c r="C2354" s="5">
        <v>2027</v>
      </c>
      <c r="D2354" s="5" t="s">
        <v>30</v>
      </c>
      <c r="E2354" t="s">
        <v>1531</v>
      </c>
      <c r="F2354" t="s">
        <v>1529</v>
      </c>
      <c r="G2354" t="s">
        <v>60</v>
      </c>
      <c r="H2354" t="s">
        <v>1532</v>
      </c>
      <c r="I2354" t="s">
        <v>147</v>
      </c>
      <c r="J2354" t="s">
        <v>36</v>
      </c>
      <c r="K2354">
        <v>1390</v>
      </c>
      <c r="O2354" t="s">
        <v>37</v>
      </c>
      <c r="P2354" t="s">
        <v>46</v>
      </c>
      <c r="U2354" s="9" t="s">
        <v>148</v>
      </c>
      <c r="V2354" t="s">
        <v>164</v>
      </c>
      <c r="W2354" t="s">
        <v>138</v>
      </c>
      <c r="X2354" t="s">
        <v>62</v>
      </c>
      <c r="Y2354" t="s">
        <v>165</v>
      </c>
      <c r="Z2354" t="s">
        <v>41</v>
      </c>
      <c r="AB2354" t="str">
        <f t="shared" si="108"/>
        <v>46505</v>
      </c>
    </row>
    <row r="2355" ht="14.25" spans="1:28">
      <c r="A2355" s="5" t="s">
        <v>28</v>
      </c>
      <c r="B2355" s="5" t="s">
        <v>697</v>
      </c>
      <c r="C2355" s="5">
        <v>2027</v>
      </c>
      <c r="D2355" s="5" t="s">
        <v>30</v>
      </c>
      <c r="E2355" t="s">
        <v>1533</v>
      </c>
      <c r="F2355" t="s">
        <v>1534</v>
      </c>
      <c r="G2355" t="s">
        <v>33</v>
      </c>
      <c r="H2355" t="s">
        <v>1535</v>
      </c>
      <c r="I2355" t="s">
        <v>112</v>
      </c>
      <c r="J2355" t="s">
        <v>36</v>
      </c>
      <c r="K2355">
        <v>1190</v>
      </c>
      <c r="O2355" t="s">
        <v>37</v>
      </c>
      <c r="P2355" t="s">
        <v>38</v>
      </c>
      <c r="R2355">
        <f t="shared" si="109"/>
        <v>0</v>
      </c>
      <c r="S2355">
        <f>SUMIFS([1]Sheet1!$T:$T,[1]Sheet1!$I:$I,E2355,[1]Sheet1!$C:$C,A2355)</f>
        <v>0</v>
      </c>
      <c r="T2355">
        <f t="shared" si="110"/>
        <v>0</v>
      </c>
      <c r="U2355" s="9" t="s">
        <v>148</v>
      </c>
      <c r="V2355" t="s">
        <v>164</v>
      </c>
      <c r="W2355" t="s">
        <v>138</v>
      </c>
      <c r="X2355" t="s">
        <v>39</v>
      </c>
      <c r="Y2355" t="s">
        <v>165</v>
      </c>
      <c r="Z2355" t="s">
        <v>41</v>
      </c>
      <c r="AB2355" t="str">
        <f t="shared" ref="AB2355:AB2418" si="111">MID(E2355,6,5)</f>
        <v>46521</v>
      </c>
    </row>
    <row r="2356" ht="14.25" spans="1:28">
      <c r="A2356" s="5" t="s">
        <v>28</v>
      </c>
      <c r="B2356" s="5" t="s">
        <v>697</v>
      </c>
      <c r="C2356" s="5">
        <v>2027</v>
      </c>
      <c r="D2356" s="5" t="s">
        <v>30</v>
      </c>
      <c r="E2356" t="s">
        <v>1533</v>
      </c>
      <c r="F2356" t="s">
        <v>1534</v>
      </c>
      <c r="G2356" t="s">
        <v>33</v>
      </c>
      <c r="H2356" t="s">
        <v>1535</v>
      </c>
      <c r="I2356" t="s">
        <v>112</v>
      </c>
      <c r="J2356" t="s">
        <v>36</v>
      </c>
      <c r="K2356">
        <v>1190</v>
      </c>
      <c r="O2356" t="s">
        <v>37</v>
      </c>
      <c r="P2356" t="s">
        <v>42</v>
      </c>
      <c r="U2356" s="9" t="s">
        <v>148</v>
      </c>
      <c r="V2356" t="s">
        <v>164</v>
      </c>
      <c r="W2356" t="s">
        <v>138</v>
      </c>
      <c r="X2356" t="s">
        <v>39</v>
      </c>
      <c r="Y2356" t="s">
        <v>165</v>
      </c>
      <c r="Z2356" t="s">
        <v>41</v>
      </c>
      <c r="AB2356" t="str">
        <f t="shared" si="111"/>
        <v>46521</v>
      </c>
    </row>
    <row r="2357" ht="14.25" spans="1:28">
      <c r="A2357" s="5" t="s">
        <v>28</v>
      </c>
      <c r="B2357" s="5" t="s">
        <v>697</v>
      </c>
      <c r="C2357" s="5">
        <v>2027</v>
      </c>
      <c r="D2357" s="5" t="s">
        <v>30</v>
      </c>
      <c r="E2357" t="s">
        <v>1533</v>
      </c>
      <c r="F2357" t="s">
        <v>1534</v>
      </c>
      <c r="G2357" t="s">
        <v>33</v>
      </c>
      <c r="H2357" t="s">
        <v>1535</v>
      </c>
      <c r="I2357" t="s">
        <v>112</v>
      </c>
      <c r="J2357" t="s">
        <v>36</v>
      </c>
      <c r="K2357">
        <v>1190</v>
      </c>
      <c r="O2357" t="s">
        <v>37</v>
      </c>
      <c r="P2357" t="s">
        <v>43</v>
      </c>
      <c r="U2357" s="9" t="s">
        <v>148</v>
      </c>
      <c r="V2357" t="s">
        <v>164</v>
      </c>
      <c r="W2357" t="s">
        <v>138</v>
      </c>
      <c r="X2357" t="s">
        <v>39</v>
      </c>
      <c r="Y2357" t="s">
        <v>165</v>
      </c>
      <c r="Z2357" t="s">
        <v>41</v>
      </c>
      <c r="AB2357" t="str">
        <f t="shared" si="111"/>
        <v>46521</v>
      </c>
    </row>
    <row r="2358" ht="14.25" spans="1:28">
      <c r="A2358" s="5" t="s">
        <v>28</v>
      </c>
      <c r="B2358" s="5" t="s">
        <v>697</v>
      </c>
      <c r="C2358" s="5">
        <v>2027</v>
      </c>
      <c r="D2358" s="5" t="s">
        <v>30</v>
      </c>
      <c r="E2358" t="s">
        <v>1533</v>
      </c>
      <c r="F2358" t="s">
        <v>1534</v>
      </c>
      <c r="G2358" t="s">
        <v>33</v>
      </c>
      <c r="H2358" t="s">
        <v>1535</v>
      </c>
      <c r="I2358" t="s">
        <v>112</v>
      </c>
      <c r="J2358" t="s">
        <v>36</v>
      </c>
      <c r="K2358">
        <v>1190</v>
      </c>
      <c r="O2358" t="s">
        <v>37</v>
      </c>
      <c r="P2358" t="s">
        <v>44</v>
      </c>
      <c r="U2358" s="9" t="s">
        <v>148</v>
      </c>
      <c r="V2358" t="s">
        <v>164</v>
      </c>
      <c r="W2358" t="s">
        <v>138</v>
      </c>
      <c r="X2358" t="s">
        <v>39</v>
      </c>
      <c r="Y2358" t="s">
        <v>165</v>
      </c>
      <c r="Z2358" t="s">
        <v>41</v>
      </c>
      <c r="AB2358" t="str">
        <f t="shared" si="111"/>
        <v>46521</v>
      </c>
    </row>
    <row r="2359" ht="14.25" spans="1:28">
      <c r="A2359" s="5" t="s">
        <v>28</v>
      </c>
      <c r="B2359" s="5" t="s">
        <v>697</v>
      </c>
      <c r="C2359" s="5">
        <v>2027</v>
      </c>
      <c r="D2359" s="5" t="s">
        <v>30</v>
      </c>
      <c r="E2359" t="s">
        <v>1533</v>
      </c>
      <c r="F2359" t="s">
        <v>1534</v>
      </c>
      <c r="G2359" t="s">
        <v>33</v>
      </c>
      <c r="H2359" t="s">
        <v>1535</v>
      </c>
      <c r="I2359" t="s">
        <v>112</v>
      </c>
      <c r="J2359" t="s">
        <v>36</v>
      </c>
      <c r="K2359">
        <v>1190</v>
      </c>
      <c r="O2359" t="s">
        <v>37</v>
      </c>
      <c r="P2359" t="s">
        <v>45</v>
      </c>
      <c r="U2359" s="9" t="s">
        <v>148</v>
      </c>
      <c r="V2359" t="s">
        <v>164</v>
      </c>
      <c r="W2359" t="s">
        <v>138</v>
      </c>
      <c r="X2359" t="s">
        <v>39</v>
      </c>
      <c r="Y2359" t="s">
        <v>165</v>
      </c>
      <c r="Z2359" t="s">
        <v>41</v>
      </c>
      <c r="AB2359" t="str">
        <f t="shared" si="111"/>
        <v>46521</v>
      </c>
    </row>
    <row r="2360" ht="14.25" spans="1:28">
      <c r="A2360" s="5" t="s">
        <v>28</v>
      </c>
      <c r="B2360" s="5" t="s">
        <v>697</v>
      </c>
      <c r="C2360" s="5">
        <v>2027</v>
      </c>
      <c r="D2360" s="5" t="s">
        <v>30</v>
      </c>
      <c r="E2360" t="s">
        <v>1533</v>
      </c>
      <c r="F2360" t="s">
        <v>1534</v>
      </c>
      <c r="G2360" t="s">
        <v>33</v>
      </c>
      <c r="H2360" t="s">
        <v>1535</v>
      </c>
      <c r="I2360" t="s">
        <v>112</v>
      </c>
      <c r="J2360" t="s">
        <v>36</v>
      </c>
      <c r="K2360">
        <v>1190</v>
      </c>
      <c r="O2360" t="s">
        <v>37</v>
      </c>
      <c r="P2360" t="s">
        <v>46</v>
      </c>
      <c r="U2360" s="9" t="s">
        <v>148</v>
      </c>
      <c r="V2360" t="s">
        <v>164</v>
      </c>
      <c r="W2360" t="s">
        <v>138</v>
      </c>
      <c r="X2360" t="s">
        <v>39</v>
      </c>
      <c r="Y2360" t="s">
        <v>165</v>
      </c>
      <c r="Z2360" t="s">
        <v>41</v>
      </c>
      <c r="AB2360" t="str">
        <f t="shared" si="111"/>
        <v>46521</v>
      </c>
    </row>
    <row r="2361" ht="14.25" spans="1:28">
      <c r="A2361" s="5" t="s">
        <v>28</v>
      </c>
      <c r="B2361" s="5" t="s">
        <v>697</v>
      </c>
      <c r="C2361" s="5">
        <v>2027</v>
      </c>
      <c r="D2361" s="5" t="s">
        <v>30</v>
      </c>
      <c r="E2361" t="s">
        <v>1536</v>
      </c>
      <c r="F2361" t="s">
        <v>1534</v>
      </c>
      <c r="G2361" t="s">
        <v>100</v>
      </c>
      <c r="H2361" t="s">
        <v>1537</v>
      </c>
      <c r="I2361" t="s">
        <v>112</v>
      </c>
      <c r="J2361" t="s">
        <v>36</v>
      </c>
      <c r="K2361">
        <v>1190</v>
      </c>
      <c r="O2361" t="s">
        <v>37</v>
      </c>
      <c r="P2361" t="s">
        <v>38</v>
      </c>
      <c r="R2361">
        <f t="shared" si="109"/>
        <v>0</v>
      </c>
      <c r="S2361">
        <f>SUMIFS([1]Sheet1!$T:$T,[1]Sheet1!$I:$I,E2361,[1]Sheet1!$C:$C,A2361)</f>
        <v>0</v>
      </c>
      <c r="T2361">
        <f t="shared" si="110"/>
        <v>0</v>
      </c>
      <c r="U2361" s="9" t="s">
        <v>148</v>
      </c>
      <c r="V2361" t="s">
        <v>164</v>
      </c>
      <c r="W2361" t="s">
        <v>138</v>
      </c>
      <c r="X2361" t="s">
        <v>102</v>
      </c>
      <c r="Y2361" t="s">
        <v>237</v>
      </c>
      <c r="Z2361" t="s">
        <v>41</v>
      </c>
      <c r="AB2361" t="str">
        <f t="shared" si="111"/>
        <v>46521</v>
      </c>
    </row>
    <row r="2362" ht="14.25" spans="1:28">
      <c r="A2362" s="5" t="s">
        <v>28</v>
      </c>
      <c r="B2362" s="5" t="s">
        <v>697</v>
      </c>
      <c r="C2362" s="5">
        <v>2027</v>
      </c>
      <c r="D2362" s="5" t="s">
        <v>30</v>
      </c>
      <c r="E2362" t="s">
        <v>1536</v>
      </c>
      <c r="F2362" t="s">
        <v>1534</v>
      </c>
      <c r="G2362" t="s">
        <v>100</v>
      </c>
      <c r="H2362" t="s">
        <v>1537</v>
      </c>
      <c r="I2362" t="s">
        <v>112</v>
      </c>
      <c r="J2362" t="s">
        <v>36</v>
      </c>
      <c r="K2362">
        <v>1190</v>
      </c>
      <c r="O2362" t="s">
        <v>37</v>
      </c>
      <c r="P2362" t="s">
        <v>42</v>
      </c>
      <c r="U2362" s="9" t="s">
        <v>148</v>
      </c>
      <c r="V2362" t="s">
        <v>164</v>
      </c>
      <c r="W2362" t="s">
        <v>138</v>
      </c>
      <c r="X2362" t="s">
        <v>102</v>
      </c>
      <c r="Y2362" t="s">
        <v>237</v>
      </c>
      <c r="Z2362" t="s">
        <v>41</v>
      </c>
      <c r="AB2362" t="str">
        <f t="shared" si="111"/>
        <v>46521</v>
      </c>
    </row>
    <row r="2363" ht="14.25" spans="1:28">
      <c r="A2363" s="5" t="s">
        <v>28</v>
      </c>
      <c r="B2363" s="5" t="s">
        <v>697</v>
      </c>
      <c r="C2363" s="5">
        <v>2027</v>
      </c>
      <c r="D2363" s="5" t="s">
        <v>30</v>
      </c>
      <c r="E2363" t="s">
        <v>1536</v>
      </c>
      <c r="F2363" t="s">
        <v>1534</v>
      </c>
      <c r="G2363" t="s">
        <v>100</v>
      </c>
      <c r="H2363" t="s">
        <v>1537</v>
      </c>
      <c r="I2363" t="s">
        <v>112</v>
      </c>
      <c r="J2363" t="s">
        <v>36</v>
      </c>
      <c r="K2363">
        <v>1190</v>
      </c>
      <c r="O2363" t="s">
        <v>37</v>
      </c>
      <c r="P2363" t="s">
        <v>43</v>
      </c>
      <c r="U2363" s="9" t="s">
        <v>148</v>
      </c>
      <c r="V2363" t="s">
        <v>164</v>
      </c>
      <c r="W2363" t="s">
        <v>138</v>
      </c>
      <c r="X2363" t="s">
        <v>102</v>
      </c>
      <c r="Y2363" t="s">
        <v>237</v>
      </c>
      <c r="Z2363" t="s">
        <v>41</v>
      </c>
      <c r="AB2363" t="str">
        <f t="shared" si="111"/>
        <v>46521</v>
      </c>
    </row>
    <row r="2364" ht="14.25" spans="1:28">
      <c r="A2364" s="5" t="s">
        <v>28</v>
      </c>
      <c r="B2364" s="5" t="s">
        <v>697</v>
      </c>
      <c r="C2364" s="5">
        <v>2027</v>
      </c>
      <c r="D2364" s="5" t="s">
        <v>30</v>
      </c>
      <c r="E2364" t="s">
        <v>1536</v>
      </c>
      <c r="F2364" t="s">
        <v>1534</v>
      </c>
      <c r="G2364" t="s">
        <v>100</v>
      </c>
      <c r="H2364" t="s">
        <v>1537</v>
      </c>
      <c r="I2364" t="s">
        <v>112</v>
      </c>
      <c r="J2364" t="s">
        <v>36</v>
      </c>
      <c r="K2364">
        <v>1190</v>
      </c>
      <c r="O2364" t="s">
        <v>37</v>
      </c>
      <c r="P2364" t="s">
        <v>44</v>
      </c>
      <c r="U2364" s="9" t="s">
        <v>148</v>
      </c>
      <c r="V2364" t="s">
        <v>164</v>
      </c>
      <c r="W2364" t="s">
        <v>138</v>
      </c>
      <c r="X2364" t="s">
        <v>102</v>
      </c>
      <c r="Y2364" t="s">
        <v>237</v>
      </c>
      <c r="Z2364" t="s">
        <v>41</v>
      </c>
      <c r="AB2364" t="str">
        <f t="shared" si="111"/>
        <v>46521</v>
      </c>
    </row>
    <row r="2365" ht="14.25" spans="1:28">
      <c r="A2365" s="5" t="s">
        <v>28</v>
      </c>
      <c r="B2365" s="5" t="s">
        <v>697</v>
      </c>
      <c r="C2365" s="5">
        <v>2027</v>
      </c>
      <c r="D2365" s="5" t="s">
        <v>30</v>
      </c>
      <c r="E2365" t="s">
        <v>1536</v>
      </c>
      <c r="F2365" t="s">
        <v>1534</v>
      </c>
      <c r="G2365" t="s">
        <v>100</v>
      </c>
      <c r="H2365" t="s">
        <v>1537</v>
      </c>
      <c r="I2365" t="s">
        <v>112</v>
      </c>
      <c r="J2365" t="s">
        <v>36</v>
      </c>
      <c r="K2365">
        <v>1190</v>
      </c>
      <c r="O2365" t="s">
        <v>37</v>
      </c>
      <c r="P2365" t="s">
        <v>45</v>
      </c>
      <c r="U2365" s="9" t="s">
        <v>148</v>
      </c>
      <c r="V2365" t="s">
        <v>164</v>
      </c>
      <c r="W2365" t="s">
        <v>138</v>
      </c>
      <c r="X2365" t="s">
        <v>102</v>
      </c>
      <c r="Y2365" t="s">
        <v>237</v>
      </c>
      <c r="Z2365" t="s">
        <v>41</v>
      </c>
      <c r="AB2365" t="str">
        <f t="shared" si="111"/>
        <v>46521</v>
      </c>
    </row>
    <row r="2366" ht="14.25" spans="1:28">
      <c r="A2366" s="5" t="s">
        <v>28</v>
      </c>
      <c r="B2366" s="5" t="s">
        <v>697</v>
      </c>
      <c r="C2366" s="5">
        <v>2027</v>
      </c>
      <c r="D2366" s="5" t="s">
        <v>30</v>
      </c>
      <c r="E2366" t="s">
        <v>1536</v>
      </c>
      <c r="F2366" t="s">
        <v>1534</v>
      </c>
      <c r="G2366" t="s">
        <v>100</v>
      </c>
      <c r="H2366" t="s">
        <v>1537</v>
      </c>
      <c r="I2366" t="s">
        <v>112</v>
      </c>
      <c r="J2366" t="s">
        <v>36</v>
      </c>
      <c r="K2366">
        <v>1190</v>
      </c>
      <c r="O2366" t="s">
        <v>37</v>
      </c>
      <c r="P2366" t="s">
        <v>46</v>
      </c>
      <c r="U2366" s="9" t="s">
        <v>148</v>
      </c>
      <c r="V2366" t="s">
        <v>164</v>
      </c>
      <c r="W2366" t="s">
        <v>138</v>
      </c>
      <c r="X2366" t="s">
        <v>102</v>
      </c>
      <c r="Y2366" t="s">
        <v>237</v>
      </c>
      <c r="Z2366" t="s">
        <v>41</v>
      </c>
      <c r="AB2366" t="str">
        <f t="shared" si="111"/>
        <v>46521</v>
      </c>
    </row>
    <row r="2367" ht="14.25" spans="1:28">
      <c r="A2367" s="5" t="s">
        <v>28</v>
      </c>
      <c r="B2367" s="5" t="s">
        <v>697</v>
      </c>
      <c r="C2367" s="5">
        <v>2027</v>
      </c>
      <c r="D2367" s="5" t="s">
        <v>30</v>
      </c>
      <c r="E2367" t="s">
        <v>1538</v>
      </c>
      <c r="F2367" t="s">
        <v>1539</v>
      </c>
      <c r="G2367" t="s">
        <v>100</v>
      </c>
      <c r="H2367" t="s">
        <v>1540</v>
      </c>
      <c r="I2367" t="s">
        <v>119</v>
      </c>
      <c r="J2367" t="s">
        <v>36</v>
      </c>
      <c r="K2367">
        <v>1190</v>
      </c>
      <c r="O2367" t="s">
        <v>37</v>
      </c>
      <c r="P2367" t="s">
        <v>38</v>
      </c>
      <c r="R2367">
        <f t="shared" si="109"/>
        <v>0</v>
      </c>
      <c r="S2367">
        <f>SUMIFS([1]Sheet1!$T:$T,[1]Sheet1!$I:$I,E2367,[1]Sheet1!$C:$C,A2367)</f>
        <v>0</v>
      </c>
      <c r="T2367">
        <f t="shared" si="110"/>
        <v>0</v>
      </c>
      <c r="U2367" s="9" t="s">
        <v>148</v>
      </c>
      <c r="V2367" t="s">
        <v>164</v>
      </c>
      <c r="W2367" t="s">
        <v>138</v>
      </c>
      <c r="X2367" t="s">
        <v>102</v>
      </c>
      <c r="Y2367" t="s">
        <v>1047</v>
      </c>
      <c r="Z2367" t="s">
        <v>247</v>
      </c>
      <c r="AB2367" t="str">
        <f t="shared" si="111"/>
        <v>46525</v>
      </c>
    </row>
    <row r="2368" ht="14.25" spans="1:28">
      <c r="A2368" s="5" t="s">
        <v>28</v>
      </c>
      <c r="B2368" s="5" t="s">
        <v>697</v>
      </c>
      <c r="C2368" s="5">
        <v>2027</v>
      </c>
      <c r="D2368" s="5" t="s">
        <v>30</v>
      </c>
      <c r="E2368" t="s">
        <v>1538</v>
      </c>
      <c r="F2368" t="s">
        <v>1539</v>
      </c>
      <c r="G2368" t="s">
        <v>100</v>
      </c>
      <c r="H2368" t="s">
        <v>1540</v>
      </c>
      <c r="I2368" t="s">
        <v>119</v>
      </c>
      <c r="J2368" t="s">
        <v>36</v>
      </c>
      <c r="K2368">
        <v>1190</v>
      </c>
      <c r="O2368" t="s">
        <v>37</v>
      </c>
      <c r="P2368" t="s">
        <v>42</v>
      </c>
      <c r="U2368" s="9" t="s">
        <v>148</v>
      </c>
      <c r="V2368" t="s">
        <v>164</v>
      </c>
      <c r="W2368" t="s">
        <v>138</v>
      </c>
      <c r="X2368" t="s">
        <v>102</v>
      </c>
      <c r="Y2368" t="s">
        <v>1047</v>
      </c>
      <c r="Z2368" t="s">
        <v>247</v>
      </c>
      <c r="AB2368" t="str">
        <f t="shared" si="111"/>
        <v>46525</v>
      </c>
    </row>
    <row r="2369" ht="14.25" spans="1:28">
      <c r="A2369" s="5" t="s">
        <v>28</v>
      </c>
      <c r="B2369" s="5" t="s">
        <v>697</v>
      </c>
      <c r="C2369" s="5">
        <v>2027</v>
      </c>
      <c r="D2369" s="5" t="s">
        <v>30</v>
      </c>
      <c r="E2369" t="s">
        <v>1538</v>
      </c>
      <c r="F2369" t="s">
        <v>1539</v>
      </c>
      <c r="G2369" t="s">
        <v>100</v>
      </c>
      <c r="H2369" t="s">
        <v>1540</v>
      </c>
      <c r="I2369" t="s">
        <v>119</v>
      </c>
      <c r="J2369" t="s">
        <v>36</v>
      </c>
      <c r="K2369">
        <v>1190</v>
      </c>
      <c r="O2369" t="s">
        <v>37</v>
      </c>
      <c r="P2369" t="s">
        <v>43</v>
      </c>
      <c r="U2369" s="9" t="s">
        <v>148</v>
      </c>
      <c r="V2369" t="s">
        <v>164</v>
      </c>
      <c r="W2369" t="s">
        <v>138</v>
      </c>
      <c r="X2369" t="s">
        <v>102</v>
      </c>
      <c r="Y2369" t="s">
        <v>1047</v>
      </c>
      <c r="Z2369" t="s">
        <v>247</v>
      </c>
      <c r="AB2369" t="str">
        <f t="shared" si="111"/>
        <v>46525</v>
      </c>
    </row>
    <row r="2370" ht="14.25" spans="1:28">
      <c r="A2370" s="5" t="s">
        <v>28</v>
      </c>
      <c r="B2370" s="5" t="s">
        <v>697</v>
      </c>
      <c r="C2370" s="5">
        <v>2027</v>
      </c>
      <c r="D2370" s="5" t="s">
        <v>30</v>
      </c>
      <c r="E2370" t="s">
        <v>1538</v>
      </c>
      <c r="F2370" t="s">
        <v>1539</v>
      </c>
      <c r="G2370" t="s">
        <v>100</v>
      </c>
      <c r="H2370" t="s">
        <v>1540</v>
      </c>
      <c r="I2370" t="s">
        <v>119</v>
      </c>
      <c r="J2370" t="s">
        <v>36</v>
      </c>
      <c r="K2370">
        <v>1190</v>
      </c>
      <c r="O2370" t="s">
        <v>37</v>
      </c>
      <c r="P2370" t="s">
        <v>44</v>
      </c>
      <c r="U2370" s="9" t="s">
        <v>148</v>
      </c>
      <c r="V2370" t="s">
        <v>164</v>
      </c>
      <c r="W2370" t="s">
        <v>138</v>
      </c>
      <c r="X2370" t="s">
        <v>102</v>
      </c>
      <c r="Y2370" t="s">
        <v>1047</v>
      </c>
      <c r="Z2370" t="s">
        <v>247</v>
      </c>
      <c r="AB2370" t="str">
        <f t="shared" si="111"/>
        <v>46525</v>
      </c>
    </row>
    <row r="2371" ht="14.25" spans="1:28">
      <c r="A2371" s="5" t="s">
        <v>28</v>
      </c>
      <c r="B2371" s="5" t="s">
        <v>697</v>
      </c>
      <c r="C2371" s="5">
        <v>2027</v>
      </c>
      <c r="D2371" s="5" t="s">
        <v>30</v>
      </c>
      <c r="E2371" t="s">
        <v>1538</v>
      </c>
      <c r="F2371" t="s">
        <v>1539</v>
      </c>
      <c r="G2371" t="s">
        <v>100</v>
      </c>
      <c r="H2371" t="s">
        <v>1540</v>
      </c>
      <c r="I2371" t="s">
        <v>119</v>
      </c>
      <c r="J2371" t="s">
        <v>36</v>
      </c>
      <c r="K2371">
        <v>1190</v>
      </c>
      <c r="O2371" t="s">
        <v>37</v>
      </c>
      <c r="P2371" t="s">
        <v>45</v>
      </c>
      <c r="U2371" s="9" t="s">
        <v>148</v>
      </c>
      <c r="V2371" t="s">
        <v>164</v>
      </c>
      <c r="W2371" t="s">
        <v>138</v>
      </c>
      <c r="X2371" t="s">
        <v>102</v>
      </c>
      <c r="Y2371" t="s">
        <v>1047</v>
      </c>
      <c r="Z2371" t="s">
        <v>247</v>
      </c>
      <c r="AB2371" t="str">
        <f t="shared" si="111"/>
        <v>46525</v>
      </c>
    </row>
    <row r="2372" ht="14.25" spans="1:28">
      <c r="A2372" s="5" t="s">
        <v>28</v>
      </c>
      <c r="B2372" s="5" t="s">
        <v>697</v>
      </c>
      <c r="C2372" s="5">
        <v>2027</v>
      </c>
      <c r="D2372" s="5" t="s">
        <v>30</v>
      </c>
      <c r="E2372" t="s">
        <v>1538</v>
      </c>
      <c r="F2372" t="s">
        <v>1539</v>
      </c>
      <c r="G2372" t="s">
        <v>100</v>
      </c>
      <c r="H2372" t="s">
        <v>1540</v>
      </c>
      <c r="I2372" t="s">
        <v>119</v>
      </c>
      <c r="J2372" t="s">
        <v>36</v>
      </c>
      <c r="K2372">
        <v>1190</v>
      </c>
      <c r="O2372" t="s">
        <v>37</v>
      </c>
      <c r="P2372" t="s">
        <v>46</v>
      </c>
      <c r="U2372" s="9" t="s">
        <v>148</v>
      </c>
      <c r="V2372" t="s">
        <v>164</v>
      </c>
      <c r="W2372" t="s">
        <v>138</v>
      </c>
      <c r="X2372" t="s">
        <v>102</v>
      </c>
      <c r="Y2372" t="s">
        <v>1047</v>
      </c>
      <c r="Z2372" t="s">
        <v>247</v>
      </c>
      <c r="AB2372" t="str">
        <f t="shared" si="111"/>
        <v>46525</v>
      </c>
    </row>
    <row r="2373" ht="14.25" spans="1:28">
      <c r="A2373" s="5" t="s">
        <v>28</v>
      </c>
      <c r="B2373" s="5" t="s">
        <v>697</v>
      </c>
      <c r="C2373" s="5">
        <v>2027</v>
      </c>
      <c r="D2373" s="5" t="s">
        <v>30</v>
      </c>
      <c r="E2373" t="s">
        <v>1541</v>
      </c>
      <c r="F2373" t="s">
        <v>1539</v>
      </c>
      <c r="G2373" t="s">
        <v>1542</v>
      </c>
      <c r="H2373" t="s">
        <v>1543</v>
      </c>
      <c r="I2373" t="s">
        <v>119</v>
      </c>
      <c r="J2373" t="s">
        <v>36</v>
      </c>
      <c r="K2373">
        <v>1190</v>
      </c>
      <c r="O2373" t="s">
        <v>37</v>
      </c>
      <c r="P2373" t="s">
        <v>38</v>
      </c>
      <c r="R2373">
        <f t="shared" ref="R2370:R2433" si="112">SUMIFS(Q:Q,E:E,E2373)</f>
        <v>0</v>
      </c>
      <c r="S2373">
        <f>SUMIFS([1]Sheet1!$T:$T,[1]Sheet1!$I:$I,E2373,[1]Sheet1!$C:$C,A2373)</f>
        <v>0</v>
      </c>
      <c r="T2373">
        <f t="shared" ref="T2370:T2433" si="113">R2373-S2373</f>
        <v>0</v>
      </c>
      <c r="U2373" s="9" t="s">
        <v>148</v>
      </c>
      <c r="V2373" t="s">
        <v>164</v>
      </c>
      <c r="W2373" t="s">
        <v>138</v>
      </c>
      <c r="X2373" t="s">
        <v>503</v>
      </c>
      <c r="Y2373" t="s">
        <v>1047</v>
      </c>
      <c r="Z2373" t="s">
        <v>247</v>
      </c>
      <c r="AB2373" t="str">
        <f t="shared" si="111"/>
        <v>46525</v>
      </c>
    </row>
    <row r="2374" ht="14.25" spans="1:28">
      <c r="A2374" s="5" t="s">
        <v>28</v>
      </c>
      <c r="B2374" s="5" t="s">
        <v>697</v>
      </c>
      <c r="C2374" s="5">
        <v>2027</v>
      </c>
      <c r="D2374" s="5" t="s">
        <v>30</v>
      </c>
      <c r="E2374" t="s">
        <v>1541</v>
      </c>
      <c r="F2374" t="s">
        <v>1539</v>
      </c>
      <c r="G2374" t="s">
        <v>1542</v>
      </c>
      <c r="H2374" t="s">
        <v>1543</v>
      </c>
      <c r="I2374" t="s">
        <v>119</v>
      </c>
      <c r="J2374" t="s">
        <v>36</v>
      </c>
      <c r="K2374">
        <v>1190</v>
      </c>
      <c r="O2374" t="s">
        <v>37</v>
      </c>
      <c r="P2374" t="s">
        <v>42</v>
      </c>
      <c r="U2374" s="9" t="s">
        <v>148</v>
      </c>
      <c r="V2374" t="s">
        <v>164</v>
      </c>
      <c r="W2374" t="s">
        <v>138</v>
      </c>
      <c r="X2374" t="s">
        <v>503</v>
      </c>
      <c r="Y2374" t="s">
        <v>1047</v>
      </c>
      <c r="Z2374" t="s">
        <v>247</v>
      </c>
      <c r="AB2374" t="str">
        <f t="shared" si="111"/>
        <v>46525</v>
      </c>
    </row>
    <row r="2375" ht="14.25" spans="1:28">
      <c r="A2375" s="5" t="s">
        <v>28</v>
      </c>
      <c r="B2375" s="5" t="s">
        <v>697</v>
      </c>
      <c r="C2375" s="5">
        <v>2027</v>
      </c>
      <c r="D2375" s="5" t="s">
        <v>30</v>
      </c>
      <c r="E2375" t="s">
        <v>1541</v>
      </c>
      <c r="F2375" t="s">
        <v>1539</v>
      </c>
      <c r="G2375" t="s">
        <v>1542</v>
      </c>
      <c r="H2375" t="s">
        <v>1543</v>
      </c>
      <c r="I2375" t="s">
        <v>119</v>
      </c>
      <c r="J2375" t="s">
        <v>36</v>
      </c>
      <c r="K2375">
        <v>1190</v>
      </c>
      <c r="O2375" t="s">
        <v>37</v>
      </c>
      <c r="P2375" t="s">
        <v>43</v>
      </c>
      <c r="U2375" s="9" t="s">
        <v>148</v>
      </c>
      <c r="V2375" t="s">
        <v>164</v>
      </c>
      <c r="W2375" t="s">
        <v>138</v>
      </c>
      <c r="X2375" t="s">
        <v>503</v>
      </c>
      <c r="Y2375" t="s">
        <v>1047</v>
      </c>
      <c r="Z2375" t="s">
        <v>247</v>
      </c>
      <c r="AB2375" t="str">
        <f t="shared" si="111"/>
        <v>46525</v>
      </c>
    </row>
    <row r="2376" ht="14.25" spans="1:28">
      <c r="A2376" s="5" t="s">
        <v>28</v>
      </c>
      <c r="B2376" s="5" t="s">
        <v>697</v>
      </c>
      <c r="C2376" s="5">
        <v>2027</v>
      </c>
      <c r="D2376" s="5" t="s">
        <v>30</v>
      </c>
      <c r="E2376" t="s">
        <v>1541</v>
      </c>
      <c r="F2376" t="s">
        <v>1539</v>
      </c>
      <c r="G2376" t="s">
        <v>1542</v>
      </c>
      <c r="H2376" t="s">
        <v>1543</v>
      </c>
      <c r="I2376" t="s">
        <v>119</v>
      </c>
      <c r="J2376" t="s">
        <v>36</v>
      </c>
      <c r="K2376">
        <v>1190</v>
      </c>
      <c r="O2376" t="s">
        <v>37</v>
      </c>
      <c r="P2376" t="s">
        <v>44</v>
      </c>
      <c r="U2376" s="9" t="s">
        <v>148</v>
      </c>
      <c r="V2376" t="s">
        <v>164</v>
      </c>
      <c r="W2376" t="s">
        <v>138</v>
      </c>
      <c r="X2376" t="s">
        <v>503</v>
      </c>
      <c r="Y2376" t="s">
        <v>1047</v>
      </c>
      <c r="Z2376" t="s">
        <v>247</v>
      </c>
      <c r="AB2376" t="str">
        <f t="shared" si="111"/>
        <v>46525</v>
      </c>
    </row>
    <row r="2377" ht="14.25" spans="1:28">
      <c r="A2377" s="5" t="s">
        <v>28</v>
      </c>
      <c r="B2377" s="5" t="s">
        <v>697</v>
      </c>
      <c r="C2377" s="5">
        <v>2027</v>
      </c>
      <c r="D2377" s="5" t="s">
        <v>30</v>
      </c>
      <c r="E2377" t="s">
        <v>1541</v>
      </c>
      <c r="F2377" t="s">
        <v>1539</v>
      </c>
      <c r="G2377" t="s">
        <v>1542</v>
      </c>
      <c r="H2377" t="s">
        <v>1543</v>
      </c>
      <c r="I2377" t="s">
        <v>119</v>
      </c>
      <c r="J2377" t="s">
        <v>36</v>
      </c>
      <c r="K2377">
        <v>1190</v>
      </c>
      <c r="O2377" t="s">
        <v>37</v>
      </c>
      <c r="P2377" t="s">
        <v>45</v>
      </c>
      <c r="U2377" s="9" t="s">
        <v>148</v>
      </c>
      <c r="V2377" t="s">
        <v>164</v>
      </c>
      <c r="W2377" t="s">
        <v>138</v>
      </c>
      <c r="X2377" t="s">
        <v>503</v>
      </c>
      <c r="Y2377" t="s">
        <v>1047</v>
      </c>
      <c r="Z2377" t="s">
        <v>247</v>
      </c>
      <c r="AB2377" t="str">
        <f t="shared" si="111"/>
        <v>46525</v>
      </c>
    </row>
    <row r="2378" ht="14.25" spans="1:28">
      <c r="A2378" s="5" t="s">
        <v>28</v>
      </c>
      <c r="B2378" s="5" t="s">
        <v>697</v>
      </c>
      <c r="C2378" s="5">
        <v>2027</v>
      </c>
      <c r="D2378" s="5" t="s">
        <v>30</v>
      </c>
      <c r="E2378" t="s">
        <v>1541</v>
      </c>
      <c r="F2378" t="s">
        <v>1539</v>
      </c>
      <c r="G2378" t="s">
        <v>1542</v>
      </c>
      <c r="H2378" t="s">
        <v>1543</v>
      </c>
      <c r="I2378" t="s">
        <v>119</v>
      </c>
      <c r="J2378" t="s">
        <v>36</v>
      </c>
      <c r="K2378">
        <v>1190</v>
      </c>
      <c r="O2378" t="s">
        <v>37</v>
      </c>
      <c r="P2378" t="s">
        <v>46</v>
      </c>
      <c r="U2378" s="9" t="s">
        <v>148</v>
      </c>
      <c r="V2378" t="s">
        <v>164</v>
      </c>
      <c r="W2378" t="s">
        <v>138</v>
      </c>
      <c r="X2378" t="s">
        <v>503</v>
      </c>
      <c r="Y2378" t="s">
        <v>1047</v>
      </c>
      <c r="Z2378" t="s">
        <v>247</v>
      </c>
      <c r="AB2378" t="str">
        <f t="shared" si="111"/>
        <v>46525</v>
      </c>
    </row>
    <row r="2379" ht="14.25" spans="1:28">
      <c r="A2379" s="5" t="s">
        <v>28</v>
      </c>
      <c r="B2379" s="5" t="s">
        <v>697</v>
      </c>
      <c r="C2379" s="5">
        <v>2027</v>
      </c>
      <c r="D2379" s="5" t="s">
        <v>30</v>
      </c>
      <c r="E2379" t="s">
        <v>1544</v>
      </c>
      <c r="F2379" t="s">
        <v>1539</v>
      </c>
      <c r="G2379" t="s">
        <v>60</v>
      </c>
      <c r="H2379" t="s">
        <v>1545</v>
      </c>
      <c r="I2379" t="s">
        <v>119</v>
      </c>
      <c r="J2379" t="s">
        <v>36</v>
      </c>
      <c r="K2379">
        <v>1190</v>
      </c>
      <c r="O2379" t="s">
        <v>37</v>
      </c>
      <c r="P2379" t="s">
        <v>38</v>
      </c>
      <c r="R2379">
        <f t="shared" si="112"/>
        <v>0</v>
      </c>
      <c r="S2379">
        <f>SUMIFS([1]Sheet1!$T:$T,[1]Sheet1!$I:$I,E2379,[1]Sheet1!$C:$C,A2379)</f>
        <v>0</v>
      </c>
      <c r="T2379">
        <f t="shared" si="113"/>
        <v>0</v>
      </c>
      <c r="U2379" s="9" t="s">
        <v>148</v>
      </c>
      <c r="V2379" t="s">
        <v>164</v>
      </c>
      <c r="W2379" t="s">
        <v>138</v>
      </c>
      <c r="X2379" t="s">
        <v>62</v>
      </c>
      <c r="Y2379" t="s">
        <v>1047</v>
      </c>
      <c r="Z2379" t="s">
        <v>247</v>
      </c>
      <c r="AB2379" t="str">
        <f t="shared" si="111"/>
        <v>46525</v>
      </c>
    </row>
    <row r="2380" ht="14.25" spans="1:28">
      <c r="A2380" s="5" t="s">
        <v>28</v>
      </c>
      <c r="B2380" s="5" t="s">
        <v>697</v>
      </c>
      <c r="C2380" s="5">
        <v>2027</v>
      </c>
      <c r="D2380" s="5" t="s">
        <v>30</v>
      </c>
      <c r="E2380" t="s">
        <v>1544</v>
      </c>
      <c r="F2380" t="s">
        <v>1539</v>
      </c>
      <c r="G2380" t="s">
        <v>60</v>
      </c>
      <c r="H2380" t="s">
        <v>1545</v>
      </c>
      <c r="I2380" t="s">
        <v>119</v>
      </c>
      <c r="J2380" t="s">
        <v>36</v>
      </c>
      <c r="K2380">
        <v>1190</v>
      </c>
      <c r="O2380" t="s">
        <v>37</v>
      </c>
      <c r="P2380" t="s">
        <v>42</v>
      </c>
      <c r="U2380" s="9" t="s">
        <v>148</v>
      </c>
      <c r="V2380" t="s">
        <v>164</v>
      </c>
      <c r="W2380" t="s">
        <v>138</v>
      </c>
      <c r="X2380" t="s">
        <v>62</v>
      </c>
      <c r="Y2380" t="s">
        <v>1047</v>
      </c>
      <c r="Z2380" t="s">
        <v>247</v>
      </c>
      <c r="AB2380" t="str">
        <f t="shared" si="111"/>
        <v>46525</v>
      </c>
    </row>
    <row r="2381" ht="14.25" spans="1:28">
      <c r="A2381" s="5" t="s">
        <v>28</v>
      </c>
      <c r="B2381" s="5" t="s">
        <v>697</v>
      </c>
      <c r="C2381" s="5">
        <v>2027</v>
      </c>
      <c r="D2381" s="5" t="s">
        <v>30</v>
      </c>
      <c r="E2381" t="s">
        <v>1544</v>
      </c>
      <c r="F2381" t="s">
        <v>1539</v>
      </c>
      <c r="G2381" t="s">
        <v>60</v>
      </c>
      <c r="H2381" t="s">
        <v>1545</v>
      </c>
      <c r="I2381" t="s">
        <v>119</v>
      </c>
      <c r="J2381" t="s">
        <v>36</v>
      </c>
      <c r="K2381">
        <v>1190</v>
      </c>
      <c r="O2381" t="s">
        <v>37</v>
      </c>
      <c r="P2381" t="s">
        <v>43</v>
      </c>
      <c r="U2381" s="9" t="s">
        <v>148</v>
      </c>
      <c r="V2381" t="s">
        <v>164</v>
      </c>
      <c r="W2381" t="s">
        <v>138</v>
      </c>
      <c r="X2381" t="s">
        <v>62</v>
      </c>
      <c r="Y2381" t="s">
        <v>1047</v>
      </c>
      <c r="Z2381" t="s">
        <v>247</v>
      </c>
      <c r="AB2381" t="str">
        <f t="shared" si="111"/>
        <v>46525</v>
      </c>
    </row>
    <row r="2382" ht="14.25" spans="1:28">
      <c r="A2382" s="5" t="s">
        <v>28</v>
      </c>
      <c r="B2382" s="5" t="s">
        <v>697</v>
      </c>
      <c r="C2382" s="5">
        <v>2027</v>
      </c>
      <c r="D2382" s="5" t="s">
        <v>30</v>
      </c>
      <c r="E2382" t="s">
        <v>1544</v>
      </c>
      <c r="F2382" t="s">
        <v>1539</v>
      </c>
      <c r="G2382" t="s">
        <v>60</v>
      </c>
      <c r="H2382" t="s">
        <v>1545</v>
      </c>
      <c r="I2382" t="s">
        <v>119</v>
      </c>
      <c r="J2382" t="s">
        <v>36</v>
      </c>
      <c r="K2382">
        <v>1190</v>
      </c>
      <c r="O2382" t="s">
        <v>37</v>
      </c>
      <c r="P2382" t="s">
        <v>44</v>
      </c>
      <c r="U2382" s="9" t="s">
        <v>148</v>
      </c>
      <c r="V2382" t="s">
        <v>164</v>
      </c>
      <c r="W2382" t="s">
        <v>138</v>
      </c>
      <c r="X2382" t="s">
        <v>62</v>
      </c>
      <c r="Y2382" t="s">
        <v>1047</v>
      </c>
      <c r="Z2382" t="s">
        <v>247</v>
      </c>
      <c r="AB2382" t="str">
        <f t="shared" si="111"/>
        <v>46525</v>
      </c>
    </row>
    <row r="2383" ht="14.25" spans="1:28">
      <c r="A2383" s="5" t="s">
        <v>28</v>
      </c>
      <c r="B2383" s="5" t="s">
        <v>697</v>
      </c>
      <c r="C2383" s="5">
        <v>2027</v>
      </c>
      <c r="D2383" s="5" t="s">
        <v>30</v>
      </c>
      <c r="E2383" t="s">
        <v>1544</v>
      </c>
      <c r="F2383" t="s">
        <v>1539</v>
      </c>
      <c r="G2383" t="s">
        <v>60</v>
      </c>
      <c r="H2383" t="s">
        <v>1545</v>
      </c>
      <c r="I2383" t="s">
        <v>119</v>
      </c>
      <c r="J2383" t="s">
        <v>36</v>
      </c>
      <c r="K2383">
        <v>1190</v>
      </c>
      <c r="O2383" t="s">
        <v>37</v>
      </c>
      <c r="P2383" t="s">
        <v>45</v>
      </c>
      <c r="U2383" s="9" t="s">
        <v>148</v>
      </c>
      <c r="V2383" t="s">
        <v>164</v>
      </c>
      <c r="W2383" t="s">
        <v>138</v>
      </c>
      <c r="X2383" t="s">
        <v>62</v>
      </c>
      <c r="Y2383" t="s">
        <v>1047</v>
      </c>
      <c r="Z2383" t="s">
        <v>247</v>
      </c>
      <c r="AB2383" t="str">
        <f t="shared" si="111"/>
        <v>46525</v>
      </c>
    </row>
    <row r="2384" ht="14.25" spans="1:28">
      <c r="A2384" s="5" t="s">
        <v>28</v>
      </c>
      <c r="B2384" s="5" t="s">
        <v>697</v>
      </c>
      <c r="C2384" s="5">
        <v>2027</v>
      </c>
      <c r="D2384" s="5" t="s">
        <v>30</v>
      </c>
      <c r="E2384" t="s">
        <v>1544</v>
      </c>
      <c r="F2384" t="s">
        <v>1539</v>
      </c>
      <c r="G2384" t="s">
        <v>60</v>
      </c>
      <c r="H2384" t="s">
        <v>1545</v>
      </c>
      <c r="I2384" t="s">
        <v>119</v>
      </c>
      <c r="J2384" t="s">
        <v>36</v>
      </c>
      <c r="K2384">
        <v>1190</v>
      </c>
      <c r="O2384" t="s">
        <v>37</v>
      </c>
      <c r="P2384" t="s">
        <v>46</v>
      </c>
      <c r="U2384" s="9" t="s">
        <v>148</v>
      </c>
      <c r="V2384" t="s">
        <v>164</v>
      </c>
      <c r="W2384" t="s">
        <v>138</v>
      </c>
      <c r="X2384" t="s">
        <v>62</v>
      </c>
      <c r="Y2384" t="s">
        <v>1047</v>
      </c>
      <c r="Z2384" t="s">
        <v>247</v>
      </c>
      <c r="AB2384" t="str">
        <f t="shared" si="111"/>
        <v>46525</v>
      </c>
    </row>
    <row r="2385" ht="14.25" spans="1:28">
      <c r="A2385" s="5" t="s">
        <v>28</v>
      </c>
      <c r="B2385" s="5" t="s">
        <v>697</v>
      </c>
      <c r="C2385" s="5">
        <v>2027</v>
      </c>
      <c r="D2385" s="5" t="s">
        <v>30</v>
      </c>
      <c r="E2385" t="s">
        <v>1546</v>
      </c>
      <c r="F2385" t="s">
        <v>1547</v>
      </c>
      <c r="G2385" t="s">
        <v>33</v>
      </c>
      <c r="H2385" t="s">
        <v>1548</v>
      </c>
      <c r="I2385" t="s">
        <v>112</v>
      </c>
      <c r="J2385" t="s">
        <v>36</v>
      </c>
      <c r="K2385">
        <v>1590</v>
      </c>
      <c r="O2385" t="s">
        <v>37</v>
      </c>
      <c r="P2385" t="s">
        <v>38</v>
      </c>
      <c r="R2385">
        <f t="shared" si="112"/>
        <v>0</v>
      </c>
      <c r="S2385">
        <f>SUMIFS([1]Sheet1!$T:$T,[1]Sheet1!$I:$I,E2385,[1]Sheet1!$C:$C,A2385)</f>
        <v>40</v>
      </c>
      <c r="T2385">
        <f t="shared" si="113"/>
        <v>-40</v>
      </c>
      <c r="U2385" s="9" t="s">
        <v>148</v>
      </c>
      <c r="V2385" t="s">
        <v>164</v>
      </c>
      <c r="W2385" t="s">
        <v>138</v>
      </c>
      <c r="X2385" t="s">
        <v>39</v>
      </c>
      <c r="Y2385" t="s">
        <v>920</v>
      </c>
      <c r="Z2385" t="s">
        <v>104</v>
      </c>
      <c r="AB2385" t="str">
        <f t="shared" si="111"/>
        <v>46529</v>
      </c>
    </row>
    <row r="2386" ht="14.25" spans="1:28">
      <c r="A2386" s="5" t="s">
        <v>28</v>
      </c>
      <c r="B2386" s="5" t="s">
        <v>697</v>
      </c>
      <c r="C2386" s="5">
        <v>2027</v>
      </c>
      <c r="D2386" s="5" t="s">
        <v>30</v>
      </c>
      <c r="E2386" t="s">
        <v>1546</v>
      </c>
      <c r="F2386" t="s">
        <v>1547</v>
      </c>
      <c r="G2386" t="s">
        <v>33</v>
      </c>
      <c r="H2386" t="s">
        <v>1548</v>
      </c>
      <c r="I2386" t="s">
        <v>112</v>
      </c>
      <c r="J2386" t="s">
        <v>36</v>
      </c>
      <c r="K2386">
        <v>1590</v>
      </c>
      <c r="O2386" t="s">
        <v>37</v>
      </c>
      <c r="P2386" t="s">
        <v>42</v>
      </c>
      <c r="U2386" s="9" t="s">
        <v>148</v>
      </c>
      <c r="V2386" t="s">
        <v>164</v>
      </c>
      <c r="W2386" t="s">
        <v>138</v>
      </c>
      <c r="X2386" t="s">
        <v>39</v>
      </c>
      <c r="Y2386" t="s">
        <v>920</v>
      </c>
      <c r="Z2386" t="s">
        <v>104</v>
      </c>
      <c r="AB2386" t="str">
        <f t="shared" si="111"/>
        <v>46529</v>
      </c>
    </row>
    <row r="2387" ht="14.25" spans="1:28">
      <c r="A2387" s="5" t="s">
        <v>28</v>
      </c>
      <c r="B2387" s="5" t="s">
        <v>697</v>
      </c>
      <c r="C2387" s="5">
        <v>2027</v>
      </c>
      <c r="D2387" s="5" t="s">
        <v>30</v>
      </c>
      <c r="E2387" t="s">
        <v>1546</v>
      </c>
      <c r="F2387" t="s">
        <v>1547</v>
      </c>
      <c r="G2387" t="s">
        <v>33</v>
      </c>
      <c r="H2387" t="s">
        <v>1548</v>
      </c>
      <c r="I2387" t="s">
        <v>112</v>
      </c>
      <c r="J2387" t="s">
        <v>36</v>
      </c>
      <c r="K2387">
        <v>1590</v>
      </c>
      <c r="O2387" t="s">
        <v>37</v>
      </c>
      <c r="P2387" t="s">
        <v>43</v>
      </c>
      <c r="U2387" s="9" t="s">
        <v>148</v>
      </c>
      <c r="V2387" t="s">
        <v>164</v>
      </c>
      <c r="W2387" t="s">
        <v>138</v>
      </c>
      <c r="X2387" t="s">
        <v>39</v>
      </c>
      <c r="Y2387" t="s">
        <v>920</v>
      </c>
      <c r="Z2387" t="s">
        <v>104</v>
      </c>
      <c r="AB2387" t="str">
        <f t="shared" si="111"/>
        <v>46529</v>
      </c>
    </row>
    <row r="2388" ht="14.25" spans="1:28">
      <c r="A2388" s="5" t="s">
        <v>28</v>
      </c>
      <c r="B2388" s="5" t="s">
        <v>697</v>
      </c>
      <c r="C2388" s="5">
        <v>2027</v>
      </c>
      <c r="D2388" s="5" t="s">
        <v>30</v>
      </c>
      <c r="E2388" t="s">
        <v>1546</v>
      </c>
      <c r="F2388" t="s">
        <v>1547</v>
      </c>
      <c r="G2388" t="s">
        <v>33</v>
      </c>
      <c r="H2388" t="s">
        <v>1548</v>
      </c>
      <c r="I2388" t="s">
        <v>112</v>
      </c>
      <c r="J2388" t="s">
        <v>36</v>
      </c>
      <c r="K2388">
        <v>1590</v>
      </c>
      <c r="O2388" t="s">
        <v>37</v>
      </c>
      <c r="P2388" t="s">
        <v>44</v>
      </c>
      <c r="U2388" s="9" t="s">
        <v>148</v>
      </c>
      <c r="V2388" t="s">
        <v>164</v>
      </c>
      <c r="W2388" t="s">
        <v>138</v>
      </c>
      <c r="X2388" t="s">
        <v>39</v>
      </c>
      <c r="Y2388" t="s">
        <v>920</v>
      </c>
      <c r="Z2388" t="s">
        <v>104</v>
      </c>
      <c r="AB2388" t="str">
        <f t="shared" si="111"/>
        <v>46529</v>
      </c>
    </row>
    <row r="2389" ht="14.25" spans="1:28">
      <c r="A2389" s="5" t="s">
        <v>28</v>
      </c>
      <c r="B2389" s="5" t="s">
        <v>697</v>
      </c>
      <c r="C2389" s="5">
        <v>2027</v>
      </c>
      <c r="D2389" s="5" t="s">
        <v>30</v>
      </c>
      <c r="E2389" t="s">
        <v>1546</v>
      </c>
      <c r="F2389" t="s">
        <v>1547</v>
      </c>
      <c r="G2389" t="s">
        <v>33</v>
      </c>
      <c r="H2389" t="s">
        <v>1548</v>
      </c>
      <c r="I2389" t="s">
        <v>112</v>
      </c>
      <c r="J2389" t="s">
        <v>36</v>
      </c>
      <c r="K2389">
        <v>1590</v>
      </c>
      <c r="O2389" t="s">
        <v>37</v>
      </c>
      <c r="P2389" t="s">
        <v>45</v>
      </c>
      <c r="U2389" s="9" t="s">
        <v>148</v>
      </c>
      <c r="V2389" t="s">
        <v>164</v>
      </c>
      <c r="W2389" t="s">
        <v>138</v>
      </c>
      <c r="X2389" t="s">
        <v>39</v>
      </c>
      <c r="Y2389" t="s">
        <v>920</v>
      </c>
      <c r="Z2389" t="s">
        <v>104</v>
      </c>
      <c r="AB2389" t="str">
        <f t="shared" si="111"/>
        <v>46529</v>
      </c>
    </row>
    <row r="2390" ht="14.25" spans="1:28">
      <c r="A2390" s="5" t="s">
        <v>28</v>
      </c>
      <c r="B2390" s="5" t="s">
        <v>697</v>
      </c>
      <c r="C2390" s="5">
        <v>2027</v>
      </c>
      <c r="D2390" s="5" t="s">
        <v>30</v>
      </c>
      <c r="E2390" t="s">
        <v>1546</v>
      </c>
      <c r="F2390" t="s">
        <v>1547</v>
      </c>
      <c r="G2390" t="s">
        <v>33</v>
      </c>
      <c r="H2390" t="s">
        <v>1548</v>
      </c>
      <c r="I2390" t="s">
        <v>112</v>
      </c>
      <c r="J2390" t="s">
        <v>36</v>
      </c>
      <c r="K2390">
        <v>1590</v>
      </c>
      <c r="O2390" t="s">
        <v>37</v>
      </c>
      <c r="P2390" t="s">
        <v>46</v>
      </c>
      <c r="U2390" s="9" t="s">
        <v>148</v>
      </c>
      <c r="V2390" t="s">
        <v>164</v>
      </c>
      <c r="W2390" t="s">
        <v>138</v>
      </c>
      <c r="X2390" t="s">
        <v>39</v>
      </c>
      <c r="Y2390" t="s">
        <v>920</v>
      </c>
      <c r="Z2390" t="s">
        <v>104</v>
      </c>
      <c r="AB2390" t="str">
        <f t="shared" si="111"/>
        <v>46529</v>
      </c>
    </row>
    <row r="2391" ht="14.25" spans="1:28">
      <c r="A2391" s="5" t="s">
        <v>28</v>
      </c>
      <c r="B2391" s="5" t="s">
        <v>697</v>
      </c>
      <c r="C2391" s="5">
        <v>2027</v>
      </c>
      <c r="D2391" s="5" t="s">
        <v>30</v>
      </c>
      <c r="E2391" t="s">
        <v>1549</v>
      </c>
      <c r="F2391" t="s">
        <v>1547</v>
      </c>
      <c r="G2391" t="s">
        <v>100</v>
      </c>
      <c r="H2391" t="s">
        <v>1550</v>
      </c>
      <c r="I2391" t="s">
        <v>112</v>
      </c>
      <c r="J2391" t="s">
        <v>36</v>
      </c>
      <c r="K2391">
        <v>1590</v>
      </c>
      <c r="O2391" t="s">
        <v>37</v>
      </c>
      <c r="P2391" t="s">
        <v>38</v>
      </c>
      <c r="R2391">
        <f t="shared" si="112"/>
        <v>0</v>
      </c>
      <c r="S2391">
        <f>SUMIFS([1]Sheet1!$T:$T,[1]Sheet1!$I:$I,E2391,[1]Sheet1!$C:$C,A2391)</f>
        <v>80</v>
      </c>
      <c r="T2391">
        <f t="shared" si="113"/>
        <v>-80</v>
      </c>
      <c r="U2391" s="9" t="s">
        <v>148</v>
      </c>
      <c r="V2391" t="s">
        <v>164</v>
      </c>
      <c r="W2391" t="s">
        <v>138</v>
      </c>
      <c r="X2391" t="s">
        <v>102</v>
      </c>
      <c r="Y2391" t="s">
        <v>920</v>
      </c>
      <c r="Z2391" t="s">
        <v>104</v>
      </c>
      <c r="AB2391" t="str">
        <f t="shared" si="111"/>
        <v>46529</v>
      </c>
    </row>
    <row r="2392" ht="14.25" spans="1:28">
      <c r="A2392" s="5" t="s">
        <v>28</v>
      </c>
      <c r="B2392" s="5" t="s">
        <v>697</v>
      </c>
      <c r="C2392" s="5">
        <v>2027</v>
      </c>
      <c r="D2392" s="5" t="s">
        <v>30</v>
      </c>
      <c r="E2392" t="s">
        <v>1549</v>
      </c>
      <c r="F2392" t="s">
        <v>1547</v>
      </c>
      <c r="G2392" t="s">
        <v>100</v>
      </c>
      <c r="H2392" t="s">
        <v>1550</v>
      </c>
      <c r="I2392" t="s">
        <v>112</v>
      </c>
      <c r="J2392" t="s">
        <v>36</v>
      </c>
      <c r="K2392">
        <v>1590</v>
      </c>
      <c r="O2392" t="s">
        <v>37</v>
      </c>
      <c r="P2392" t="s">
        <v>42</v>
      </c>
      <c r="U2392" s="9" t="s">
        <v>148</v>
      </c>
      <c r="V2392" t="s">
        <v>164</v>
      </c>
      <c r="W2392" t="s">
        <v>138</v>
      </c>
      <c r="X2392" t="s">
        <v>102</v>
      </c>
      <c r="Y2392" t="s">
        <v>920</v>
      </c>
      <c r="Z2392" t="s">
        <v>104</v>
      </c>
      <c r="AB2392" t="str">
        <f t="shared" si="111"/>
        <v>46529</v>
      </c>
    </row>
    <row r="2393" ht="14.25" spans="1:28">
      <c r="A2393" s="5" t="s">
        <v>28</v>
      </c>
      <c r="B2393" s="5" t="s">
        <v>697</v>
      </c>
      <c r="C2393" s="5">
        <v>2027</v>
      </c>
      <c r="D2393" s="5" t="s">
        <v>30</v>
      </c>
      <c r="E2393" t="s">
        <v>1549</v>
      </c>
      <c r="F2393" t="s">
        <v>1547</v>
      </c>
      <c r="G2393" t="s">
        <v>100</v>
      </c>
      <c r="H2393" t="s">
        <v>1550</v>
      </c>
      <c r="I2393" t="s">
        <v>112</v>
      </c>
      <c r="J2393" t="s">
        <v>36</v>
      </c>
      <c r="K2393">
        <v>1590</v>
      </c>
      <c r="O2393" t="s">
        <v>37</v>
      </c>
      <c r="P2393" t="s">
        <v>43</v>
      </c>
      <c r="U2393" s="9" t="s">
        <v>148</v>
      </c>
      <c r="V2393" t="s">
        <v>164</v>
      </c>
      <c r="W2393" t="s">
        <v>138</v>
      </c>
      <c r="X2393" t="s">
        <v>102</v>
      </c>
      <c r="Y2393" t="s">
        <v>920</v>
      </c>
      <c r="Z2393" t="s">
        <v>104</v>
      </c>
      <c r="AB2393" t="str">
        <f t="shared" si="111"/>
        <v>46529</v>
      </c>
    </row>
    <row r="2394" ht="14.25" spans="1:28">
      <c r="A2394" s="5" t="s">
        <v>28</v>
      </c>
      <c r="B2394" s="5" t="s">
        <v>697</v>
      </c>
      <c r="C2394" s="5">
        <v>2027</v>
      </c>
      <c r="D2394" s="5" t="s">
        <v>30</v>
      </c>
      <c r="E2394" t="s">
        <v>1549</v>
      </c>
      <c r="F2394" t="s">
        <v>1547</v>
      </c>
      <c r="G2394" t="s">
        <v>100</v>
      </c>
      <c r="H2394" t="s">
        <v>1550</v>
      </c>
      <c r="I2394" t="s">
        <v>112</v>
      </c>
      <c r="J2394" t="s">
        <v>36</v>
      </c>
      <c r="K2394">
        <v>1590</v>
      </c>
      <c r="O2394" t="s">
        <v>37</v>
      </c>
      <c r="P2394" t="s">
        <v>44</v>
      </c>
      <c r="U2394" s="9" t="s">
        <v>148</v>
      </c>
      <c r="V2394" t="s">
        <v>164</v>
      </c>
      <c r="W2394" t="s">
        <v>138</v>
      </c>
      <c r="X2394" t="s">
        <v>102</v>
      </c>
      <c r="Y2394" t="s">
        <v>920</v>
      </c>
      <c r="Z2394" t="s">
        <v>104</v>
      </c>
      <c r="AB2394" t="str">
        <f t="shared" si="111"/>
        <v>46529</v>
      </c>
    </row>
    <row r="2395" ht="14.25" spans="1:28">
      <c r="A2395" s="5" t="s">
        <v>28</v>
      </c>
      <c r="B2395" s="5" t="s">
        <v>697</v>
      </c>
      <c r="C2395" s="5">
        <v>2027</v>
      </c>
      <c r="D2395" s="5" t="s">
        <v>30</v>
      </c>
      <c r="E2395" t="s">
        <v>1549</v>
      </c>
      <c r="F2395" t="s">
        <v>1547</v>
      </c>
      <c r="G2395" t="s">
        <v>100</v>
      </c>
      <c r="H2395" t="s">
        <v>1550</v>
      </c>
      <c r="I2395" t="s">
        <v>112</v>
      </c>
      <c r="J2395" t="s">
        <v>36</v>
      </c>
      <c r="K2395">
        <v>1590</v>
      </c>
      <c r="O2395" t="s">
        <v>37</v>
      </c>
      <c r="P2395" t="s">
        <v>45</v>
      </c>
      <c r="U2395" s="9" t="s">
        <v>148</v>
      </c>
      <c r="V2395" t="s">
        <v>164</v>
      </c>
      <c r="W2395" t="s">
        <v>138</v>
      </c>
      <c r="X2395" t="s">
        <v>102</v>
      </c>
      <c r="Y2395" t="s">
        <v>920</v>
      </c>
      <c r="Z2395" t="s">
        <v>104</v>
      </c>
      <c r="AB2395" t="str">
        <f t="shared" si="111"/>
        <v>46529</v>
      </c>
    </row>
    <row r="2396" ht="14.25" spans="1:28">
      <c r="A2396" s="5" t="s">
        <v>28</v>
      </c>
      <c r="B2396" s="5" t="s">
        <v>697</v>
      </c>
      <c r="C2396" s="5">
        <v>2027</v>
      </c>
      <c r="D2396" s="5" t="s">
        <v>30</v>
      </c>
      <c r="E2396" t="s">
        <v>1549</v>
      </c>
      <c r="F2396" t="s">
        <v>1547</v>
      </c>
      <c r="G2396" t="s">
        <v>100</v>
      </c>
      <c r="H2396" t="s">
        <v>1550</v>
      </c>
      <c r="I2396" t="s">
        <v>112</v>
      </c>
      <c r="J2396" t="s">
        <v>36</v>
      </c>
      <c r="K2396">
        <v>1590</v>
      </c>
      <c r="O2396" t="s">
        <v>37</v>
      </c>
      <c r="P2396" t="s">
        <v>46</v>
      </c>
      <c r="U2396" s="9" t="s">
        <v>148</v>
      </c>
      <c r="V2396" t="s">
        <v>164</v>
      </c>
      <c r="W2396" t="s">
        <v>138</v>
      </c>
      <c r="X2396" t="s">
        <v>102</v>
      </c>
      <c r="Y2396" t="s">
        <v>920</v>
      </c>
      <c r="Z2396" t="s">
        <v>104</v>
      </c>
      <c r="AB2396" t="str">
        <f t="shared" si="111"/>
        <v>46529</v>
      </c>
    </row>
    <row r="2397" ht="14.25" spans="1:28">
      <c r="A2397" s="5" t="s">
        <v>28</v>
      </c>
      <c r="B2397" s="5" t="s">
        <v>697</v>
      </c>
      <c r="C2397" s="5">
        <v>2027</v>
      </c>
      <c r="D2397" s="5" t="s">
        <v>30</v>
      </c>
      <c r="E2397" t="s">
        <v>1551</v>
      </c>
      <c r="F2397" t="s">
        <v>1552</v>
      </c>
      <c r="G2397" t="s">
        <v>89</v>
      </c>
      <c r="H2397" t="s">
        <v>1553</v>
      </c>
      <c r="I2397" t="s">
        <v>147</v>
      </c>
      <c r="J2397" t="s">
        <v>36</v>
      </c>
      <c r="K2397">
        <v>1790</v>
      </c>
      <c r="O2397" t="s">
        <v>37</v>
      </c>
      <c r="P2397" t="s">
        <v>38</v>
      </c>
      <c r="R2397">
        <f t="shared" si="112"/>
        <v>0</v>
      </c>
      <c r="S2397">
        <f>SUMIFS([1]Sheet1!$T:$T,[1]Sheet1!$I:$I,E2397,[1]Sheet1!$C:$C,A2397)</f>
        <v>40</v>
      </c>
      <c r="T2397">
        <f t="shared" si="113"/>
        <v>-40</v>
      </c>
      <c r="U2397" s="9" t="s">
        <v>148</v>
      </c>
      <c r="V2397" t="s">
        <v>164</v>
      </c>
      <c r="W2397" t="s">
        <v>138</v>
      </c>
      <c r="X2397" t="s">
        <v>39</v>
      </c>
      <c r="Y2397" t="s">
        <v>827</v>
      </c>
      <c r="Z2397" t="s">
        <v>104</v>
      </c>
      <c r="AB2397" t="str">
        <f t="shared" si="111"/>
        <v>46534</v>
      </c>
    </row>
    <row r="2398" ht="14.25" spans="1:28">
      <c r="A2398" s="5" t="s">
        <v>28</v>
      </c>
      <c r="B2398" s="5" t="s">
        <v>697</v>
      </c>
      <c r="C2398" s="5">
        <v>2027</v>
      </c>
      <c r="D2398" s="5" t="s">
        <v>30</v>
      </c>
      <c r="E2398" t="s">
        <v>1551</v>
      </c>
      <c r="F2398" t="s">
        <v>1552</v>
      </c>
      <c r="G2398" t="s">
        <v>89</v>
      </c>
      <c r="H2398" t="s">
        <v>1553</v>
      </c>
      <c r="I2398" t="s">
        <v>147</v>
      </c>
      <c r="J2398" t="s">
        <v>36</v>
      </c>
      <c r="K2398">
        <v>1790</v>
      </c>
      <c r="O2398" t="s">
        <v>37</v>
      </c>
      <c r="P2398" t="s">
        <v>42</v>
      </c>
      <c r="U2398" s="9" t="s">
        <v>148</v>
      </c>
      <c r="V2398" t="s">
        <v>164</v>
      </c>
      <c r="W2398" t="s">
        <v>138</v>
      </c>
      <c r="X2398" t="s">
        <v>39</v>
      </c>
      <c r="Y2398" t="s">
        <v>827</v>
      </c>
      <c r="Z2398" t="s">
        <v>104</v>
      </c>
      <c r="AB2398" t="str">
        <f t="shared" si="111"/>
        <v>46534</v>
      </c>
    </row>
    <row r="2399" ht="14.25" spans="1:28">
      <c r="A2399" s="5" t="s">
        <v>28</v>
      </c>
      <c r="B2399" s="5" t="s">
        <v>697</v>
      </c>
      <c r="C2399" s="5">
        <v>2027</v>
      </c>
      <c r="D2399" s="5" t="s">
        <v>30</v>
      </c>
      <c r="E2399" t="s">
        <v>1551</v>
      </c>
      <c r="F2399" t="s">
        <v>1552</v>
      </c>
      <c r="G2399" t="s">
        <v>89</v>
      </c>
      <c r="H2399" t="s">
        <v>1553</v>
      </c>
      <c r="I2399" t="s">
        <v>147</v>
      </c>
      <c r="J2399" t="s">
        <v>36</v>
      </c>
      <c r="K2399">
        <v>1790</v>
      </c>
      <c r="O2399" t="s">
        <v>37</v>
      </c>
      <c r="P2399" t="s">
        <v>43</v>
      </c>
      <c r="U2399" s="9" t="s">
        <v>148</v>
      </c>
      <c r="V2399" t="s">
        <v>164</v>
      </c>
      <c r="W2399" t="s">
        <v>138</v>
      </c>
      <c r="X2399" t="s">
        <v>39</v>
      </c>
      <c r="Y2399" t="s">
        <v>827</v>
      </c>
      <c r="Z2399" t="s">
        <v>104</v>
      </c>
      <c r="AB2399" t="str">
        <f t="shared" si="111"/>
        <v>46534</v>
      </c>
    </row>
    <row r="2400" ht="14.25" spans="1:28">
      <c r="A2400" s="5" t="s">
        <v>28</v>
      </c>
      <c r="B2400" s="5" t="s">
        <v>697</v>
      </c>
      <c r="C2400" s="5">
        <v>2027</v>
      </c>
      <c r="D2400" s="5" t="s">
        <v>30</v>
      </c>
      <c r="E2400" t="s">
        <v>1551</v>
      </c>
      <c r="F2400" t="s">
        <v>1552</v>
      </c>
      <c r="G2400" t="s">
        <v>89</v>
      </c>
      <c r="H2400" t="s">
        <v>1553</v>
      </c>
      <c r="I2400" t="s">
        <v>147</v>
      </c>
      <c r="J2400" t="s">
        <v>36</v>
      </c>
      <c r="K2400">
        <v>1790</v>
      </c>
      <c r="O2400" t="s">
        <v>37</v>
      </c>
      <c r="P2400" t="s">
        <v>44</v>
      </c>
      <c r="U2400" s="9" t="s">
        <v>148</v>
      </c>
      <c r="V2400" t="s">
        <v>164</v>
      </c>
      <c r="W2400" t="s">
        <v>138</v>
      </c>
      <c r="X2400" t="s">
        <v>39</v>
      </c>
      <c r="Y2400" t="s">
        <v>827</v>
      </c>
      <c r="Z2400" t="s">
        <v>104</v>
      </c>
      <c r="AB2400" t="str">
        <f t="shared" si="111"/>
        <v>46534</v>
      </c>
    </row>
    <row r="2401" ht="14.25" spans="1:28">
      <c r="A2401" s="5" t="s">
        <v>28</v>
      </c>
      <c r="B2401" s="5" t="s">
        <v>697</v>
      </c>
      <c r="C2401" s="5">
        <v>2027</v>
      </c>
      <c r="D2401" s="5" t="s">
        <v>30</v>
      </c>
      <c r="E2401" t="s">
        <v>1551</v>
      </c>
      <c r="F2401" t="s">
        <v>1552</v>
      </c>
      <c r="G2401" t="s">
        <v>89</v>
      </c>
      <c r="H2401" t="s">
        <v>1553</v>
      </c>
      <c r="I2401" t="s">
        <v>147</v>
      </c>
      <c r="J2401" t="s">
        <v>36</v>
      </c>
      <c r="K2401">
        <v>1790</v>
      </c>
      <c r="O2401" t="s">
        <v>37</v>
      </c>
      <c r="P2401" t="s">
        <v>45</v>
      </c>
      <c r="U2401" s="9" t="s">
        <v>148</v>
      </c>
      <c r="V2401" t="s">
        <v>164</v>
      </c>
      <c r="W2401" t="s">
        <v>138</v>
      </c>
      <c r="X2401" t="s">
        <v>39</v>
      </c>
      <c r="Y2401" t="s">
        <v>827</v>
      </c>
      <c r="Z2401" t="s">
        <v>104</v>
      </c>
      <c r="AB2401" t="str">
        <f t="shared" si="111"/>
        <v>46534</v>
      </c>
    </row>
    <row r="2402" ht="14.25" spans="1:28">
      <c r="A2402" s="5" t="s">
        <v>28</v>
      </c>
      <c r="B2402" s="5" t="s">
        <v>697</v>
      </c>
      <c r="C2402" s="5">
        <v>2027</v>
      </c>
      <c r="D2402" s="5" t="s">
        <v>30</v>
      </c>
      <c r="E2402" t="s">
        <v>1551</v>
      </c>
      <c r="F2402" t="s">
        <v>1552</v>
      </c>
      <c r="G2402" t="s">
        <v>89</v>
      </c>
      <c r="H2402" t="s">
        <v>1553</v>
      </c>
      <c r="I2402" t="s">
        <v>147</v>
      </c>
      <c r="J2402" t="s">
        <v>36</v>
      </c>
      <c r="K2402">
        <v>1790</v>
      </c>
      <c r="O2402" t="s">
        <v>37</v>
      </c>
      <c r="P2402" t="s">
        <v>46</v>
      </c>
      <c r="U2402" s="9" t="s">
        <v>148</v>
      </c>
      <c r="V2402" t="s">
        <v>164</v>
      </c>
      <c r="W2402" t="s">
        <v>138</v>
      </c>
      <c r="X2402" t="s">
        <v>39</v>
      </c>
      <c r="Y2402" t="s">
        <v>827</v>
      </c>
      <c r="Z2402" t="s">
        <v>104</v>
      </c>
      <c r="AB2402" t="str">
        <f t="shared" si="111"/>
        <v>46534</v>
      </c>
    </row>
    <row r="2403" ht="14.25" spans="1:28">
      <c r="A2403" s="5" t="s">
        <v>28</v>
      </c>
      <c r="B2403" s="5" t="s">
        <v>697</v>
      </c>
      <c r="C2403" s="5">
        <v>2027</v>
      </c>
      <c r="D2403" s="5" t="s">
        <v>30</v>
      </c>
      <c r="E2403" t="s">
        <v>1554</v>
      </c>
      <c r="F2403" t="s">
        <v>1552</v>
      </c>
      <c r="G2403" t="s">
        <v>1194</v>
      </c>
      <c r="H2403" t="s">
        <v>1555</v>
      </c>
      <c r="I2403" t="s">
        <v>147</v>
      </c>
      <c r="J2403" t="s">
        <v>36</v>
      </c>
      <c r="K2403">
        <v>1790</v>
      </c>
      <c r="O2403" t="s">
        <v>37</v>
      </c>
      <c r="P2403" t="s">
        <v>38</v>
      </c>
      <c r="R2403">
        <f t="shared" si="112"/>
        <v>0</v>
      </c>
      <c r="S2403">
        <f>SUMIFS([1]Sheet1!$T:$T,[1]Sheet1!$I:$I,E2403,[1]Sheet1!$C:$C,A2403)</f>
        <v>60</v>
      </c>
      <c r="T2403">
        <f t="shared" si="113"/>
        <v>-60</v>
      </c>
      <c r="U2403" s="9" t="s">
        <v>148</v>
      </c>
      <c r="V2403" t="s">
        <v>164</v>
      </c>
      <c r="W2403" t="s">
        <v>138</v>
      </c>
      <c r="X2403" t="s">
        <v>503</v>
      </c>
      <c r="Y2403" t="s">
        <v>827</v>
      </c>
      <c r="Z2403" t="s">
        <v>104</v>
      </c>
      <c r="AB2403" t="str">
        <f t="shared" si="111"/>
        <v>46534</v>
      </c>
    </row>
    <row r="2404" ht="14.25" spans="1:28">
      <c r="A2404" s="5" t="s">
        <v>28</v>
      </c>
      <c r="B2404" s="5" t="s">
        <v>697</v>
      </c>
      <c r="C2404" s="5">
        <v>2027</v>
      </c>
      <c r="D2404" s="5" t="s">
        <v>30</v>
      </c>
      <c r="E2404" t="s">
        <v>1554</v>
      </c>
      <c r="F2404" t="s">
        <v>1552</v>
      </c>
      <c r="G2404" t="s">
        <v>1194</v>
      </c>
      <c r="H2404" t="s">
        <v>1555</v>
      </c>
      <c r="I2404" t="s">
        <v>147</v>
      </c>
      <c r="J2404" t="s">
        <v>36</v>
      </c>
      <c r="K2404">
        <v>1790</v>
      </c>
      <c r="O2404" t="s">
        <v>37</v>
      </c>
      <c r="P2404" t="s">
        <v>42</v>
      </c>
      <c r="U2404" s="9" t="s">
        <v>148</v>
      </c>
      <c r="V2404" t="s">
        <v>164</v>
      </c>
      <c r="W2404" t="s">
        <v>138</v>
      </c>
      <c r="X2404" t="s">
        <v>503</v>
      </c>
      <c r="Y2404" t="s">
        <v>827</v>
      </c>
      <c r="Z2404" t="s">
        <v>104</v>
      </c>
      <c r="AB2404" t="str">
        <f t="shared" si="111"/>
        <v>46534</v>
      </c>
    </row>
    <row r="2405" ht="14.25" spans="1:28">
      <c r="A2405" s="5" t="s">
        <v>28</v>
      </c>
      <c r="B2405" s="5" t="s">
        <v>697</v>
      </c>
      <c r="C2405" s="5">
        <v>2027</v>
      </c>
      <c r="D2405" s="5" t="s">
        <v>30</v>
      </c>
      <c r="E2405" t="s">
        <v>1554</v>
      </c>
      <c r="F2405" t="s">
        <v>1552</v>
      </c>
      <c r="G2405" t="s">
        <v>1194</v>
      </c>
      <c r="H2405" t="s">
        <v>1555</v>
      </c>
      <c r="I2405" t="s">
        <v>147</v>
      </c>
      <c r="J2405" t="s">
        <v>36</v>
      </c>
      <c r="K2405">
        <v>1790</v>
      </c>
      <c r="O2405" t="s">
        <v>37</v>
      </c>
      <c r="P2405" t="s">
        <v>43</v>
      </c>
      <c r="U2405" s="9" t="s">
        <v>148</v>
      </c>
      <c r="V2405" t="s">
        <v>164</v>
      </c>
      <c r="W2405" t="s">
        <v>138</v>
      </c>
      <c r="X2405" t="s">
        <v>503</v>
      </c>
      <c r="Y2405" t="s">
        <v>827</v>
      </c>
      <c r="Z2405" t="s">
        <v>104</v>
      </c>
      <c r="AB2405" t="str">
        <f t="shared" si="111"/>
        <v>46534</v>
      </c>
    </row>
    <row r="2406" ht="14.25" spans="1:28">
      <c r="A2406" s="5" t="s">
        <v>28</v>
      </c>
      <c r="B2406" s="5" t="s">
        <v>697</v>
      </c>
      <c r="C2406" s="5">
        <v>2027</v>
      </c>
      <c r="D2406" s="5" t="s">
        <v>30</v>
      </c>
      <c r="E2406" t="s">
        <v>1554</v>
      </c>
      <c r="F2406" t="s">
        <v>1552</v>
      </c>
      <c r="G2406" t="s">
        <v>1194</v>
      </c>
      <c r="H2406" t="s">
        <v>1555</v>
      </c>
      <c r="I2406" t="s">
        <v>147</v>
      </c>
      <c r="J2406" t="s">
        <v>36</v>
      </c>
      <c r="K2406">
        <v>1790</v>
      </c>
      <c r="O2406" t="s">
        <v>37</v>
      </c>
      <c r="P2406" t="s">
        <v>44</v>
      </c>
      <c r="U2406" s="9" t="s">
        <v>148</v>
      </c>
      <c r="V2406" t="s">
        <v>164</v>
      </c>
      <c r="W2406" t="s">
        <v>138</v>
      </c>
      <c r="X2406" t="s">
        <v>503</v>
      </c>
      <c r="Y2406" t="s">
        <v>827</v>
      </c>
      <c r="Z2406" t="s">
        <v>104</v>
      </c>
      <c r="AB2406" t="str">
        <f t="shared" si="111"/>
        <v>46534</v>
      </c>
    </row>
    <row r="2407" ht="14.25" spans="1:28">
      <c r="A2407" s="5" t="s">
        <v>28</v>
      </c>
      <c r="B2407" s="5" t="s">
        <v>697</v>
      </c>
      <c r="C2407" s="5">
        <v>2027</v>
      </c>
      <c r="D2407" s="5" t="s">
        <v>30</v>
      </c>
      <c r="E2407" t="s">
        <v>1554</v>
      </c>
      <c r="F2407" t="s">
        <v>1552</v>
      </c>
      <c r="G2407" t="s">
        <v>1194</v>
      </c>
      <c r="H2407" t="s">
        <v>1555</v>
      </c>
      <c r="I2407" t="s">
        <v>147</v>
      </c>
      <c r="J2407" t="s">
        <v>36</v>
      </c>
      <c r="K2407">
        <v>1790</v>
      </c>
      <c r="O2407" t="s">
        <v>37</v>
      </c>
      <c r="P2407" t="s">
        <v>45</v>
      </c>
      <c r="U2407" s="9" t="s">
        <v>148</v>
      </c>
      <c r="V2407" t="s">
        <v>164</v>
      </c>
      <c r="W2407" t="s">
        <v>138</v>
      </c>
      <c r="X2407" t="s">
        <v>503</v>
      </c>
      <c r="Y2407" t="s">
        <v>827</v>
      </c>
      <c r="Z2407" t="s">
        <v>104</v>
      </c>
      <c r="AB2407" t="str">
        <f t="shared" si="111"/>
        <v>46534</v>
      </c>
    </row>
    <row r="2408" ht="14.25" spans="1:28">
      <c r="A2408" s="5" t="s">
        <v>28</v>
      </c>
      <c r="B2408" s="5" t="s">
        <v>697</v>
      </c>
      <c r="C2408" s="5">
        <v>2027</v>
      </c>
      <c r="D2408" s="5" t="s">
        <v>30</v>
      </c>
      <c r="E2408" t="s">
        <v>1554</v>
      </c>
      <c r="F2408" t="s">
        <v>1552</v>
      </c>
      <c r="G2408" t="s">
        <v>1194</v>
      </c>
      <c r="H2408" t="s">
        <v>1555</v>
      </c>
      <c r="I2408" t="s">
        <v>147</v>
      </c>
      <c r="J2408" t="s">
        <v>36</v>
      </c>
      <c r="K2408">
        <v>1790</v>
      </c>
      <c r="O2408" t="s">
        <v>37</v>
      </c>
      <c r="P2408" t="s">
        <v>46</v>
      </c>
      <c r="U2408" s="9" t="s">
        <v>148</v>
      </c>
      <c r="V2408" t="s">
        <v>164</v>
      </c>
      <c r="W2408" t="s">
        <v>138</v>
      </c>
      <c r="X2408" t="s">
        <v>503</v>
      </c>
      <c r="Y2408" t="s">
        <v>827</v>
      </c>
      <c r="Z2408" t="s">
        <v>104</v>
      </c>
      <c r="AB2408" t="str">
        <f t="shared" si="111"/>
        <v>46534</v>
      </c>
    </row>
    <row r="2409" ht="14.25" spans="1:28">
      <c r="A2409" s="5" t="s">
        <v>28</v>
      </c>
      <c r="B2409" s="5" t="s">
        <v>697</v>
      </c>
      <c r="C2409" s="5">
        <v>2027</v>
      </c>
      <c r="D2409" s="5" t="s">
        <v>30</v>
      </c>
      <c r="E2409" t="s">
        <v>1556</v>
      </c>
      <c r="F2409" t="s">
        <v>1557</v>
      </c>
      <c r="G2409" t="s">
        <v>923</v>
      </c>
      <c r="H2409" t="s">
        <v>1558</v>
      </c>
      <c r="I2409" t="s">
        <v>147</v>
      </c>
      <c r="J2409" t="s">
        <v>36</v>
      </c>
      <c r="K2409">
        <v>1390</v>
      </c>
      <c r="O2409" t="s">
        <v>37</v>
      </c>
      <c r="P2409" t="s">
        <v>38</v>
      </c>
      <c r="R2409">
        <f t="shared" si="112"/>
        <v>0</v>
      </c>
      <c r="S2409">
        <f>SUMIFS([1]Sheet1!$T:$T,[1]Sheet1!$I:$I,E2409,[1]Sheet1!$C:$C,A2409)</f>
        <v>0</v>
      </c>
      <c r="T2409">
        <f t="shared" si="113"/>
        <v>0</v>
      </c>
      <c r="U2409" s="9" t="s">
        <v>148</v>
      </c>
      <c r="V2409" t="s">
        <v>164</v>
      </c>
      <c r="W2409" t="s">
        <v>138</v>
      </c>
      <c r="X2409" t="s">
        <v>70</v>
      </c>
      <c r="Y2409" t="s">
        <v>165</v>
      </c>
      <c r="Z2409" t="s">
        <v>41</v>
      </c>
      <c r="AB2409" t="str">
        <f t="shared" si="111"/>
        <v>46658</v>
      </c>
    </row>
    <row r="2410" ht="14.25" spans="1:28">
      <c r="A2410" s="5" t="s">
        <v>28</v>
      </c>
      <c r="B2410" s="5" t="s">
        <v>697</v>
      </c>
      <c r="C2410" s="5">
        <v>2027</v>
      </c>
      <c r="D2410" s="5" t="s">
        <v>30</v>
      </c>
      <c r="E2410" t="s">
        <v>1556</v>
      </c>
      <c r="F2410" t="s">
        <v>1557</v>
      </c>
      <c r="G2410" t="s">
        <v>923</v>
      </c>
      <c r="H2410" t="s">
        <v>1558</v>
      </c>
      <c r="I2410" t="s">
        <v>147</v>
      </c>
      <c r="J2410" t="s">
        <v>36</v>
      </c>
      <c r="K2410">
        <v>1390</v>
      </c>
      <c r="O2410" t="s">
        <v>37</v>
      </c>
      <c r="P2410" t="s">
        <v>42</v>
      </c>
      <c r="U2410" s="9" t="s">
        <v>148</v>
      </c>
      <c r="V2410" t="s">
        <v>164</v>
      </c>
      <c r="W2410" t="s">
        <v>138</v>
      </c>
      <c r="X2410" t="s">
        <v>70</v>
      </c>
      <c r="Y2410" t="s">
        <v>165</v>
      </c>
      <c r="Z2410" t="s">
        <v>41</v>
      </c>
      <c r="AB2410" t="str">
        <f t="shared" si="111"/>
        <v>46658</v>
      </c>
    </row>
    <row r="2411" ht="14.25" spans="1:28">
      <c r="A2411" s="5" t="s">
        <v>28</v>
      </c>
      <c r="B2411" s="5" t="s">
        <v>697</v>
      </c>
      <c r="C2411" s="5">
        <v>2027</v>
      </c>
      <c r="D2411" s="5" t="s">
        <v>30</v>
      </c>
      <c r="E2411" t="s">
        <v>1556</v>
      </c>
      <c r="F2411" t="s">
        <v>1557</v>
      </c>
      <c r="G2411" t="s">
        <v>923</v>
      </c>
      <c r="H2411" t="s">
        <v>1558</v>
      </c>
      <c r="I2411" t="s">
        <v>147</v>
      </c>
      <c r="J2411" t="s">
        <v>36</v>
      </c>
      <c r="K2411">
        <v>1390</v>
      </c>
      <c r="O2411" t="s">
        <v>37</v>
      </c>
      <c r="P2411" t="s">
        <v>43</v>
      </c>
      <c r="U2411" s="9" t="s">
        <v>148</v>
      </c>
      <c r="V2411" t="s">
        <v>164</v>
      </c>
      <c r="W2411" t="s">
        <v>138</v>
      </c>
      <c r="X2411" t="s">
        <v>70</v>
      </c>
      <c r="Y2411" t="s">
        <v>165</v>
      </c>
      <c r="Z2411" t="s">
        <v>41</v>
      </c>
      <c r="AB2411" t="str">
        <f t="shared" si="111"/>
        <v>46658</v>
      </c>
    </row>
    <row r="2412" ht="14.25" spans="1:28">
      <c r="A2412" s="5" t="s">
        <v>28</v>
      </c>
      <c r="B2412" s="5" t="s">
        <v>697</v>
      </c>
      <c r="C2412" s="5">
        <v>2027</v>
      </c>
      <c r="D2412" s="5" t="s">
        <v>30</v>
      </c>
      <c r="E2412" t="s">
        <v>1556</v>
      </c>
      <c r="F2412" t="s">
        <v>1557</v>
      </c>
      <c r="G2412" t="s">
        <v>923</v>
      </c>
      <c r="H2412" t="s">
        <v>1558</v>
      </c>
      <c r="I2412" t="s">
        <v>147</v>
      </c>
      <c r="J2412" t="s">
        <v>36</v>
      </c>
      <c r="K2412">
        <v>1390</v>
      </c>
      <c r="O2412" t="s">
        <v>37</v>
      </c>
      <c r="P2412" t="s">
        <v>44</v>
      </c>
      <c r="U2412" s="9" t="s">
        <v>148</v>
      </c>
      <c r="V2412" t="s">
        <v>164</v>
      </c>
      <c r="W2412" t="s">
        <v>138</v>
      </c>
      <c r="X2412" t="s">
        <v>70</v>
      </c>
      <c r="Y2412" t="s">
        <v>165</v>
      </c>
      <c r="Z2412" t="s">
        <v>41</v>
      </c>
      <c r="AB2412" t="str">
        <f t="shared" si="111"/>
        <v>46658</v>
      </c>
    </row>
    <row r="2413" ht="14.25" spans="1:28">
      <c r="A2413" s="5" t="s">
        <v>28</v>
      </c>
      <c r="B2413" s="5" t="s">
        <v>697</v>
      </c>
      <c r="C2413" s="5">
        <v>2027</v>
      </c>
      <c r="D2413" s="5" t="s">
        <v>30</v>
      </c>
      <c r="E2413" t="s">
        <v>1556</v>
      </c>
      <c r="F2413" t="s">
        <v>1557</v>
      </c>
      <c r="G2413" t="s">
        <v>923</v>
      </c>
      <c r="H2413" t="s">
        <v>1558</v>
      </c>
      <c r="I2413" t="s">
        <v>147</v>
      </c>
      <c r="J2413" t="s">
        <v>36</v>
      </c>
      <c r="K2413">
        <v>1390</v>
      </c>
      <c r="O2413" t="s">
        <v>37</v>
      </c>
      <c r="P2413" t="s">
        <v>45</v>
      </c>
      <c r="U2413" s="9" t="s">
        <v>148</v>
      </c>
      <c r="V2413" t="s">
        <v>164</v>
      </c>
      <c r="W2413" t="s">
        <v>138</v>
      </c>
      <c r="X2413" t="s">
        <v>70</v>
      </c>
      <c r="Y2413" t="s">
        <v>165</v>
      </c>
      <c r="Z2413" t="s">
        <v>41</v>
      </c>
      <c r="AB2413" t="str">
        <f t="shared" si="111"/>
        <v>46658</v>
      </c>
    </row>
    <row r="2414" ht="14.25" spans="1:28">
      <c r="A2414" s="5" t="s">
        <v>28</v>
      </c>
      <c r="B2414" s="5" t="s">
        <v>697</v>
      </c>
      <c r="C2414" s="5">
        <v>2027</v>
      </c>
      <c r="D2414" s="5" t="s">
        <v>30</v>
      </c>
      <c r="E2414" t="s">
        <v>1556</v>
      </c>
      <c r="F2414" t="s">
        <v>1557</v>
      </c>
      <c r="G2414" t="s">
        <v>923</v>
      </c>
      <c r="H2414" t="s">
        <v>1558</v>
      </c>
      <c r="I2414" t="s">
        <v>147</v>
      </c>
      <c r="J2414" t="s">
        <v>36</v>
      </c>
      <c r="K2414">
        <v>1390</v>
      </c>
      <c r="O2414" t="s">
        <v>37</v>
      </c>
      <c r="P2414" t="s">
        <v>46</v>
      </c>
      <c r="U2414" s="9" t="s">
        <v>148</v>
      </c>
      <c r="V2414" t="s">
        <v>164</v>
      </c>
      <c r="W2414" t="s">
        <v>138</v>
      </c>
      <c r="X2414" t="s">
        <v>70</v>
      </c>
      <c r="Y2414" t="s">
        <v>165</v>
      </c>
      <c r="Z2414" t="s">
        <v>41</v>
      </c>
      <c r="AB2414" t="str">
        <f t="shared" si="111"/>
        <v>46658</v>
      </c>
    </row>
    <row r="2415" ht="14.25" spans="1:28">
      <c r="A2415" s="5" t="s">
        <v>28</v>
      </c>
      <c r="B2415" s="5" t="s">
        <v>697</v>
      </c>
      <c r="C2415" s="5">
        <v>2027</v>
      </c>
      <c r="D2415" s="5" t="s">
        <v>30</v>
      </c>
      <c r="E2415" t="s">
        <v>1559</v>
      </c>
      <c r="F2415" t="s">
        <v>1557</v>
      </c>
      <c r="G2415" t="s">
        <v>100</v>
      </c>
      <c r="H2415" t="s">
        <v>1560</v>
      </c>
      <c r="I2415" t="s">
        <v>147</v>
      </c>
      <c r="J2415" t="s">
        <v>36</v>
      </c>
      <c r="K2415">
        <v>1390</v>
      </c>
      <c r="O2415" t="s">
        <v>37</v>
      </c>
      <c r="P2415" t="s">
        <v>38</v>
      </c>
      <c r="R2415">
        <f t="shared" si="112"/>
        <v>0</v>
      </c>
      <c r="S2415">
        <f>SUMIFS([1]Sheet1!$T:$T,[1]Sheet1!$I:$I,E2415,[1]Sheet1!$C:$C,A2415)</f>
        <v>0</v>
      </c>
      <c r="T2415">
        <f t="shared" si="113"/>
        <v>0</v>
      </c>
      <c r="U2415" s="9" t="s">
        <v>148</v>
      </c>
      <c r="V2415" t="s">
        <v>164</v>
      </c>
      <c r="W2415" t="s">
        <v>138</v>
      </c>
      <c r="X2415" t="s">
        <v>102</v>
      </c>
      <c r="Y2415" t="s">
        <v>165</v>
      </c>
      <c r="Z2415" t="s">
        <v>41</v>
      </c>
      <c r="AB2415" t="str">
        <f t="shared" si="111"/>
        <v>46658</v>
      </c>
    </row>
    <row r="2416" ht="14.25" spans="1:28">
      <c r="A2416" s="5" t="s">
        <v>28</v>
      </c>
      <c r="B2416" s="5" t="s">
        <v>697</v>
      </c>
      <c r="C2416" s="5">
        <v>2027</v>
      </c>
      <c r="D2416" s="5" t="s">
        <v>30</v>
      </c>
      <c r="E2416" t="s">
        <v>1559</v>
      </c>
      <c r="F2416" t="s">
        <v>1557</v>
      </c>
      <c r="G2416" t="s">
        <v>100</v>
      </c>
      <c r="H2416" t="s">
        <v>1560</v>
      </c>
      <c r="I2416" t="s">
        <v>147</v>
      </c>
      <c r="J2416" t="s">
        <v>36</v>
      </c>
      <c r="K2416">
        <v>1390</v>
      </c>
      <c r="O2416" t="s">
        <v>37</v>
      </c>
      <c r="P2416" t="s">
        <v>42</v>
      </c>
      <c r="U2416" s="9" t="s">
        <v>148</v>
      </c>
      <c r="V2416" t="s">
        <v>164</v>
      </c>
      <c r="W2416" t="s">
        <v>138</v>
      </c>
      <c r="X2416" t="s">
        <v>102</v>
      </c>
      <c r="Y2416" t="s">
        <v>165</v>
      </c>
      <c r="Z2416" t="s">
        <v>41</v>
      </c>
      <c r="AB2416" t="str">
        <f t="shared" si="111"/>
        <v>46658</v>
      </c>
    </row>
    <row r="2417" ht="14.25" spans="1:28">
      <c r="A2417" s="5" t="s">
        <v>28</v>
      </c>
      <c r="B2417" s="5" t="s">
        <v>697</v>
      </c>
      <c r="C2417" s="5">
        <v>2027</v>
      </c>
      <c r="D2417" s="5" t="s">
        <v>30</v>
      </c>
      <c r="E2417" t="s">
        <v>1559</v>
      </c>
      <c r="F2417" t="s">
        <v>1557</v>
      </c>
      <c r="G2417" t="s">
        <v>100</v>
      </c>
      <c r="H2417" t="s">
        <v>1560</v>
      </c>
      <c r="I2417" t="s">
        <v>147</v>
      </c>
      <c r="J2417" t="s">
        <v>36</v>
      </c>
      <c r="K2417">
        <v>1390</v>
      </c>
      <c r="O2417" t="s">
        <v>37</v>
      </c>
      <c r="P2417" t="s">
        <v>43</v>
      </c>
      <c r="U2417" s="9" t="s">
        <v>148</v>
      </c>
      <c r="V2417" t="s">
        <v>164</v>
      </c>
      <c r="W2417" t="s">
        <v>138</v>
      </c>
      <c r="X2417" t="s">
        <v>102</v>
      </c>
      <c r="Y2417" t="s">
        <v>165</v>
      </c>
      <c r="Z2417" t="s">
        <v>41</v>
      </c>
      <c r="AB2417" t="str">
        <f t="shared" si="111"/>
        <v>46658</v>
      </c>
    </row>
    <row r="2418" ht="14.25" spans="1:28">
      <c r="A2418" s="5" t="s">
        <v>28</v>
      </c>
      <c r="B2418" s="5" t="s">
        <v>697</v>
      </c>
      <c r="C2418" s="5">
        <v>2027</v>
      </c>
      <c r="D2418" s="5" t="s">
        <v>30</v>
      </c>
      <c r="E2418" t="s">
        <v>1559</v>
      </c>
      <c r="F2418" t="s">
        <v>1557</v>
      </c>
      <c r="G2418" t="s">
        <v>100</v>
      </c>
      <c r="H2418" t="s">
        <v>1560</v>
      </c>
      <c r="I2418" t="s">
        <v>147</v>
      </c>
      <c r="J2418" t="s">
        <v>36</v>
      </c>
      <c r="K2418">
        <v>1390</v>
      </c>
      <c r="O2418" t="s">
        <v>37</v>
      </c>
      <c r="P2418" t="s">
        <v>44</v>
      </c>
      <c r="U2418" s="9" t="s">
        <v>148</v>
      </c>
      <c r="V2418" t="s">
        <v>164</v>
      </c>
      <c r="W2418" t="s">
        <v>138</v>
      </c>
      <c r="X2418" t="s">
        <v>102</v>
      </c>
      <c r="Y2418" t="s">
        <v>165</v>
      </c>
      <c r="Z2418" t="s">
        <v>41</v>
      </c>
      <c r="AB2418" t="str">
        <f t="shared" si="111"/>
        <v>46658</v>
      </c>
    </row>
    <row r="2419" ht="14.25" spans="1:28">
      <c r="A2419" s="5" t="s">
        <v>28</v>
      </c>
      <c r="B2419" s="5" t="s">
        <v>697</v>
      </c>
      <c r="C2419" s="5">
        <v>2027</v>
      </c>
      <c r="D2419" s="5" t="s">
        <v>30</v>
      </c>
      <c r="E2419" t="s">
        <v>1559</v>
      </c>
      <c r="F2419" t="s">
        <v>1557</v>
      </c>
      <c r="G2419" t="s">
        <v>100</v>
      </c>
      <c r="H2419" t="s">
        <v>1560</v>
      </c>
      <c r="I2419" t="s">
        <v>147</v>
      </c>
      <c r="J2419" t="s">
        <v>36</v>
      </c>
      <c r="K2419">
        <v>1390</v>
      </c>
      <c r="O2419" t="s">
        <v>37</v>
      </c>
      <c r="P2419" t="s">
        <v>45</v>
      </c>
      <c r="U2419" s="9" t="s">
        <v>148</v>
      </c>
      <c r="V2419" t="s">
        <v>164</v>
      </c>
      <c r="W2419" t="s">
        <v>138</v>
      </c>
      <c r="X2419" t="s">
        <v>102</v>
      </c>
      <c r="Y2419" t="s">
        <v>165</v>
      </c>
      <c r="Z2419" t="s">
        <v>41</v>
      </c>
      <c r="AB2419" t="str">
        <f t="shared" ref="AB2419:AB2482" si="114">MID(E2419,6,5)</f>
        <v>46658</v>
      </c>
    </row>
    <row r="2420" ht="14.25" spans="1:28">
      <c r="A2420" s="5" t="s">
        <v>28</v>
      </c>
      <c r="B2420" s="5" t="s">
        <v>697</v>
      </c>
      <c r="C2420" s="5">
        <v>2027</v>
      </c>
      <c r="D2420" s="5" t="s">
        <v>30</v>
      </c>
      <c r="E2420" t="s">
        <v>1559</v>
      </c>
      <c r="F2420" t="s">
        <v>1557</v>
      </c>
      <c r="G2420" t="s">
        <v>100</v>
      </c>
      <c r="H2420" t="s">
        <v>1560</v>
      </c>
      <c r="I2420" t="s">
        <v>147</v>
      </c>
      <c r="J2420" t="s">
        <v>36</v>
      </c>
      <c r="K2420">
        <v>1390</v>
      </c>
      <c r="O2420" t="s">
        <v>37</v>
      </c>
      <c r="P2420" t="s">
        <v>46</v>
      </c>
      <c r="U2420" s="9" t="s">
        <v>148</v>
      </c>
      <c r="V2420" t="s">
        <v>164</v>
      </c>
      <c r="W2420" t="s">
        <v>138</v>
      </c>
      <c r="X2420" t="s">
        <v>102</v>
      </c>
      <c r="Y2420" t="s">
        <v>165</v>
      </c>
      <c r="Z2420" t="s">
        <v>41</v>
      </c>
      <c r="AB2420" t="str">
        <f t="shared" si="114"/>
        <v>46658</v>
      </c>
    </row>
    <row r="2421" ht="14.25" spans="1:28">
      <c r="A2421" s="5" t="s">
        <v>28</v>
      </c>
      <c r="B2421" s="5" t="s">
        <v>697</v>
      </c>
      <c r="C2421" s="5">
        <v>2027</v>
      </c>
      <c r="D2421" s="5" t="s">
        <v>30</v>
      </c>
      <c r="E2421" t="s">
        <v>1561</v>
      </c>
      <c r="F2421" t="s">
        <v>1562</v>
      </c>
      <c r="G2421" t="s">
        <v>92</v>
      </c>
      <c r="H2421" t="s">
        <v>1563</v>
      </c>
      <c r="I2421" t="s">
        <v>147</v>
      </c>
      <c r="J2421" t="s">
        <v>36</v>
      </c>
      <c r="K2421">
        <v>1790</v>
      </c>
      <c r="O2421" t="s">
        <v>37</v>
      </c>
      <c r="P2421" t="s">
        <v>38</v>
      </c>
      <c r="R2421">
        <f t="shared" si="112"/>
        <v>0</v>
      </c>
      <c r="S2421">
        <f>SUMIFS([1]Sheet1!$T:$T,[1]Sheet1!$I:$I,E2421,[1]Sheet1!$C:$C,A2421)</f>
        <v>12</v>
      </c>
      <c r="T2421">
        <f t="shared" si="113"/>
        <v>-12</v>
      </c>
      <c r="U2421" s="9" t="s">
        <v>148</v>
      </c>
      <c r="V2421" t="s">
        <v>164</v>
      </c>
      <c r="W2421" t="s">
        <v>138</v>
      </c>
      <c r="X2421" t="s">
        <v>94</v>
      </c>
      <c r="Y2421" t="s">
        <v>237</v>
      </c>
      <c r="Z2421" t="s">
        <v>104</v>
      </c>
      <c r="AB2421" t="str">
        <f t="shared" si="114"/>
        <v>46660</v>
      </c>
    </row>
    <row r="2422" ht="14.25" spans="1:28">
      <c r="A2422" s="5" t="s">
        <v>28</v>
      </c>
      <c r="B2422" s="5" t="s">
        <v>697</v>
      </c>
      <c r="C2422" s="5">
        <v>2027</v>
      </c>
      <c r="D2422" s="5" t="s">
        <v>30</v>
      </c>
      <c r="E2422" t="s">
        <v>1561</v>
      </c>
      <c r="F2422" t="s">
        <v>1562</v>
      </c>
      <c r="G2422" t="s">
        <v>92</v>
      </c>
      <c r="H2422" t="s">
        <v>1563</v>
      </c>
      <c r="I2422" t="s">
        <v>147</v>
      </c>
      <c r="J2422" t="s">
        <v>36</v>
      </c>
      <c r="K2422">
        <v>1790</v>
      </c>
      <c r="O2422" t="s">
        <v>37</v>
      </c>
      <c r="P2422" t="s">
        <v>42</v>
      </c>
      <c r="U2422" s="9" t="s">
        <v>148</v>
      </c>
      <c r="V2422" t="s">
        <v>164</v>
      </c>
      <c r="W2422" t="s">
        <v>138</v>
      </c>
      <c r="X2422" t="s">
        <v>94</v>
      </c>
      <c r="Y2422" t="s">
        <v>237</v>
      </c>
      <c r="Z2422" t="s">
        <v>104</v>
      </c>
      <c r="AB2422" t="str">
        <f t="shared" si="114"/>
        <v>46660</v>
      </c>
    </row>
    <row r="2423" ht="14.25" spans="1:28">
      <c r="A2423" s="5" t="s">
        <v>28</v>
      </c>
      <c r="B2423" s="5" t="s">
        <v>697</v>
      </c>
      <c r="C2423" s="5">
        <v>2027</v>
      </c>
      <c r="D2423" s="5" t="s">
        <v>30</v>
      </c>
      <c r="E2423" t="s">
        <v>1561</v>
      </c>
      <c r="F2423" t="s">
        <v>1562</v>
      </c>
      <c r="G2423" t="s">
        <v>92</v>
      </c>
      <c r="H2423" t="s">
        <v>1563</v>
      </c>
      <c r="I2423" t="s">
        <v>147</v>
      </c>
      <c r="J2423" t="s">
        <v>36</v>
      </c>
      <c r="K2423">
        <v>1790</v>
      </c>
      <c r="O2423" t="s">
        <v>37</v>
      </c>
      <c r="P2423" t="s">
        <v>43</v>
      </c>
      <c r="U2423" s="9" t="s">
        <v>148</v>
      </c>
      <c r="V2423" t="s">
        <v>164</v>
      </c>
      <c r="W2423" t="s">
        <v>138</v>
      </c>
      <c r="X2423" t="s">
        <v>94</v>
      </c>
      <c r="Y2423" t="s">
        <v>237</v>
      </c>
      <c r="Z2423" t="s">
        <v>104</v>
      </c>
      <c r="AB2423" t="str">
        <f t="shared" si="114"/>
        <v>46660</v>
      </c>
    </row>
    <row r="2424" ht="14.25" spans="1:28">
      <c r="A2424" s="5" t="s">
        <v>28</v>
      </c>
      <c r="B2424" s="5" t="s">
        <v>697</v>
      </c>
      <c r="C2424" s="5">
        <v>2027</v>
      </c>
      <c r="D2424" s="5" t="s">
        <v>30</v>
      </c>
      <c r="E2424" t="s">
        <v>1561</v>
      </c>
      <c r="F2424" t="s">
        <v>1562</v>
      </c>
      <c r="G2424" t="s">
        <v>92</v>
      </c>
      <c r="H2424" t="s">
        <v>1563</v>
      </c>
      <c r="I2424" t="s">
        <v>147</v>
      </c>
      <c r="J2424" t="s">
        <v>36</v>
      </c>
      <c r="K2424">
        <v>1790</v>
      </c>
      <c r="O2424" t="s">
        <v>37</v>
      </c>
      <c r="P2424" t="s">
        <v>44</v>
      </c>
      <c r="U2424" s="9" t="s">
        <v>148</v>
      </c>
      <c r="V2424" t="s">
        <v>164</v>
      </c>
      <c r="W2424" t="s">
        <v>138</v>
      </c>
      <c r="X2424" t="s">
        <v>94</v>
      </c>
      <c r="Y2424" t="s">
        <v>237</v>
      </c>
      <c r="Z2424" t="s">
        <v>104</v>
      </c>
      <c r="AB2424" t="str">
        <f t="shared" si="114"/>
        <v>46660</v>
      </c>
    </row>
    <row r="2425" ht="14.25" spans="1:28">
      <c r="A2425" s="5" t="s">
        <v>28</v>
      </c>
      <c r="B2425" s="5" t="s">
        <v>697</v>
      </c>
      <c r="C2425" s="5">
        <v>2027</v>
      </c>
      <c r="D2425" s="5" t="s">
        <v>30</v>
      </c>
      <c r="E2425" t="s">
        <v>1561</v>
      </c>
      <c r="F2425" t="s">
        <v>1562</v>
      </c>
      <c r="G2425" t="s">
        <v>92</v>
      </c>
      <c r="H2425" t="s">
        <v>1563</v>
      </c>
      <c r="I2425" t="s">
        <v>147</v>
      </c>
      <c r="J2425" t="s">
        <v>36</v>
      </c>
      <c r="K2425">
        <v>1790</v>
      </c>
      <c r="O2425" t="s">
        <v>37</v>
      </c>
      <c r="P2425" t="s">
        <v>45</v>
      </c>
      <c r="U2425" s="9" t="s">
        <v>148</v>
      </c>
      <c r="V2425" t="s">
        <v>164</v>
      </c>
      <c r="W2425" t="s">
        <v>138</v>
      </c>
      <c r="X2425" t="s">
        <v>94</v>
      </c>
      <c r="Y2425" t="s">
        <v>237</v>
      </c>
      <c r="Z2425" t="s">
        <v>104</v>
      </c>
      <c r="AB2425" t="str">
        <f t="shared" si="114"/>
        <v>46660</v>
      </c>
    </row>
    <row r="2426" ht="14.25" spans="1:28">
      <c r="A2426" s="5" t="s">
        <v>28</v>
      </c>
      <c r="B2426" s="5" t="s">
        <v>697</v>
      </c>
      <c r="C2426" s="5">
        <v>2027</v>
      </c>
      <c r="D2426" s="5" t="s">
        <v>30</v>
      </c>
      <c r="E2426" t="s">
        <v>1561</v>
      </c>
      <c r="F2426" t="s">
        <v>1562</v>
      </c>
      <c r="G2426" t="s">
        <v>92</v>
      </c>
      <c r="H2426" t="s">
        <v>1563</v>
      </c>
      <c r="I2426" t="s">
        <v>147</v>
      </c>
      <c r="J2426" t="s">
        <v>36</v>
      </c>
      <c r="K2426">
        <v>1790</v>
      </c>
      <c r="O2426" t="s">
        <v>37</v>
      </c>
      <c r="P2426" t="s">
        <v>46</v>
      </c>
      <c r="U2426" s="9" t="s">
        <v>148</v>
      </c>
      <c r="V2426" t="s">
        <v>164</v>
      </c>
      <c r="W2426" t="s">
        <v>138</v>
      </c>
      <c r="X2426" t="s">
        <v>94</v>
      </c>
      <c r="Y2426" t="s">
        <v>237</v>
      </c>
      <c r="Z2426" t="s">
        <v>104</v>
      </c>
      <c r="AB2426" t="str">
        <f t="shared" si="114"/>
        <v>46660</v>
      </c>
    </row>
    <row r="2427" ht="14.25" spans="1:28">
      <c r="A2427" s="5" t="s">
        <v>28</v>
      </c>
      <c r="B2427" s="5" t="s">
        <v>697</v>
      </c>
      <c r="C2427" s="5">
        <v>2027</v>
      </c>
      <c r="D2427" s="5" t="s">
        <v>30</v>
      </c>
      <c r="E2427" t="s">
        <v>1564</v>
      </c>
      <c r="F2427" t="s">
        <v>1565</v>
      </c>
      <c r="G2427" t="s">
        <v>100</v>
      </c>
      <c r="H2427" t="s">
        <v>1566</v>
      </c>
      <c r="I2427" t="s">
        <v>147</v>
      </c>
      <c r="J2427" t="s">
        <v>36</v>
      </c>
      <c r="K2427">
        <v>1990</v>
      </c>
      <c r="O2427" t="s">
        <v>37</v>
      </c>
      <c r="P2427" t="s">
        <v>38</v>
      </c>
      <c r="R2427">
        <f t="shared" si="112"/>
        <v>0</v>
      </c>
      <c r="S2427">
        <f>SUMIFS([1]Sheet1!$T:$T,[1]Sheet1!$I:$I,E2427,[1]Sheet1!$C:$C,A2427)</f>
        <v>80</v>
      </c>
      <c r="T2427">
        <f t="shared" si="113"/>
        <v>-80</v>
      </c>
      <c r="U2427" s="9" t="s">
        <v>242</v>
      </c>
      <c r="V2427" t="s">
        <v>242</v>
      </c>
      <c r="W2427" t="s">
        <v>138</v>
      </c>
      <c r="X2427" t="s">
        <v>102</v>
      </c>
      <c r="Y2427" t="s">
        <v>179</v>
      </c>
      <c r="Z2427" t="s">
        <v>41</v>
      </c>
      <c r="AB2427" t="str">
        <f t="shared" si="114"/>
        <v>46668</v>
      </c>
    </row>
    <row r="2428" ht="14.25" spans="1:28">
      <c r="A2428" s="5" t="s">
        <v>28</v>
      </c>
      <c r="B2428" s="5" t="s">
        <v>697</v>
      </c>
      <c r="C2428" s="5">
        <v>2027</v>
      </c>
      <c r="D2428" s="5" t="s">
        <v>30</v>
      </c>
      <c r="E2428" t="s">
        <v>1564</v>
      </c>
      <c r="F2428" t="s">
        <v>1565</v>
      </c>
      <c r="G2428" t="s">
        <v>100</v>
      </c>
      <c r="H2428" t="s">
        <v>1566</v>
      </c>
      <c r="I2428" t="s">
        <v>147</v>
      </c>
      <c r="J2428" t="s">
        <v>36</v>
      </c>
      <c r="K2428">
        <v>1990</v>
      </c>
      <c r="O2428" t="s">
        <v>37</v>
      </c>
      <c r="P2428" t="s">
        <v>42</v>
      </c>
      <c r="U2428" s="9" t="s">
        <v>242</v>
      </c>
      <c r="V2428" t="s">
        <v>242</v>
      </c>
      <c r="W2428" t="s">
        <v>138</v>
      </c>
      <c r="X2428" t="s">
        <v>102</v>
      </c>
      <c r="Y2428" t="s">
        <v>179</v>
      </c>
      <c r="Z2428" t="s">
        <v>41</v>
      </c>
      <c r="AB2428" t="str">
        <f t="shared" si="114"/>
        <v>46668</v>
      </c>
    </row>
    <row r="2429" ht="14.25" spans="1:28">
      <c r="A2429" s="5" t="s">
        <v>28</v>
      </c>
      <c r="B2429" s="5" t="s">
        <v>697</v>
      </c>
      <c r="C2429" s="5">
        <v>2027</v>
      </c>
      <c r="D2429" s="5" t="s">
        <v>30</v>
      </c>
      <c r="E2429" t="s">
        <v>1564</v>
      </c>
      <c r="F2429" t="s">
        <v>1565</v>
      </c>
      <c r="G2429" t="s">
        <v>100</v>
      </c>
      <c r="H2429" t="s">
        <v>1566</v>
      </c>
      <c r="I2429" t="s">
        <v>147</v>
      </c>
      <c r="J2429" t="s">
        <v>36</v>
      </c>
      <c r="K2429">
        <v>1990</v>
      </c>
      <c r="O2429" t="s">
        <v>37</v>
      </c>
      <c r="P2429" t="s">
        <v>43</v>
      </c>
      <c r="U2429" s="9" t="s">
        <v>242</v>
      </c>
      <c r="V2429" t="s">
        <v>242</v>
      </c>
      <c r="W2429" t="s">
        <v>138</v>
      </c>
      <c r="X2429" t="s">
        <v>102</v>
      </c>
      <c r="Y2429" t="s">
        <v>179</v>
      </c>
      <c r="Z2429" t="s">
        <v>41</v>
      </c>
      <c r="AB2429" t="str">
        <f t="shared" si="114"/>
        <v>46668</v>
      </c>
    </row>
    <row r="2430" ht="14.25" spans="1:28">
      <c r="A2430" s="5" t="s">
        <v>28</v>
      </c>
      <c r="B2430" s="5" t="s">
        <v>697</v>
      </c>
      <c r="C2430" s="5">
        <v>2027</v>
      </c>
      <c r="D2430" s="5" t="s">
        <v>30</v>
      </c>
      <c r="E2430" t="s">
        <v>1564</v>
      </c>
      <c r="F2430" t="s">
        <v>1565</v>
      </c>
      <c r="G2430" t="s">
        <v>100</v>
      </c>
      <c r="H2430" t="s">
        <v>1566</v>
      </c>
      <c r="I2430" t="s">
        <v>147</v>
      </c>
      <c r="J2430" t="s">
        <v>36</v>
      </c>
      <c r="K2430">
        <v>1990</v>
      </c>
      <c r="O2430" t="s">
        <v>37</v>
      </c>
      <c r="P2430" t="s">
        <v>44</v>
      </c>
      <c r="U2430" s="9" t="s">
        <v>242</v>
      </c>
      <c r="V2430" t="s">
        <v>242</v>
      </c>
      <c r="W2430" t="s">
        <v>138</v>
      </c>
      <c r="X2430" t="s">
        <v>102</v>
      </c>
      <c r="Y2430" t="s">
        <v>179</v>
      </c>
      <c r="Z2430" t="s">
        <v>41</v>
      </c>
      <c r="AB2430" t="str">
        <f t="shared" si="114"/>
        <v>46668</v>
      </c>
    </row>
    <row r="2431" ht="14.25" spans="1:28">
      <c r="A2431" s="5" t="s">
        <v>28</v>
      </c>
      <c r="B2431" s="5" t="s">
        <v>697</v>
      </c>
      <c r="C2431" s="5">
        <v>2027</v>
      </c>
      <c r="D2431" s="5" t="s">
        <v>30</v>
      </c>
      <c r="E2431" t="s">
        <v>1564</v>
      </c>
      <c r="F2431" t="s">
        <v>1565</v>
      </c>
      <c r="G2431" t="s">
        <v>100</v>
      </c>
      <c r="H2431" t="s">
        <v>1566</v>
      </c>
      <c r="I2431" t="s">
        <v>147</v>
      </c>
      <c r="J2431" t="s">
        <v>36</v>
      </c>
      <c r="K2431">
        <v>1990</v>
      </c>
      <c r="O2431" t="s">
        <v>37</v>
      </c>
      <c r="P2431" t="s">
        <v>45</v>
      </c>
      <c r="U2431" s="9" t="s">
        <v>242</v>
      </c>
      <c r="V2431" t="s">
        <v>242</v>
      </c>
      <c r="W2431" t="s">
        <v>138</v>
      </c>
      <c r="X2431" t="s">
        <v>102</v>
      </c>
      <c r="Y2431" t="s">
        <v>179</v>
      </c>
      <c r="Z2431" t="s">
        <v>41</v>
      </c>
      <c r="AB2431" t="str">
        <f t="shared" si="114"/>
        <v>46668</v>
      </c>
    </row>
    <row r="2432" ht="14.25" spans="1:28">
      <c r="A2432" s="5" t="s">
        <v>28</v>
      </c>
      <c r="B2432" s="5" t="s">
        <v>697</v>
      </c>
      <c r="C2432" s="5">
        <v>2027</v>
      </c>
      <c r="D2432" s="5" t="s">
        <v>30</v>
      </c>
      <c r="E2432" t="s">
        <v>1564</v>
      </c>
      <c r="F2432" t="s">
        <v>1565</v>
      </c>
      <c r="G2432" t="s">
        <v>100</v>
      </c>
      <c r="H2432" t="s">
        <v>1566</v>
      </c>
      <c r="I2432" t="s">
        <v>147</v>
      </c>
      <c r="J2432" t="s">
        <v>36</v>
      </c>
      <c r="K2432">
        <v>1990</v>
      </c>
      <c r="O2432" t="s">
        <v>37</v>
      </c>
      <c r="P2432" t="s">
        <v>46</v>
      </c>
      <c r="U2432" s="9" t="s">
        <v>242</v>
      </c>
      <c r="V2432" t="s">
        <v>242</v>
      </c>
      <c r="W2432" t="s">
        <v>138</v>
      </c>
      <c r="X2432" t="s">
        <v>102</v>
      </c>
      <c r="Y2432" t="s">
        <v>179</v>
      </c>
      <c r="Z2432" t="s">
        <v>41</v>
      </c>
      <c r="AB2432" t="str">
        <f t="shared" si="114"/>
        <v>46668</v>
      </c>
    </row>
    <row r="2433" ht="14.25" spans="1:28">
      <c r="A2433" s="5" t="s">
        <v>28</v>
      </c>
      <c r="B2433" s="5" t="s">
        <v>697</v>
      </c>
      <c r="C2433" s="5">
        <v>2027</v>
      </c>
      <c r="D2433" s="5" t="s">
        <v>30</v>
      </c>
      <c r="E2433" t="s">
        <v>1567</v>
      </c>
      <c r="F2433" t="s">
        <v>1565</v>
      </c>
      <c r="G2433" t="s">
        <v>1157</v>
      </c>
      <c r="H2433" t="s">
        <v>1568</v>
      </c>
      <c r="I2433" t="s">
        <v>147</v>
      </c>
      <c r="J2433" t="s">
        <v>36</v>
      </c>
      <c r="K2433">
        <v>1990</v>
      </c>
      <c r="O2433" t="s">
        <v>37</v>
      </c>
      <c r="P2433" t="s">
        <v>38</v>
      </c>
      <c r="R2433">
        <f t="shared" si="112"/>
        <v>0</v>
      </c>
      <c r="S2433">
        <f>SUMIFS([1]Sheet1!$T:$T,[1]Sheet1!$I:$I,E2433,[1]Sheet1!$C:$C,A2433)</f>
        <v>40</v>
      </c>
      <c r="T2433">
        <f t="shared" si="113"/>
        <v>-40</v>
      </c>
      <c r="U2433" s="9" t="s">
        <v>242</v>
      </c>
      <c r="V2433" t="s">
        <v>242</v>
      </c>
      <c r="W2433" t="s">
        <v>138</v>
      </c>
      <c r="X2433" t="s">
        <v>70</v>
      </c>
      <c r="Y2433" t="s">
        <v>179</v>
      </c>
      <c r="Z2433" t="s">
        <v>41</v>
      </c>
      <c r="AB2433" t="str">
        <f t="shared" si="114"/>
        <v>46668</v>
      </c>
    </row>
    <row r="2434" ht="14.25" spans="1:28">
      <c r="A2434" s="5" t="s">
        <v>28</v>
      </c>
      <c r="B2434" s="5" t="s">
        <v>697</v>
      </c>
      <c r="C2434" s="5">
        <v>2027</v>
      </c>
      <c r="D2434" s="5" t="s">
        <v>30</v>
      </c>
      <c r="E2434" t="s">
        <v>1567</v>
      </c>
      <c r="F2434" t="s">
        <v>1565</v>
      </c>
      <c r="G2434" t="s">
        <v>1157</v>
      </c>
      <c r="H2434" t="s">
        <v>1568</v>
      </c>
      <c r="I2434" t="s">
        <v>147</v>
      </c>
      <c r="J2434" t="s">
        <v>36</v>
      </c>
      <c r="K2434">
        <v>1990</v>
      </c>
      <c r="O2434" t="s">
        <v>37</v>
      </c>
      <c r="P2434" t="s">
        <v>42</v>
      </c>
      <c r="U2434" s="9" t="s">
        <v>242</v>
      </c>
      <c r="V2434" t="s">
        <v>242</v>
      </c>
      <c r="W2434" t="s">
        <v>138</v>
      </c>
      <c r="X2434" t="s">
        <v>70</v>
      </c>
      <c r="Y2434" t="s">
        <v>179</v>
      </c>
      <c r="Z2434" t="s">
        <v>41</v>
      </c>
      <c r="AB2434" t="str">
        <f t="shared" si="114"/>
        <v>46668</v>
      </c>
    </row>
    <row r="2435" ht="14.25" spans="1:28">
      <c r="A2435" s="5" t="s">
        <v>28</v>
      </c>
      <c r="B2435" s="5" t="s">
        <v>697</v>
      </c>
      <c r="C2435" s="5">
        <v>2027</v>
      </c>
      <c r="D2435" s="5" t="s">
        <v>30</v>
      </c>
      <c r="E2435" t="s">
        <v>1567</v>
      </c>
      <c r="F2435" t="s">
        <v>1565</v>
      </c>
      <c r="G2435" t="s">
        <v>1157</v>
      </c>
      <c r="H2435" t="s">
        <v>1568</v>
      </c>
      <c r="I2435" t="s">
        <v>147</v>
      </c>
      <c r="J2435" t="s">
        <v>36</v>
      </c>
      <c r="K2435">
        <v>1990</v>
      </c>
      <c r="O2435" t="s">
        <v>37</v>
      </c>
      <c r="P2435" t="s">
        <v>43</v>
      </c>
      <c r="U2435" s="9" t="s">
        <v>242</v>
      </c>
      <c r="V2435" t="s">
        <v>242</v>
      </c>
      <c r="W2435" t="s">
        <v>138</v>
      </c>
      <c r="X2435" t="s">
        <v>70</v>
      </c>
      <c r="Y2435" t="s">
        <v>179</v>
      </c>
      <c r="Z2435" t="s">
        <v>41</v>
      </c>
      <c r="AB2435" t="str">
        <f t="shared" si="114"/>
        <v>46668</v>
      </c>
    </row>
    <row r="2436" ht="14.25" spans="1:28">
      <c r="A2436" s="5" t="s">
        <v>28</v>
      </c>
      <c r="B2436" s="5" t="s">
        <v>697</v>
      </c>
      <c r="C2436" s="5">
        <v>2027</v>
      </c>
      <c r="D2436" s="5" t="s">
        <v>30</v>
      </c>
      <c r="E2436" t="s">
        <v>1567</v>
      </c>
      <c r="F2436" t="s">
        <v>1565</v>
      </c>
      <c r="G2436" t="s">
        <v>1157</v>
      </c>
      <c r="H2436" t="s">
        <v>1568</v>
      </c>
      <c r="I2436" t="s">
        <v>147</v>
      </c>
      <c r="J2436" t="s">
        <v>36</v>
      </c>
      <c r="K2436">
        <v>1990</v>
      </c>
      <c r="O2436" t="s">
        <v>37</v>
      </c>
      <c r="P2436" t="s">
        <v>44</v>
      </c>
      <c r="U2436" s="9" t="s">
        <v>242</v>
      </c>
      <c r="V2436" t="s">
        <v>242</v>
      </c>
      <c r="W2436" t="s">
        <v>138</v>
      </c>
      <c r="X2436" t="s">
        <v>70</v>
      </c>
      <c r="Y2436" t="s">
        <v>179</v>
      </c>
      <c r="Z2436" t="s">
        <v>41</v>
      </c>
      <c r="AB2436" t="str">
        <f t="shared" si="114"/>
        <v>46668</v>
      </c>
    </row>
    <row r="2437" ht="14.25" spans="1:28">
      <c r="A2437" s="5" t="s">
        <v>28</v>
      </c>
      <c r="B2437" s="5" t="s">
        <v>697</v>
      </c>
      <c r="C2437" s="5">
        <v>2027</v>
      </c>
      <c r="D2437" s="5" t="s">
        <v>30</v>
      </c>
      <c r="E2437" t="s">
        <v>1567</v>
      </c>
      <c r="F2437" t="s">
        <v>1565</v>
      </c>
      <c r="G2437" t="s">
        <v>1157</v>
      </c>
      <c r="H2437" t="s">
        <v>1568</v>
      </c>
      <c r="I2437" t="s">
        <v>147</v>
      </c>
      <c r="J2437" t="s">
        <v>36</v>
      </c>
      <c r="K2437">
        <v>1990</v>
      </c>
      <c r="O2437" t="s">
        <v>37</v>
      </c>
      <c r="P2437" t="s">
        <v>45</v>
      </c>
      <c r="U2437" s="9" t="s">
        <v>242</v>
      </c>
      <c r="V2437" t="s">
        <v>242</v>
      </c>
      <c r="W2437" t="s">
        <v>138</v>
      </c>
      <c r="X2437" t="s">
        <v>70</v>
      </c>
      <c r="Y2437" t="s">
        <v>179</v>
      </c>
      <c r="Z2437" t="s">
        <v>41</v>
      </c>
      <c r="AB2437" t="str">
        <f t="shared" si="114"/>
        <v>46668</v>
      </c>
    </row>
    <row r="2438" ht="14.25" spans="1:28">
      <c r="A2438" s="5" t="s">
        <v>28</v>
      </c>
      <c r="B2438" s="5" t="s">
        <v>697</v>
      </c>
      <c r="C2438" s="5">
        <v>2027</v>
      </c>
      <c r="D2438" s="5" t="s">
        <v>30</v>
      </c>
      <c r="E2438" t="s">
        <v>1567</v>
      </c>
      <c r="F2438" t="s">
        <v>1565</v>
      </c>
      <c r="G2438" t="s">
        <v>1157</v>
      </c>
      <c r="H2438" t="s">
        <v>1568</v>
      </c>
      <c r="I2438" t="s">
        <v>147</v>
      </c>
      <c r="J2438" t="s">
        <v>36</v>
      </c>
      <c r="K2438">
        <v>1990</v>
      </c>
      <c r="O2438" t="s">
        <v>37</v>
      </c>
      <c r="P2438" t="s">
        <v>46</v>
      </c>
      <c r="U2438" s="9" t="s">
        <v>242</v>
      </c>
      <c r="V2438" t="s">
        <v>242</v>
      </c>
      <c r="W2438" t="s">
        <v>138</v>
      </c>
      <c r="X2438" t="s">
        <v>70</v>
      </c>
      <c r="Y2438" t="s">
        <v>179</v>
      </c>
      <c r="Z2438" t="s">
        <v>41</v>
      </c>
      <c r="AB2438" t="str">
        <f t="shared" si="114"/>
        <v>46668</v>
      </c>
    </row>
    <row r="2439" ht="14.25" spans="1:28">
      <c r="A2439" s="5" t="s">
        <v>28</v>
      </c>
      <c r="B2439" s="5" t="s">
        <v>697</v>
      </c>
      <c r="C2439" s="5">
        <v>2027</v>
      </c>
      <c r="D2439" s="5" t="s">
        <v>30</v>
      </c>
      <c r="E2439" t="s">
        <v>1569</v>
      </c>
      <c r="F2439" t="s">
        <v>1570</v>
      </c>
      <c r="G2439" t="s">
        <v>1571</v>
      </c>
      <c r="H2439" t="s">
        <v>1572</v>
      </c>
      <c r="I2439" t="s">
        <v>119</v>
      </c>
      <c r="J2439" t="s">
        <v>74</v>
      </c>
      <c r="K2439">
        <v>1590</v>
      </c>
      <c r="O2439" t="s">
        <v>68</v>
      </c>
      <c r="P2439" t="s">
        <v>69</v>
      </c>
      <c r="R2439">
        <f t="shared" ref="R2434:R2497" si="115">SUMIFS(Q:Q,E:E,E2439)</f>
        <v>0</v>
      </c>
      <c r="S2439">
        <f>SUMIFS([1]Sheet1!$T:$T,[1]Sheet1!$I:$I,E2439,[1]Sheet1!$C:$C,A2439)</f>
        <v>80</v>
      </c>
      <c r="T2439">
        <f t="shared" ref="T2434:T2497" si="116">R2439-S2439</f>
        <v>-80</v>
      </c>
      <c r="U2439" s="9" t="s">
        <v>136</v>
      </c>
      <c r="V2439" t="s">
        <v>137</v>
      </c>
      <c r="W2439" t="s">
        <v>138</v>
      </c>
      <c r="X2439" t="s">
        <v>332</v>
      </c>
      <c r="Y2439" t="s">
        <v>1573</v>
      </c>
      <c r="Z2439" t="s">
        <v>71</v>
      </c>
      <c r="AB2439" t="str">
        <f t="shared" si="114"/>
        <v>46707</v>
      </c>
    </row>
    <row r="2440" ht="14.25" spans="1:28">
      <c r="A2440" s="5" t="s">
        <v>28</v>
      </c>
      <c r="B2440" s="5" t="s">
        <v>697</v>
      </c>
      <c r="C2440" s="5">
        <v>2027</v>
      </c>
      <c r="D2440" s="5" t="s">
        <v>30</v>
      </c>
      <c r="E2440" t="s">
        <v>1569</v>
      </c>
      <c r="F2440" t="s">
        <v>1570</v>
      </c>
      <c r="G2440" t="s">
        <v>1571</v>
      </c>
      <c r="H2440" t="s">
        <v>1572</v>
      </c>
      <c r="I2440" t="s">
        <v>119</v>
      </c>
      <c r="J2440" t="s">
        <v>74</v>
      </c>
      <c r="K2440">
        <v>1590</v>
      </c>
      <c r="O2440" t="s">
        <v>68</v>
      </c>
      <c r="P2440" t="s">
        <v>72</v>
      </c>
      <c r="U2440" s="9" t="s">
        <v>136</v>
      </c>
      <c r="V2440" t="s">
        <v>137</v>
      </c>
      <c r="W2440" t="s">
        <v>138</v>
      </c>
      <c r="X2440" t="s">
        <v>332</v>
      </c>
      <c r="Y2440" t="s">
        <v>1573</v>
      </c>
      <c r="Z2440" t="s">
        <v>71</v>
      </c>
      <c r="AB2440" t="str">
        <f t="shared" si="114"/>
        <v>46707</v>
      </c>
    </row>
    <row r="2441" ht="14.25" spans="1:28">
      <c r="A2441" s="5" t="s">
        <v>28</v>
      </c>
      <c r="B2441" s="5" t="s">
        <v>697</v>
      </c>
      <c r="C2441" s="5">
        <v>2027</v>
      </c>
      <c r="D2441" s="5" t="s">
        <v>30</v>
      </c>
      <c r="E2441" t="s">
        <v>1569</v>
      </c>
      <c r="F2441" t="s">
        <v>1570</v>
      </c>
      <c r="G2441" t="s">
        <v>1571</v>
      </c>
      <c r="H2441" t="s">
        <v>1572</v>
      </c>
      <c r="I2441" t="s">
        <v>119</v>
      </c>
      <c r="J2441" t="s">
        <v>74</v>
      </c>
      <c r="K2441">
        <v>1590</v>
      </c>
      <c r="O2441" t="s">
        <v>68</v>
      </c>
      <c r="P2441" t="s">
        <v>73</v>
      </c>
      <c r="U2441" s="9" t="s">
        <v>136</v>
      </c>
      <c r="V2441" t="s">
        <v>137</v>
      </c>
      <c r="W2441" t="s">
        <v>138</v>
      </c>
      <c r="X2441" t="s">
        <v>332</v>
      </c>
      <c r="Y2441" t="s">
        <v>1573</v>
      </c>
      <c r="Z2441" t="s">
        <v>71</v>
      </c>
      <c r="AB2441" t="str">
        <f t="shared" si="114"/>
        <v>46707</v>
      </c>
    </row>
    <row r="2442" ht="14.25" spans="1:28">
      <c r="A2442" s="5" t="s">
        <v>28</v>
      </c>
      <c r="B2442" s="5" t="s">
        <v>697</v>
      </c>
      <c r="C2442" s="5">
        <v>2027</v>
      </c>
      <c r="D2442" s="5" t="s">
        <v>30</v>
      </c>
      <c r="E2442" t="s">
        <v>1569</v>
      </c>
      <c r="F2442" t="s">
        <v>1570</v>
      </c>
      <c r="G2442" t="s">
        <v>1571</v>
      </c>
      <c r="H2442" t="s">
        <v>1572</v>
      </c>
      <c r="I2442" t="s">
        <v>119</v>
      </c>
      <c r="J2442" t="s">
        <v>74</v>
      </c>
      <c r="K2442">
        <v>1590</v>
      </c>
      <c r="O2442" t="s">
        <v>68</v>
      </c>
      <c r="P2442" t="s">
        <v>74</v>
      </c>
      <c r="U2442" s="9" t="s">
        <v>136</v>
      </c>
      <c r="V2442" t="s">
        <v>137</v>
      </c>
      <c r="W2442" t="s">
        <v>138</v>
      </c>
      <c r="X2442" t="s">
        <v>332</v>
      </c>
      <c r="Y2442" t="s">
        <v>1573</v>
      </c>
      <c r="Z2442" t="s">
        <v>71</v>
      </c>
      <c r="AB2442" t="str">
        <f t="shared" si="114"/>
        <v>46707</v>
      </c>
    </row>
    <row r="2443" ht="14.25" spans="1:28">
      <c r="A2443" s="5" t="s">
        <v>28</v>
      </c>
      <c r="B2443" s="5" t="s">
        <v>697</v>
      </c>
      <c r="C2443" s="5">
        <v>2027</v>
      </c>
      <c r="D2443" s="5" t="s">
        <v>30</v>
      </c>
      <c r="E2443" t="s">
        <v>1569</v>
      </c>
      <c r="F2443" t="s">
        <v>1570</v>
      </c>
      <c r="G2443" t="s">
        <v>1571</v>
      </c>
      <c r="H2443" t="s">
        <v>1572</v>
      </c>
      <c r="I2443" t="s">
        <v>119</v>
      </c>
      <c r="J2443" t="s">
        <v>74</v>
      </c>
      <c r="K2443">
        <v>1590</v>
      </c>
      <c r="O2443" t="s">
        <v>68</v>
      </c>
      <c r="P2443" t="s">
        <v>75</v>
      </c>
      <c r="U2443" s="9" t="s">
        <v>136</v>
      </c>
      <c r="V2443" t="s">
        <v>137</v>
      </c>
      <c r="W2443" t="s">
        <v>138</v>
      </c>
      <c r="X2443" t="s">
        <v>332</v>
      </c>
      <c r="Y2443" t="s">
        <v>1573</v>
      </c>
      <c r="Z2443" t="s">
        <v>71</v>
      </c>
      <c r="AB2443" t="str">
        <f t="shared" si="114"/>
        <v>46707</v>
      </c>
    </row>
    <row r="2444" ht="14.25" spans="1:28">
      <c r="A2444" s="5" t="s">
        <v>28</v>
      </c>
      <c r="B2444" s="5" t="s">
        <v>697</v>
      </c>
      <c r="C2444" s="5">
        <v>2027</v>
      </c>
      <c r="D2444" s="5" t="s">
        <v>30</v>
      </c>
      <c r="E2444" t="s">
        <v>1569</v>
      </c>
      <c r="F2444" t="s">
        <v>1570</v>
      </c>
      <c r="G2444" t="s">
        <v>1571</v>
      </c>
      <c r="H2444" t="s">
        <v>1572</v>
      </c>
      <c r="I2444" t="s">
        <v>119</v>
      </c>
      <c r="J2444" t="s">
        <v>74</v>
      </c>
      <c r="K2444">
        <v>1590</v>
      </c>
      <c r="O2444" t="s">
        <v>68</v>
      </c>
      <c r="P2444" t="s">
        <v>76</v>
      </c>
      <c r="U2444" s="9" t="s">
        <v>136</v>
      </c>
      <c r="V2444" t="s">
        <v>137</v>
      </c>
      <c r="W2444" t="s">
        <v>138</v>
      </c>
      <c r="X2444" t="s">
        <v>332</v>
      </c>
      <c r="Y2444" t="s">
        <v>1573</v>
      </c>
      <c r="Z2444" t="s">
        <v>71</v>
      </c>
      <c r="AB2444" t="str">
        <f t="shared" si="114"/>
        <v>46707</v>
      </c>
    </row>
    <row r="2445" ht="14.25" spans="1:28">
      <c r="A2445" s="5" t="s">
        <v>28</v>
      </c>
      <c r="B2445" s="5" t="s">
        <v>697</v>
      </c>
      <c r="C2445" s="5">
        <v>2027</v>
      </c>
      <c r="D2445" s="5" t="s">
        <v>30</v>
      </c>
      <c r="E2445" t="s">
        <v>1569</v>
      </c>
      <c r="F2445" t="s">
        <v>1570</v>
      </c>
      <c r="G2445" t="s">
        <v>1571</v>
      </c>
      <c r="H2445" t="s">
        <v>1572</v>
      </c>
      <c r="I2445" t="s">
        <v>119</v>
      </c>
      <c r="J2445" t="s">
        <v>74</v>
      </c>
      <c r="K2445">
        <v>1590</v>
      </c>
      <c r="O2445" t="s">
        <v>68</v>
      </c>
      <c r="P2445" t="s">
        <v>77</v>
      </c>
      <c r="U2445" s="9" t="s">
        <v>136</v>
      </c>
      <c r="V2445" t="s">
        <v>137</v>
      </c>
      <c r="W2445" t="s">
        <v>138</v>
      </c>
      <c r="X2445" t="s">
        <v>332</v>
      </c>
      <c r="Y2445" t="s">
        <v>1573</v>
      </c>
      <c r="Z2445" t="s">
        <v>71</v>
      </c>
      <c r="AB2445" t="str">
        <f t="shared" si="114"/>
        <v>46707</v>
      </c>
    </row>
    <row r="2446" ht="14.25" spans="1:28">
      <c r="A2446" s="5" t="s">
        <v>28</v>
      </c>
      <c r="B2446" s="5" t="s">
        <v>697</v>
      </c>
      <c r="C2446" s="5">
        <v>2027</v>
      </c>
      <c r="D2446" s="5" t="s">
        <v>30</v>
      </c>
      <c r="E2446" t="s">
        <v>1569</v>
      </c>
      <c r="F2446" t="s">
        <v>1570</v>
      </c>
      <c r="G2446" t="s">
        <v>1571</v>
      </c>
      <c r="H2446" t="s">
        <v>1572</v>
      </c>
      <c r="I2446" t="s">
        <v>119</v>
      </c>
      <c r="J2446" t="s">
        <v>74</v>
      </c>
      <c r="K2446">
        <v>1590</v>
      </c>
      <c r="O2446" t="s">
        <v>68</v>
      </c>
      <c r="P2446" t="s">
        <v>78</v>
      </c>
      <c r="U2446" s="9" t="s">
        <v>136</v>
      </c>
      <c r="V2446" t="s">
        <v>137</v>
      </c>
      <c r="W2446" t="s">
        <v>138</v>
      </c>
      <c r="X2446" t="s">
        <v>332</v>
      </c>
      <c r="Y2446" t="s">
        <v>1573</v>
      </c>
      <c r="Z2446" t="s">
        <v>71</v>
      </c>
      <c r="AB2446" t="str">
        <f t="shared" si="114"/>
        <v>46707</v>
      </c>
    </row>
    <row r="2447" ht="14.25" spans="1:28">
      <c r="A2447" s="5" t="s">
        <v>28</v>
      </c>
      <c r="B2447" s="5" t="s">
        <v>697</v>
      </c>
      <c r="C2447" s="5">
        <v>2027</v>
      </c>
      <c r="D2447" s="5" t="s">
        <v>30</v>
      </c>
      <c r="E2447" t="s">
        <v>1569</v>
      </c>
      <c r="F2447" t="s">
        <v>1570</v>
      </c>
      <c r="G2447" t="s">
        <v>1571</v>
      </c>
      <c r="H2447" t="s">
        <v>1572</v>
      </c>
      <c r="I2447" t="s">
        <v>119</v>
      </c>
      <c r="J2447" t="s">
        <v>74</v>
      </c>
      <c r="K2447">
        <v>1590</v>
      </c>
      <c r="O2447" t="s">
        <v>68</v>
      </c>
      <c r="P2447" t="s">
        <v>79</v>
      </c>
      <c r="U2447" s="9" t="s">
        <v>136</v>
      </c>
      <c r="V2447" t="s">
        <v>137</v>
      </c>
      <c r="W2447" t="s">
        <v>138</v>
      </c>
      <c r="X2447" t="s">
        <v>332</v>
      </c>
      <c r="Y2447" t="s">
        <v>1573</v>
      </c>
      <c r="Z2447" t="s">
        <v>71</v>
      </c>
      <c r="AB2447" t="str">
        <f t="shared" si="114"/>
        <v>46707</v>
      </c>
    </row>
    <row r="2448" ht="14.25" spans="1:28">
      <c r="A2448" s="5" t="s">
        <v>28</v>
      </c>
      <c r="B2448" s="5" t="s">
        <v>697</v>
      </c>
      <c r="C2448" s="5">
        <v>2027</v>
      </c>
      <c r="D2448" s="5" t="s">
        <v>30</v>
      </c>
      <c r="E2448" t="s">
        <v>1574</v>
      </c>
      <c r="F2448" t="s">
        <v>1575</v>
      </c>
      <c r="G2448" t="s">
        <v>221</v>
      </c>
      <c r="H2448" t="s">
        <v>1576</v>
      </c>
      <c r="I2448" t="s">
        <v>119</v>
      </c>
      <c r="J2448" t="s">
        <v>36</v>
      </c>
      <c r="K2448">
        <v>2390</v>
      </c>
      <c r="O2448" t="s">
        <v>37</v>
      </c>
      <c r="P2448" t="s">
        <v>38</v>
      </c>
      <c r="R2448">
        <f t="shared" si="115"/>
        <v>0</v>
      </c>
      <c r="S2448">
        <f>SUMIFS([1]Sheet1!$T:$T,[1]Sheet1!$I:$I,E2448,[1]Sheet1!$C:$C,A2448)</f>
        <v>200</v>
      </c>
      <c r="T2448">
        <f t="shared" si="116"/>
        <v>-200</v>
      </c>
      <c r="U2448" s="9" t="s">
        <v>242</v>
      </c>
      <c r="V2448" t="s">
        <v>242</v>
      </c>
      <c r="W2448" t="s">
        <v>138</v>
      </c>
      <c r="X2448" t="s">
        <v>70</v>
      </c>
      <c r="Y2448" t="s">
        <v>179</v>
      </c>
      <c r="Z2448" t="s">
        <v>41</v>
      </c>
      <c r="AA2448" t="s">
        <v>1505</v>
      </c>
      <c r="AB2448" t="str">
        <f t="shared" si="114"/>
        <v>46831</v>
      </c>
    </row>
    <row r="2449" ht="14.25" spans="1:28">
      <c r="A2449" s="5" t="s">
        <v>28</v>
      </c>
      <c r="B2449" s="5" t="s">
        <v>697</v>
      </c>
      <c r="C2449" s="5">
        <v>2027</v>
      </c>
      <c r="D2449" s="5" t="s">
        <v>30</v>
      </c>
      <c r="E2449" t="s">
        <v>1574</v>
      </c>
      <c r="F2449" t="s">
        <v>1575</v>
      </c>
      <c r="G2449" t="s">
        <v>221</v>
      </c>
      <c r="H2449" t="s">
        <v>1576</v>
      </c>
      <c r="I2449" t="s">
        <v>119</v>
      </c>
      <c r="J2449" t="s">
        <v>36</v>
      </c>
      <c r="K2449">
        <v>2390</v>
      </c>
      <c r="O2449" t="s">
        <v>37</v>
      </c>
      <c r="P2449" t="s">
        <v>42</v>
      </c>
      <c r="U2449" s="9" t="s">
        <v>242</v>
      </c>
      <c r="V2449" t="s">
        <v>242</v>
      </c>
      <c r="W2449" t="s">
        <v>138</v>
      </c>
      <c r="X2449" t="s">
        <v>70</v>
      </c>
      <c r="Y2449" t="s">
        <v>179</v>
      </c>
      <c r="Z2449" t="s">
        <v>41</v>
      </c>
      <c r="AA2449" t="s">
        <v>1505</v>
      </c>
      <c r="AB2449" t="str">
        <f t="shared" si="114"/>
        <v>46831</v>
      </c>
    </row>
    <row r="2450" ht="14.25" spans="1:28">
      <c r="A2450" s="5" t="s">
        <v>28</v>
      </c>
      <c r="B2450" s="5" t="s">
        <v>697</v>
      </c>
      <c r="C2450" s="5">
        <v>2027</v>
      </c>
      <c r="D2450" s="5" t="s">
        <v>30</v>
      </c>
      <c r="E2450" t="s">
        <v>1574</v>
      </c>
      <c r="F2450" t="s">
        <v>1575</v>
      </c>
      <c r="G2450" t="s">
        <v>221</v>
      </c>
      <c r="H2450" t="s">
        <v>1576</v>
      </c>
      <c r="I2450" t="s">
        <v>119</v>
      </c>
      <c r="J2450" t="s">
        <v>36</v>
      </c>
      <c r="K2450">
        <v>2390</v>
      </c>
      <c r="O2450" t="s">
        <v>37</v>
      </c>
      <c r="P2450" t="s">
        <v>43</v>
      </c>
      <c r="U2450" s="9" t="s">
        <v>242</v>
      </c>
      <c r="V2450" t="s">
        <v>242</v>
      </c>
      <c r="W2450" t="s">
        <v>138</v>
      </c>
      <c r="X2450" t="s">
        <v>70</v>
      </c>
      <c r="Y2450" t="s">
        <v>179</v>
      </c>
      <c r="Z2450" t="s">
        <v>41</v>
      </c>
      <c r="AA2450" t="s">
        <v>1505</v>
      </c>
      <c r="AB2450" t="str">
        <f t="shared" si="114"/>
        <v>46831</v>
      </c>
    </row>
    <row r="2451" ht="14.25" spans="1:28">
      <c r="A2451" s="5" t="s">
        <v>28</v>
      </c>
      <c r="B2451" s="5" t="s">
        <v>697</v>
      </c>
      <c r="C2451" s="5">
        <v>2027</v>
      </c>
      <c r="D2451" s="5" t="s">
        <v>30</v>
      </c>
      <c r="E2451" t="s">
        <v>1574</v>
      </c>
      <c r="F2451" t="s">
        <v>1575</v>
      </c>
      <c r="G2451" t="s">
        <v>221</v>
      </c>
      <c r="H2451" t="s">
        <v>1576</v>
      </c>
      <c r="I2451" t="s">
        <v>119</v>
      </c>
      <c r="J2451" t="s">
        <v>36</v>
      </c>
      <c r="K2451">
        <v>2390</v>
      </c>
      <c r="O2451" t="s">
        <v>37</v>
      </c>
      <c r="P2451" t="s">
        <v>44</v>
      </c>
      <c r="U2451" s="9" t="s">
        <v>242</v>
      </c>
      <c r="V2451" t="s">
        <v>242</v>
      </c>
      <c r="W2451" t="s">
        <v>138</v>
      </c>
      <c r="X2451" t="s">
        <v>70</v>
      </c>
      <c r="Y2451" t="s">
        <v>179</v>
      </c>
      <c r="Z2451" t="s">
        <v>41</v>
      </c>
      <c r="AA2451" t="s">
        <v>1505</v>
      </c>
      <c r="AB2451" t="str">
        <f t="shared" si="114"/>
        <v>46831</v>
      </c>
    </row>
    <row r="2452" ht="14.25" spans="1:28">
      <c r="A2452" s="5" t="s">
        <v>28</v>
      </c>
      <c r="B2452" s="5" t="s">
        <v>697</v>
      </c>
      <c r="C2452" s="5">
        <v>2027</v>
      </c>
      <c r="D2452" s="5" t="s">
        <v>30</v>
      </c>
      <c r="E2452" t="s">
        <v>1574</v>
      </c>
      <c r="F2452" t="s">
        <v>1575</v>
      </c>
      <c r="G2452" t="s">
        <v>221</v>
      </c>
      <c r="H2452" t="s">
        <v>1576</v>
      </c>
      <c r="I2452" t="s">
        <v>119</v>
      </c>
      <c r="J2452" t="s">
        <v>36</v>
      </c>
      <c r="K2452">
        <v>2390</v>
      </c>
      <c r="O2452" t="s">
        <v>37</v>
      </c>
      <c r="P2452" t="s">
        <v>45</v>
      </c>
      <c r="U2452" s="9" t="s">
        <v>242</v>
      </c>
      <c r="V2452" t="s">
        <v>242</v>
      </c>
      <c r="W2452" t="s">
        <v>138</v>
      </c>
      <c r="X2452" t="s">
        <v>70</v>
      </c>
      <c r="Y2452" t="s">
        <v>179</v>
      </c>
      <c r="Z2452" t="s">
        <v>41</v>
      </c>
      <c r="AA2452" t="s">
        <v>1505</v>
      </c>
      <c r="AB2452" t="str">
        <f t="shared" si="114"/>
        <v>46831</v>
      </c>
    </row>
    <row r="2453" ht="14.25" spans="1:28">
      <c r="A2453" s="5" t="s">
        <v>28</v>
      </c>
      <c r="B2453" s="5" t="s">
        <v>697</v>
      </c>
      <c r="C2453" s="5">
        <v>2027</v>
      </c>
      <c r="D2453" s="5" t="s">
        <v>30</v>
      </c>
      <c r="E2453" t="s">
        <v>1574</v>
      </c>
      <c r="F2453" t="s">
        <v>1575</v>
      </c>
      <c r="G2453" t="s">
        <v>221</v>
      </c>
      <c r="H2453" t="s">
        <v>1576</v>
      </c>
      <c r="I2453" t="s">
        <v>119</v>
      </c>
      <c r="J2453" t="s">
        <v>36</v>
      </c>
      <c r="K2453">
        <v>2390</v>
      </c>
      <c r="O2453" t="s">
        <v>37</v>
      </c>
      <c r="P2453" t="s">
        <v>46</v>
      </c>
      <c r="U2453" s="9" t="s">
        <v>242</v>
      </c>
      <c r="V2453" t="s">
        <v>242</v>
      </c>
      <c r="W2453" t="s">
        <v>138</v>
      </c>
      <c r="X2453" t="s">
        <v>70</v>
      </c>
      <c r="Y2453" t="s">
        <v>179</v>
      </c>
      <c r="Z2453" t="s">
        <v>41</v>
      </c>
      <c r="AA2453" t="s">
        <v>1505</v>
      </c>
      <c r="AB2453" t="str">
        <f t="shared" si="114"/>
        <v>46831</v>
      </c>
    </row>
    <row r="2454" ht="14.25" spans="1:28">
      <c r="A2454" s="5" t="s">
        <v>28</v>
      </c>
      <c r="B2454" s="5" t="s">
        <v>697</v>
      </c>
      <c r="C2454" s="5">
        <v>2027</v>
      </c>
      <c r="D2454" s="5" t="s">
        <v>30</v>
      </c>
      <c r="E2454" t="s">
        <v>1577</v>
      </c>
      <c r="F2454" t="s">
        <v>1575</v>
      </c>
      <c r="G2454" t="s">
        <v>100</v>
      </c>
      <c r="H2454" t="s">
        <v>1578</v>
      </c>
      <c r="I2454" t="s">
        <v>119</v>
      </c>
      <c r="J2454" t="s">
        <v>36</v>
      </c>
      <c r="K2454">
        <v>2390</v>
      </c>
      <c r="O2454" t="s">
        <v>37</v>
      </c>
      <c r="P2454" t="s">
        <v>38</v>
      </c>
      <c r="R2454">
        <f t="shared" si="115"/>
        <v>0</v>
      </c>
      <c r="S2454">
        <f>SUMIFS([1]Sheet1!$T:$T,[1]Sheet1!$I:$I,E2454,[1]Sheet1!$C:$C,A2454)</f>
        <v>150</v>
      </c>
      <c r="T2454">
        <f t="shared" si="116"/>
        <v>-150</v>
      </c>
      <c r="U2454" s="9" t="s">
        <v>242</v>
      </c>
      <c r="V2454" t="s">
        <v>242</v>
      </c>
      <c r="W2454" t="s">
        <v>138</v>
      </c>
      <c r="X2454" t="s">
        <v>102</v>
      </c>
      <c r="Y2454" t="s">
        <v>179</v>
      </c>
      <c r="Z2454" t="s">
        <v>41</v>
      </c>
      <c r="AA2454" t="s">
        <v>1505</v>
      </c>
      <c r="AB2454" t="str">
        <f t="shared" si="114"/>
        <v>46831</v>
      </c>
    </row>
    <row r="2455" ht="14.25" spans="1:28">
      <c r="A2455" s="5" t="s">
        <v>28</v>
      </c>
      <c r="B2455" s="5" t="s">
        <v>697</v>
      </c>
      <c r="C2455" s="5">
        <v>2027</v>
      </c>
      <c r="D2455" s="5" t="s">
        <v>30</v>
      </c>
      <c r="E2455" t="s">
        <v>1577</v>
      </c>
      <c r="F2455" t="s">
        <v>1575</v>
      </c>
      <c r="G2455" t="s">
        <v>100</v>
      </c>
      <c r="H2455" t="s">
        <v>1578</v>
      </c>
      <c r="I2455" t="s">
        <v>119</v>
      </c>
      <c r="J2455" t="s">
        <v>36</v>
      </c>
      <c r="K2455">
        <v>2390</v>
      </c>
      <c r="O2455" t="s">
        <v>37</v>
      </c>
      <c r="P2455" t="s">
        <v>42</v>
      </c>
      <c r="U2455" s="9" t="s">
        <v>242</v>
      </c>
      <c r="V2455" t="s">
        <v>242</v>
      </c>
      <c r="W2455" t="s">
        <v>138</v>
      </c>
      <c r="X2455" t="s">
        <v>102</v>
      </c>
      <c r="Y2455" t="s">
        <v>179</v>
      </c>
      <c r="Z2455" t="s">
        <v>41</v>
      </c>
      <c r="AA2455" t="s">
        <v>1505</v>
      </c>
      <c r="AB2455" t="str">
        <f t="shared" si="114"/>
        <v>46831</v>
      </c>
    </row>
    <row r="2456" ht="14.25" spans="1:28">
      <c r="A2456" s="5" t="s">
        <v>28</v>
      </c>
      <c r="B2456" s="5" t="s">
        <v>697</v>
      </c>
      <c r="C2456" s="5">
        <v>2027</v>
      </c>
      <c r="D2456" s="5" t="s">
        <v>30</v>
      </c>
      <c r="E2456" t="s">
        <v>1577</v>
      </c>
      <c r="F2456" t="s">
        <v>1575</v>
      </c>
      <c r="G2456" t="s">
        <v>100</v>
      </c>
      <c r="H2456" t="s">
        <v>1578</v>
      </c>
      <c r="I2456" t="s">
        <v>119</v>
      </c>
      <c r="J2456" t="s">
        <v>36</v>
      </c>
      <c r="K2456">
        <v>2390</v>
      </c>
      <c r="O2456" t="s">
        <v>37</v>
      </c>
      <c r="P2456" t="s">
        <v>43</v>
      </c>
      <c r="U2456" s="9" t="s">
        <v>242</v>
      </c>
      <c r="V2456" t="s">
        <v>242</v>
      </c>
      <c r="W2456" t="s">
        <v>138</v>
      </c>
      <c r="X2456" t="s">
        <v>102</v>
      </c>
      <c r="Y2456" t="s">
        <v>179</v>
      </c>
      <c r="Z2456" t="s">
        <v>41</v>
      </c>
      <c r="AA2456" t="s">
        <v>1505</v>
      </c>
      <c r="AB2456" t="str">
        <f t="shared" si="114"/>
        <v>46831</v>
      </c>
    </row>
    <row r="2457" ht="14.25" spans="1:28">
      <c r="A2457" s="5" t="s">
        <v>28</v>
      </c>
      <c r="B2457" s="5" t="s">
        <v>697</v>
      </c>
      <c r="C2457" s="5">
        <v>2027</v>
      </c>
      <c r="D2457" s="5" t="s">
        <v>30</v>
      </c>
      <c r="E2457" t="s">
        <v>1577</v>
      </c>
      <c r="F2457" t="s">
        <v>1575</v>
      </c>
      <c r="G2457" t="s">
        <v>100</v>
      </c>
      <c r="H2457" t="s">
        <v>1578</v>
      </c>
      <c r="I2457" t="s">
        <v>119</v>
      </c>
      <c r="J2457" t="s">
        <v>36</v>
      </c>
      <c r="K2457">
        <v>2390</v>
      </c>
      <c r="O2457" t="s">
        <v>37</v>
      </c>
      <c r="P2457" t="s">
        <v>44</v>
      </c>
      <c r="U2457" s="9" t="s">
        <v>242</v>
      </c>
      <c r="V2457" t="s">
        <v>242</v>
      </c>
      <c r="W2457" t="s">
        <v>138</v>
      </c>
      <c r="X2457" t="s">
        <v>102</v>
      </c>
      <c r="Y2457" t="s">
        <v>179</v>
      </c>
      <c r="Z2457" t="s">
        <v>41</v>
      </c>
      <c r="AA2457" t="s">
        <v>1505</v>
      </c>
      <c r="AB2457" t="str">
        <f t="shared" si="114"/>
        <v>46831</v>
      </c>
    </row>
    <row r="2458" ht="14.25" spans="1:28">
      <c r="A2458" s="5" t="s">
        <v>28</v>
      </c>
      <c r="B2458" s="5" t="s">
        <v>697</v>
      </c>
      <c r="C2458" s="5">
        <v>2027</v>
      </c>
      <c r="D2458" s="5" t="s">
        <v>30</v>
      </c>
      <c r="E2458" t="s">
        <v>1577</v>
      </c>
      <c r="F2458" t="s">
        <v>1575</v>
      </c>
      <c r="G2458" t="s">
        <v>100</v>
      </c>
      <c r="H2458" t="s">
        <v>1578</v>
      </c>
      <c r="I2458" t="s">
        <v>119</v>
      </c>
      <c r="J2458" t="s">
        <v>36</v>
      </c>
      <c r="K2458">
        <v>2390</v>
      </c>
      <c r="O2458" t="s">
        <v>37</v>
      </c>
      <c r="P2458" t="s">
        <v>45</v>
      </c>
      <c r="U2458" s="9" t="s">
        <v>242</v>
      </c>
      <c r="V2458" t="s">
        <v>242</v>
      </c>
      <c r="W2458" t="s">
        <v>138</v>
      </c>
      <c r="X2458" t="s">
        <v>102</v>
      </c>
      <c r="Y2458" t="s">
        <v>179</v>
      </c>
      <c r="Z2458" t="s">
        <v>41</v>
      </c>
      <c r="AA2458" t="s">
        <v>1505</v>
      </c>
      <c r="AB2458" t="str">
        <f t="shared" si="114"/>
        <v>46831</v>
      </c>
    </row>
    <row r="2459" ht="14.25" spans="1:28">
      <c r="A2459" s="5" t="s">
        <v>28</v>
      </c>
      <c r="B2459" s="5" t="s">
        <v>697</v>
      </c>
      <c r="C2459" s="5">
        <v>2027</v>
      </c>
      <c r="D2459" s="5" t="s">
        <v>30</v>
      </c>
      <c r="E2459" t="s">
        <v>1577</v>
      </c>
      <c r="F2459" t="s">
        <v>1575</v>
      </c>
      <c r="G2459" t="s">
        <v>100</v>
      </c>
      <c r="H2459" t="s">
        <v>1578</v>
      </c>
      <c r="I2459" t="s">
        <v>119</v>
      </c>
      <c r="J2459" t="s">
        <v>36</v>
      </c>
      <c r="K2459">
        <v>2390</v>
      </c>
      <c r="O2459" t="s">
        <v>37</v>
      </c>
      <c r="P2459" t="s">
        <v>46</v>
      </c>
      <c r="U2459" s="9" t="s">
        <v>242</v>
      </c>
      <c r="V2459" t="s">
        <v>242</v>
      </c>
      <c r="W2459" t="s">
        <v>138</v>
      </c>
      <c r="X2459" t="s">
        <v>102</v>
      </c>
      <c r="Y2459" t="s">
        <v>179</v>
      </c>
      <c r="Z2459" t="s">
        <v>41</v>
      </c>
      <c r="AA2459" t="s">
        <v>1505</v>
      </c>
      <c r="AB2459" t="str">
        <f t="shared" si="114"/>
        <v>46831</v>
      </c>
    </row>
    <row r="2460" ht="14.25" spans="1:28">
      <c r="A2460" s="5" t="s">
        <v>28</v>
      </c>
      <c r="B2460" s="5" t="s">
        <v>697</v>
      </c>
      <c r="C2460" s="5">
        <v>2027</v>
      </c>
      <c r="D2460" s="5" t="s">
        <v>30</v>
      </c>
      <c r="E2460" t="s">
        <v>1579</v>
      </c>
      <c r="F2460" t="s">
        <v>1580</v>
      </c>
      <c r="G2460" t="s">
        <v>1231</v>
      </c>
      <c r="H2460" t="s">
        <v>1581</v>
      </c>
      <c r="I2460" t="s">
        <v>147</v>
      </c>
      <c r="J2460" t="s">
        <v>36</v>
      </c>
      <c r="K2460">
        <v>2390</v>
      </c>
      <c r="O2460" t="s">
        <v>37</v>
      </c>
      <c r="P2460" t="s">
        <v>38</v>
      </c>
      <c r="R2460">
        <f t="shared" si="115"/>
        <v>0</v>
      </c>
      <c r="S2460">
        <f>SUMIFS([1]Sheet1!$T:$T,[1]Sheet1!$I:$I,E2460,[1]Sheet1!$C:$C,A2460)</f>
        <v>80</v>
      </c>
      <c r="T2460">
        <f t="shared" si="116"/>
        <v>-80</v>
      </c>
      <c r="U2460" s="9" t="s">
        <v>148</v>
      </c>
      <c r="V2460" t="s">
        <v>233</v>
      </c>
      <c r="W2460" t="s">
        <v>138</v>
      </c>
      <c r="X2460" t="s">
        <v>39</v>
      </c>
      <c r="Y2460" t="s">
        <v>40</v>
      </c>
      <c r="Z2460" t="s">
        <v>104</v>
      </c>
      <c r="AB2460" t="str">
        <f t="shared" si="114"/>
        <v>46850</v>
      </c>
    </row>
    <row r="2461" ht="14.25" spans="1:28">
      <c r="A2461" s="5" t="s">
        <v>28</v>
      </c>
      <c r="B2461" s="5" t="s">
        <v>697</v>
      </c>
      <c r="C2461" s="5">
        <v>2027</v>
      </c>
      <c r="D2461" s="5" t="s">
        <v>30</v>
      </c>
      <c r="E2461" t="s">
        <v>1579</v>
      </c>
      <c r="F2461" t="s">
        <v>1580</v>
      </c>
      <c r="G2461" t="s">
        <v>1231</v>
      </c>
      <c r="H2461" t="s">
        <v>1581</v>
      </c>
      <c r="I2461" t="s">
        <v>147</v>
      </c>
      <c r="J2461" t="s">
        <v>36</v>
      </c>
      <c r="K2461">
        <v>2390</v>
      </c>
      <c r="O2461" t="s">
        <v>37</v>
      </c>
      <c r="P2461" t="s">
        <v>42</v>
      </c>
      <c r="U2461" s="9" t="s">
        <v>148</v>
      </c>
      <c r="V2461" t="s">
        <v>233</v>
      </c>
      <c r="W2461" t="s">
        <v>138</v>
      </c>
      <c r="X2461" t="s">
        <v>39</v>
      </c>
      <c r="Y2461" t="s">
        <v>40</v>
      </c>
      <c r="Z2461" t="s">
        <v>104</v>
      </c>
      <c r="AB2461" t="str">
        <f t="shared" si="114"/>
        <v>46850</v>
      </c>
    </row>
    <row r="2462" ht="14.25" spans="1:28">
      <c r="A2462" s="5" t="s">
        <v>28</v>
      </c>
      <c r="B2462" s="5" t="s">
        <v>697</v>
      </c>
      <c r="C2462" s="5">
        <v>2027</v>
      </c>
      <c r="D2462" s="5" t="s">
        <v>30</v>
      </c>
      <c r="E2462" t="s">
        <v>1579</v>
      </c>
      <c r="F2462" t="s">
        <v>1580</v>
      </c>
      <c r="G2462" t="s">
        <v>1231</v>
      </c>
      <c r="H2462" t="s">
        <v>1581</v>
      </c>
      <c r="I2462" t="s">
        <v>147</v>
      </c>
      <c r="J2462" t="s">
        <v>36</v>
      </c>
      <c r="K2462">
        <v>2390</v>
      </c>
      <c r="O2462" t="s">
        <v>37</v>
      </c>
      <c r="P2462" t="s">
        <v>43</v>
      </c>
      <c r="U2462" s="9" t="s">
        <v>148</v>
      </c>
      <c r="V2462" t="s">
        <v>233</v>
      </c>
      <c r="W2462" t="s">
        <v>138</v>
      </c>
      <c r="X2462" t="s">
        <v>39</v>
      </c>
      <c r="Y2462" t="s">
        <v>40</v>
      </c>
      <c r="Z2462" t="s">
        <v>104</v>
      </c>
      <c r="AB2462" t="str">
        <f t="shared" si="114"/>
        <v>46850</v>
      </c>
    </row>
    <row r="2463" ht="14.25" spans="1:28">
      <c r="A2463" s="5" t="s">
        <v>28</v>
      </c>
      <c r="B2463" s="5" t="s">
        <v>697</v>
      </c>
      <c r="C2463" s="5">
        <v>2027</v>
      </c>
      <c r="D2463" s="5" t="s">
        <v>30</v>
      </c>
      <c r="E2463" t="s">
        <v>1579</v>
      </c>
      <c r="F2463" t="s">
        <v>1580</v>
      </c>
      <c r="G2463" t="s">
        <v>1231</v>
      </c>
      <c r="H2463" t="s">
        <v>1581</v>
      </c>
      <c r="I2463" t="s">
        <v>147</v>
      </c>
      <c r="J2463" t="s">
        <v>36</v>
      </c>
      <c r="K2463">
        <v>2390</v>
      </c>
      <c r="O2463" t="s">
        <v>37</v>
      </c>
      <c r="P2463" t="s">
        <v>44</v>
      </c>
      <c r="U2463" s="9" t="s">
        <v>148</v>
      </c>
      <c r="V2463" t="s">
        <v>233</v>
      </c>
      <c r="W2463" t="s">
        <v>138</v>
      </c>
      <c r="X2463" t="s">
        <v>39</v>
      </c>
      <c r="Y2463" t="s">
        <v>40</v>
      </c>
      <c r="Z2463" t="s">
        <v>104</v>
      </c>
      <c r="AB2463" t="str">
        <f t="shared" si="114"/>
        <v>46850</v>
      </c>
    </row>
    <row r="2464" ht="14.25" spans="1:28">
      <c r="A2464" s="5" t="s">
        <v>28</v>
      </c>
      <c r="B2464" s="5" t="s">
        <v>697</v>
      </c>
      <c r="C2464" s="5">
        <v>2027</v>
      </c>
      <c r="D2464" s="5" t="s">
        <v>30</v>
      </c>
      <c r="E2464" t="s">
        <v>1579</v>
      </c>
      <c r="F2464" t="s">
        <v>1580</v>
      </c>
      <c r="G2464" t="s">
        <v>1231</v>
      </c>
      <c r="H2464" t="s">
        <v>1581</v>
      </c>
      <c r="I2464" t="s">
        <v>147</v>
      </c>
      <c r="J2464" t="s">
        <v>36</v>
      </c>
      <c r="K2464">
        <v>2390</v>
      </c>
      <c r="O2464" t="s">
        <v>37</v>
      </c>
      <c r="P2464" t="s">
        <v>45</v>
      </c>
      <c r="U2464" s="9" t="s">
        <v>148</v>
      </c>
      <c r="V2464" t="s">
        <v>233</v>
      </c>
      <c r="W2464" t="s">
        <v>138</v>
      </c>
      <c r="X2464" t="s">
        <v>39</v>
      </c>
      <c r="Y2464" t="s">
        <v>40</v>
      </c>
      <c r="Z2464" t="s">
        <v>104</v>
      </c>
      <c r="AB2464" t="str">
        <f t="shared" si="114"/>
        <v>46850</v>
      </c>
    </row>
    <row r="2465" ht="14.25" spans="1:28">
      <c r="A2465" s="5" t="s">
        <v>28</v>
      </c>
      <c r="B2465" s="5" t="s">
        <v>697</v>
      </c>
      <c r="C2465" s="5">
        <v>2027</v>
      </c>
      <c r="D2465" s="5" t="s">
        <v>30</v>
      </c>
      <c r="E2465" t="s">
        <v>1579</v>
      </c>
      <c r="F2465" t="s">
        <v>1580</v>
      </c>
      <c r="G2465" t="s">
        <v>1231</v>
      </c>
      <c r="H2465" t="s">
        <v>1581</v>
      </c>
      <c r="I2465" t="s">
        <v>147</v>
      </c>
      <c r="J2465" t="s">
        <v>36</v>
      </c>
      <c r="K2465">
        <v>2390</v>
      </c>
      <c r="O2465" t="s">
        <v>37</v>
      </c>
      <c r="P2465" t="s">
        <v>46</v>
      </c>
      <c r="U2465" s="9" t="s">
        <v>148</v>
      </c>
      <c r="V2465" t="s">
        <v>233</v>
      </c>
      <c r="W2465" t="s">
        <v>138</v>
      </c>
      <c r="X2465" t="s">
        <v>39</v>
      </c>
      <c r="Y2465" t="s">
        <v>40</v>
      </c>
      <c r="Z2465" t="s">
        <v>104</v>
      </c>
      <c r="AB2465" t="str">
        <f t="shared" si="114"/>
        <v>46850</v>
      </c>
    </row>
    <row r="2466" ht="14.25" spans="1:28">
      <c r="A2466" s="5" t="s">
        <v>28</v>
      </c>
      <c r="B2466" s="5" t="s">
        <v>697</v>
      </c>
      <c r="C2466" s="5">
        <v>2027</v>
      </c>
      <c r="D2466" s="5" t="s">
        <v>30</v>
      </c>
      <c r="E2466" t="s">
        <v>1582</v>
      </c>
      <c r="F2466" t="s">
        <v>1583</v>
      </c>
      <c r="G2466" t="s">
        <v>117</v>
      </c>
      <c r="H2466" t="s">
        <v>1584</v>
      </c>
      <c r="I2466" t="s">
        <v>119</v>
      </c>
      <c r="J2466" t="s">
        <v>36</v>
      </c>
      <c r="K2466">
        <v>690</v>
      </c>
      <c r="O2466" t="s">
        <v>37</v>
      </c>
      <c r="P2466" t="s">
        <v>38</v>
      </c>
      <c r="R2466">
        <f t="shared" si="115"/>
        <v>0</v>
      </c>
      <c r="S2466">
        <f>SUMIFS([1]Sheet1!$T:$T,[1]Sheet1!$I:$I,E2466,[1]Sheet1!$C:$C,A2466)</f>
        <v>0</v>
      </c>
      <c r="T2466">
        <f t="shared" si="116"/>
        <v>0</v>
      </c>
      <c r="U2466" s="9" t="s">
        <v>148</v>
      </c>
      <c r="V2466" t="s">
        <v>184</v>
      </c>
      <c r="W2466" t="s">
        <v>138</v>
      </c>
      <c r="X2466" t="s">
        <v>122</v>
      </c>
      <c r="Y2466" t="s">
        <v>1047</v>
      </c>
      <c r="Z2466" t="s">
        <v>41</v>
      </c>
      <c r="AB2466" t="str">
        <f t="shared" si="114"/>
        <v>46854</v>
      </c>
    </row>
    <row r="2467" ht="14.25" spans="1:28">
      <c r="A2467" s="5" t="s">
        <v>28</v>
      </c>
      <c r="B2467" s="5" t="s">
        <v>697</v>
      </c>
      <c r="C2467" s="5">
        <v>2027</v>
      </c>
      <c r="D2467" s="5" t="s">
        <v>30</v>
      </c>
      <c r="E2467" t="s">
        <v>1582</v>
      </c>
      <c r="F2467" t="s">
        <v>1583</v>
      </c>
      <c r="G2467" t="s">
        <v>117</v>
      </c>
      <c r="H2467" t="s">
        <v>1584</v>
      </c>
      <c r="I2467" t="s">
        <v>119</v>
      </c>
      <c r="J2467" t="s">
        <v>36</v>
      </c>
      <c r="K2467">
        <v>690</v>
      </c>
      <c r="O2467" t="s">
        <v>37</v>
      </c>
      <c r="P2467" t="s">
        <v>42</v>
      </c>
      <c r="U2467" s="9" t="s">
        <v>148</v>
      </c>
      <c r="V2467" t="s">
        <v>184</v>
      </c>
      <c r="W2467" t="s">
        <v>138</v>
      </c>
      <c r="X2467" t="s">
        <v>122</v>
      </c>
      <c r="Y2467" t="s">
        <v>1047</v>
      </c>
      <c r="Z2467" t="s">
        <v>41</v>
      </c>
      <c r="AB2467" t="str">
        <f t="shared" si="114"/>
        <v>46854</v>
      </c>
    </row>
    <row r="2468" ht="14.25" spans="1:28">
      <c r="A2468" s="5" t="s">
        <v>28</v>
      </c>
      <c r="B2468" s="5" t="s">
        <v>697</v>
      </c>
      <c r="C2468" s="5">
        <v>2027</v>
      </c>
      <c r="D2468" s="5" t="s">
        <v>30</v>
      </c>
      <c r="E2468" t="s">
        <v>1582</v>
      </c>
      <c r="F2468" t="s">
        <v>1583</v>
      </c>
      <c r="G2468" t="s">
        <v>117</v>
      </c>
      <c r="H2468" t="s">
        <v>1584</v>
      </c>
      <c r="I2468" t="s">
        <v>119</v>
      </c>
      <c r="J2468" t="s">
        <v>36</v>
      </c>
      <c r="K2468">
        <v>690</v>
      </c>
      <c r="O2468" t="s">
        <v>37</v>
      </c>
      <c r="P2468" t="s">
        <v>43</v>
      </c>
      <c r="U2468" s="9" t="s">
        <v>148</v>
      </c>
      <c r="V2468" t="s">
        <v>184</v>
      </c>
      <c r="W2468" t="s">
        <v>138</v>
      </c>
      <c r="X2468" t="s">
        <v>122</v>
      </c>
      <c r="Y2468" t="s">
        <v>1047</v>
      </c>
      <c r="Z2468" t="s">
        <v>41</v>
      </c>
      <c r="AB2468" t="str">
        <f t="shared" si="114"/>
        <v>46854</v>
      </c>
    </row>
    <row r="2469" ht="14.25" spans="1:28">
      <c r="A2469" s="5" t="s">
        <v>28</v>
      </c>
      <c r="B2469" s="5" t="s">
        <v>697</v>
      </c>
      <c r="C2469" s="5">
        <v>2027</v>
      </c>
      <c r="D2469" s="5" t="s">
        <v>30</v>
      </c>
      <c r="E2469" t="s">
        <v>1582</v>
      </c>
      <c r="F2469" t="s">
        <v>1583</v>
      </c>
      <c r="G2469" t="s">
        <v>117</v>
      </c>
      <c r="H2469" t="s">
        <v>1584</v>
      </c>
      <c r="I2469" t="s">
        <v>119</v>
      </c>
      <c r="J2469" t="s">
        <v>36</v>
      </c>
      <c r="K2469">
        <v>690</v>
      </c>
      <c r="O2469" t="s">
        <v>37</v>
      </c>
      <c r="P2469" t="s">
        <v>44</v>
      </c>
      <c r="U2469" s="9" t="s">
        <v>148</v>
      </c>
      <c r="V2469" t="s">
        <v>184</v>
      </c>
      <c r="W2469" t="s">
        <v>138</v>
      </c>
      <c r="X2469" t="s">
        <v>122</v>
      </c>
      <c r="Y2469" t="s">
        <v>1047</v>
      </c>
      <c r="Z2469" t="s">
        <v>41</v>
      </c>
      <c r="AB2469" t="str">
        <f t="shared" si="114"/>
        <v>46854</v>
      </c>
    </row>
    <row r="2470" ht="14.25" spans="1:28">
      <c r="A2470" s="5" t="s">
        <v>28</v>
      </c>
      <c r="B2470" s="5" t="s">
        <v>697</v>
      </c>
      <c r="C2470" s="5">
        <v>2027</v>
      </c>
      <c r="D2470" s="5" t="s">
        <v>30</v>
      </c>
      <c r="E2470" t="s">
        <v>1582</v>
      </c>
      <c r="F2470" t="s">
        <v>1583</v>
      </c>
      <c r="G2470" t="s">
        <v>117</v>
      </c>
      <c r="H2470" t="s">
        <v>1584</v>
      </c>
      <c r="I2470" t="s">
        <v>119</v>
      </c>
      <c r="J2470" t="s">
        <v>36</v>
      </c>
      <c r="K2470">
        <v>690</v>
      </c>
      <c r="O2470" t="s">
        <v>37</v>
      </c>
      <c r="P2470" t="s">
        <v>45</v>
      </c>
      <c r="U2470" s="9" t="s">
        <v>148</v>
      </c>
      <c r="V2470" t="s">
        <v>184</v>
      </c>
      <c r="W2470" t="s">
        <v>138</v>
      </c>
      <c r="X2470" t="s">
        <v>122</v>
      </c>
      <c r="Y2470" t="s">
        <v>1047</v>
      </c>
      <c r="Z2470" t="s">
        <v>41</v>
      </c>
      <c r="AB2470" t="str">
        <f t="shared" si="114"/>
        <v>46854</v>
      </c>
    </row>
    <row r="2471" ht="14.25" spans="1:28">
      <c r="A2471" s="5" t="s">
        <v>28</v>
      </c>
      <c r="B2471" s="5" t="s">
        <v>697</v>
      </c>
      <c r="C2471" s="5">
        <v>2027</v>
      </c>
      <c r="D2471" s="5" t="s">
        <v>30</v>
      </c>
      <c r="E2471" t="s">
        <v>1582</v>
      </c>
      <c r="F2471" t="s">
        <v>1583</v>
      </c>
      <c r="G2471" t="s">
        <v>117</v>
      </c>
      <c r="H2471" t="s">
        <v>1584</v>
      </c>
      <c r="I2471" t="s">
        <v>119</v>
      </c>
      <c r="J2471" t="s">
        <v>36</v>
      </c>
      <c r="K2471">
        <v>690</v>
      </c>
      <c r="O2471" t="s">
        <v>37</v>
      </c>
      <c r="P2471" t="s">
        <v>46</v>
      </c>
      <c r="U2471" s="9" t="s">
        <v>148</v>
      </c>
      <c r="V2471" t="s">
        <v>184</v>
      </c>
      <c r="W2471" t="s">
        <v>138</v>
      </c>
      <c r="X2471" t="s">
        <v>122</v>
      </c>
      <c r="Y2471" t="s">
        <v>1047</v>
      </c>
      <c r="Z2471" t="s">
        <v>41</v>
      </c>
      <c r="AB2471" t="str">
        <f t="shared" si="114"/>
        <v>46854</v>
      </c>
    </row>
    <row r="2472" ht="14.25" spans="1:28">
      <c r="A2472" s="5" t="s">
        <v>28</v>
      </c>
      <c r="B2472" s="5" t="s">
        <v>697</v>
      </c>
      <c r="C2472" s="5">
        <v>2027</v>
      </c>
      <c r="D2472" s="5" t="s">
        <v>30</v>
      </c>
      <c r="E2472" t="s">
        <v>1585</v>
      </c>
      <c r="F2472" t="s">
        <v>1583</v>
      </c>
      <c r="G2472" t="s">
        <v>100</v>
      </c>
      <c r="H2472" t="s">
        <v>1586</v>
      </c>
      <c r="I2472" t="s">
        <v>119</v>
      </c>
      <c r="J2472" t="s">
        <v>36</v>
      </c>
      <c r="K2472">
        <v>690</v>
      </c>
      <c r="O2472" t="s">
        <v>37</v>
      </c>
      <c r="P2472" t="s">
        <v>38</v>
      </c>
      <c r="R2472">
        <f t="shared" si="115"/>
        <v>0</v>
      </c>
      <c r="S2472">
        <f>SUMIFS([1]Sheet1!$T:$T,[1]Sheet1!$I:$I,E2472,[1]Sheet1!$C:$C,A2472)</f>
        <v>0</v>
      </c>
      <c r="T2472">
        <f t="shared" si="116"/>
        <v>0</v>
      </c>
      <c r="U2472" s="9" t="s">
        <v>148</v>
      </c>
      <c r="V2472" t="s">
        <v>184</v>
      </c>
      <c r="W2472" t="s">
        <v>138</v>
      </c>
      <c r="X2472" t="s">
        <v>102</v>
      </c>
      <c r="Y2472" t="s">
        <v>1047</v>
      </c>
      <c r="Z2472" t="s">
        <v>41</v>
      </c>
      <c r="AB2472" t="str">
        <f t="shared" si="114"/>
        <v>46854</v>
      </c>
    </row>
    <row r="2473" ht="14.25" spans="1:28">
      <c r="A2473" s="5" t="s">
        <v>28</v>
      </c>
      <c r="B2473" s="5" t="s">
        <v>697</v>
      </c>
      <c r="C2473" s="5">
        <v>2027</v>
      </c>
      <c r="D2473" s="5" t="s">
        <v>30</v>
      </c>
      <c r="E2473" t="s">
        <v>1585</v>
      </c>
      <c r="F2473" t="s">
        <v>1583</v>
      </c>
      <c r="G2473" t="s">
        <v>100</v>
      </c>
      <c r="H2473" t="s">
        <v>1586</v>
      </c>
      <c r="I2473" t="s">
        <v>119</v>
      </c>
      <c r="J2473" t="s">
        <v>36</v>
      </c>
      <c r="K2473">
        <v>690</v>
      </c>
      <c r="O2473" t="s">
        <v>37</v>
      </c>
      <c r="P2473" t="s">
        <v>42</v>
      </c>
      <c r="U2473" s="9" t="s">
        <v>148</v>
      </c>
      <c r="V2473" t="s">
        <v>184</v>
      </c>
      <c r="W2473" t="s">
        <v>138</v>
      </c>
      <c r="X2473" t="s">
        <v>102</v>
      </c>
      <c r="Y2473" t="s">
        <v>1047</v>
      </c>
      <c r="Z2473" t="s">
        <v>41</v>
      </c>
      <c r="AB2473" t="str">
        <f t="shared" si="114"/>
        <v>46854</v>
      </c>
    </row>
    <row r="2474" ht="14.25" spans="1:28">
      <c r="A2474" s="5" t="s">
        <v>28</v>
      </c>
      <c r="B2474" s="5" t="s">
        <v>697</v>
      </c>
      <c r="C2474" s="5">
        <v>2027</v>
      </c>
      <c r="D2474" s="5" t="s">
        <v>30</v>
      </c>
      <c r="E2474" t="s">
        <v>1585</v>
      </c>
      <c r="F2474" t="s">
        <v>1583</v>
      </c>
      <c r="G2474" t="s">
        <v>100</v>
      </c>
      <c r="H2474" t="s">
        <v>1586</v>
      </c>
      <c r="I2474" t="s">
        <v>119</v>
      </c>
      <c r="J2474" t="s">
        <v>36</v>
      </c>
      <c r="K2474">
        <v>690</v>
      </c>
      <c r="O2474" t="s">
        <v>37</v>
      </c>
      <c r="P2474" t="s">
        <v>43</v>
      </c>
      <c r="U2474" s="9" t="s">
        <v>148</v>
      </c>
      <c r="V2474" t="s">
        <v>184</v>
      </c>
      <c r="W2474" t="s">
        <v>138</v>
      </c>
      <c r="X2474" t="s">
        <v>102</v>
      </c>
      <c r="Y2474" t="s">
        <v>1047</v>
      </c>
      <c r="Z2474" t="s">
        <v>41</v>
      </c>
      <c r="AB2474" t="str">
        <f t="shared" si="114"/>
        <v>46854</v>
      </c>
    </row>
    <row r="2475" ht="14.25" spans="1:28">
      <c r="A2475" s="5" t="s">
        <v>28</v>
      </c>
      <c r="B2475" s="5" t="s">
        <v>697</v>
      </c>
      <c r="C2475" s="5">
        <v>2027</v>
      </c>
      <c r="D2475" s="5" t="s">
        <v>30</v>
      </c>
      <c r="E2475" t="s">
        <v>1585</v>
      </c>
      <c r="F2475" t="s">
        <v>1583</v>
      </c>
      <c r="G2475" t="s">
        <v>100</v>
      </c>
      <c r="H2475" t="s">
        <v>1586</v>
      </c>
      <c r="I2475" t="s">
        <v>119</v>
      </c>
      <c r="J2475" t="s">
        <v>36</v>
      </c>
      <c r="K2475">
        <v>690</v>
      </c>
      <c r="O2475" t="s">
        <v>37</v>
      </c>
      <c r="P2475" t="s">
        <v>44</v>
      </c>
      <c r="U2475" s="9" t="s">
        <v>148</v>
      </c>
      <c r="V2475" t="s">
        <v>184</v>
      </c>
      <c r="W2475" t="s">
        <v>138</v>
      </c>
      <c r="X2475" t="s">
        <v>102</v>
      </c>
      <c r="Y2475" t="s">
        <v>1047</v>
      </c>
      <c r="Z2475" t="s">
        <v>41</v>
      </c>
      <c r="AB2475" t="str">
        <f t="shared" si="114"/>
        <v>46854</v>
      </c>
    </row>
    <row r="2476" ht="14.25" spans="1:28">
      <c r="A2476" s="5" t="s">
        <v>28</v>
      </c>
      <c r="B2476" s="5" t="s">
        <v>697</v>
      </c>
      <c r="C2476" s="5">
        <v>2027</v>
      </c>
      <c r="D2476" s="5" t="s">
        <v>30</v>
      </c>
      <c r="E2476" t="s">
        <v>1585</v>
      </c>
      <c r="F2476" t="s">
        <v>1583</v>
      </c>
      <c r="G2476" t="s">
        <v>100</v>
      </c>
      <c r="H2476" t="s">
        <v>1586</v>
      </c>
      <c r="I2476" t="s">
        <v>119</v>
      </c>
      <c r="J2476" t="s">
        <v>36</v>
      </c>
      <c r="K2476">
        <v>690</v>
      </c>
      <c r="O2476" t="s">
        <v>37</v>
      </c>
      <c r="P2476" t="s">
        <v>45</v>
      </c>
      <c r="U2476" s="9" t="s">
        <v>148</v>
      </c>
      <c r="V2476" t="s">
        <v>184</v>
      </c>
      <c r="W2476" t="s">
        <v>138</v>
      </c>
      <c r="X2476" t="s">
        <v>102</v>
      </c>
      <c r="Y2476" t="s">
        <v>1047</v>
      </c>
      <c r="Z2476" t="s">
        <v>41</v>
      </c>
      <c r="AB2476" t="str">
        <f t="shared" si="114"/>
        <v>46854</v>
      </c>
    </row>
    <row r="2477" ht="14.25" spans="1:28">
      <c r="A2477" s="5" t="s">
        <v>28</v>
      </c>
      <c r="B2477" s="5" t="s">
        <v>697</v>
      </c>
      <c r="C2477" s="5">
        <v>2027</v>
      </c>
      <c r="D2477" s="5" t="s">
        <v>30</v>
      </c>
      <c r="E2477" t="s">
        <v>1585</v>
      </c>
      <c r="F2477" t="s">
        <v>1583</v>
      </c>
      <c r="G2477" t="s">
        <v>100</v>
      </c>
      <c r="H2477" t="s">
        <v>1586</v>
      </c>
      <c r="I2477" t="s">
        <v>119</v>
      </c>
      <c r="J2477" t="s">
        <v>36</v>
      </c>
      <c r="K2477">
        <v>690</v>
      </c>
      <c r="O2477" t="s">
        <v>37</v>
      </c>
      <c r="P2477" t="s">
        <v>46</v>
      </c>
      <c r="U2477" s="9" t="s">
        <v>148</v>
      </c>
      <c r="V2477" t="s">
        <v>184</v>
      </c>
      <c r="W2477" t="s">
        <v>138</v>
      </c>
      <c r="X2477" t="s">
        <v>102</v>
      </c>
      <c r="Y2477" t="s">
        <v>1047</v>
      </c>
      <c r="Z2477" t="s">
        <v>41</v>
      </c>
      <c r="AB2477" t="str">
        <f t="shared" si="114"/>
        <v>46854</v>
      </c>
    </row>
    <row r="2478" ht="14.25" spans="1:28">
      <c r="A2478" s="5" t="s">
        <v>28</v>
      </c>
      <c r="B2478" s="5" t="s">
        <v>697</v>
      </c>
      <c r="C2478" s="5">
        <v>2027</v>
      </c>
      <c r="D2478" s="5" t="s">
        <v>30</v>
      </c>
      <c r="E2478" t="s">
        <v>1587</v>
      </c>
      <c r="F2478" t="s">
        <v>1583</v>
      </c>
      <c r="G2478" t="s">
        <v>60</v>
      </c>
      <c r="H2478" t="s">
        <v>1588</v>
      </c>
      <c r="I2478" t="s">
        <v>119</v>
      </c>
      <c r="J2478" t="s">
        <v>36</v>
      </c>
      <c r="K2478">
        <v>690</v>
      </c>
      <c r="O2478" t="s">
        <v>37</v>
      </c>
      <c r="P2478" t="s">
        <v>38</v>
      </c>
      <c r="R2478">
        <f t="shared" si="115"/>
        <v>0</v>
      </c>
      <c r="S2478">
        <f>SUMIFS([1]Sheet1!$T:$T,[1]Sheet1!$I:$I,E2478,[1]Sheet1!$C:$C,A2478)</f>
        <v>0</v>
      </c>
      <c r="T2478">
        <f t="shared" si="116"/>
        <v>0</v>
      </c>
      <c r="U2478" s="9" t="s">
        <v>148</v>
      </c>
      <c r="V2478" t="s">
        <v>184</v>
      </c>
      <c r="W2478" t="s">
        <v>138</v>
      </c>
      <c r="X2478" t="s">
        <v>62</v>
      </c>
      <c r="Y2478" t="s">
        <v>1047</v>
      </c>
      <c r="Z2478" t="s">
        <v>41</v>
      </c>
      <c r="AB2478" t="str">
        <f t="shared" si="114"/>
        <v>46854</v>
      </c>
    </row>
    <row r="2479" ht="14.25" spans="1:28">
      <c r="A2479" s="5" t="s">
        <v>28</v>
      </c>
      <c r="B2479" s="5" t="s">
        <v>697</v>
      </c>
      <c r="C2479" s="5">
        <v>2027</v>
      </c>
      <c r="D2479" s="5" t="s">
        <v>30</v>
      </c>
      <c r="E2479" t="s">
        <v>1587</v>
      </c>
      <c r="F2479" t="s">
        <v>1583</v>
      </c>
      <c r="G2479" t="s">
        <v>60</v>
      </c>
      <c r="H2479" t="s">
        <v>1588</v>
      </c>
      <c r="I2479" t="s">
        <v>119</v>
      </c>
      <c r="J2479" t="s">
        <v>36</v>
      </c>
      <c r="K2479">
        <v>690</v>
      </c>
      <c r="O2479" t="s">
        <v>37</v>
      </c>
      <c r="P2479" t="s">
        <v>42</v>
      </c>
      <c r="U2479" s="9" t="s">
        <v>148</v>
      </c>
      <c r="V2479" t="s">
        <v>184</v>
      </c>
      <c r="W2479" t="s">
        <v>138</v>
      </c>
      <c r="X2479" t="s">
        <v>62</v>
      </c>
      <c r="Y2479" t="s">
        <v>1047</v>
      </c>
      <c r="Z2479" t="s">
        <v>41</v>
      </c>
      <c r="AB2479" t="str">
        <f t="shared" si="114"/>
        <v>46854</v>
      </c>
    </row>
    <row r="2480" ht="14.25" spans="1:28">
      <c r="A2480" s="5" t="s">
        <v>28</v>
      </c>
      <c r="B2480" s="5" t="s">
        <v>697</v>
      </c>
      <c r="C2480" s="5">
        <v>2027</v>
      </c>
      <c r="D2480" s="5" t="s">
        <v>30</v>
      </c>
      <c r="E2480" t="s">
        <v>1587</v>
      </c>
      <c r="F2480" t="s">
        <v>1583</v>
      </c>
      <c r="G2480" t="s">
        <v>60</v>
      </c>
      <c r="H2480" t="s">
        <v>1588</v>
      </c>
      <c r="I2480" t="s">
        <v>119</v>
      </c>
      <c r="J2480" t="s">
        <v>36</v>
      </c>
      <c r="K2480">
        <v>690</v>
      </c>
      <c r="O2480" t="s">
        <v>37</v>
      </c>
      <c r="P2480" t="s">
        <v>43</v>
      </c>
      <c r="U2480" s="9" t="s">
        <v>148</v>
      </c>
      <c r="V2480" t="s">
        <v>184</v>
      </c>
      <c r="W2480" t="s">
        <v>138</v>
      </c>
      <c r="X2480" t="s">
        <v>62</v>
      </c>
      <c r="Y2480" t="s">
        <v>1047</v>
      </c>
      <c r="Z2480" t="s">
        <v>41</v>
      </c>
      <c r="AB2480" t="str">
        <f t="shared" si="114"/>
        <v>46854</v>
      </c>
    </row>
    <row r="2481" ht="14.25" spans="1:28">
      <c r="A2481" s="5" t="s">
        <v>28</v>
      </c>
      <c r="B2481" s="5" t="s">
        <v>697</v>
      </c>
      <c r="C2481" s="5">
        <v>2027</v>
      </c>
      <c r="D2481" s="5" t="s">
        <v>30</v>
      </c>
      <c r="E2481" t="s">
        <v>1587</v>
      </c>
      <c r="F2481" t="s">
        <v>1583</v>
      </c>
      <c r="G2481" t="s">
        <v>60</v>
      </c>
      <c r="H2481" t="s">
        <v>1588</v>
      </c>
      <c r="I2481" t="s">
        <v>119</v>
      </c>
      <c r="J2481" t="s">
        <v>36</v>
      </c>
      <c r="K2481">
        <v>690</v>
      </c>
      <c r="O2481" t="s">
        <v>37</v>
      </c>
      <c r="P2481" t="s">
        <v>44</v>
      </c>
      <c r="U2481" s="9" t="s">
        <v>148</v>
      </c>
      <c r="V2481" t="s">
        <v>184</v>
      </c>
      <c r="W2481" t="s">
        <v>138</v>
      </c>
      <c r="X2481" t="s">
        <v>62</v>
      </c>
      <c r="Y2481" t="s">
        <v>1047</v>
      </c>
      <c r="Z2481" t="s">
        <v>41</v>
      </c>
      <c r="AB2481" t="str">
        <f t="shared" si="114"/>
        <v>46854</v>
      </c>
    </row>
    <row r="2482" ht="14.25" spans="1:28">
      <c r="A2482" s="5" t="s">
        <v>28</v>
      </c>
      <c r="B2482" s="5" t="s">
        <v>697</v>
      </c>
      <c r="C2482" s="5">
        <v>2027</v>
      </c>
      <c r="D2482" s="5" t="s">
        <v>30</v>
      </c>
      <c r="E2482" t="s">
        <v>1587</v>
      </c>
      <c r="F2482" t="s">
        <v>1583</v>
      </c>
      <c r="G2482" t="s">
        <v>60</v>
      </c>
      <c r="H2482" t="s">
        <v>1588</v>
      </c>
      <c r="I2482" t="s">
        <v>119</v>
      </c>
      <c r="J2482" t="s">
        <v>36</v>
      </c>
      <c r="K2482">
        <v>690</v>
      </c>
      <c r="O2482" t="s">
        <v>37</v>
      </c>
      <c r="P2482" t="s">
        <v>45</v>
      </c>
      <c r="U2482" s="9" t="s">
        <v>148</v>
      </c>
      <c r="V2482" t="s">
        <v>184</v>
      </c>
      <c r="W2482" t="s">
        <v>138</v>
      </c>
      <c r="X2482" t="s">
        <v>62</v>
      </c>
      <c r="Y2482" t="s">
        <v>1047</v>
      </c>
      <c r="Z2482" t="s">
        <v>41</v>
      </c>
      <c r="AB2482" t="str">
        <f t="shared" si="114"/>
        <v>46854</v>
      </c>
    </row>
    <row r="2483" ht="14.25" spans="1:28">
      <c r="A2483" s="5" t="s">
        <v>28</v>
      </c>
      <c r="B2483" s="5" t="s">
        <v>697</v>
      </c>
      <c r="C2483" s="5">
        <v>2027</v>
      </c>
      <c r="D2483" s="5" t="s">
        <v>30</v>
      </c>
      <c r="E2483" t="s">
        <v>1587</v>
      </c>
      <c r="F2483" t="s">
        <v>1583</v>
      </c>
      <c r="G2483" t="s">
        <v>60</v>
      </c>
      <c r="H2483" t="s">
        <v>1588</v>
      </c>
      <c r="I2483" t="s">
        <v>119</v>
      </c>
      <c r="J2483" t="s">
        <v>36</v>
      </c>
      <c r="K2483">
        <v>690</v>
      </c>
      <c r="O2483" t="s">
        <v>37</v>
      </c>
      <c r="P2483" t="s">
        <v>46</v>
      </c>
      <c r="U2483" s="9" t="s">
        <v>148</v>
      </c>
      <c r="V2483" t="s">
        <v>184</v>
      </c>
      <c r="W2483" t="s">
        <v>138</v>
      </c>
      <c r="X2483" t="s">
        <v>62</v>
      </c>
      <c r="Y2483" t="s">
        <v>1047</v>
      </c>
      <c r="Z2483" t="s">
        <v>41</v>
      </c>
      <c r="AB2483" t="str">
        <f t="shared" ref="AB2483:AB2546" si="117">MID(E2483,6,5)</f>
        <v>46854</v>
      </c>
    </row>
    <row r="2484" ht="14.25" spans="1:28">
      <c r="A2484" s="5" t="s">
        <v>28</v>
      </c>
      <c r="B2484" s="5" t="s">
        <v>697</v>
      </c>
      <c r="C2484" s="5">
        <v>2027</v>
      </c>
      <c r="D2484" s="5" t="s">
        <v>30</v>
      </c>
      <c r="E2484" t="s">
        <v>1589</v>
      </c>
      <c r="F2484" t="s">
        <v>1590</v>
      </c>
      <c r="G2484" t="s">
        <v>100</v>
      </c>
      <c r="H2484" t="s">
        <v>1591</v>
      </c>
      <c r="I2484" t="s">
        <v>147</v>
      </c>
      <c r="J2484" t="s">
        <v>74</v>
      </c>
      <c r="K2484">
        <v>1790</v>
      </c>
      <c r="O2484" t="s">
        <v>68</v>
      </c>
      <c r="P2484" t="s">
        <v>69</v>
      </c>
      <c r="R2484">
        <f t="shared" si="115"/>
        <v>0</v>
      </c>
      <c r="S2484">
        <f>SUMIFS([1]Sheet1!$T:$T,[1]Sheet1!$I:$I,E2484,[1]Sheet1!$C:$C,A2484)</f>
        <v>0</v>
      </c>
      <c r="T2484">
        <f t="shared" si="116"/>
        <v>0</v>
      </c>
      <c r="U2484" s="9" t="s">
        <v>136</v>
      </c>
      <c r="V2484" t="s">
        <v>137</v>
      </c>
      <c r="W2484" t="s">
        <v>138</v>
      </c>
      <c r="X2484" t="s">
        <v>102</v>
      </c>
      <c r="Y2484" t="s">
        <v>1592</v>
      </c>
      <c r="Z2484" t="s">
        <v>140</v>
      </c>
      <c r="AA2484" t="s">
        <v>1593</v>
      </c>
      <c r="AB2484" t="str">
        <f t="shared" si="117"/>
        <v>46856</v>
      </c>
    </row>
    <row r="2485" ht="14.25" spans="1:28">
      <c r="A2485" s="5" t="s">
        <v>28</v>
      </c>
      <c r="B2485" s="5" t="s">
        <v>697</v>
      </c>
      <c r="C2485" s="5">
        <v>2027</v>
      </c>
      <c r="D2485" s="5" t="s">
        <v>30</v>
      </c>
      <c r="E2485" t="s">
        <v>1589</v>
      </c>
      <c r="F2485" t="s">
        <v>1590</v>
      </c>
      <c r="G2485" t="s">
        <v>100</v>
      </c>
      <c r="H2485" t="s">
        <v>1591</v>
      </c>
      <c r="I2485" t="s">
        <v>147</v>
      </c>
      <c r="J2485" t="s">
        <v>74</v>
      </c>
      <c r="K2485">
        <v>1790</v>
      </c>
      <c r="O2485" t="s">
        <v>68</v>
      </c>
      <c r="P2485" t="s">
        <v>72</v>
      </c>
      <c r="U2485" s="9" t="s">
        <v>136</v>
      </c>
      <c r="V2485" t="s">
        <v>137</v>
      </c>
      <c r="W2485" t="s">
        <v>138</v>
      </c>
      <c r="X2485" t="s">
        <v>102</v>
      </c>
      <c r="Y2485" t="s">
        <v>1592</v>
      </c>
      <c r="Z2485" t="s">
        <v>140</v>
      </c>
      <c r="AA2485" t="s">
        <v>1593</v>
      </c>
      <c r="AB2485" t="str">
        <f t="shared" si="117"/>
        <v>46856</v>
      </c>
    </row>
    <row r="2486" ht="14.25" spans="1:28">
      <c r="A2486" s="5" t="s">
        <v>28</v>
      </c>
      <c r="B2486" s="5" t="s">
        <v>697</v>
      </c>
      <c r="C2486" s="5">
        <v>2027</v>
      </c>
      <c r="D2486" s="5" t="s">
        <v>30</v>
      </c>
      <c r="E2486" t="s">
        <v>1589</v>
      </c>
      <c r="F2486" t="s">
        <v>1590</v>
      </c>
      <c r="G2486" t="s">
        <v>100</v>
      </c>
      <c r="H2486" t="s">
        <v>1591</v>
      </c>
      <c r="I2486" t="s">
        <v>147</v>
      </c>
      <c r="J2486" t="s">
        <v>74</v>
      </c>
      <c r="K2486">
        <v>1790</v>
      </c>
      <c r="O2486" t="s">
        <v>68</v>
      </c>
      <c r="P2486" t="s">
        <v>73</v>
      </c>
      <c r="U2486" s="9" t="s">
        <v>136</v>
      </c>
      <c r="V2486" t="s">
        <v>137</v>
      </c>
      <c r="W2486" t="s">
        <v>138</v>
      </c>
      <c r="X2486" t="s">
        <v>102</v>
      </c>
      <c r="Y2486" t="s">
        <v>1592</v>
      </c>
      <c r="Z2486" t="s">
        <v>140</v>
      </c>
      <c r="AA2486" t="s">
        <v>1593</v>
      </c>
      <c r="AB2486" t="str">
        <f t="shared" si="117"/>
        <v>46856</v>
      </c>
    </row>
    <row r="2487" ht="14.25" spans="1:28">
      <c r="A2487" s="5" t="s">
        <v>28</v>
      </c>
      <c r="B2487" s="5" t="s">
        <v>697</v>
      </c>
      <c r="C2487" s="5">
        <v>2027</v>
      </c>
      <c r="D2487" s="5" t="s">
        <v>30</v>
      </c>
      <c r="E2487" t="s">
        <v>1589</v>
      </c>
      <c r="F2487" t="s">
        <v>1590</v>
      </c>
      <c r="G2487" t="s">
        <v>100</v>
      </c>
      <c r="H2487" t="s">
        <v>1591</v>
      </c>
      <c r="I2487" t="s">
        <v>147</v>
      </c>
      <c r="J2487" t="s">
        <v>74</v>
      </c>
      <c r="K2487">
        <v>1790</v>
      </c>
      <c r="O2487" t="s">
        <v>68</v>
      </c>
      <c r="P2487" t="s">
        <v>74</v>
      </c>
      <c r="U2487" s="9" t="s">
        <v>136</v>
      </c>
      <c r="V2487" t="s">
        <v>137</v>
      </c>
      <c r="W2487" t="s">
        <v>138</v>
      </c>
      <c r="X2487" t="s">
        <v>102</v>
      </c>
      <c r="Y2487" t="s">
        <v>1592</v>
      </c>
      <c r="Z2487" t="s">
        <v>140</v>
      </c>
      <c r="AA2487" t="s">
        <v>1593</v>
      </c>
      <c r="AB2487" t="str">
        <f t="shared" si="117"/>
        <v>46856</v>
      </c>
    </row>
    <row r="2488" ht="14.25" spans="1:28">
      <c r="A2488" s="5" t="s">
        <v>28</v>
      </c>
      <c r="B2488" s="5" t="s">
        <v>697</v>
      </c>
      <c r="C2488" s="5">
        <v>2027</v>
      </c>
      <c r="D2488" s="5" t="s">
        <v>30</v>
      </c>
      <c r="E2488" t="s">
        <v>1589</v>
      </c>
      <c r="F2488" t="s">
        <v>1590</v>
      </c>
      <c r="G2488" t="s">
        <v>100</v>
      </c>
      <c r="H2488" t="s">
        <v>1591</v>
      </c>
      <c r="I2488" t="s">
        <v>147</v>
      </c>
      <c r="J2488" t="s">
        <v>74</v>
      </c>
      <c r="K2488">
        <v>1790</v>
      </c>
      <c r="O2488" t="s">
        <v>68</v>
      </c>
      <c r="P2488" t="s">
        <v>75</v>
      </c>
      <c r="U2488" s="9" t="s">
        <v>136</v>
      </c>
      <c r="V2488" t="s">
        <v>137</v>
      </c>
      <c r="W2488" t="s">
        <v>138</v>
      </c>
      <c r="X2488" t="s">
        <v>102</v>
      </c>
      <c r="Y2488" t="s">
        <v>1592</v>
      </c>
      <c r="Z2488" t="s">
        <v>140</v>
      </c>
      <c r="AA2488" t="s">
        <v>1593</v>
      </c>
      <c r="AB2488" t="str">
        <f t="shared" si="117"/>
        <v>46856</v>
      </c>
    </row>
    <row r="2489" ht="14.25" spans="1:28">
      <c r="A2489" s="5" t="s">
        <v>28</v>
      </c>
      <c r="B2489" s="5" t="s">
        <v>697</v>
      </c>
      <c r="C2489" s="5">
        <v>2027</v>
      </c>
      <c r="D2489" s="5" t="s">
        <v>30</v>
      </c>
      <c r="E2489" t="s">
        <v>1589</v>
      </c>
      <c r="F2489" t="s">
        <v>1590</v>
      </c>
      <c r="G2489" t="s">
        <v>100</v>
      </c>
      <c r="H2489" t="s">
        <v>1591</v>
      </c>
      <c r="I2489" t="s">
        <v>147</v>
      </c>
      <c r="J2489" t="s">
        <v>74</v>
      </c>
      <c r="K2489">
        <v>1790</v>
      </c>
      <c r="O2489" t="s">
        <v>68</v>
      </c>
      <c r="P2489" t="s">
        <v>76</v>
      </c>
      <c r="U2489" s="9" t="s">
        <v>136</v>
      </c>
      <c r="V2489" t="s">
        <v>137</v>
      </c>
      <c r="W2489" t="s">
        <v>138</v>
      </c>
      <c r="X2489" t="s">
        <v>102</v>
      </c>
      <c r="Y2489" t="s">
        <v>1592</v>
      </c>
      <c r="Z2489" t="s">
        <v>140</v>
      </c>
      <c r="AA2489" t="s">
        <v>1593</v>
      </c>
      <c r="AB2489" t="str">
        <f t="shared" si="117"/>
        <v>46856</v>
      </c>
    </row>
    <row r="2490" ht="14.25" spans="1:28">
      <c r="A2490" s="5" t="s">
        <v>28</v>
      </c>
      <c r="B2490" s="5" t="s">
        <v>697</v>
      </c>
      <c r="C2490" s="5">
        <v>2027</v>
      </c>
      <c r="D2490" s="5" t="s">
        <v>30</v>
      </c>
      <c r="E2490" t="s">
        <v>1589</v>
      </c>
      <c r="F2490" t="s">
        <v>1590</v>
      </c>
      <c r="G2490" t="s">
        <v>100</v>
      </c>
      <c r="H2490" t="s">
        <v>1591</v>
      </c>
      <c r="I2490" t="s">
        <v>147</v>
      </c>
      <c r="J2490" t="s">
        <v>74</v>
      </c>
      <c r="K2490">
        <v>1790</v>
      </c>
      <c r="O2490" t="s">
        <v>68</v>
      </c>
      <c r="P2490" t="s">
        <v>77</v>
      </c>
      <c r="U2490" s="9" t="s">
        <v>136</v>
      </c>
      <c r="V2490" t="s">
        <v>137</v>
      </c>
      <c r="W2490" t="s">
        <v>138</v>
      </c>
      <c r="X2490" t="s">
        <v>102</v>
      </c>
      <c r="Y2490" t="s">
        <v>1592</v>
      </c>
      <c r="Z2490" t="s">
        <v>140</v>
      </c>
      <c r="AA2490" t="s">
        <v>1593</v>
      </c>
      <c r="AB2490" t="str">
        <f t="shared" si="117"/>
        <v>46856</v>
      </c>
    </row>
    <row r="2491" ht="14.25" spans="1:28">
      <c r="A2491" s="5" t="s">
        <v>28</v>
      </c>
      <c r="B2491" s="5" t="s">
        <v>697</v>
      </c>
      <c r="C2491" s="5">
        <v>2027</v>
      </c>
      <c r="D2491" s="5" t="s">
        <v>30</v>
      </c>
      <c r="E2491" t="s">
        <v>1589</v>
      </c>
      <c r="F2491" t="s">
        <v>1590</v>
      </c>
      <c r="G2491" t="s">
        <v>100</v>
      </c>
      <c r="H2491" t="s">
        <v>1591</v>
      </c>
      <c r="I2491" t="s">
        <v>147</v>
      </c>
      <c r="J2491" t="s">
        <v>74</v>
      </c>
      <c r="K2491">
        <v>1790</v>
      </c>
      <c r="O2491" t="s">
        <v>68</v>
      </c>
      <c r="P2491" t="s">
        <v>78</v>
      </c>
      <c r="U2491" s="9" t="s">
        <v>136</v>
      </c>
      <c r="V2491" t="s">
        <v>137</v>
      </c>
      <c r="W2491" t="s">
        <v>138</v>
      </c>
      <c r="X2491" t="s">
        <v>102</v>
      </c>
      <c r="Y2491" t="s">
        <v>1592</v>
      </c>
      <c r="Z2491" t="s">
        <v>140</v>
      </c>
      <c r="AA2491" t="s">
        <v>1593</v>
      </c>
      <c r="AB2491" t="str">
        <f t="shared" si="117"/>
        <v>46856</v>
      </c>
    </row>
    <row r="2492" ht="14.25" spans="1:28">
      <c r="A2492" s="5" t="s">
        <v>28</v>
      </c>
      <c r="B2492" s="5" t="s">
        <v>697</v>
      </c>
      <c r="C2492" s="5">
        <v>2027</v>
      </c>
      <c r="D2492" s="5" t="s">
        <v>30</v>
      </c>
      <c r="E2492" t="s">
        <v>1589</v>
      </c>
      <c r="F2492" t="s">
        <v>1590</v>
      </c>
      <c r="G2492" t="s">
        <v>100</v>
      </c>
      <c r="H2492" t="s">
        <v>1591</v>
      </c>
      <c r="I2492" t="s">
        <v>147</v>
      </c>
      <c r="J2492" t="s">
        <v>74</v>
      </c>
      <c r="K2492">
        <v>1790</v>
      </c>
      <c r="O2492" t="s">
        <v>68</v>
      </c>
      <c r="P2492" t="s">
        <v>79</v>
      </c>
      <c r="U2492" s="9" t="s">
        <v>136</v>
      </c>
      <c r="V2492" t="s">
        <v>137</v>
      </c>
      <c r="W2492" t="s">
        <v>138</v>
      </c>
      <c r="X2492" t="s">
        <v>102</v>
      </c>
      <c r="Y2492" t="s">
        <v>1592</v>
      </c>
      <c r="Z2492" t="s">
        <v>140</v>
      </c>
      <c r="AA2492" t="s">
        <v>1593</v>
      </c>
      <c r="AB2492" t="str">
        <f t="shared" si="117"/>
        <v>46856</v>
      </c>
    </row>
    <row r="2493" ht="14.25" spans="1:28">
      <c r="A2493" s="5" t="s">
        <v>28</v>
      </c>
      <c r="B2493" s="5" t="s">
        <v>697</v>
      </c>
      <c r="C2493" s="5">
        <v>2027</v>
      </c>
      <c r="D2493" s="5" t="s">
        <v>30</v>
      </c>
      <c r="E2493" t="s">
        <v>1594</v>
      </c>
      <c r="F2493" t="s">
        <v>1590</v>
      </c>
      <c r="G2493" t="s">
        <v>1595</v>
      </c>
      <c r="H2493" t="s">
        <v>1596</v>
      </c>
      <c r="I2493" t="s">
        <v>147</v>
      </c>
      <c r="J2493" t="s">
        <v>74</v>
      </c>
      <c r="K2493">
        <v>1790</v>
      </c>
      <c r="O2493" t="s">
        <v>68</v>
      </c>
      <c r="P2493" t="s">
        <v>69</v>
      </c>
      <c r="R2493">
        <f t="shared" si="115"/>
        <v>0</v>
      </c>
      <c r="S2493">
        <f>SUMIFS([1]Sheet1!$T:$T,[1]Sheet1!$I:$I,E2493,[1]Sheet1!$C:$C,A2493)</f>
        <v>0</v>
      </c>
      <c r="T2493">
        <f t="shared" si="116"/>
        <v>0</v>
      </c>
      <c r="U2493" s="9" t="s">
        <v>136</v>
      </c>
      <c r="V2493" t="s">
        <v>137</v>
      </c>
      <c r="W2493" t="s">
        <v>138</v>
      </c>
      <c r="X2493" t="s">
        <v>243</v>
      </c>
      <c r="Y2493" t="s">
        <v>1592</v>
      </c>
      <c r="Z2493" t="s">
        <v>140</v>
      </c>
      <c r="AA2493" t="s">
        <v>1593</v>
      </c>
      <c r="AB2493" t="str">
        <f t="shared" si="117"/>
        <v>46856</v>
      </c>
    </row>
    <row r="2494" ht="14.25" spans="1:28">
      <c r="A2494" s="5" t="s">
        <v>28</v>
      </c>
      <c r="B2494" s="5" t="s">
        <v>697</v>
      </c>
      <c r="C2494" s="5">
        <v>2027</v>
      </c>
      <c r="D2494" s="5" t="s">
        <v>30</v>
      </c>
      <c r="E2494" t="s">
        <v>1594</v>
      </c>
      <c r="F2494" t="s">
        <v>1590</v>
      </c>
      <c r="G2494" t="s">
        <v>1595</v>
      </c>
      <c r="H2494" t="s">
        <v>1596</v>
      </c>
      <c r="I2494" t="s">
        <v>147</v>
      </c>
      <c r="J2494" t="s">
        <v>74</v>
      </c>
      <c r="K2494">
        <v>1790</v>
      </c>
      <c r="O2494" t="s">
        <v>68</v>
      </c>
      <c r="P2494" t="s">
        <v>72</v>
      </c>
      <c r="U2494" s="9" t="s">
        <v>136</v>
      </c>
      <c r="V2494" t="s">
        <v>137</v>
      </c>
      <c r="W2494" t="s">
        <v>138</v>
      </c>
      <c r="X2494" t="s">
        <v>243</v>
      </c>
      <c r="Y2494" t="s">
        <v>1592</v>
      </c>
      <c r="Z2494" t="s">
        <v>140</v>
      </c>
      <c r="AA2494" t="s">
        <v>1593</v>
      </c>
      <c r="AB2494" t="str">
        <f t="shared" si="117"/>
        <v>46856</v>
      </c>
    </row>
    <row r="2495" ht="14.25" spans="1:28">
      <c r="A2495" s="5" t="s">
        <v>28</v>
      </c>
      <c r="B2495" s="5" t="s">
        <v>697</v>
      </c>
      <c r="C2495" s="5">
        <v>2027</v>
      </c>
      <c r="D2495" s="5" t="s">
        <v>30</v>
      </c>
      <c r="E2495" t="s">
        <v>1594</v>
      </c>
      <c r="F2495" t="s">
        <v>1590</v>
      </c>
      <c r="G2495" t="s">
        <v>1595</v>
      </c>
      <c r="H2495" t="s">
        <v>1596</v>
      </c>
      <c r="I2495" t="s">
        <v>147</v>
      </c>
      <c r="J2495" t="s">
        <v>74</v>
      </c>
      <c r="K2495">
        <v>1790</v>
      </c>
      <c r="O2495" t="s">
        <v>68</v>
      </c>
      <c r="P2495" t="s">
        <v>73</v>
      </c>
      <c r="U2495" s="9" t="s">
        <v>136</v>
      </c>
      <c r="V2495" t="s">
        <v>137</v>
      </c>
      <c r="W2495" t="s">
        <v>138</v>
      </c>
      <c r="X2495" t="s">
        <v>243</v>
      </c>
      <c r="Y2495" t="s">
        <v>1592</v>
      </c>
      <c r="Z2495" t="s">
        <v>140</v>
      </c>
      <c r="AA2495" t="s">
        <v>1593</v>
      </c>
      <c r="AB2495" t="str">
        <f t="shared" si="117"/>
        <v>46856</v>
      </c>
    </row>
    <row r="2496" ht="14.25" spans="1:28">
      <c r="A2496" s="5" t="s">
        <v>28</v>
      </c>
      <c r="B2496" s="5" t="s">
        <v>697</v>
      </c>
      <c r="C2496" s="5">
        <v>2027</v>
      </c>
      <c r="D2496" s="5" t="s">
        <v>30</v>
      </c>
      <c r="E2496" t="s">
        <v>1594</v>
      </c>
      <c r="F2496" t="s">
        <v>1590</v>
      </c>
      <c r="G2496" t="s">
        <v>1595</v>
      </c>
      <c r="H2496" t="s">
        <v>1596</v>
      </c>
      <c r="I2496" t="s">
        <v>147</v>
      </c>
      <c r="J2496" t="s">
        <v>74</v>
      </c>
      <c r="K2496">
        <v>1790</v>
      </c>
      <c r="O2496" t="s">
        <v>68</v>
      </c>
      <c r="P2496" t="s">
        <v>74</v>
      </c>
      <c r="U2496" s="9" t="s">
        <v>136</v>
      </c>
      <c r="V2496" t="s">
        <v>137</v>
      </c>
      <c r="W2496" t="s">
        <v>138</v>
      </c>
      <c r="X2496" t="s">
        <v>243</v>
      </c>
      <c r="Y2496" t="s">
        <v>1592</v>
      </c>
      <c r="Z2496" t="s">
        <v>140</v>
      </c>
      <c r="AA2496" t="s">
        <v>1593</v>
      </c>
      <c r="AB2496" t="str">
        <f t="shared" si="117"/>
        <v>46856</v>
      </c>
    </row>
    <row r="2497" ht="14.25" spans="1:28">
      <c r="A2497" s="5" t="s">
        <v>28</v>
      </c>
      <c r="B2497" s="5" t="s">
        <v>697</v>
      </c>
      <c r="C2497" s="5">
        <v>2027</v>
      </c>
      <c r="D2497" s="5" t="s">
        <v>30</v>
      </c>
      <c r="E2497" t="s">
        <v>1594</v>
      </c>
      <c r="F2497" t="s">
        <v>1590</v>
      </c>
      <c r="G2497" t="s">
        <v>1595</v>
      </c>
      <c r="H2497" t="s">
        <v>1596</v>
      </c>
      <c r="I2497" t="s">
        <v>147</v>
      </c>
      <c r="J2497" t="s">
        <v>74</v>
      </c>
      <c r="K2497">
        <v>1790</v>
      </c>
      <c r="O2497" t="s">
        <v>68</v>
      </c>
      <c r="P2497" t="s">
        <v>75</v>
      </c>
      <c r="U2497" s="9" t="s">
        <v>136</v>
      </c>
      <c r="V2497" t="s">
        <v>137</v>
      </c>
      <c r="W2497" t="s">
        <v>138</v>
      </c>
      <c r="X2497" t="s">
        <v>243</v>
      </c>
      <c r="Y2497" t="s">
        <v>1592</v>
      </c>
      <c r="Z2497" t="s">
        <v>140</v>
      </c>
      <c r="AA2497" t="s">
        <v>1593</v>
      </c>
      <c r="AB2497" t="str">
        <f t="shared" si="117"/>
        <v>46856</v>
      </c>
    </row>
    <row r="2498" ht="14.25" spans="1:28">
      <c r="A2498" s="5" t="s">
        <v>28</v>
      </c>
      <c r="B2498" s="5" t="s">
        <v>697</v>
      </c>
      <c r="C2498" s="5">
        <v>2027</v>
      </c>
      <c r="D2498" s="5" t="s">
        <v>30</v>
      </c>
      <c r="E2498" t="s">
        <v>1594</v>
      </c>
      <c r="F2498" t="s">
        <v>1590</v>
      </c>
      <c r="G2498" t="s">
        <v>1595</v>
      </c>
      <c r="H2498" t="s">
        <v>1596</v>
      </c>
      <c r="I2498" t="s">
        <v>147</v>
      </c>
      <c r="J2498" t="s">
        <v>74</v>
      </c>
      <c r="K2498">
        <v>1790</v>
      </c>
      <c r="O2498" t="s">
        <v>68</v>
      </c>
      <c r="P2498" t="s">
        <v>76</v>
      </c>
      <c r="U2498" s="9" t="s">
        <v>136</v>
      </c>
      <c r="V2498" t="s">
        <v>137</v>
      </c>
      <c r="W2498" t="s">
        <v>138</v>
      </c>
      <c r="X2498" t="s">
        <v>243</v>
      </c>
      <c r="Y2498" t="s">
        <v>1592</v>
      </c>
      <c r="Z2498" t="s">
        <v>140</v>
      </c>
      <c r="AA2498" t="s">
        <v>1593</v>
      </c>
      <c r="AB2498" t="str">
        <f t="shared" si="117"/>
        <v>46856</v>
      </c>
    </row>
    <row r="2499" ht="14.25" spans="1:28">
      <c r="A2499" s="5" t="s">
        <v>28</v>
      </c>
      <c r="B2499" s="5" t="s">
        <v>697</v>
      </c>
      <c r="C2499" s="5">
        <v>2027</v>
      </c>
      <c r="D2499" s="5" t="s">
        <v>30</v>
      </c>
      <c r="E2499" t="s">
        <v>1594</v>
      </c>
      <c r="F2499" t="s">
        <v>1590</v>
      </c>
      <c r="G2499" t="s">
        <v>1595</v>
      </c>
      <c r="H2499" t="s">
        <v>1596</v>
      </c>
      <c r="I2499" t="s">
        <v>147</v>
      </c>
      <c r="J2499" t="s">
        <v>74</v>
      </c>
      <c r="K2499">
        <v>1790</v>
      </c>
      <c r="O2499" t="s">
        <v>68</v>
      </c>
      <c r="P2499" t="s">
        <v>77</v>
      </c>
      <c r="U2499" s="9" t="s">
        <v>136</v>
      </c>
      <c r="V2499" t="s">
        <v>137</v>
      </c>
      <c r="W2499" t="s">
        <v>138</v>
      </c>
      <c r="X2499" t="s">
        <v>243</v>
      </c>
      <c r="Y2499" t="s">
        <v>1592</v>
      </c>
      <c r="Z2499" t="s">
        <v>140</v>
      </c>
      <c r="AA2499" t="s">
        <v>1593</v>
      </c>
      <c r="AB2499" t="str">
        <f t="shared" si="117"/>
        <v>46856</v>
      </c>
    </row>
    <row r="2500" ht="14.25" spans="1:28">
      <c r="A2500" s="5" t="s">
        <v>28</v>
      </c>
      <c r="B2500" s="5" t="s">
        <v>697</v>
      </c>
      <c r="C2500" s="5">
        <v>2027</v>
      </c>
      <c r="D2500" s="5" t="s">
        <v>30</v>
      </c>
      <c r="E2500" t="s">
        <v>1594</v>
      </c>
      <c r="F2500" t="s">
        <v>1590</v>
      </c>
      <c r="G2500" t="s">
        <v>1595</v>
      </c>
      <c r="H2500" t="s">
        <v>1596</v>
      </c>
      <c r="I2500" t="s">
        <v>147</v>
      </c>
      <c r="J2500" t="s">
        <v>74</v>
      </c>
      <c r="K2500">
        <v>1790</v>
      </c>
      <c r="O2500" t="s">
        <v>68</v>
      </c>
      <c r="P2500" t="s">
        <v>78</v>
      </c>
      <c r="U2500" s="9" t="s">
        <v>136</v>
      </c>
      <c r="V2500" t="s">
        <v>137</v>
      </c>
      <c r="W2500" t="s">
        <v>138</v>
      </c>
      <c r="X2500" t="s">
        <v>243</v>
      </c>
      <c r="Y2500" t="s">
        <v>1592</v>
      </c>
      <c r="Z2500" t="s">
        <v>140</v>
      </c>
      <c r="AA2500" t="s">
        <v>1593</v>
      </c>
      <c r="AB2500" t="str">
        <f t="shared" si="117"/>
        <v>46856</v>
      </c>
    </row>
    <row r="2501" ht="14.25" spans="1:28">
      <c r="A2501" s="5" t="s">
        <v>28</v>
      </c>
      <c r="B2501" s="5" t="s">
        <v>697</v>
      </c>
      <c r="C2501" s="5">
        <v>2027</v>
      </c>
      <c r="D2501" s="5" t="s">
        <v>30</v>
      </c>
      <c r="E2501" t="s">
        <v>1594</v>
      </c>
      <c r="F2501" t="s">
        <v>1590</v>
      </c>
      <c r="G2501" t="s">
        <v>1595</v>
      </c>
      <c r="H2501" t="s">
        <v>1596</v>
      </c>
      <c r="I2501" t="s">
        <v>147</v>
      </c>
      <c r="J2501" t="s">
        <v>74</v>
      </c>
      <c r="K2501">
        <v>1790</v>
      </c>
      <c r="O2501" t="s">
        <v>68</v>
      </c>
      <c r="P2501" t="s">
        <v>79</v>
      </c>
      <c r="U2501" s="9" t="s">
        <v>136</v>
      </c>
      <c r="V2501" t="s">
        <v>137</v>
      </c>
      <c r="W2501" t="s">
        <v>138</v>
      </c>
      <c r="X2501" t="s">
        <v>243</v>
      </c>
      <c r="Y2501" t="s">
        <v>1592</v>
      </c>
      <c r="Z2501" t="s">
        <v>140</v>
      </c>
      <c r="AA2501" t="s">
        <v>1593</v>
      </c>
      <c r="AB2501" t="str">
        <f t="shared" si="117"/>
        <v>46856</v>
      </c>
    </row>
    <row r="2502" ht="14.25" spans="1:28">
      <c r="A2502" s="5" t="s">
        <v>28</v>
      </c>
      <c r="B2502" s="5" t="s">
        <v>697</v>
      </c>
      <c r="C2502" s="5">
        <v>2027</v>
      </c>
      <c r="D2502" s="5" t="s">
        <v>30</v>
      </c>
      <c r="E2502" t="s">
        <v>1597</v>
      </c>
      <c r="F2502" t="s">
        <v>1590</v>
      </c>
      <c r="G2502" t="s">
        <v>1157</v>
      </c>
      <c r="H2502" t="s">
        <v>1598</v>
      </c>
      <c r="I2502" t="s">
        <v>147</v>
      </c>
      <c r="J2502" t="s">
        <v>74</v>
      </c>
      <c r="K2502">
        <v>1790</v>
      </c>
      <c r="O2502" t="s">
        <v>68</v>
      </c>
      <c r="P2502" t="s">
        <v>69</v>
      </c>
      <c r="R2502">
        <f t="shared" ref="R2498:R2561" si="118">SUMIFS(Q:Q,E:E,E2502)</f>
        <v>0</v>
      </c>
      <c r="S2502">
        <f>SUMIFS([1]Sheet1!$T:$T,[1]Sheet1!$I:$I,E2502,[1]Sheet1!$C:$C,A2502)</f>
        <v>0</v>
      </c>
      <c r="T2502">
        <f t="shared" ref="T2498:T2561" si="119">R2502-S2502</f>
        <v>0</v>
      </c>
      <c r="U2502" s="9" t="s">
        <v>136</v>
      </c>
      <c r="V2502" t="s">
        <v>137</v>
      </c>
      <c r="W2502" t="s">
        <v>138</v>
      </c>
      <c r="X2502" t="s">
        <v>70</v>
      </c>
      <c r="Y2502" t="s">
        <v>1592</v>
      </c>
      <c r="Z2502" t="s">
        <v>140</v>
      </c>
      <c r="AA2502" t="s">
        <v>1593</v>
      </c>
      <c r="AB2502" t="str">
        <f t="shared" si="117"/>
        <v>46856</v>
      </c>
    </row>
    <row r="2503" ht="14.25" spans="1:28">
      <c r="A2503" s="5" t="s">
        <v>28</v>
      </c>
      <c r="B2503" s="5" t="s">
        <v>697</v>
      </c>
      <c r="C2503" s="5">
        <v>2027</v>
      </c>
      <c r="D2503" s="5" t="s">
        <v>30</v>
      </c>
      <c r="E2503" t="s">
        <v>1597</v>
      </c>
      <c r="F2503" t="s">
        <v>1590</v>
      </c>
      <c r="G2503" t="s">
        <v>1157</v>
      </c>
      <c r="H2503" t="s">
        <v>1598</v>
      </c>
      <c r="I2503" t="s">
        <v>147</v>
      </c>
      <c r="J2503" t="s">
        <v>74</v>
      </c>
      <c r="K2503">
        <v>1790</v>
      </c>
      <c r="O2503" t="s">
        <v>68</v>
      </c>
      <c r="P2503" t="s">
        <v>72</v>
      </c>
      <c r="U2503" s="9" t="s">
        <v>136</v>
      </c>
      <c r="V2503" t="s">
        <v>137</v>
      </c>
      <c r="W2503" t="s">
        <v>138</v>
      </c>
      <c r="X2503" t="s">
        <v>70</v>
      </c>
      <c r="Y2503" t="s">
        <v>1592</v>
      </c>
      <c r="Z2503" t="s">
        <v>140</v>
      </c>
      <c r="AA2503" t="s">
        <v>1593</v>
      </c>
      <c r="AB2503" t="str">
        <f t="shared" si="117"/>
        <v>46856</v>
      </c>
    </row>
    <row r="2504" ht="14.25" spans="1:28">
      <c r="A2504" s="5" t="s">
        <v>28</v>
      </c>
      <c r="B2504" s="5" t="s">
        <v>697</v>
      </c>
      <c r="C2504" s="5">
        <v>2027</v>
      </c>
      <c r="D2504" s="5" t="s">
        <v>30</v>
      </c>
      <c r="E2504" t="s">
        <v>1597</v>
      </c>
      <c r="F2504" t="s">
        <v>1590</v>
      </c>
      <c r="G2504" t="s">
        <v>1157</v>
      </c>
      <c r="H2504" t="s">
        <v>1598</v>
      </c>
      <c r="I2504" t="s">
        <v>147</v>
      </c>
      <c r="J2504" t="s">
        <v>74</v>
      </c>
      <c r="K2504">
        <v>1790</v>
      </c>
      <c r="O2504" t="s">
        <v>68</v>
      </c>
      <c r="P2504" t="s">
        <v>73</v>
      </c>
      <c r="U2504" s="9" t="s">
        <v>136</v>
      </c>
      <c r="V2504" t="s">
        <v>137</v>
      </c>
      <c r="W2504" t="s">
        <v>138</v>
      </c>
      <c r="X2504" t="s">
        <v>70</v>
      </c>
      <c r="Y2504" t="s">
        <v>1592</v>
      </c>
      <c r="Z2504" t="s">
        <v>140</v>
      </c>
      <c r="AA2504" t="s">
        <v>1593</v>
      </c>
      <c r="AB2504" t="str">
        <f t="shared" si="117"/>
        <v>46856</v>
      </c>
    </row>
    <row r="2505" ht="14.25" spans="1:28">
      <c r="A2505" s="5" t="s">
        <v>28</v>
      </c>
      <c r="B2505" s="5" t="s">
        <v>697</v>
      </c>
      <c r="C2505" s="5">
        <v>2027</v>
      </c>
      <c r="D2505" s="5" t="s">
        <v>30</v>
      </c>
      <c r="E2505" t="s">
        <v>1597</v>
      </c>
      <c r="F2505" t="s">
        <v>1590</v>
      </c>
      <c r="G2505" t="s">
        <v>1157</v>
      </c>
      <c r="H2505" t="s">
        <v>1598</v>
      </c>
      <c r="I2505" t="s">
        <v>147</v>
      </c>
      <c r="J2505" t="s">
        <v>74</v>
      </c>
      <c r="K2505">
        <v>1790</v>
      </c>
      <c r="O2505" t="s">
        <v>68</v>
      </c>
      <c r="P2505" t="s">
        <v>74</v>
      </c>
      <c r="U2505" s="9" t="s">
        <v>136</v>
      </c>
      <c r="V2505" t="s">
        <v>137</v>
      </c>
      <c r="W2505" t="s">
        <v>138</v>
      </c>
      <c r="X2505" t="s">
        <v>70</v>
      </c>
      <c r="Y2505" t="s">
        <v>1592</v>
      </c>
      <c r="Z2505" t="s">
        <v>140</v>
      </c>
      <c r="AA2505" t="s">
        <v>1593</v>
      </c>
      <c r="AB2505" t="str">
        <f t="shared" si="117"/>
        <v>46856</v>
      </c>
    </row>
    <row r="2506" ht="14.25" spans="1:28">
      <c r="A2506" s="5" t="s">
        <v>28</v>
      </c>
      <c r="B2506" s="5" t="s">
        <v>697</v>
      </c>
      <c r="C2506" s="5">
        <v>2027</v>
      </c>
      <c r="D2506" s="5" t="s">
        <v>30</v>
      </c>
      <c r="E2506" t="s">
        <v>1597</v>
      </c>
      <c r="F2506" t="s">
        <v>1590</v>
      </c>
      <c r="G2506" t="s">
        <v>1157</v>
      </c>
      <c r="H2506" t="s">
        <v>1598</v>
      </c>
      <c r="I2506" t="s">
        <v>147</v>
      </c>
      <c r="J2506" t="s">
        <v>74</v>
      </c>
      <c r="K2506">
        <v>1790</v>
      </c>
      <c r="O2506" t="s">
        <v>68</v>
      </c>
      <c r="P2506" t="s">
        <v>75</v>
      </c>
      <c r="U2506" s="9" t="s">
        <v>136</v>
      </c>
      <c r="V2506" t="s">
        <v>137</v>
      </c>
      <c r="W2506" t="s">
        <v>138</v>
      </c>
      <c r="X2506" t="s">
        <v>70</v>
      </c>
      <c r="Y2506" t="s">
        <v>1592</v>
      </c>
      <c r="Z2506" t="s">
        <v>140</v>
      </c>
      <c r="AA2506" t="s">
        <v>1593</v>
      </c>
      <c r="AB2506" t="str">
        <f t="shared" si="117"/>
        <v>46856</v>
      </c>
    </row>
    <row r="2507" ht="14.25" spans="1:28">
      <c r="A2507" s="5" t="s">
        <v>28</v>
      </c>
      <c r="B2507" s="5" t="s">
        <v>697</v>
      </c>
      <c r="C2507" s="5">
        <v>2027</v>
      </c>
      <c r="D2507" s="5" t="s">
        <v>30</v>
      </c>
      <c r="E2507" t="s">
        <v>1597</v>
      </c>
      <c r="F2507" t="s">
        <v>1590</v>
      </c>
      <c r="G2507" t="s">
        <v>1157</v>
      </c>
      <c r="H2507" t="s">
        <v>1598</v>
      </c>
      <c r="I2507" t="s">
        <v>147</v>
      </c>
      <c r="J2507" t="s">
        <v>74</v>
      </c>
      <c r="K2507">
        <v>1790</v>
      </c>
      <c r="O2507" t="s">
        <v>68</v>
      </c>
      <c r="P2507" t="s">
        <v>76</v>
      </c>
      <c r="U2507" s="9" t="s">
        <v>136</v>
      </c>
      <c r="V2507" t="s">
        <v>137</v>
      </c>
      <c r="W2507" t="s">
        <v>138</v>
      </c>
      <c r="X2507" t="s">
        <v>70</v>
      </c>
      <c r="Y2507" t="s">
        <v>1592</v>
      </c>
      <c r="Z2507" t="s">
        <v>140</v>
      </c>
      <c r="AA2507" t="s">
        <v>1593</v>
      </c>
      <c r="AB2507" t="str">
        <f t="shared" si="117"/>
        <v>46856</v>
      </c>
    </row>
    <row r="2508" ht="14.25" spans="1:28">
      <c r="A2508" s="5" t="s">
        <v>28</v>
      </c>
      <c r="B2508" s="5" t="s">
        <v>697</v>
      </c>
      <c r="C2508" s="5">
        <v>2027</v>
      </c>
      <c r="D2508" s="5" t="s">
        <v>30</v>
      </c>
      <c r="E2508" t="s">
        <v>1597</v>
      </c>
      <c r="F2508" t="s">
        <v>1590</v>
      </c>
      <c r="G2508" t="s">
        <v>1157</v>
      </c>
      <c r="H2508" t="s">
        <v>1598</v>
      </c>
      <c r="I2508" t="s">
        <v>147</v>
      </c>
      <c r="J2508" t="s">
        <v>74</v>
      </c>
      <c r="K2508">
        <v>1790</v>
      </c>
      <c r="O2508" t="s">
        <v>68</v>
      </c>
      <c r="P2508" t="s">
        <v>77</v>
      </c>
      <c r="U2508" s="9" t="s">
        <v>136</v>
      </c>
      <c r="V2508" t="s">
        <v>137</v>
      </c>
      <c r="W2508" t="s">
        <v>138</v>
      </c>
      <c r="X2508" t="s">
        <v>70</v>
      </c>
      <c r="Y2508" t="s">
        <v>1592</v>
      </c>
      <c r="Z2508" t="s">
        <v>140</v>
      </c>
      <c r="AA2508" t="s">
        <v>1593</v>
      </c>
      <c r="AB2508" t="str">
        <f t="shared" si="117"/>
        <v>46856</v>
      </c>
    </row>
    <row r="2509" ht="14.25" spans="1:28">
      <c r="A2509" s="5" t="s">
        <v>28</v>
      </c>
      <c r="B2509" s="5" t="s">
        <v>697</v>
      </c>
      <c r="C2509" s="5">
        <v>2027</v>
      </c>
      <c r="D2509" s="5" t="s">
        <v>30</v>
      </c>
      <c r="E2509" t="s">
        <v>1597</v>
      </c>
      <c r="F2509" t="s">
        <v>1590</v>
      </c>
      <c r="G2509" t="s">
        <v>1157</v>
      </c>
      <c r="H2509" t="s">
        <v>1598</v>
      </c>
      <c r="I2509" t="s">
        <v>147</v>
      </c>
      <c r="J2509" t="s">
        <v>74</v>
      </c>
      <c r="K2509">
        <v>1790</v>
      </c>
      <c r="O2509" t="s">
        <v>68</v>
      </c>
      <c r="P2509" t="s">
        <v>78</v>
      </c>
      <c r="U2509" s="9" t="s">
        <v>136</v>
      </c>
      <c r="V2509" t="s">
        <v>137</v>
      </c>
      <c r="W2509" t="s">
        <v>138</v>
      </c>
      <c r="X2509" t="s">
        <v>70</v>
      </c>
      <c r="Y2509" t="s">
        <v>1592</v>
      </c>
      <c r="Z2509" t="s">
        <v>140</v>
      </c>
      <c r="AA2509" t="s">
        <v>1593</v>
      </c>
      <c r="AB2509" t="str">
        <f t="shared" si="117"/>
        <v>46856</v>
      </c>
    </row>
    <row r="2510" ht="14.25" spans="1:28">
      <c r="A2510" s="5" t="s">
        <v>28</v>
      </c>
      <c r="B2510" s="5" t="s">
        <v>697</v>
      </c>
      <c r="C2510" s="5">
        <v>2027</v>
      </c>
      <c r="D2510" s="5" t="s">
        <v>30</v>
      </c>
      <c r="E2510" t="s">
        <v>1597</v>
      </c>
      <c r="F2510" t="s">
        <v>1590</v>
      </c>
      <c r="G2510" t="s">
        <v>1157</v>
      </c>
      <c r="H2510" t="s">
        <v>1598</v>
      </c>
      <c r="I2510" t="s">
        <v>147</v>
      </c>
      <c r="J2510" t="s">
        <v>74</v>
      </c>
      <c r="K2510">
        <v>1790</v>
      </c>
      <c r="O2510" t="s">
        <v>68</v>
      </c>
      <c r="P2510" t="s">
        <v>79</v>
      </c>
      <c r="U2510" s="9" t="s">
        <v>136</v>
      </c>
      <c r="V2510" t="s">
        <v>137</v>
      </c>
      <c r="W2510" t="s">
        <v>138</v>
      </c>
      <c r="X2510" t="s">
        <v>70</v>
      </c>
      <c r="Y2510" t="s">
        <v>1592</v>
      </c>
      <c r="Z2510" t="s">
        <v>140</v>
      </c>
      <c r="AA2510" t="s">
        <v>1593</v>
      </c>
      <c r="AB2510" t="str">
        <f t="shared" si="117"/>
        <v>46856</v>
      </c>
    </row>
    <row r="2511" ht="14.25" spans="1:28">
      <c r="A2511" s="5" t="s">
        <v>28</v>
      </c>
      <c r="B2511" s="5" t="s">
        <v>697</v>
      </c>
      <c r="C2511" s="5">
        <v>2027</v>
      </c>
      <c r="D2511" s="5" t="s">
        <v>30</v>
      </c>
      <c r="E2511" t="s">
        <v>1599</v>
      </c>
      <c r="F2511" t="s">
        <v>1600</v>
      </c>
      <c r="G2511" t="s">
        <v>100</v>
      </c>
      <c r="H2511" t="s">
        <v>1601</v>
      </c>
      <c r="I2511" t="s">
        <v>147</v>
      </c>
      <c r="J2511" t="s">
        <v>36</v>
      </c>
      <c r="K2511">
        <v>1190</v>
      </c>
      <c r="O2511" t="s">
        <v>37</v>
      </c>
      <c r="P2511" t="s">
        <v>38</v>
      </c>
      <c r="R2511">
        <f t="shared" si="118"/>
        <v>0</v>
      </c>
      <c r="S2511">
        <f>SUMIFS([1]Sheet1!$T:$T,[1]Sheet1!$I:$I,E2511,[1]Sheet1!$C:$C,A2511)</f>
        <v>0</v>
      </c>
      <c r="T2511">
        <f t="shared" si="119"/>
        <v>0</v>
      </c>
      <c r="U2511" s="9" t="s">
        <v>148</v>
      </c>
      <c r="V2511" t="s">
        <v>149</v>
      </c>
      <c r="W2511" t="s">
        <v>138</v>
      </c>
      <c r="X2511" t="s">
        <v>102</v>
      </c>
      <c r="Y2511" t="s">
        <v>1592</v>
      </c>
      <c r="Z2511" t="s">
        <v>41</v>
      </c>
      <c r="AB2511" t="str">
        <f t="shared" si="117"/>
        <v>46857</v>
      </c>
    </row>
    <row r="2512" ht="14.25" spans="1:28">
      <c r="A2512" s="5" t="s">
        <v>28</v>
      </c>
      <c r="B2512" s="5" t="s">
        <v>697</v>
      </c>
      <c r="C2512" s="5">
        <v>2027</v>
      </c>
      <c r="D2512" s="5" t="s">
        <v>30</v>
      </c>
      <c r="E2512" t="s">
        <v>1599</v>
      </c>
      <c r="F2512" t="s">
        <v>1600</v>
      </c>
      <c r="G2512" t="s">
        <v>100</v>
      </c>
      <c r="H2512" t="s">
        <v>1601</v>
      </c>
      <c r="I2512" t="s">
        <v>147</v>
      </c>
      <c r="J2512" t="s">
        <v>36</v>
      </c>
      <c r="K2512">
        <v>1190</v>
      </c>
      <c r="O2512" t="s">
        <v>37</v>
      </c>
      <c r="P2512" t="s">
        <v>42</v>
      </c>
      <c r="U2512" s="9" t="s">
        <v>148</v>
      </c>
      <c r="V2512" t="s">
        <v>149</v>
      </c>
      <c r="W2512" t="s">
        <v>138</v>
      </c>
      <c r="X2512" t="s">
        <v>102</v>
      </c>
      <c r="Y2512" t="s">
        <v>1592</v>
      </c>
      <c r="Z2512" t="s">
        <v>41</v>
      </c>
      <c r="AB2512" t="str">
        <f t="shared" si="117"/>
        <v>46857</v>
      </c>
    </row>
    <row r="2513" ht="14.25" spans="1:28">
      <c r="A2513" s="5" t="s">
        <v>28</v>
      </c>
      <c r="B2513" s="5" t="s">
        <v>697</v>
      </c>
      <c r="C2513" s="5">
        <v>2027</v>
      </c>
      <c r="D2513" s="5" t="s">
        <v>30</v>
      </c>
      <c r="E2513" t="s">
        <v>1599</v>
      </c>
      <c r="F2513" t="s">
        <v>1600</v>
      </c>
      <c r="G2513" t="s">
        <v>100</v>
      </c>
      <c r="H2513" t="s">
        <v>1601</v>
      </c>
      <c r="I2513" t="s">
        <v>147</v>
      </c>
      <c r="J2513" t="s">
        <v>36</v>
      </c>
      <c r="K2513">
        <v>1190</v>
      </c>
      <c r="O2513" t="s">
        <v>37</v>
      </c>
      <c r="P2513" t="s">
        <v>43</v>
      </c>
      <c r="U2513" s="9" t="s">
        <v>148</v>
      </c>
      <c r="V2513" t="s">
        <v>149</v>
      </c>
      <c r="W2513" t="s">
        <v>138</v>
      </c>
      <c r="X2513" t="s">
        <v>102</v>
      </c>
      <c r="Y2513" t="s">
        <v>1592</v>
      </c>
      <c r="Z2513" t="s">
        <v>41</v>
      </c>
      <c r="AB2513" t="str">
        <f t="shared" si="117"/>
        <v>46857</v>
      </c>
    </row>
    <row r="2514" ht="14.25" spans="1:28">
      <c r="A2514" s="5" t="s">
        <v>28</v>
      </c>
      <c r="B2514" s="5" t="s">
        <v>697</v>
      </c>
      <c r="C2514" s="5">
        <v>2027</v>
      </c>
      <c r="D2514" s="5" t="s">
        <v>30</v>
      </c>
      <c r="E2514" t="s">
        <v>1599</v>
      </c>
      <c r="F2514" t="s">
        <v>1600</v>
      </c>
      <c r="G2514" t="s">
        <v>100</v>
      </c>
      <c r="H2514" t="s">
        <v>1601</v>
      </c>
      <c r="I2514" t="s">
        <v>147</v>
      </c>
      <c r="J2514" t="s">
        <v>36</v>
      </c>
      <c r="K2514">
        <v>1190</v>
      </c>
      <c r="O2514" t="s">
        <v>37</v>
      </c>
      <c r="P2514" t="s">
        <v>44</v>
      </c>
      <c r="U2514" s="9" t="s">
        <v>148</v>
      </c>
      <c r="V2514" t="s">
        <v>149</v>
      </c>
      <c r="W2514" t="s">
        <v>138</v>
      </c>
      <c r="X2514" t="s">
        <v>102</v>
      </c>
      <c r="Y2514" t="s">
        <v>1592</v>
      </c>
      <c r="Z2514" t="s">
        <v>41</v>
      </c>
      <c r="AB2514" t="str">
        <f t="shared" si="117"/>
        <v>46857</v>
      </c>
    </row>
    <row r="2515" ht="14.25" spans="1:28">
      <c r="A2515" s="5" t="s">
        <v>28</v>
      </c>
      <c r="B2515" s="5" t="s">
        <v>697</v>
      </c>
      <c r="C2515" s="5">
        <v>2027</v>
      </c>
      <c r="D2515" s="5" t="s">
        <v>30</v>
      </c>
      <c r="E2515" t="s">
        <v>1599</v>
      </c>
      <c r="F2515" t="s">
        <v>1600</v>
      </c>
      <c r="G2515" t="s">
        <v>100</v>
      </c>
      <c r="H2515" t="s">
        <v>1601</v>
      </c>
      <c r="I2515" t="s">
        <v>147</v>
      </c>
      <c r="J2515" t="s">
        <v>36</v>
      </c>
      <c r="K2515">
        <v>1190</v>
      </c>
      <c r="O2515" t="s">
        <v>37</v>
      </c>
      <c r="P2515" t="s">
        <v>45</v>
      </c>
      <c r="U2515" s="9" t="s">
        <v>148</v>
      </c>
      <c r="V2515" t="s">
        <v>149</v>
      </c>
      <c r="W2515" t="s">
        <v>138</v>
      </c>
      <c r="X2515" t="s">
        <v>102</v>
      </c>
      <c r="Y2515" t="s">
        <v>1592</v>
      </c>
      <c r="Z2515" t="s">
        <v>41</v>
      </c>
      <c r="AB2515" t="str">
        <f t="shared" si="117"/>
        <v>46857</v>
      </c>
    </row>
    <row r="2516" ht="14.25" spans="1:28">
      <c r="A2516" s="5" t="s">
        <v>28</v>
      </c>
      <c r="B2516" s="5" t="s">
        <v>697</v>
      </c>
      <c r="C2516" s="5">
        <v>2027</v>
      </c>
      <c r="D2516" s="5" t="s">
        <v>30</v>
      </c>
      <c r="E2516" t="s">
        <v>1599</v>
      </c>
      <c r="F2516" t="s">
        <v>1600</v>
      </c>
      <c r="G2516" t="s">
        <v>100</v>
      </c>
      <c r="H2516" t="s">
        <v>1601</v>
      </c>
      <c r="I2516" t="s">
        <v>147</v>
      </c>
      <c r="J2516" t="s">
        <v>36</v>
      </c>
      <c r="K2516">
        <v>1190</v>
      </c>
      <c r="O2516" t="s">
        <v>37</v>
      </c>
      <c r="P2516" t="s">
        <v>46</v>
      </c>
      <c r="U2516" s="9" t="s">
        <v>148</v>
      </c>
      <c r="V2516" t="s">
        <v>149</v>
      </c>
      <c r="W2516" t="s">
        <v>138</v>
      </c>
      <c r="X2516" t="s">
        <v>102</v>
      </c>
      <c r="Y2516" t="s">
        <v>1592</v>
      </c>
      <c r="Z2516" t="s">
        <v>41</v>
      </c>
      <c r="AB2516" t="str">
        <f t="shared" si="117"/>
        <v>46857</v>
      </c>
    </row>
    <row r="2517" ht="14.25" spans="1:28">
      <c r="A2517" s="5" t="s">
        <v>28</v>
      </c>
      <c r="B2517" s="5" t="s">
        <v>697</v>
      </c>
      <c r="C2517" s="5">
        <v>2027</v>
      </c>
      <c r="D2517" s="5" t="s">
        <v>30</v>
      </c>
      <c r="E2517" t="s">
        <v>1602</v>
      </c>
      <c r="F2517" t="s">
        <v>1600</v>
      </c>
      <c r="G2517" t="s">
        <v>1595</v>
      </c>
      <c r="H2517" t="s">
        <v>1603</v>
      </c>
      <c r="I2517" t="s">
        <v>147</v>
      </c>
      <c r="J2517" t="s">
        <v>36</v>
      </c>
      <c r="K2517">
        <v>1190</v>
      </c>
      <c r="O2517" t="s">
        <v>37</v>
      </c>
      <c r="P2517" t="s">
        <v>38</v>
      </c>
      <c r="R2517">
        <f t="shared" si="118"/>
        <v>0</v>
      </c>
      <c r="S2517">
        <f>SUMIFS([1]Sheet1!$T:$T,[1]Sheet1!$I:$I,E2517,[1]Sheet1!$C:$C,A2517)</f>
        <v>0</v>
      </c>
      <c r="T2517">
        <f t="shared" si="119"/>
        <v>0</v>
      </c>
      <c r="U2517" s="9" t="s">
        <v>148</v>
      </c>
      <c r="V2517" t="s">
        <v>149</v>
      </c>
      <c r="W2517" t="s">
        <v>138</v>
      </c>
      <c r="X2517" t="s">
        <v>243</v>
      </c>
      <c r="Y2517" t="s">
        <v>1592</v>
      </c>
      <c r="Z2517" t="s">
        <v>41</v>
      </c>
      <c r="AB2517" t="str">
        <f t="shared" si="117"/>
        <v>46857</v>
      </c>
    </row>
    <row r="2518" ht="14.25" spans="1:28">
      <c r="A2518" s="5" t="s">
        <v>28</v>
      </c>
      <c r="B2518" s="5" t="s">
        <v>697</v>
      </c>
      <c r="C2518" s="5">
        <v>2027</v>
      </c>
      <c r="D2518" s="5" t="s">
        <v>30</v>
      </c>
      <c r="E2518" t="s">
        <v>1602</v>
      </c>
      <c r="F2518" t="s">
        <v>1600</v>
      </c>
      <c r="G2518" t="s">
        <v>1595</v>
      </c>
      <c r="H2518" t="s">
        <v>1603</v>
      </c>
      <c r="I2518" t="s">
        <v>147</v>
      </c>
      <c r="J2518" t="s">
        <v>36</v>
      </c>
      <c r="K2518">
        <v>1190</v>
      </c>
      <c r="O2518" t="s">
        <v>37</v>
      </c>
      <c r="P2518" t="s">
        <v>42</v>
      </c>
      <c r="U2518" s="9" t="s">
        <v>148</v>
      </c>
      <c r="V2518" t="s">
        <v>149</v>
      </c>
      <c r="W2518" t="s">
        <v>138</v>
      </c>
      <c r="X2518" t="s">
        <v>243</v>
      </c>
      <c r="Y2518" t="s">
        <v>1592</v>
      </c>
      <c r="Z2518" t="s">
        <v>41</v>
      </c>
      <c r="AB2518" t="str">
        <f t="shared" si="117"/>
        <v>46857</v>
      </c>
    </row>
    <row r="2519" ht="14.25" spans="1:28">
      <c r="A2519" s="5" t="s">
        <v>28</v>
      </c>
      <c r="B2519" s="5" t="s">
        <v>697</v>
      </c>
      <c r="C2519" s="5">
        <v>2027</v>
      </c>
      <c r="D2519" s="5" t="s">
        <v>30</v>
      </c>
      <c r="E2519" t="s">
        <v>1602</v>
      </c>
      <c r="F2519" t="s">
        <v>1600</v>
      </c>
      <c r="G2519" t="s">
        <v>1595</v>
      </c>
      <c r="H2519" t="s">
        <v>1603</v>
      </c>
      <c r="I2519" t="s">
        <v>147</v>
      </c>
      <c r="J2519" t="s">
        <v>36</v>
      </c>
      <c r="K2519">
        <v>1190</v>
      </c>
      <c r="O2519" t="s">
        <v>37</v>
      </c>
      <c r="P2519" t="s">
        <v>43</v>
      </c>
      <c r="U2519" s="9" t="s">
        <v>148</v>
      </c>
      <c r="V2519" t="s">
        <v>149</v>
      </c>
      <c r="W2519" t="s">
        <v>138</v>
      </c>
      <c r="X2519" t="s">
        <v>243</v>
      </c>
      <c r="Y2519" t="s">
        <v>1592</v>
      </c>
      <c r="Z2519" t="s">
        <v>41</v>
      </c>
      <c r="AB2519" t="str">
        <f t="shared" si="117"/>
        <v>46857</v>
      </c>
    </row>
    <row r="2520" ht="14.25" spans="1:28">
      <c r="A2520" s="5" t="s">
        <v>28</v>
      </c>
      <c r="B2520" s="5" t="s">
        <v>697</v>
      </c>
      <c r="C2520" s="5">
        <v>2027</v>
      </c>
      <c r="D2520" s="5" t="s">
        <v>30</v>
      </c>
      <c r="E2520" t="s">
        <v>1602</v>
      </c>
      <c r="F2520" t="s">
        <v>1600</v>
      </c>
      <c r="G2520" t="s">
        <v>1595</v>
      </c>
      <c r="H2520" t="s">
        <v>1603</v>
      </c>
      <c r="I2520" t="s">
        <v>147</v>
      </c>
      <c r="J2520" t="s">
        <v>36</v>
      </c>
      <c r="K2520">
        <v>1190</v>
      </c>
      <c r="O2520" t="s">
        <v>37</v>
      </c>
      <c r="P2520" t="s">
        <v>44</v>
      </c>
      <c r="U2520" s="9" t="s">
        <v>148</v>
      </c>
      <c r="V2520" t="s">
        <v>149</v>
      </c>
      <c r="W2520" t="s">
        <v>138</v>
      </c>
      <c r="X2520" t="s">
        <v>243</v>
      </c>
      <c r="Y2520" t="s">
        <v>1592</v>
      </c>
      <c r="Z2520" t="s">
        <v>41</v>
      </c>
      <c r="AB2520" t="str">
        <f t="shared" si="117"/>
        <v>46857</v>
      </c>
    </row>
    <row r="2521" ht="14.25" spans="1:28">
      <c r="A2521" s="5" t="s">
        <v>28</v>
      </c>
      <c r="B2521" s="5" t="s">
        <v>697</v>
      </c>
      <c r="C2521" s="5">
        <v>2027</v>
      </c>
      <c r="D2521" s="5" t="s">
        <v>30</v>
      </c>
      <c r="E2521" t="s">
        <v>1602</v>
      </c>
      <c r="F2521" t="s">
        <v>1600</v>
      </c>
      <c r="G2521" t="s">
        <v>1595</v>
      </c>
      <c r="H2521" t="s">
        <v>1603</v>
      </c>
      <c r="I2521" t="s">
        <v>147</v>
      </c>
      <c r="J2521" t="s">
        <v>36</v>
      </c>
      <c r="K2521">
        <v>1190</v>
      </c>
      <c r="O2521" t="s">
        <v>37</v>
      </c>
      <c r="P2521" t="s">
        <v>45</v>
      </c>
      <c r="U2521" s="9" t="s">
        <v>148</v>
      </c>
      <c r="V2521" t="s">
        <v>149</v>
      </c>
      <c r="W2521" t="s">
        <v>138</v>
      </c>
      <c r="X2521" t="s">
        <v>243</v>
      </c>
      <c r="Y2521" t="s">
        <v>1592</v>
      </c>
      <c r="Z2521" t="s">
        <v>41</v>
      </c>
      <c r="AB2521" t="str">
        <f t="shared" si="117"/>
        <v>46857</v>
      </c>
    </row>
    <row r="2522" ht="14.25" spans="1:28">
      <c r="A2522" s="5" t="s">
        <v>28</v>
      </c>
      <c r="B2522" s="5" t="s">
        <v>697</v>
      </c>
      <c r="C2522" s="5">
        <v>2027</v>
      </c>
      <c r="D2522" s="5" t="s">
        <v>30</v>
      </c>
      <c r="E2522" t="s">
        <v>1602</v>
      </c>
      <c r="F2522" t="s">
        <v>1600</v>
      </c>
      <c r="G2522" t="s">
        <v>1595</v>
      </c>
      <c r="H2522" t="s">
        <v>1603</v>
      </c>
      <c r="I2522" t="s">
        <v>147</v>
      </c>
      <c r="J2522" t="s">
        <v>36</v>
      </c>
      <c r="K2522">
        <v>1190</v>
      </c>
      <c r="O2522" t="s">
        <v>37</v>
      </c>
      <c r="P2522" t="s">
        <v>46</v>
      </c>
      <c r="U2522" s="9" t="s">
        <v>148</v>
      </c>
      <c r="V2522" t="s">
        <v>149</v>
      </c>
      <c r="W2522" t="s">
        <v>138</v>
      </c>
      <c r="X2522" t="s">
        <v>243</v>
      </c>
      <c r="Y2522" t="s">
        <v>1592</v>
      </c>
      <c r="Z2522" t="s">
        <v>41</v>
      </c>
      <c r="AB2522" t="str">
        <f t="shared" si="117"/>
        <v>46857</v>
      </c>
    </row>
    <row r="2523" ht="14.25" spans="1:28">
      <c r="A2523" s="5" t="s">
        <v>28</v>
      </c>
      <c r="B2523" s="5" t="s">
        <v>697</v>
      </c>
      <c r="C2523" s="5">
        <v>2027</v>
      </c>
      <c r="D2523" s="5" t="s">
        <v>30</v>
      </c>
      <c r="E2523" t="s">
        <v>1604</v>
      </c>
      <c r="F2523" t="s">
        <v>1600</v>
      </c>
      <c r="G2523" t="s">
        <v>1157</v>
      </c>
      <c r="H2523" t="s">
        <v>1605</v>
      </c>
      <c r="I2523" t="s">
        <v>147</v>
      </c>
      <c r="J2523" t="s">
        <v>36</v>
      </c>
      <c r="K2523">
        <v>1190</v>
      </c>
      <c r="O2523" t="s">
        <v>37</v>
      </c>
      <c r="P2523" t="s">
        <v>38</v>
      </c>
      <c r="R2523">
        <f t="shared" si="118"/>
        <v>0</v>
      </c>
      <c r="S2523">
        <f>SUMIFS([1]Sheet1!$T:$T,[1]Sheet1!$I:$I,E2523,[1]Sheet1!$C:$C,A2523)</f>
        <v>0</v>
      </c>
      <c r="T2523">
        <f t="shared" si="119"/>
        <v>0</v>
      </c>
      <c r="U2523" s="9" t="s">
        <v>148</v>
      </c>
      <c r="V2523" t="s">
        <v>149</v>
      </c>
      <c r="W2523" t="s">
        <v>138</v>
      </c>
      <c r="X2523" t="s">
        <v>70</v>
      </c>
      <c r="Y2523" t="s">
        <v>1592</v>
      </c>
      <c r="Z2523" t="s">
        <v>41</v>
      </c>
      <c r="AB2523" t="str">
        <f t="shared" si="117"/>
        <v>46857</v>
      </c>
    </row>
    <row r="2524" ht="14.25" spans="1:28">
      <c r="A2524" s="5" t="s">
        <v>28</v>
      </c>
      <c r="B2524" s="5" t="s">
        <v>697</v>
      </c>
      <c r="C2524" s="5">
        <v>2027</v>
      </c>
      <c r="D2524" s="5" t="s">
        <v>30</v>
      </c>
      <c r="E2524" t="s">
        <v>1604</v>
      </c>
      <c r="F2524" t="s">
        <v>1600</v>
      </c>
      <c r="G2524" t="s">
        <v>1157</v>
      </c>
      <c r="H2524" t="s">
        <v>1605</v>
      </c>
      <c r="I2524" t="s">
        <v>147</v>
      </c>
      <c r="J2524" t="s">
        <v>36</v>
      </c>
      <c r="K2524">
        <v>1190</v>
      </c>
      <c r="O2524" t="s">
        <v>37</v>
      </c>
      <c r="P2524" t="s">
        <v>42</v>
      </c>
      <c r="U2524" s="9" t="s">
        <v>148</v>
      </c>
      <c r="V2524" t="s">
        <v>149</v>
      </c>
      <c r="W2524" t="s">
        <v>138</v>
      </c>
      <c r="X2524" t="s">
        <v>70</v>
      </c>
      <c r="Y2524" t="s">
        <v>1592</v>
      </c>
      <c r="Z2524" t="s">
        <v>41</v>
      </c>
      <c r="AB2524" t="str">
        <f t="shared" si="117"/>
        <v>46857</v>
      </c>
    </row>
    <row r="2525" ht="14.25" spans="1:28">
      <c r="A2525" s="5" t="s">
        <v>28</v>
      </c>
      <c r="B2525" s="5" t="s">
        <v>697</v>
      </c>
      <c r="C2525" s="5">
        <v>2027</v>
      </c>
      <c r="D2525" s="5" t="s">
        <v>30</v>
      </c>
      <c r="E2525" t="s">
        <v>1604</v>
      </c>
      <c r="F2525" t="s">
        <v>1600</v>
      </c>
      <c r="G2525" t="s">
        <v>1157</v>
      </c>
      <c r="H2525" t="s">
        <v>1605</v>
      </c>
      <c r="I2525" t="s">
        <v>147</v>
      </c>
      <c r="J2525" t="s">
        <v>36</v>
      </c>
      <c r="K2525">
        <v>1190</v>
      </c>
      <c r="O2525" t="s">
        <v>37</v>
      </c>
      <c r="P2525" t="s">
        <v>43</v>
      </c>
      <c r="U2525" s="9" t="s">
        <v>148</v>
      </c>
      <c r="V2525" t="s">
        <v>149</v>
      </c>
      <c r="W2525" t="s">
        <v>138</v>
      </c>
      <c r="X2525" t="s">
        <v>70</v>
      </c>
      <c r="Y2525" t="s">
        <v>1592</v>
      </c>
      <c r="Z2525" t="s">
        <v>41</v>
      </c>
      <c r="AB2525" t="str">
        <f t="shared" si="117"/>
        <v>46857</v>
      </c>
    </row>
    <row r="2526" ht="14.25" spans="1:28">
      <c r="A2526" s="5" t="s">
        <v>28</v>
      </c>
      <c r="B2526" s="5" t="s">
        <v>697</v>
      </c>
      <c r="C2526" s="5">
        <v>2027</v>
      </c>
      <c r="D2526" s="5" t="s">
        <v>30</v>
      </c>
      <c r="E2526" t="s">
        <v>1604</v>
      </c>
      <c r="F2526" t="s">
        <v>1600</v>
      </c>
      <c r="G2526" t="s">
        <v>1157</v>
      </c>
      <c r="H2526" t="s">
        <v>1605</v>
      </c>
      <c r="I2526" t="s">
        <v>147</v>
      </c>
      <c r="J2526" t="s">
        <v>36</v>
      </c>
      <c r="K2526">
        <v>1190</v>
      </c>
      <c r="O2526" t="s">
        <v>37</v>
      </c>
      <c r="P2526" t="s">
        <v>44</v>
      </c>
      <c r="U2526" s="9" t="s">
        <v>148</v>
      </c>
      <c r="V2526" t="s">
        <v>149</v>
      </c>
      <c r="W2526" t="s">
        <v>138</v>
      </c>
      <c r="X2526" t="s">
        <v>70</v>
      </c>
      <c r="Y2526" t="s">
        <v>1592</v>
      </c>
      <c r="Z2526" t="s">
        <v>41</v>
      </c>
      <c r="AB2526" t="str">
        <f t="shared" si="117"/>
        <v>46857</v>
      </c>
    </row>
    <row r="2527" ht="14.25" spans="1:28">
      <c r="A2527" s="5" t="s">
        <v>28</v>
      </c>
      <c r="B2527" s="5" t="s">
        <v>697</v>
      </c>
      <c r="C2527" s="5">
        <v>2027</v>
      </c>
      <c r="D2527" s="5" t="s">
        <v>30</v>
      </c>
      <c r="E2527" t="s">
        <v>1604</v>
      </c>
      <c r="F2527" t="s">
        <v>1600</v>
      </c>
      <c r="G2527" t="s">
        <v>1157</v>
      </c>
      <c r="H2527" t="s">
        <v>1605</v>
      </c>
      <c r="I2527" t="s">
        <v>147</v>
      </c>
      <c r="J2527" t="s">
        <v>36</v>
      </c>
      <c r="K2527">
        <v>1190</v>
      </c>
      <c r="O2527" t="s">
        <v>37</v>
      </c>
      <c r="P2527" t="s">
        <v>45</v>
      </c>
      <c r="U2527" s="9" t="s">
        <v>148</v>
      </c>
      <c r="V2527" t="s">
        <v>149</v>
      </c>
      <c r="W2527" t="s">
        <v>138</v>
      </c>
      <c r="X2527" t="s">
        <v>70</v>
      </c>
      <c r="Y2527" t="s">
        <v>1592</v>
      </c>
      <c r="Z2527" t="s">
        <v>41</v>
      </c>
      <c r="AB2527" t="str">
        <f t="shared" si="117"/>
        <v>46857</v>
      </c>
    </row>
    <row r="2528" ht="14.25" spans="1:28">
      <c r="A2528" s="5" t="s">
        <v>28</v>
      </c>
      <c r="B2528" s="5" t="s">
        <v>697</v>
      </c>
      <c r="C2528" s="5">
        <v>2027</v>
      </c>
      <c r="D2528" s="5" t="s">
        <v>30</v>
      </c>
      <c r="E2528" t="s">
        <v>1604</v>
      </c>
      <c r="F2528" t="s">
        <v>1600</v>
      </c>
      <c r="G2528" t="s">
        <v>1157</v>
      </c>
      <c r="H2528" t="s">
        <v>1605</v>
      </c>
      <c r="I2528" t="s">
        <v>147</v>
      </c>
      <c r="J2528" t="s">
        <v>36</v>
      </c>
      <c r="K2528">
        <v>1190</v>
      </c>
      <c r="O2528" t="s">
        <v>37</v>
      </c>
      <c r="P2528" t="s">
        <v>46</v>
      </c>
      <c r="U2528" s="9" t="s">
        <v>148</v>
      </c>
      <c r="V2528" t="s">
        <v>149</v>
      </c>
      <c r="W2528" t="s">
        <v>138</v>
      </c>
      <c r="X2528" t="s">
        <v>70</v>
      </c>
      <c r="Y2528" t="s">
        <v>1592</v>
      </c>
      <c r="Z2528" t="s">
        <v>41</v>
      </c>
      <c r="AB2528" t="str">
        <f t="shared" si="117"/>
        <v>46857</v>
      </c>
    </row>
    <row r="2529" ht="14.25" spans="1:28">
      <c r="A2529" s="5" t="s">
        <v>28</v>
      </c>
      <c r="B2529" s="5" t="s">
        <v>697</v>
      </c>
      <c r="C2529" s="5">
        <v>2027</v>
      </c>
      <c r="D2529" s="5" t="s">
        <v>30</v>
      </c>
      <c r="E2529" t="s">
        <v>1606</v>
      </c>
      <c r="F2529" t="s">
        <v>1607</v>
      </c>
      <c r="G2529" t="s">
        <v>100</v>
      </c>
      <c r="H2529" t="s">
        <v>1608</v>
      </c>
      <c r="I2529" t="s">
        <v>147</v>
      </c>
      <c r="J2529" t="s">
        <v>36</v>
      </c>
      <c r="K2529">
        <v>2190</v>
      </c>
      <c r="O2529" t="s">
        <v>37</v>
      </c>
      <c r="P2529" t="s">
        <v>38</v>
      </c>
      <c r="R2529">
        <f t="shared" si="118"/>
        <v>0</v>
      </c>
      <c r="S2529">
        <f>SUMIFS([1]Sheet1!$T:$T,[1]Sheet1!$I:$I,E2529,[1]Sheet1!$C:$C,A2529)</f>
        <v>30</v>
      </c>
      <c r="T2529">
        <f t="shared" si="119"/>
        <v>-30</v>
      </c>
      <c r="U2529" s="9" t="s">
        <v>242</v>
      </c>
      <c r="V2529" t="s">
        <v>242</v>
      </c>
      <c r="W2529" t="s">
        <v>138</v>
      </c>
      <c r="X2529" t="s">
        <v>102</v>
      </c>
      <c r="Y2529" t="s">
        <v>179</v>
      </c>
      <c r="Z2529" t="s">
        <v>41</v>
      </c>
      <c r="AA2529" t="s">
        <v>1505</v>
      </c>
      <c r="AB2529" t="str">
        <f t="shared" si="117"/>
        <v>46858</v>
      </c>
    </row>
    <row r="2530" ht="14.25" spans="1:28">
      <c r="A2530" s="5" t="s">
        <v>28</v>
      </c>
      <c r="B2530" s="5" t="s">
        <v>697</v>
      </c>
      <c r="C2530" s="5">
        <v>2027</v>
      </c>
      <c r="D2530" s="5" t="s">
        <v>30</v>
      </c>
      <c r="E2530" t="s">
        <v>1606</v>
      </c>
      <c r="F2530" t="s">
        <v>1607</v>
      </c>
      <c r="G2530" t="s">
        <v>100</v>
      </c>
      <c r="H2530" t="s">
        <v>1608</v>
      </c>
      <c r="I2530" t="s">
        <v>147</v>
      </c>
      <c r="J2530" t="s">
        <v>36</v>
      </c>
      <c r="K2530">
        <v>2190</v>
      </c>
      <c r="O2530" t="s">
        <v>37</v>
      </c>
      <c r="P2530" t="s">
        <v>42</v>
      </c>
      <c r="U2530" s="9" t="s">
        <v>242</v>
      </c>
      <c r="V2530" t="s">
        <v>242</v>
      </c>
      <c r="W2530" t="s">
        <v>138</v>
      </c>
      <c r="X2530" t="s">
        <v>102</v>
      </c>
      <c r="Y2530" t="s">
        <v>179</v>
      </c>
      <c r="Z2530" t="s">
        <v>41</v>
      </c>
      <c r="AA2530" t="s">
        <v>1505</v>
      </c>
      <c r="AB2530" t="str">
        <f t="shared" si="117"/>
        <v>46858</v>
      </c>
    </row>
    <row r="2531" ht="14.25" spans="1:28">
      <c r="A2531" s="5" t="s">
        <v>28</v>
      </c>
      <c r="B2531" s="5" t="s">
        <v>697</v>
      </c>
      <c r="C2531" s="5">
        <v>2027</v>
      </c>
      <c r="D2531" s="5" t="s">
        <v>30</v>
      </c>
      <c r="E2531" t="s">
        <v>1606</v>
      </c>
      <c r="F2531" t="s">
        <v>1607</v>
      </c>
      <c r="G2531" t="s">
        <v>100</v>
      </c>
      <c r="H2531" t="s">
        <v>1608</v>
      </c>
      <c r="I2531" t="s">
        <v>147</v>
      </c>
      <c r="J2531" t="s">
        <v>36</v>
      </c>
      <c r="K2531">
        <v>2190</v>
      </c>
      <c r="O2531" t="s">
        <v>37</v>
      </c>
      <c r="P2531" t="s">
        <v>43</v>
      </c>
      <c r="U2531" s="9" t="s">
        <v>242</v>
      </c>
      <c r="V2531" t="s">
        <v>242</v>
      </c>
      <c r="W2531" t="s">
        <v>138</v>
      </c>
      <c r="X2531" t="s">
        <v>102</v>
      </c>
      <c r="Y2531" t="s">
        <v>179</v>
      </c>
      <c r="Z2531" t="s">
        <v>41</v>
      </c>
      <c r="AA2531" t="s">
        <v>1505</v>
      </c>
      <c r="AB2531" t="str">
        <f t="shared" si="117"/>
        <v>46858</v>
      </c>
    </row>
    <row r="2532" ht="14.25" spans="1:28">
      <c r="A2532" s="5" t="s">
        <v>28</v>
      </c>
      <c r="B2532" s="5" t="s">
        <v>697</v>
      </c>
      <c r="C2532" s="5">
        <v>2027</v>
      </c>
      <c r="D2532" s="5" t="s">
        <v>30</v>
      </c>
      <c r="E2532" t="s">
        <v>1606</v>
      </c>
      <c r="F2532" t="s">
        <v>1607</v>
      </c>
      <c r="G2532" t="s">
        <v>100</v>
      </c>
      <c r="H2532" t="s">
        <v>1608</v>
      </c>
      <c r="I2532" t="s">
        <v>147</v>
      </c>
      <c r="J2532" t="s">
        <v>36</v>
      </c>
      <c r="K2532">
        <v>2190</v>
      </c>
      <c r="O2532" t="s">
        <v>37</v>
      </c>
      <c r="P2532" t="s">
        <v>44</v>
      </c>
      <c r="U2532" s="9" t="s">
        <v>242</v>
      </c>
      <c r="V2532" t="s">
        <v>242</v>
      </c>
      <c r="W2532" t="s">
        <v>138</v>
      </c>
      <c r="X2532" t="s">
        <v>102</v>
      </c>
      <c r="Y2532" t="s">
        <v>179</v>
      </c>
      <c r="Z2532" t="s">
        <v>41</v>
      </c>
      <c r="AA2532" t="s">
        <v>1505</v>
      </c>
      <c r="AB2532" t="str">
        <f t="shared" si="117"/>
        <v>46858</v>
      </c>
    </row>
    <row r="2533" ht="14.25" spans="1:28">
      <c r="A2533" s="5" t="s">
        <v>28</v>
      </c>
      <c r="B2533" s="5" t="s">
        <v>697</v>
      </c>
      <c r="C2533" s="5">
        <v>2027</v>
      </c>
      <c r="D2533" s="5" t="s">
        <v>30</v>
      </c>
      <c r="E2533" t="s">
        <v>1606</v>
      </c>
      <c r="F2533" t="s">
        <v>1607</v>
      </c>
      <c r="G2533" t="s">
        <v>100</v>
      </c>
      <c r="H2533" t="s">
        <v>1608</v>
      </c>
      <c r="I2533" t="s">
        <v>147</v>
      </c>
      <c r="J2533" t="s">
        <v>36</v>
      </c>
      <c r="K2533">
        <v>2190</v>
      </c>
      <c r="O2533" t="s">
        <v>37</v>
      </c>
      <c r="P2533" t="s">
        <v>45</v>
      </c>
      <c r="U2533" s="9" t="s">
        <v>242</v>
      </c>
      <c r="V2533" t="s">
        <v>242</v>
      </c>
      <c r="W2533" t="s">
        <v>138</v>
      </c>
      <c r="X2533" t="s">
        <v>102</v>
      </c>
      <c r="Y2533" t="s">
        <v>179</v>
      </c>
      <c r="Z2533" t="s">
        <v>41</v>
      </c>
      <c r="AA2533" t="s">
        <v>1505</v>
      </c>
      <c r="AB2533" t="str">
        <f t="shared" si="117"/>
        <v>46858</v>
      </c>
    </row>
    <row r="2534" ht="14.25" spans="1:28">
      <c r="A2534" s="5" t="s">
        <v>28</v>
      </c>
      <c r="B2534" s="5" t="s">
        <v>697</v>
      </c>
      <c r="C2534" s="5">
        <v>2027</v>
      </c>
      <c r="D2534" s="5" t="s">
        <v>30</v>
      </c>
      <c r="E2534" t="s">
        <v>1606</v>
      </c>
      <c r="F2534" t="s">
        <v>1607</v>
      </c>
      <c r="G2534" t="s">
        <v>100</v>
      </c>
      <c r="H2534" t="s">
        <v>1608</v>
      </c>
      <c r="I2534" t="s">
        <v>147</v>
      </c>
      <c r="J2534" t="s">
        <v>36</v>
      </c>
      <c r="K2534">
        <v>2190</v>
      </c>
      <c r="O2534" t="s">
        <v>37</v>
      </c>
      <c r="P2534" t="s">
        <v>46</v>
      </c>
      <c r="U2534" s="9" t="s">
        <v>242</v>
      </c>
      <c r="V2534" t="s">
        <v>242</v>
      </c>
      <c r="W2534" t="s">
        <v>138</v>
      </c>
      <c r="X2534" t="s">
        <v>102</v>
      </c>
      <c r="Y2534" t="s">
        <v>179</v>
      </c>
      <c r="Z2534" t="s">
        <v>41</v>
      </c>
      <c r="AA2534" t="s">
        <v>1505</v>
      </c>
      <c r="AB2534" t="str">
        <f t="shared" si="117"/>
        <v>46858</v>
      </c>
    </row>
    <row r="2535" ht="14.25" spans="1:28">
      <c r="A2535" s="5" t="s">
        <v>28</v>
      </c>
      <c r="B2535" s="5" t="s">
        <v>697</v>
      </c>
      <c r="C2535" s="5">
        <v>2027</v>
      </c>
      <c r="D2535" s="5" t="s">
        <v>30</v>
      </c>
      <c r="E2535" t="s">
        <v>1609</v>
      </c>
      <c r="F2535" t="s">
        <v>1607</v>
      </c>
      <c r="G2535" t="s">
        <v>1595</v>
      </c>
      <c r="H2535" t="s">
        <v>1610</v>
      </c>
      <c r="I2535" t="s">
        <v>147</v>
      </c>
      <c r="J2535" t="s">
        <v>36</v>
      </c>
      <c r="K2535">
        <v>2190</v>
      </c>
      <c r="O2535" t="s">
        <v>37</v>
      </c>
      <c r="P2535" t="s">
        <v>38</v>
      </c>
      <c r="R2535">
        <f t="shared" si="118"/>
        <v>0</v>
      </c>
      <c r="S2535">
        <f>SUMIFS([1]Sheet1!$T:$T,[1]Sheet1!$I:$I,E2535,[1]Sheet1!$C:$C,A2535)</f>
        <v>20</v>
      </c>
      <c r="T2535">
        <f t="shared" si="119"/>
        <v>-20</v>
      </c>
      <c r="U2535" s="9" t="s">
        <v>242</v>
      </c>
      <c r="V2535" t="s">
        <v>242</v>
      </c>
      <c r="W2535" t="s">
        <v>138</v>
      </c>
      <c r="X2535" t="s">
        <v>243</v>
      </c>
      <c r="Y2535" t="s">
        <v>179</v>
      </c>
      <c r="Z2535" t="s">
        <v>41</v>
      </c>
      <c r="AA2535" t="s">
        <v>1505</v>
      </c>
      <c r="AB2535" t="str">
        <f t="shared" si="117"/>
        <v>46858</v>
      </c>
    </row>
    <row r="2536" ht="14.25" spans="1:28">
      <c r="A2536" s="5" t="s">
        <v>28</v>
      </c>
      <c r="B2536" s="5" t="s">
        <v>697</v>
      </c>
      <c r="C2536" s="5">
        <v>2027</v>
      </c>
      <c r="D2536" s="5" t="s">
        <v>30</v>
      </c>
      <c r="E2536" t="s">
        <v>1609</v>
      </c>
      <c r="F2536" t="s">
        <v>1607</v>
      </c>
      <c r="G2536" t="s">
        <v>1595</v>
      </c>
      <c r="H2536" t="s">
        <v>1610</v>
      </c>
      <c r="I2536" t="s">
        <v>147</v>
      </c>
      <c r="J2536" t="s">
        <v>36</v>
      </c>
      <c r="K2536">
        <v>2190</v>
      </c>
      <c r="O2536" t="s">
        <v>37</v>
      </c>
      <c r="P2536" t="s">
        <v>42</v>
      </c>
      <c r="U2536" s="9" t="s">
        <v>242</v>
      </c>
      <c r="V2536" t="s">
        <v>242</v>
      </c>
      <c r="W2536" t="s">
        <v>138</v>
      </c>
      <c r="X2536" t="s">
        <v>243</v>
      </c>
      <c r="Y2536" t="s">
        <v>179</v>
      </c>
      <c r="Z2536" t="s">
        <v>41</v>
      </c>
      <c r="AA2536" t="s">
        <v>1505</v>
      </c>
      <c r="AB2536" t="str">
        <f t="shared" si="117"/>
        <v>46858</v>
      </c>
    </row>
    <row r="2537" ht="14.25" spans="1:28">
      <c r="A2537" s="5" t="s">
        <v>28</v>
      </c>
      <c r="B2537" s="5" t="s">
        <v>697</v>
      </c>
      <c r="C2537" s="5">
        <v>2027</v>
      </c>
      <c r="D2537" s="5" t="s">
        <v>30</v>
      </c>
      <c r="E2537" t="s">
        <v>1609</v>
      </c>
      <c r="F2537" t="s">
        <v>1607</v>
      </c>
      <c r="G2537" t="s">
        <v>1595</v>
      </c>
      <c r="H2537" t="s">
        <v>1610</v>
      </c>
      <c r="I2537" t="s">
        <v>147</v>
      </c>
      <c r="J2537" t="s">
        <v>36</v>
      </c>
      <c r="K2537">
        <v>2190</v>
      </c>
      <c r="O2537" t="s">
        <v>37</v>
      </c>
      <c r="P2537" t="s">
        <v>43</v>
      </c>
      <c r="U2537" s="9" t="s">
        <v>242</v>
      </c>
      <c r="V2537" t="s">
        <v>242</v>
      </c>
      <c r="W2537" t="s">
        <v>138</v>
      </c>
      <c r="X2537" t="s">
        <v>243</v>
      </c>
      <c r="Y2537" t="s">
        <v>179</v>
      </c>
      <c r="Z2537" t="s">
        <v>41</v>
      </c>
      <c r="AA2537" t="s">
        <v>1505</v>
      </c>
      <c r="AB2537" t="str">
        <f t="shared" si="117"/>
        <v>46858</v>
      </c>
    </row>
    <row r="2538" ht="14.25" spans="1:28">
      <c r="A2538" s="5" t="s">
        <v>28</v>
      </c>
      <c r="B2538" s="5" t="s">
        <v>697</v>
      </c>
      <c r="C2538" s="5">
        <v>2027</v>
      </c>
      <c r="D2538" s="5" t="s">
        <v>30</v>
      </c>
      <c r="E2538" t="s">
        <v>1609</v>
      </c>
      <c r="F2538" t="s">
        <v>1607</v>
      </c>
      <c r="G2538" t="s">
        <v>1595</v>
      </c>
      <c r="H2538" t="s">
        <v>1610</v>
      </c>
      <c r="I2538" t="s">
        <v>147</v>
      </c>
      <c r="J2538" t="s">
        <v>36</v>
      </c>
      <c r="K2538">
        <v>2190</v>
      </c>
      <c r="O2538" t="s">
        <v>37</v>
      </c>
      <c r="P2538" t="s">
        <v>44</v>
      </c>
      <c r="U2538" s="9" t="s">
        <v>242</v>
      </c>
      <c r="V2538" t="s">
        <v>242</v>
      </c>
      <c r="W2538" t="s">
        <v>138</v>
      </c>
      <c r="X2538" t="s">
        <v>243</v>
      </c>
      <c r="Y2538" t="s">
        <v>179</v>
      </c>
      <c r="Z2538" t="s">
        <v>41</v>
      </c>
      <c r="AA2538" t="s">
        <v>1505</v>
      </c>
      <c r="AB2538" t="str">
        <f t="shared" si="117"/>
        <v>46858</v>
      </c>
    </row>
    <row r="2539" ht="14.25" spans="1:28">
      <c r="A2539" s="5" t="s">
        <v>28</v>
      </c>
      <c r="B2539" s="5" t="s">
        <v>697</v>
      </c>
      <c r="C2539" s="5">
        <v>2027</v>
      </c>
      <c r="D2539" s="5" t="s">
        <v>30</v>
      </c>
      <c r="E2539" t="s">
        <v>1609</v>
      </c>
      <c r="F2539" t="s">
        <v>1607</v>
      </c>
      <c r="G2539" t="s">
        <v>1595</v>
      </c>
      <c r="H2539" t="s">
        <v>1610</v>
      </c>
      <c r="I2539" t="s">
        <v>147</v>
      </c>
      <c r="J2539" t="s">
        <v>36</v>
      </c>
      <c r="K2539">
        <v>2190</v>
      </c>
      <c r="O2539" t="s">
        <v>37</v>
      </c>
      <c r="P2539" t="s">
        <v>45</v>
      </c>
      <c r="U2539" s="9" t="s">
        <v>242</v>
      </c>
      <c r="V2539" t="s">
        <v>242</v>
      </c>
      <c r="W2539" t="s">
        <v>138</v>
      </c>
      <c r="X2539" t="s">
        <v>243</v>
      </c>
      <c r="Y2539" t="s">
        <v>179</v>
      </c>
      <c r="Z2539" t="s">
        <v>41</v>
      </c>
      <c r="AA2539" t="s">
        <v>1505</v>
      </c>
      <c r="AB2539" t="str">
        <f t="shared" si="117"/>
        <v>46858</v>
      </c>
    </row>
    <row r="2540" ht="14.25" spans="1:28">
      <c r="A2540" s="5" t="s">
        <v>28</v>
      </c>
      <c r="B2540" s="5" t="s">
        <v>697</v>
      </c>
      <c r="C2540" s="5">
        <v>2027</v>
      </c>
      <c r="D2540" s="5" t="s">
        <v>30</v>
      </c>
      <c r="E2540" t="s">
        <v>1609</v>
      </c>
      <c r="F2540" t="s">
        <v>1607</v>
      </c>
      <c r="G2540" t="s">
        <v>1595</v>
      </c>
      <c r="H2540" t="s">
        <v>1610</v>
      </c>
      <c r="I2540" t="s">
        <v>147</v>
      </c>
      <c r="J2540" t="s">
        <v>36</v>
      </c>
      <c r="K2540">
        <v>2190</v>
      </c>
      <c r="O2540" t="s">
        <v>37</v>
      </c>
      <c r="P2540" t="s">
        <v>46</v>
      </c>
      <c r="U2540" s="9" t="s">
        <v>242</v>
      </c>
      <c r="V2540" t="s">
        <v>242</v>
      </c>
      <c r="W2540" t="s">
        <v>138</v>
      </c>
      <c r="X2540" t="s">
        <v>243</v>
      </c>
      <c r="Y2540" t="s">
        <v>179</v>
      </c>
      <c r="Z2540" t="s">
        <v>41</v>
      </c>
      <c r="AA2540" t="s">
        <v>1505</v>
      </c>
      <c r="AB2540" t="str">
        <f t="shared" si="117"/>
        <v>46858</v>
      </c>
    </row>
    <row r="2541" ht="14.25" spans="1:28">
      <c r="A2541" s="5" t="s">
        <v>28</v>
      </c>
      <c r="B2541" s="5" t="s">
        <v>697</v>
      </c>
      <c r="C2541" s="5">
        <v>2027</v>
      </c>
      <c r="D2541" s="5" t="s">
        <v>30</v>
      </c>
      <c r="E2541" t="s">
        <v>1611</v>
      </c>
      <c r="F2541" t="s">
        <v>1612</v>
      </c>
      <c r="G2541" t="s">
        <v>100</v>
      </c>
      <c r="H2541" t="s">
        <v>1613</v>
      </c>
      <c r="I2541" t="s">
        <v>119</v>
      </c>
      <c r="J2541" t="s">
        <v>36</v>
      </c>
      <c r="K2541">
        <v>890</v>
      </c>
      <c r="O2541" t="s">
        <v>37</v>
      </c>
      <c r="P2541" t="s">
        <v>38</v>
      </c>
      <c r="R2541">
        <f t="shared" si="118"/>
        <v>0</v>
      </c>
      <c r="S2541">
        <f>SUMIFS([1]Sheet1!$T:$T,[1]Sheet1!$I:$I,E2541,[1]Sheet1!$C:$C,A2541)</f>
        <v>80</v>
      </c>
      <c r="T2541">
        <f t="shared" si="119"/>
        <v>-80</v>
      </c>
      <c r="U2541" s="9" t="s">
        <v>148</v>
      </c>
      <c r="V2541" t="s">
        <v>184</v>
      </c>
      <c r="W2541" t="s">
        <v>138</v>
      </c>
      <c r="X2541" t="s">
        <v>102</v>
      </c>
      <c r="Y2541" t="s">
        <v>165</v>
      </c>
      <c r="Z2541" t="s">
        <v>41</v>
      </c>
      <c r="AB2541" t="str">
        <f t="shared" si="117"/>
        <v>46859</v>
      </c>
    </row>
    <row r="2542" ht="14.25" spans="1:28">
      <c r="A2542" s="5" t="s">
        <v>28</v>
      </c>
      <c r="B2542" s="5" t="s">
        <v>697</v>
      </c>
      <c r="C2542" s="5">
        <v>2027</v>
      </c>
      <c r="D2542" s="5" t="s">
        <v>30</v>
      </c>
      <c r="E2542" t="s">
        <v>1611</v>
      </c>
      <c r="F2542" t="s">
        <v>1612</v>
      </c>
      <c r="G2542" t="s">
        <v>100</v>
      </c>
      <c r="H2542" t="s">
        <v>1613</v>
      </c>
      <c r="I2542" t="s">
        <v>119</v>
      </c>
      <c r="J2542" t="s">
        <v>36</v>
      </c>
      <c r="K2542">
        <v>890</v>
      </c>
      <c r="O2542" t="s">
        <v>37</v>
      </c>
      <c r="P2542" t="s">
        <v>42</v>
      </c>
      <c r="U2542" s="9" t="s">
        <v>148</v>
      </c>
      <c r="V2542" t="s">
        <v>184</v>
      </c>
      <c r="W2542" t="s">
        <v>138</v>
      </c>
      <c r="X2542" t="s">
        <v>102</v>
      </c>
      <c r="Y2542" t="s">
        <v>165</v>
      </c>
      <c r="Z2542" t="s">
        <v>41</v>
      </c>
      <c r="AB2542" t="str">
        <f t="shared" si="117"/>
        <v>46859</v>
      </c>
    </row>
    <row r="2543" ht="14.25" spans="1:28">
      <c r="A2543" s="5" t="s">
        <v>28</v>
      </c>
      <c r="B2543" s="5" t="s">
        <v>697</v>
      </c>
      <c r="C2543" s="5">
        <v>2027</v>
      </c>
      <c r="D2543" s="5" t="s">
        <v>30</v>
      </c>
      <c r="E2543" t="s">
        <v>1611</v>
      </c>
      <c r="F2543" t="s">
        <v>1612</v>
      </c>
      <c r="G2543" t="s">
        <v>100</v>
      </c>
      <c r="H2543" t="s">
        <v>1613</v>
      </c>
      <c r="I2543" t="s">
        <v>119</v>
      </c>
      <c r="J2543" t="s">
        <v>36</v>
      </c>
      <c r="K2543">
        <v>890</v>
      </c>
      <c r="O2543" t="s">
        <v>37</v>
      </c>
      <c r="P2543" t="s">
        <v>43</v>
      </c>
      <c r="U2543" s="9" t="s">
        <v>148</v>
      </c>
      <c r="V2543" t="s">
        <v>184</v>
      </c>
      <c r="W2543" t="s">
        <v>138</v>
      </c>
      <c r="X2543" t="s">
        <v>102</v>
      </c>
      <c r="Y2543" t="s">
        <v>165</v>
      </c>
      <c r="Z2543" t="s">
        <v>41</v>
      </c>
      <c r="AB2543" t="str">
        <f t="shared" si="117"/>
        <v>46859</v>
      </c>
    </row>
    <row r="2544" ht="14.25" spans="1:28">
      <c r="A2544" s="5" t="s">
        <v>28</v>
      </c>
      <c r="B2544" s="5" t="s">
        <v>697</v>
      </c>
      <c r="C2544" s="5">
        <v>2027</v>
      </c>
      <c r="D2544" s="5" t="s">
        <v>30</v>
      </c>
      <c r="E2544" t="s">
        <v>1611</v>
      </c>
      <c r="F2544" t="s">
        <v>1612</v>
      </c>
      <c r="G2544" t="s">
        <v>100</v>
      </c>
      <c r="H2544" t="s">
        <v>1613</v>
      </c>
      <c r="I2544" t="s">
        <v>119</v>
      </c>
      <c r="J2544" t="s">
        <v>36</v>
      </c>
      <c r="K2544">
        <v>890</v>
      </c>
      <c r="O2544" t="s">
        <v>37</v>
      </c>
      <c r="P2544" t="s">
        <v>44</v>
      </c>
      <c r="U2544" s="9" t="s">
        <v>148</v>
      </c>
      <c r="V2544" t="s">
        <v>184</v>
      </c>
      <c r="W2544" t="s">
        <v>138</v>
      </c>
      <c r="X2544" t="s">
        <v>102</v>
      </c>
      <c r="Y2544" t="s">
        <v>165</v>
      </c>
      <c r="Z2544" t="s">
        <v>41</v>
      </c>
      <c r="AB2544" t="str">
        <f t="shared" si="117"/>
        <v>46859</v>
      </c>
    </row>
    <row r="2545" ht="14.25" spans="1:28">
      <c r="A2545" s="5" t="s">
        <v>28</v>
      </c>
      <c r="B2545" s="5" t="s">
        <v>697</v>
      </c>
      <c r="C2545" s="5">
        <v>2027</v>
      </c>
      <c r="D2545" s="5" t="s">
        <v>30</v>
      </c>
      <c r="E2545" t="s">
        <v>1611</v>
      </c>
      <c r="F2545" t="s">
        <v>1612</v>
      </c>
      <c r="G2545" t="s">
        <v>100</v>
      </c>
      <c r="H2545" t="s">
        <v>1613</v>
      </c>
      <c r="I2545" t="s">
        <v>119</v>
      </c>
      <c r="J2545" t="s">
        <v>36</v>
      </c>
      <c r="K2545">
        <v>890</v>
      </c>
      <c r="O2545" t="s">
        <v>37</v>
      </c>
      <c r="P2545" t="s">
        <v>45</v>
      </c>
      <c r="U2545" s="9" t="s">
        <v>148</v>
      </c>
      <c r="V2545" t="s">
        <v>184</v>
      </c>
      <c r="W2545" t="s">
        <v>138</v>
      </c>
      <c r="X2545" t="s">
        <v>102</v>
      </c>
      <c r="Y2545" t="s">
        <v>165</v>
      </c>
      <c r="Z2545" t="s">
        <v>41</v>
      </c>
      <c r="AB2545" t="str">
        <f t="shared" si="117"/>
        <v>46859</v>
      </c>
    </row>
    <row r="2546" ht="14.25" spans="1:28">
      <c r="A2546" s="5" t="s">
        <v>28</v>
      </c>
      <c r="B2546" s="5" t="s">
        <v>697</v>
      </c>
      <c r="C2546" s="5">
        <v>2027</v>
      </c>
      <c r="D2546" s="5" t="s">
        <v>30</v>
      </c>
      <c r="E2546" t="s">
        <v>1611</v>
      </c>
      <c r="F2546" t="s">
        <v>1612</v>
      </c>
      <c r="G2546" t="s">
        <v>100</v>
      </c>
      <c r="H2546" t="s">
        <v>1613</v>
      </c>
      <c r="I2546" t="s">
        <v>119</v>
      </c>
      <c r="J2546" t="s">
        <v>36</v>
      </c>
      <c r="K2546">
        <v>890</v>
      </c>
      <c r="O2546" t="s">
        <v>37</v>
      </c>
      <c r="P2546" t="s">
        <v>46</v>
      </c>
      <c r="U2546" s="9" t="s">
        <v>148</v>
      </c>
      <c r="V2546" t="s">
        <v>184</v>
      </c>
      <c r="W2546" t="s">
        <v>138</v>
      </c>
      <c r="X2546" t="s">
        <v>102</v>
      </c>
      <c r="Y2546" t="s">
        <v>165</v>
      </c>
      <c r="Z2546" t="s">
        <v>41</v>
      </c>
      <c r="AB2546" t="str">
        <f t="shared" si="117"/>
        <v>46859</v>
      </c>
    </row>
    <row r="2547" ht="14.25" spans="1:28">
      <c r="A2547" s="5" t="s">
        <v>28</v>
      </c>
      <c r="B2547" s="5" t="s">
        <v>697</v>
      </c>
      <c r="C2547" s="5">
        <v>2027</v>
      </c>
      <c r="D2547" s="5" t="s">
        <v>30</v>
      </c>
      <c r="E2547" t="s">
        <v>1614</v>
      </c>
      <c r="F2547" t="s">
        <v>1612</v>
      </c>
      <c r="G2547" t="s">
        <v>1595</v>
      </c>
      <c r="H2547" t="s">
        <v>1615</v>
      </c>
      <c r="I2547" t="s">
        <v>119</v>
      </c>
      <c r="J2547" t="s">
        <v>36</v>
      </c>
      <c r="K2547">
        <v>890</v>
      </c>
      <c r="O2547" t="s">
        <v>37</v>
      </c>
      <c r="P2547" t="s">
        <v>38</v>
      </c>
      <c r="R2547">
        <f t="shared" si="118"/>
        <v>0</v>
      </c>
      <c r="S2547">
        <f>SUMIFS([1]Sheet1!$T:$T,[1]Sheet1!$I:$I,E2547,[1]Sheet1!$C:$C,A2547)</f>
        <v>60</v>
      </c>
      <c r="T2547">
        <f t="shared" si="119"/>
        <v>-60</v>
      </c>
      <c r="U2547" s="9" t="s">
        <v>148</v>
      </c>
      <c r="V2547" t="s">
        <v>184</v>
      </c>
      <c r="W2547" t="s">
        <v>138</v>
      </c>
      <c r="X2547" t="s">
        <v>243</v>
      </c>
      <c r="Y2547" t="s">
        <v>165</v>
      </c>
      <c r="Z2547" t="s">
        <v>41</v>
      </c>
      <c r="AB2547" t="str">
        <f t="shared" ref="AB2547:AB2610" si="120">MID(E2547,6,5)</f>
        <v>46859</v>
      </c>
    </row>
    <row r="2548" ht="14.25" spans="1:28">
      <c r="A2548" s="5" t="s">
        <v>28</v>
      </c>
      <c r="B2548" s="5" t="s">
        <v>697</v>
      </c>
      <c r="C2548" s="5">
        <v>2027</v>
      </c>
      <c r="D2548" s="5" t="s">
        <v>30</v>
      </c>
      <c r="E2548" t="s">
        <v>1614</v>
      </c>
      <c r="F2548" t="s">
        <v>1612</v>
      </c>
      <c r="G2548" t="s">
        <v>1595</v>
      </c>
      <c r="H2548" t="s">
        <v>1615</v>
      </c>
      <c r="I2548" t="s">
        <v>119</v>
      </c>
      <c r="J2548" t="s">
        <v>36</v>
      </c>
      <c r="K2548">
        <v>890</v>
      </c>
      <c r="O2548" t="s">
        <v>37</v>
      </c>
      <c r="P2548" t="s">
        <v>42</v>
      </c>
      <c r="U2548" s="9" t="s">
        <v>148</v>
      </c>
      <c r="V2548" t="s">
        <v>184</v>
      </c>
      <c r="W2548" t="s">
        <v>138</v>
      </c>
      <c r="X2548" t="s">
        <v>243</v>
      </c>
      <c r="Y2548" t="s">
        <v>165</v>
      </c>
      <c r="Z2548" t="s">
        <v>41</v>
      </c>
      <c r="AB2548" t="str">
        <f t="shared" si="120"/>
        <v>46859</v>
      </c>
    </row>
    <row r="2549" ht="14.25" spans="1:28">
      <c r="A2549" s="5" t="s">
        <v>28</v>
      </c>
      <c r="B2549" s="5" t="s">
        <v>697</v>
      </c>
      <c r="C2549" s="5">
        <v>2027</v>
      </c>
      <c r="D2549" s="5" t="s">
        <v>30</v>
      </c>
      <c r="E2549" t="s">
        <v>1614</v>
      </c>
      <c r="F2549" t="s">
        <v>1612</v>
      </c>
      <c r="G2549" t="s">
        <v>1595</v>
      </c>
      <c r="H2549" t="s">
        <v>1615</v>
      </c>
      <c r="I2549" t="s">
        <v>119</v>
      </c>
      <c r="J2549" t="s">
        <v>36</v>
      </c>
      <c r="K2549">
        <v>890</v>
      </c>
      <c r="O2549" t="s">
        <v>37</v>
      </c>
      <c r="P2549" t="s">
        <v>43</v>
      </c>
      <c r="U2549" s="9" t="s">
        <v>148</v>
      </c>
      <c r="V2549" t="s">
        <v>184</v>
      </c>
      <c r="W2549" t="s">
        <v>138</v>
      </c>
      <c r="X2549" t="s">
        <v>243</v>
      </c>
      <c r="Y2549" t="s">
        <v>165</v>
      </c>
      <c r="Z2549" t="s">
        <v>41</v>
      </c>
      <c r="AB2549" t="str">
        <f t="shared" si="120"/>
        <v>46859</v>
      </c>
    </row>
    <row r="2550" ht="14.25" spans="1:28">
      <c r="A2550" s="5" t="s">
        <v>28</v>
      </c>
      <c r="B2550" s="5" t="s">
        <v>697</v>
      </c>
      <c r="C2550" s="5">
        <v>2027</v>
      </c>
      <c r="D2550" s="5" t="s">
        <v>30</v>
      </c>
      <c r="E2550" t="s">
        <v>1614</v>
      </c>
      <c r="F2550" t="s">
        <v>1612</v>
      </c>
      <c r="G2550" t="s">
        <v>1595</v>
      </c>
      <c r="H2550" t="s">
        <v>1615</v>
      </c>
      <c r="I2550" t="s">
        <v>119</v>
      </c>
      <c r="J2550" t="s">
        <v>36</v>
      </c>
      <c r="K2550">
        <v>890</v>
      </c>
      <c r="O2550" t="s">
        <v>37</v>
      </c>
      <c r="P2550" t="s">
        <v>44</v>
      </c>
      <c r="U2550" s="9" t="s">
        <v>148</v>
      </c>
      <c r="V2550" t="s">
        <v>184</v>
      </c>
      <c r="W2550" t="s">
        <v>138</v>
      </c>
      <c r="X2550" t="s">
        <v>243</v>
      </c>
      <c r="Y2550" t="s">
        <v>165</v>
      </c>
      <c r="Z2550" t="s">
        <v>41</v>
      </c>
      <c r="AB2550" t="str">
        <f t="shared" si="120"/>
        <v>46859</v>
      </c>
    </row>
    <row r="2551" ht="14.25" spans="1:28">
      <c r="A2551" s="5" t="s">
        <v>28</v>
      </c>
      <c r="B2551" s="5" t="s">
        <v>697</v>
      </c>
      <c r="C2551" s="5">
        <v>2027</v>
      </c>
      <c r="D2551" s="5" t="s">
        <v>30</v>
      </c>
      <c r="E2551" t="s">
        <v>1614</v>
      </c>
      <c r="F2551" t="s">
        <v>1612</v>
      </c>
      <c r="G2551" t="s">
        <v>1595</v>
      </c>
      <c r="H2551" t="s">
        <v>1615</v>
      </c>
      <c r="I2551" t="s">
        <v>119</v>
      </c>
      <c r="J2551" t="s">
        <v>36</v>
      </c>
      <c r="K2551">
        <v>890</v>
      </c>
      <c r="O2551" t="s">
        <v>37</v>
      </c>
      <c r="P2551" t="s">
        <v>45</v>
      </c>
      <c r="U2551" s="9" t="s">
        <v>148</v>
      </c>
      <c r="V2551" t="s">
        <v>184</v>
      </c>
      <c r="W2551" t="s">
        <v>138</v>
      </c>
      <c r="X2551" t="s">
        <v>243</v>
      </c>
      <c r="Y2551" t="s">
        <v>165</v>
      </c>
      <c r="Z2551" t="s">
        <v>41</v>
      </c>
      <c r="AB2551" t="str">
        <f t="shared" si="120"/>
        <v>46859</v>
      </c>
    </row>
    <row r="2552" ht="14.25" spans="1:28">
      <c r="A2552" s="5" t="s">
        <v>28</v>
      </c>
      <c r="B2552" s="5" t="s">
        <v>697</v>
      </c>
      <c r="C2552" s="5">
        <v>2027</v>
      </c>
      <c r="D2552" s="5" t="s">
        <v>30</v>
      </c>
      <c r="E2552" t="s">
        <v>1614</v>
      </c>
      <c r="F2552" t="s">
        <v>1612</v>
      </c>
      <c r="G2552" t="s">
        <v>1595</v>
      </c>
      <c r="H2552" t="s">
        <v>1615</v>
      </c>
      <c r="I2552" t="s">
        <v>119</v>
      </c>
      <c r="J2552" t="s">
        <v>36</v>
      </c>
      <c r="K2552">
        <v>890</v>
      </c>
      <c r="O2552" t="s">
        <v>37</v>
      </c>
      <c r="P2552" t="s">
        <v>46</v>
      </c>
      <c r="U2552" s="9" t="s">
        <v>148</v>
      </c>
      <c r="V2552" t="s">
        <v>184</v>
      </c>
      <c r="W2552" t="s">
        <v>138</v>
      </c>
      <c r="X2552" t="s">
        <v>243</v>
      </c>
      <c r="Y2552" t="s">
        <v>165</v>
      </c>
      <c r="Z2552" t="s">
        <v>41</v>
      </c>
      <c r="AB2552" t="str">
        <f t="shared" si="120"/>
        <v>46859</v>
      </c>
    </row>
    <row r="2553" ht="14.25" spans="1:28">
      <c r="A2553" s="5" t="s">
        <v>28</v>
      </c>
      <c r="B2553" s="5" t="s">
        <v>697</v>
      </c>
      <c r="C2553" s="5">
        <v>2027</v>
      </c>
      <c r="D2553" s="5" t="s">
        <v>30</v>
      </c>
      <c r="E2553" t="s">
        <v>1616</v>
      </c>
      <c r="F2553" t="s">
        <v>1612</v>
      </c>
      <c r="G2553" t="s">
        <v>60</v>
      </c>
      <c r="H2553" t="s">
        <v>1617</v>
      </c>
      <c r="I2553" t="s">
        <v>119</v>
      </c>
      <c r="J2553" t="s">
        <v>36</v>
      </c>
      <c r="K2553">
        <v>890</v>
      </c>
      <c r="O2553" t="s">
        <v>37</v>
      </c>
      <c r="P2553" t="s">
        <v>38</v>
      </c>
      <c r="R2553">
        <f t="shared" si="118"/>
        <v>0</v>
      </c>
      <c r="S2553">
        <f>SUMIFS([1]Sheet1!$T:$T,[1]Sheet1!$I:$I,E2553,[1]Sheet1!$C:$C,A2553)</f>
        <v>60</v>
      </c>
      <c r="T2553">
        <f t="shared" si="119"/>
        <v>-60</v>
      </c>
      <c r="U2553" s="9" t="s">
        <v>148</v>
      </c>
      <c r="V2553" t="s">
        <v>184</v>
      </c>
      <c r="W2553" t="s">
        <v>138</v>
      </c>
      <c r="X2553" t="s">
        <v>62</v>
      </c>
      <c r="Y2553" t="s">
        <v>165</v>
      </c>
      <c r="Z2553" t="s">
        <v>41</v>
      </c>
      <c r="AB2553" t="str">
        <f t="shared" si="120"/>
        <v>46859</v>
      </c>
    </row>
    <row r="2554" ht="14.25" spans="1:28">
      <c r="A2554" s="5" t="s">
        <v>28</v>
      </c>
      <c r="B2554" s="5" t="s">
        <v>697</v>
      </c>
      <c r="C2554" s="5">
        <v>2027</v>
      </c>
      <c r="D2554" s="5" t="s">
        <v>30</v>
      </c>
      <c r="E2554" t="s">
        <v>1616</v>
      </c>
      <c r="F2554" t="s">
        <v>1612</v>
      </c>
      <c r="G2554" t="s">
        <v>60</v>
      </c>
      <c r="H2554" t="s">
        <v>1617</v>
      </c>
      <c r="I2554" t="s">
        <v>119</v>
      </c>
      <c r="J2554" t="s">
        <v>36</v>
      </c>
      <c r="K2554">
        <v>890</v>
      </c>
      <c r="O2554" t="s">
        <v>37</v>
      </c>
      <c r="P2554" t="s">
        <v>42</v>
      </c>
      <c r="U2554" s="9" t="s">
        <v>148</v>
      </c>
      <c r="V2554" t="s">
        <v>184</v>
      </c>
      <c r="W2554" t="s">
        <v>138</v>
      </c>
      <c r="X2554" t="s">
        <v>62</v>
      </c>
      <c r="Y2554" t="s">
        <v>165</v>
      </c>
      <c r="Z2554" t="s">
        <v>41</v>
      </c>
      <c r="AB2554" t="str">
        <f t="shared" si="120"/>
        <v>46859</v>
      </c>
    </row>
    <row r="2555" ht="14.25" spans="1:28">
      <c r="A2555" s="5" t="s">
        <v>28</v>
      </c>
      <c r="B2555" s="5" t="s">
        <v>697</v>
      </c>
      <c r="C2555" s="5">
        <v>2027</v>
      </c>
      <c r="D2555" s="5" t="s">
        <v>30</v>
      </c>
      <c r="E2555" t="s">
        <v>1616</v>
      </c>
      <c r="F2555" t="s">
        <v>1612</v>
      </c>
      <c r="G2555" t="s">
        <v>60</v>
      </c>
      <c r="H2555" t="s">
        <v>1617</v>
      </c>
      <c r="I2555" t="s">
        <v>119</v>
      </c>
      <c r="J2555" t="s">
        <v>36</v>
      </c>
      <c r="K2555">
        <v>890</v>
      </c>
      <c r="O2555" t="s">
        <v>37</v>
      </c>
      <c r="P2555" t="s">
        <v>43</v>
      </c>
      <c r="U2555" s="9" t="s">
        <v>148</v>
      </c>
      <c r="V2555" t="s">
        <v>184</v>
      </c>
      <c r="W2555" t="s">
        <v>138</v>
      </c>
      <c r="X2555" t="s">
        <v>62</v>
      </c>
      <c r="Y2555" t="s">
        <v>165</v>
      </c>
      <c r="Z2555" t="s">
        <v>41</v>
      </c>
      <c r="AB2555" t="str">
        <f t="shared" si="120"/>
        <v>46859</v>
      </c>
    </row>
    <row r="2556" ht="14.25" spans="1:28">
      <c r="A2556" s="5" t="s">
        <v>28</v>
      </c>
      <c r="B2556" s="5" t="s">
        <v>697</v>
      </c>
      <c r="C2556" s="5">
        <v>2027</v>
      </c>
      <c r="D2556" s="5" t="s">
        <v>30</v>
      </c>
      <c r="E2556" t="s">
        <v>1616</v>
      </c>
      <c r="F2556" t="s">
        <v>1612</v>
      </c>
      <c r="G2556" t="s">
        <v>60</v>
      </c>
      <c r="H2556" t="s">
        <v>1617</v>
      </c>
      <c r="I2556" t="s">
        <v>119</v>
      </c>
      <c r="J2556" t="s">
        <v>36</v>
      </c>
      <c r="K2556">
        <v>890</v>
      </c>
      <c r="O2556" t="s">
        <v>37</v>
      </c>
      <c r="P2556" t="s">
        <v>44</v>
      </c>
      <c r="U2556" s="9" t="s">
        <v>148</v>
      </c>
      <c r="V2556" t="s">
        <v>184</v>
      </c>
      <c r="W2556" t="s">
        <v>138</v>
      </c>
      <c r="X2556" t="s">
        <v>62</v>
      </c>
      <c r="Y2556" t="s">
        <v>165</v>
      </c>
      <c r="Z2556" t="s">
        <v>41</v>
      </c>
      <c r="AB2556" t="str">
        <f t="shared" si="120"/>
        <v>46859</v>
      </c>
    </row>
    <row r="2557" ht="14.25" spans="1:28">
      <c r="A2557" s="5" t="s">
        <v>28</v>
      </c>
      <c r="B2557" s="5" t="s">
        <v>697</v>
      </c>
      <c r="C2557" s="5">
        <v>2027</v>
      </c>
      <c r="D2557" s="5" t="s">
        <v>30</v>
      </c>
      <c r="E2557" t="s">
        <v>1616</v>
      </c>
      <c r="F2557" t="s">
        <v>1612</v>
      </c>
      <c r="G2557" t="s">
        <v>60</v>
      </c>
      <c r="H2557" t="s">
        <v>1617</v>
      </c>
      <c r="I2557" t="s">
        <v>119</v>
      </c>
      <c r="J2557" t="s">
        <v>36</v>
      </c>
      <c r="K2557">
        <v>890</v>
      </c>
      <c r="O2557" t="s">
        <v>37</v>
      </c>
      <c r="P2557" t="s">
        <v>45</v>
      </c>
      <c r="U2557" s="9" t="s">
        <v>148</v>
      </c>
      <c r="V2557" t="s">
        <v>184</v>
      </c>
      <c r="W2557" t="s">
        <v>138</v>
      </c>
      <c r="X2557" t="s">
        <v>62</v>
      </c>
      <c r="Y2557" t="s">
        <v>165</v>
      </c>
      <c r="Z2557" t="s">
        <v>41</v>
      </c>
      <c r="AB2557" t="str">
        <f t="shared" si="120"/>
        <v>46859</v>
      </c>
    </row>
    <row r="2558" ht="14.25" spans="1:28">
      <c r="A2558" s="5" t="s">
        <v>28</v>
      </c>
      <c r="B2558" s="5" t="s">
        <v>697</v>
      </c>
      <c r="C2558" s="5">
        <v>2027</v>
      </c>
      <c r="D2558" s="5" t="s">
        <v>30</v>
      </c>
      <c r="E2558" t="s">
        <v>1616</v>
      </c>
      <c r="F2558" t="s">
        <v>1612</v>
      </c>
      <c r="G2558" t="s">
        <v>60</v>
      </c>
      <c r="H2558" t="s">
        <v>1617</v>
      </c>
      <c r="I2558" t="s">
        <v>119</v>
      </c>
      <c r="J2558" t="s">
        <v>36</v>
      </c>
      <c r="K2558">
        <v>890</v>
      </c>
      <c r="O2558" t="s">
        <v>37</v>
      </c>
      <c r="P2558" t="s">
        <v>46</v>
      </c>
      <c r="U2558" s="9" t="s">
        <v>148</v>
      </c>
      <c r="V2558" t="s">
        <v>184</v>
      </c>
      <c r="W2558" t="s">
        <v>138</v>
      </c>
      <c r="X2558" t="s">
        <v>62</v>
      </c>
      <c r="Y2558" t="s">
        <v>165</v>
      </c>
      <c r="Z2558" t="s">
        <v>41</v>
      </c>
      <c r="AB2558" t="str">
        <f t="shared" si="120"/>
        <v>46859</v>
      </c>
    </row>
    <row r="2559" ht="14.25" spans="1:28">
      <c r="A2559" s="5" t="s">
        <v>28</v>
      </c>
      <c r="B2559" s="5" t="s">
        <v>697</v>
      </c>
      <c r="C2559" s="5">
        <v>2027</v>
      </c>
      <c r="D2559" s="5" t="s">
        <v>30</v>
      </c>
      <c r="E2559" t="s">
        <v>1618</v>
      </c>
      <c r="F2559" t="s">
        <v>1619</v>
      </c>
      <c r="G2559" t="s">
        <v>1620</v>
      </c>
      <c r="H2559" t="s">
        <v>1621</v>
      </c>
      <c r="I2559" t="s">
        <v>119</v>
      </c>
      <c r="J2559" t="s">
        <v>74</v>
      </c>
      <c r="K2559">
        <v>1590</v>
      </c>
      <c r="O2559" t="s">
        <v>68</v>
      </c>
      <c r="P2559" t="s">
        <v>69</v>
      </c>
      <c r="R2559">
        <f t="shared" si="118"/>
        <v>0</v>
      </c>
      <c r="S2559">
        <f>SUMIFS([1]Sheet1!$T:$T,[1]Sheet1!$I:$I,E2559,[1]Sheet1!$C:$C,A2559)</f>
        <v>0</v>
      </c>
      <c r="T2559">
        <f t="shared" si="119"/>
        <v>0</v>
      </c>
      <c r="U2559" s="9" t="s">
        <v>136</v>
      </c>
      <c r="V2559" t="s">
        <v>137</v>
      </c>
      <c r="W2559" t="s">
        <v>138</v>
      </c>
      <c r="Y2559" t="s">
        <v>1622</v>
      </c>
      <c r="Z2559" t="s">
        <v>140</v>
      </c>
      <c r="AB2559" t="str">
        <f t="shared" si="120"/>
        <v>46862</v>
      </c>
    </row>
    <row r="2560" ht="14.25" spans="1:28">
      <c r="A2560" s="5" t="s">
        <v>28</v>
      </c>
      <c r="B2560" s="5" t="s">
        <v>697</v>
      </c>
      <c r="C2560" s="5">
        <v>2027</v>
      </c>
      <c r="D2560" s="5" t="s">
        <v>30</v>
      </c>
      <c r="E2560" t="s">
        <v>1618</v>
      </c>
      <c r="F2560" t="s">
        <v>1619</v>
      </c>
      <c r="G2560" t="s">
        <v>1620</v>
      </c>
      <c r="H2560" t="s">
        <v>1621</v>
      </c>
      <c r="I2560" t="s">
        <v>119</v>
      </c>
      <c r="J2560" t="s">
        <v>74</v>
      </c>
      <c r="K2560">
        <v>1590</v>
      </c>
      <c r="O2560" t="s">
        <v>68</v>
      </c>
      <c r="P2560" t="s">
        <v>72</v>
      </c>
      <c r="U2560" s="9" t="s">
        <v>136</v>
      </c>
      <c r="V2560" t="s">
        <v>137</v>
      </c>
      <c r="W2560" t="s">
        <v>138</v>
      </c>
      <c r="Y2560" t="s">
        <v>1622</v>
      </c>
      <c r="Z2560" t="s">
        <v>140</v>
      </c>
      <c r="AB2560" t="str">
        <f t="shared" si="120"/>
        <v>46862</v>
      </c>
    </row>
    <row r="2561" ht="14.25" spans="1:28">
      <c r="A2561" s="5" t="s">
        <v>28</v>
      </c>
      <c r="B2561" s="5" t="s">
        <v>697</v>
      </c>
      <c r="C2561" s="5">
        <v>2027</v>
      </c>
      <c r="D2561" s="5" t="s">
        <v>30</v>
      </c>
      <c r="E2561" t="s">
        <v>1618</v>
      </c>
      <c r="F2561" t="s">
        <v>1619</v>
      </c>
      <c r="G2561" t="s">
        <v>1620</v>
      </c>
      <c r="H2561" t="s">
        <v>1621</v>
      </c>
      <c r="I2561" t="s">
        <v>119</v>
      </c>
      <c r="J2561" t="s">
        <v>74</v>
      </c>
      <c r="K2561">
        <v>1590</v>
      </c>
      <c r="O2561" t="s">
        <v>68</v>
      </c>
      <c r="P2561" t="s">
        <v>73</v>
      </c>
      <c r="U2561" s="9" t="s">
        <v>136</v>
      </c>
      <c r="V2561" t="s">
        <v>137</v>
      </c>
      <c r="W2561" t="s">
        <v>138</v>
      </c>
      <c r="Y2561" t="s">
        <v>1622</v>
      </c>
      <c r="Z2561" t="s">
        <v>140</v>
      </c>
      <c r="AB2561" t="str">
        <f t="shared" si="120"/>
        <v>46862</v>
      </c>
    </row>
    <row r="2562" ht="14.25" spans="1:28">
      <c r="A2562" s="5" t="s">
        <v>28</v>
      </c>
      <c r="B2562" s="5" t="s">
        <v>697</v>
      </c>
      <c r="C2562" s="5">
        <v>2027</v>
      </c>
      <c r="D2562" s="5" t="s">
        <v>30</v>
      </c>
      <c r="E2562" t="s">
        <v>1618</v>
      </c>
      <c r="F2562" t="s">
        <v>1619</v>
      </c>
      <c r="G2562" t="s">
        <v>1620</v>
      </c>
      <c r="H2562" t="s">
        <v>1621</v>
      </c>
      <c r="I2562" t="s">
        <v>119</v>
      </c>
      <c r="J2562" t="s">
        <v>74</v>
      </c>
      <c r="K2562">
        <v>1590</v>
      </c>
      <c r="O2562" t="s">
        <v>68</v>
      </c>
      <c r="P2562" t="s">
        <v>74</v>
      </c>
      <c r="U2562" s="9" t="s">
        <v>136</v>
      </c>
      <c r="V2562" t="s">
        <v>137</v>
      </c>
      <c r="W2562" t="s">
        <v>138</v>
      </c>
      <c r="Y2562" t="s">
        <v>1622</v>
      </c>
      <c r="Z2562" t="s">
        <v>140</v>
      </c>
      <c r="AB2562" t="str">
        <f t="shared" si="120"/>
        <v>46862</v>
      </c>
    </row>
    <row r="2563" ht="14.25" spans="1:28">
      <c r="A2563" s="5" t="s">
        <v>28</v>
      </c>
      <c r="B2563" s="5" t="s">
        <v>697</v>
      </c>
      <c r="C2563" s="5">
        <v>2027</v>
      </c>
      <c r="D2563" s="5" t="s">
        <v>30</v>
      </c>
      <c r="E2563" t="s">
        <v>1618</v>
      </c>
      <c r="F2563" t="s">
        <v>1619</v>
      </c>
      <c r="G2563" t="s">
        <v>1620</v>
      </c>
      <c r="H2563" t="s">
        <v>1621</v>
      </c>
      <c r="I2563" t="s">
        <v>119</v>
      </c>
      <c r="J2563" t="s">
        <v>74</v>
      </c>
      <c r="K2563">
        <v>1590</v>
      </c>
      <c r="O2563" t="s">
        <v>68</v>
      </c>
      <c r="P2563" t="s">
        <v>75</v>
      </c>
      <c r="U2563" s="9" t="s">
        <v>136</v>
      </c>
      <c r="V2563" t="s">
        <v>137</v>
      </c>
      <c r="W2563" t="s">
        <v>138</v>
      </c>
      <c r="Y2563" t="s">
        <v>1622</v>
      </c>
      <c r="Z2563" t="s">
        <v>140</v>
      </c>
      <c r="AB2563" t="str">
        <f t="shared" si="120"/>
        <v>46862</v>
      </c>
    </row>
    <row r="2564" ht="14.25" spans="1:28">
      <c r="A2564" s="5" t="s">
        <v>28</v>
      </c>
      <c r="B2564" s="5" t="s">
        <v>697</v>
      </c>
      <c r="C2564" s="5">
        <v>2027</v>
      </c>
      <c r="D2564" s="5" t="s">
        <v>30</v>
      </c>
      <c r="E2564" t="s">
        <v>1618</v>
      </c>
      <c r="F2564" t="s">
        <v>1619</v>
      </c>
      <c r="G2564" t="s">
        <v>1620</v>
      </c>
      <c r="H2564" t="s">
        <v>1621</v>
      </c>
      <c r="I2564" t="s">
        <v>119</v>
      </c>
      <c r="J2564" t="s">
        <v>74</v>
      </c>
      <c r="K2564">
        <v>1590</v>
      </c>
      <c r="O2564" t="s">
        <v>68</v>
      </c>
      <c r="P2564" t="s">
        <v>76</v>
      </c>
      <c r="U2564" s="9" t="s">
        <v>136</v>
      </c>
      <c r="V2564" t="s">
        <v>137</v>
      </c>
      <c r="W2564" t="s">
        <v>138</v>
      </c>
      <c r="Y2564" t="s">
        <v>1622</v>
      </c>
      <c r="Z2564" t="s">
        <v>140</v>
      </c>
      <c r="AB2564" t="str">
        <f t="shared" si="120"/>
        <v>46862</v>
      </c>
    </row>
    <row r="2565" ht="14.25" spans="1:28">
      <c r="A2565" s="5" t="s">
        <v>28</v>
      </c>
      <c r="B2565" s="5" t="s">
        <v>697</v>
      </c>
      <c r="C2565" s="5">
        <v>2027</v>
      </c>
      <c r="D2565" s="5" t="s">
        <v>30</v>
      </c>
      <c r="E2565" t="s">
        <v>1618</v>
      </c>
      <c r="F2565" t="s">
        <v>1619</v>
      </c>
      <c r="G2565" t="s">
        <v>1620</v>
      </c>
      <c r="H2565" t="s">
        <v>1621</v>
      </c>
      <c r="I2565" t="s">
        <v>119</v>
      </c>
      <c r="J2565" t="s">
        <v>74</v>
      </c>
      <c r="K2565">
        <v>1590</v>
      </c>
      <c r="O2565" t="s">
        <v>68</v>
      </c>
      <c r="P2565" t="s">
        <v>77</v>
      </c>
      <c r="U2565" s="9" t="s">
        <v>136</v>
      </c>
      <c r="V2565" t="s">
        <v>137</v>
      </c>
      <c r="W2565" t="s">
        <v>138</v>
      </c>
      <c r="Y2565" t="s">
        <v>1622</v>
      </c>
      <c r="Z2565" t="s">
        <v>140</v>
      </c>
      <c r="AB2565" t="str">
        <f t="shared" si="120"/>
        <v>46862</v>
      </c>
    </row>
    <row r="2566" ht="14.25" spans="1:28">
      <c r="A2566" s="5" t="s">
        <v>28</v>
      </c>
      <c r="B2566" s="5" t="s">
        <v>697</v>
      </c>
      <c r="C2566" s="5">
        <v>2027</v>
      </c>
      <c r="D2566" s="5" t="s">
        <v>30</v>
      </c>
      <c r="E2566" t="s">
        <v>1618</v>
      </c>
      <c r="F2566" t="s">
        <v>1619</v>
      </c>
      <c r="G2566" t="s">
        <v>1620</v>
      </c>
      <c r="H2566" t="s">
        <v>1621</v>
      </c>
      <c r="I2566" t="s">
        <v>119</v>
      </c>
      <c r="J2566" t="s">
        <v>74</v>
      </c>
      <c r="K2566">
        <v>1590</v>
      </c>
      <c r="O2566" t="s">
        <v>68</v>
      </c>
      <c r="P2566" t="s">
        <v>78</v>
      </c>
      <c r="U2566" s="9" t="s">
        <v>136</v>
      </c>
      <c r="V2566" t="s">
        <v>137</v>
      </c>
      <c r="W2566" t="s">
        <v>138</v>
      </c>
      <c r="Y2566" t="s">
        <v>1622</v>
      </c>
      <c r="Z2566" t="s">
        <v>140</v>
      </c>
      <c r="AB2566" t="str">
        <f t="shared" si="120"/>
        <v>46862</v>
      </c>
    </row>
    <row r="2567" ht="14.25" spans="1:28">
      <c r="A2567" s="5" t="s">
        <v>28</v>
      </c>
      <c r="B2567" s="5" t="s">
        <v>697</v>
      </c>
      <c r="C2567" s="5">
        <v>2027</v>
      </c>
      <c r="D2567" s="5" t="s">
        <v>30</v>
      </c>
      <c r="E2567" t="s">
        <v>1618</v>
      </c>
      <c r="F2567" t="s">
        <v>1619</v>
      </c>
      <c r="G2567" t="s">
        <v>1620</v>
      </c>
      <c r="H2567" t="s">
        <v>1621</v>
      </c>
      <c r="I2567" t="s">
        <v>119</v>
      </c>
      <c r="J2567" t="s">
        <v>74</v>
      </c>
      <c r="K2567">
        <v>1590</v>
      </c>
      <c r="O2567" t="s">
        <v>68</v>
      </c>
      <c r="P2567" t="s">
        <v>79</v>
      </c>
      <c r="U2567" s="9" t="s">
        <v>136</v>
      </c>
      <c r="V2567" t="s">
        <v>137</v>
      </c>
      <c r="W2567" t="s">
        <v>138</v>
      </c>
      <c r="Y2567" t="s">
        <v>1622</v>
      </c>
      <c r="Z2567" t="s">
        <v>140</v>
      </c>
      <c r="AB2567" t="str">
        <f t="shared" si="120"/>
        <v>46862</v>
      </c>
    </row>
    <row r="2568" ht="14.25" spans="1:28">
      <c r="A2568" s="5" t="s">
        <v>28</v>
      </c>
      <c r="B2568" s="5" t="s">
        <v>697</v>
      </c>
      <c r="C2568" s="5">
        <v>2027</v>
      </c>
      <c r="D2568" s="5" t="s">
        <v>30</v>
      </c>
      <c r="E2568" t="s">
        <v>1623</v>
      </c>
      <c r="F2568" t="s">
        <v>1619</v>
      </c>
      <c r="G2568" t="s">
        <v>1624</v>
      </c>
      <c r="H2568" t="s">
        <v>1625</v>
      </c>
      <c r="I2568" t="s">
        <v>119</v>
      </c>
      <c r="J2568" t="s">
        <v>74</v>
      </c>
      <c r="K2568">
        <v>1590</v>
      </c>
      <c r="O2568" t="s">
        <v>68</v>
      </c>
      <c r="P2568" t="s">
        <v>69</v>
      </c>
      <c r="R2568">
        <f t="shared" ref="R2562:R2625" si="121">SUMIFS(Q:Q,E:E,E2568)</f>
        <v>0</v>
      </c>
      <c r="S2568">
        <f>SUMIFS([1]Sheet1!$T:$T,[1]Sheet1!$I:$I,E2568,[1]Sheet1!$C:$C,A2568)</f>
        <v>150</v>
      </c>
      <c r="T2568">
        <f t="shared" ref="T2562:T2625" si="122">R2568-S2568</f>
        <v>-150</v>
      </c>
      <c r="U2568" s="9" t="s">
        <v>136</v>
      </c>
      <c r="V2568" t="s">
        <v>137</v>
      </c>
      <c r="W2568" t="s">
        <v>138</v>
      </c>
      <c r="X2568" t="s">
        <v>332</v>
      </c>
      <c r="Y2568" t="s">
        <v>1622</v>
      </c>
      <c r="Z2568" t="s">
        <v>140</v>
      </c>
      <c r="AB2568" t="str">
        <f t="shared" si="120"/>
        <v>46862</v>
      </c>
    </row>
    <row r="2569" ht="14.25" spans="1:28">
      <c r="A2569" s="5" t="s">
        <v>28</v>
      </c>
      <c r="B2569" s="5" t="s">
        <v>697</v>
      </c>
      <c r="C2569" s="5">
        <v>2027</v>
      </c>
      <c r="D2569" s="5" t="s">
        <v>30</v>
      </c>
      <c r="E2569" t="s">
        <v>1623</v>
      </c>
      <c r="F2569" t="s">
        <v>1619</v>
      </c>
      <c r="G2569" t="s">
        <v>1624</v>
      </c>
      <c r="H2569" t="s">
        <v>1625</v>
      </c>
      <c r="I2569" t="s">
        <v>119</v>
      </c>
      <c r="J2569" t="s">
        <v>74</v>
      </c>
      <c r="K2569">
        <v>1590</v>
      </c>
      <c r="O2569" t="s">
        <v>68</v>
      </c>
      <c r="P2569" t="s">
        <v>72</v>
      </c>
      <c r="U2569" s="9" t="s">
        <v>136</v>
      </c>
      <c r="V2569" t="s">
        <v>137</v>
      </c>
      <c r="W2569" t="s">
        <v>138</v>
      </c>
      <c r="X2569" t="s">
        <v>332</v>
      </c>
      <c r="Y2569" t="s">
        <v>1622</v>
      </c>
      <c r="Z2569" t="s">
        <v>140</v>
      </c>
      <c r="AB2569" t="str">
        <f t="shared" si="120"/>
        <v>46862</v>
      </c>
    </row>
    <row r="2570" ht="14.25" spans="1:28">
      <c r="A2570" s="5" t="s">
        <v>28</v>
      </c>
      <c r="B2570" s="5" t="s">
        <v>697</v>
      </c>
      <c r="C2570" s="5">
        <v>2027</v>
      </c>
      <c r="D2570" s="5" t="s">
        <v>30</v>
      </c>
      <c r="E2570" t="s">
        <v>1623</v>
      </c>
      <c r="F2570" t="s">
        <v>1619</v>
      </c>
      <c r="G2570" t="s">
        <v>1624</v>
      </c>
      <c r="H2570" t="s">
        <v>1625</v>
      </c>
      <c r="I2570" t="s">
        <v>119</v>
      </c>
      <c r="J2570" t="s">
        <v>74</v>
      </c>
      <c r="K2570">
        <v>1590</v>
      </c>
      <c r="O2570" t="s">
        <v>68</v>
      </c>
      <c r="P2570" t="s">
        <v>73</v>
      </c>
      <c r="U2570" s="9" t="s">
        <v>136</v>
      </c>
      <c r="V2570" t="s">
        <v>137</v>
      </c>
      <c r="W2570" t="s">
        <v>138</v>
      </c>
      <c r="X2570" t="s">
        <v>332</v>
      </c>
      <c r="Y2570" t="s">
        <v>1622</v>
      </c>
      <c r="Z2570" t="s">
        <v>140</v>
      </c>
      <c r="AB2570" t="str">
        <f t="shared" si="120"/>
        <v>46862</v>
      </c>
    </row>
    <row r="2571" ht="14.25" spans="1:28">
      <c r="A2571" s="5" t="s">
        <v>28</v>
      </c>
      <c r="B2571" s="5" t="s">
        <v>697</v>
      </c>
      <c r="C2571" s="5">
        <v>2027</v>
      </c>
      <c r="D2571" s="5" t="s">
        <v>30</v>
      </c>
      <c r="E2571" t="s">
        <v>1623</v>
      </c>
      <c r="F2571" t="s">
        <v>1619</v>
      </c>
      <c r="G2571" t="s">
        <v>1624</v>
      </c>
      <c r="H2571" t="s">
        <v>1625</v>
      </c>
      <c r="I2571" t="s">
        <v>119</v>
      </c>
      <c r="J2571" t="s">
        <v>74</v>
      </c>
      <c r="K2571">
        <v>1590</v>
      </c>
      <c r="O2571" t="s">
        <v>68</v>
      </c>
      <c r="P2571" t="s">
        <v>74</v>
      </c>
      <c r="U2571" s="9" t="s">
        <v>136</v>
      </c>
      <c r="V2571" t="s">
        <v>137</v>
      </c>
      <c r="W2571" t="s">
        <v>138</v>
      </c>
      <c r="X2571" t="s">
        <v>332</v>
      </c>
      <c r="Y2571" t="s">
        <v>1622</v>
      </c>
      <c r="Z2571" t="s">
        <v>140</v>
      </c>
      <c r="AB2571" t="str">
        <f t="shared" si="120"/>
        <v>46862</v>
      </c>
    </row>
    <row r="2572" ht="14.25" spans="1:28">
      <c r="A2572" s="5" t="s">
        <v>28</v>
      </c>
      <c r="B2572" s="5" t="s">
        <v>697</v>
      </c>
      <c r="C2572" s="5">
        <v>2027</v>
      </c>
      <c r="D2572" s="5" t="s">
        <v>30</v>
      </c>
      <c r="E2572" t="s">
        <v>1623</v>
      </c>
      <c r="F2572" t="s">
        <v>1619</v>
      </c>
      <c r="G2572" t="s">
        <v>1624</v>
      </c>
      <c r="H2572" t="s">
        <v>1625</v>
      </c>
      <c r="I2572" t="s">
        <v>119</v>
      </c>
      <c r="J2572" t="s">
        <v>74</v>
      </c>
      <c r="K2572">
        <v>1590</v>
      </c>
      <c r="O2572" t="s">
        <v>68</v>
      </c>
      <c r="P2572" t="s">
        <v>75</v>
      </c>
      <c r="U2572" s="9" t="s">
        <v>136</v>
      </c>
      <c r="V2572" t="s">
        <v>137</v>
      </c>
      <c r="W2572" t="s">
        <v>138</v>
      </c>
      <c r="X2572" t="s">
        <v>332</v>
      </c>
      <c r="Y2572" t="s">
        <v>1622</v>
      </c>
      <c r="Z2572" t="s">
        <v>140</v>
      </c>
      <c r="AB2572" t="str">
        <f t="shared" si="120"/>
        <v>46862</v>
      </c>
    </row>
    <row r="2573" ht="14.25" spans="1:28">
      <c r="A2573" s="5" t="s">
        <v>28</v>
      </c>
      <c r="B2573" s="5" t="s">
        <v>697</v>
      </c>
      <c r="C2573" s="5">
        <v>2027</v>
      </c>
      <c r="D2573" s="5" t="s">
        <v>30</v>
      </c>
      <c r="E2573" t="s">
        <v>1623</v>
      </c>
      <c r="F2573" t="s">
        <v>1619</v>
      </c>
      <c r="G2573" t="s">
        <v>1624</v>
      </c>
      <c r="H2573" t="s">
        <v>1625</v>
      </c>
      <c r="I2573" t="s">
        <v>119</v>
      </c>
      <c r="J2573" t="s">
        <v>74</v>
      </c>
      <c r="K2573">
        <v>1590</v>
      </c>
      <c r="O2573" t="s">
        <v>68</v>
      </c>
      <c r="P2573" t="s">
        <v>76</v>
      </c>
      <c r="U2573" s="9" t="s">
        <v>136</v>
      </c>
      <c r="V2573" t="s">
        <v>137</v>
      </c>
      <c r="W2573" t="s">
        <v>138</v>
      </c>
      <c r="X2573" t="s">
        <v>332</v>
      </c>
      <c r="Y2573" t="s">
        <v>1622</v>
      </c>
      <c r="Z2573" t="s">
        <v>140</v>
      </c>
      <c r="AB2573" t="str">
        <f t="shared" si="120"/>
        <v>46862</v>
      </c>
    </row>
    <row r="2574" ht="14.25" spans="1:28">
      <c r="A2574" s="5" t="s">
        <v>28</v>
      </c>
      <c r="B2574" s="5" t="s">
        <v>697</v>
      </c>
      <c r="C2574" s="5">
        <v>2027</v>
      </c>
      <c r="D2574" s="5" t="s">
        <v>30</v>
      </c>
      <c r="E2574" t="s">
        <v>1623</v>
      </c>
      <c r="F2574" t="s">
        <v>1619</v>
      </c>
      <c r="G2574" t="s">
        <v>1624</v>
      </c>
      <c r="H2574" t="s">
        <v>1625</v>
      </c>
      <c r="I2574" t="s">
        <v>119</v>
      </c>
      <c r="J2574" t="s">
        <v>74</v>
      </c>
      <c r="K2574">
        <v>1590</v>
      </c>
      <c r="O2574" t="s">
        <v>68</v>
      </c>
      <c r="P2574" t="s">
        <v>77</v>
      </c>
      <c r="U2574" s="9" t="s">
        <v>136</v>
      </c>
      <c r="V2574" t="s">
        <v>137</v>
      </c>
      <c r="W2574" t="s">
        <v>138</v>
      </c>
      <c r="X2574" t="s">
        <v>332</v>
      </c>
      <c r="Y2574" t="s">
        <v>1622</v>
      </c>
      <c r="Z2574" t="s">
        <v>140</v>
      </c>
      <c r="AB2574" t="str">
        <f t="shared" si="120"/>
        <v>46862</v>
      </c>
    </row>
    <row r="2575" ht="14.25" spans="1:28">
      <c r="A2575" s="5" t="s">
        <v>28</v>
      </c>
      <c r="B2575" s="5" t="s">
        <v>697</v>
      </c>
      <c r="C2575" s="5">
        <v>2027</v>
      </c>
      <c r="D2575" s="5" t="s">
        <v>30</v>
      </c>
      <c r="E2575" t="s">
        <v>1623</v>
      </c>
      <c r="F2575" t="s">
        <v>1619</v>
      </c>
      <c r="G2575" t="s">
        <v>1624</v>
      </c>
      <c r="H2575" t="s">
        <v>1625</v>
      </c>
      <c r="I2575" t="s">
        <v>119</v>
      </c>
      <c r="J2575" t="s">
        <v>74</v>
      </c>
      <c r="K2575">
        <v>1590</v>
      </c>
      <c r="O2575" t="s">
        <v>68</v>
      </c>
      <c r="P2575" t="s">
        <v>78</v>
      </c>
      <c r="U2575" s="9" t="s">
        <v>136</v>
      </c>
      <c r="V2575" t="s">
        <v>137</v>
      </c>
      <c r="W2575" t="s">
        <v>138</v>
      </c>
      <c r="X2575" t="s">
        <v>332</v>
      </c>
      <c r="Y2575" t="s">
        <v>1622</v>
      </c>
      <c r="Z2575" t="s">
        <v>140</v>
      </c>
      <c r="AB2575" t="str">
        <f t="shared" si="120"/>
        <v>46862</v>
      </c>
    </row>
    <row r="2576" ht="14.25" spans="1:28">
      <c r="A2576" s="5" t="s">
        <v>28</v>
      </c>
      <c r="B2576" s="5" t="s">
        <v>697</v>
      </c>
      <c r="C2576" s="5">
        <v>2027</v>
      </c>
      <c r="D2576" s="5" t="s">
        <v>30</v>
      </c>
      <c r="E2576" t="s">
        <v>1623</v>
      </c>
      <c r="F2576" t="s">
        <v>1619</v>
      </c>
      <c r="G2576" t="s">
        <v>1624</v>
      </c>
      <c r="H2576" t="s">
        <v>1625</v>
      </c>
      <c r="I2576" t="s">
        <v>119</v>
      </c>
      <c r="J2576" t="s">
        <v>74</v>
      </c>
      <c r="K2576">
        <v>1590</v>
      </c>
      <c r="O2576" t="s">
        <v>68</v>
      </c>
      <c r="P2576" t="s">
        <v>79</v>
      </c>
      <c r="U2576" s="9" t="s">
        <v>136</v>
      </c>
      <c r="V2576" t="s">
        <v>137</v>
      </c>
      <c r="W2576" t="s">
        <v>138</v>
      </c>
      <c r="X2576" t="s">
        <v>332</v>
      </c>
      <c r="Y2576" t="s">
        <v>1622</v>
      </c>
      <c r="Z2576" t="s">
        <v>140</v>
      </c>
      <c r="AB2576" t="str">
        <f t="shared" si="120"/>
        <v>46862</v>
      </c>
    </row>
    <row r="2577" ht="14.25" spans="1:28">
      <c r="A2577" s="5" t="s">
        <v>28</v>
      </c>
      <c r="B2577" s="5" t="s">
        <v>697</v>
      </c>
      <c r="C2577" s="5">
        <v>2027</v>
      </c>
      <c r="D2577" s="5" t="s">
        <v>30</v>
      </c>
      <c r="E2577" t="s">
        <v>1626</v>
      </c>
      <c r="F2577" t="s">
        <v>1627</v>
      </c>
      <c r="G2577" t="s">
        <v>117</v>
      </c>
      <c r="H2577" t="s">
        <v>1628</v>
      </c>
      <c r="I2577" t="s">
        <v>119</v>
      </c>
      <c r="J2577" t="s">
        <v>74</v>
      </c>
      <c r="K2577">
        <v>1590</v>
      </c>
      <c r="O2577" t="s">
        <v>68</v>
      </c>
      <c r="P2577" t="s">
        <v>69</v>
      </c>
      <c r="R2577">
        <f t="shared" si="121"/>
        <v>0</v>
      </c>
      <c r="S2577">
        <f>SUMIFS([1]Sheet1!$T:$T,[1]Sheet1!$I:$I,E2577,[1]Sheet1!$C:$C,A2577)</f>
        <v>0</v>
      </c>
      <c r="T2577">
        <f t="shared" si="122"/>
        <v>0</v>
      </c>
      <c r="U2577" s="9" t="s">
        <v>136</v>
      </c>
      <c r="V2577" t="s">
        <v>137</v>
      </c>
      <c r="W2577" t="s">
        <v>138</v>
      </c>
      <c r="X2577" t="s">
        <v>122</v>
      </c>
      <c r="Y2577" t="s">
        <v>1154</v>
      </c>
      <c r="Z2577" t="s">
        <v>71</v>
      </c>
      <c r="AA2577" t="s">
        <v>1155</v>
      </c>
      <c r="AB2577" t="str">
        <f t="shared" si="120"/>
        <v>46863</v>
      </c>
    </row>
    <row r="2578" ht="14.25" spans="1:28">
      <c r="A2578" s="5" t="s">
        <v>28</v>
      </c>
      <c r="B2578" s="5" t="s">
        <v>697</v>
      </c>
      <c r="C2578" s="5">
        <v>2027</v>
      </c>
      <c r="D2578" s="5" t="s">
        <v>30</v>
      </c>
      <c r="E2578" t="s">
        <v>1626</v>
      </c>
      <c r="F2578" t="s">
        <v>1627</v>
      </c>
      <c r="G2578" t="s">
        <v>117</v>
      </c>
      <c r="H2578" t="s">
        <v>1628</v>
      </c>
      <c r="I2578" t="s">
        <v>119</v>
      </c>
      <c r="J2578" t="s">
        <v>74</v>
      </c>
      <c r="K2578">
        <v>1590</v>
      </c>
      <c r="O2578" t="s">
        <v>68</v>
      </c>
      <c r="P2578" t="s">
        <v>72</v>
      </c>
      <c r="U2578" s="9" t="s">
        <v>136</v>
      </c>
      <c r="V2578" t="s">
        <v>137</v>
      </c>
      <c r="W2578" t="s">
        <v>138</v>
      </c>
      <c r="X2578" t="s">
        <v>122</v>
      </c>
      <c r="Y2578" t="s">
        <v>1154</v>
      </c>
      <c r="Z2578" t="s">
        <v>71</v>
      </c>
      <c r="AA2578" t="s">
        <v>1155</v>
      </c>
      <c r="AB2578" t="str">
        <f t="shared" si="120"/>
        <v>46863</v>
      </c>
    </row>
    <row r="2579" ht="14.25" spans="1:28">
      <c r="A2579" s="5" t="s">
        <v>28</v>
      </c>
      <c r="B2579" s="5" t="s">
        <v>697</v>
      </c>
      <c r="C2579" s="5">
        <v>2027</v>
      </c>
      <c r="D2579" s="5" t="s">
        <v>30</v>
      </c>
      <c r="E2579" t="s">
        <v>1626</v>
      </c>
      <c r="F2579" t="s">
        <v>1627</v>
      </c>
      <c r="G2579" t="s">
        <v>117</v>
      </c>
      <c r="H2579" t="s">
        <v>1628</v>
      </c>
      <c r="I2579" t="s">
        <v>119</v>
      </c>
      <c r="J2579" t="s">
        <v>74</v>
      </c>
      <c r="K2579">
        <v>1590</v>
      </c>
      <c r="O2579" t="s">
        <v>68</v>
      </c>
      <c r="P2579" t="s">
        <v>73</v>
      </c>
      <c r="U2579" s="9" t="s">
        <v>136</v>
      </c>
      <c r="V2579" t="s">
        <v>137</v>
      </c>
      <c r="W2579" t="s">
        <v>138</v>
      </c>
      <c r="X2579" t="s">
        <v>122</v>
      </c>
      <c r="Y2579" t="s">
        <v>1154</v>
      </c>
      <c r="Z2579" t="s">
        <v>71</v>
      </c>
      <c r="AA2579" t="s">
        <v>1155</v>
      </c>
      <c r="AB2579" t="str">
        <f t="shared" si="120"/>
        <v>46863</v>
      </c>
    </row>
    <row r="2580" ht="14.25" spans="1:28">
      <c r="A2580" s="5" t="s">
        <v>28</v>
      </c>
      <c r="B2580" s="5" t="s">
        <v>697</v>
      </c>
      <c r="C2580" s="5">
        <v>2027</v>
      </c>
      <c r="D2580" s="5" t="s">
        <v>30</v>
      </c>
      <c r="E2580" t="s">
        <v>1626</v>
      </c>
      <c r="F2580" t="s">
        <v>1627</v>
      </c>
      <c r="G2580" t="s">
        <v>117</v>
      </c>
      <c r="H2580" t="s">
        <v>1628</v>
      </c>
      <c r="I2580" t="s">
        <v>119</v>
      </c>
      <c r="J2580" t="s">
        <v>74</v>
      </c>
      <c r="K2580">
        <v>1590</v>
      </c>
      <c r="O2580" t="s">
        <v>68</v>
      </c>
      <c r="P2580" t="s">
        <v>74</v>
      </c>
      <c r="U2580" s="9" t="s">
        <v>136</v>
      </c>
      <c r="V2580" t="s">
        <v>137</v>
      </c>
      <c r="W2580" t="s">
        <v>138</v>
      </c>
      <c r="X2580" t="s">
        <v>122</v>
      </c>
      <c r="Y2580" t="s">
        <v>1154</v>
      </c>
      <c r="Z2580" t="s">
        <v>71</v>
      </c>
      <c r="AA2580" t="s">
        <v>1155</v>
      </c>
      <c r="AB2580" t="str">
        <f t="shared" si="120"/>
        <v>46863</v>
      </c>
    </row>
    <row r="2581" ht="14.25" spans="1:28">
      <c r="A2581" s="5" t="s">
        <v>28</v>
      </c>
      <c r="B2581" s="5" t="s">
        <v>697</v>
      </c>
      <c r="C2581" s="5">
        <v>2027</v>
      </c>
      <c r="D2581" s="5" t="s">
        <v>30</v>
      </c>
      <c r="E2581" t="s">
        <v>1626</v>
      </c>
      <c r="F2581" t="s">
        <v>1627</v>
      </c>
      <c r="G2581" t="s">
        <v>117</v>
      </c>
      <c r="H2581" t="s">
        <v>1628</v>
      </c>
      <c r="I2581" t="s">
        <v>119</v>
      </c>
      <c r="J2581" t="s">
        <v>74</v>
      </c>
      <c r="K2581">
        <v>1590</v>
      </c>
      <c r="O2581" t="s">
        <v>68</v>
      </c>
      <c r="P2581" t="s">
        <v>75</v>
      </c>
      <c r="U2581" s="9" t="s">
        <v>136</v>
      </c>
      <c r="V2581" t="s">
        <v>137</v>
      </c>
      <c r="W2581" t="s">
        <v>138</v>
      </c>
      <c r="X2581" t="s">
        <v>122</v>
      </c>
      <c r="Y2581" t="s">
        <v>1154</v>
      </c>
      <c r="Z2581" t="s">
        <v>71</v>
      </c>
      <c r="AA2581" t="s">
        <v>1155</v>
      </c>
      <c r="AB2581" t="str">
        <f t="shared" si="120"/>
        <v>46863</v>
      </c>
    </row>
    <row r="2582" ht="14.25" spans="1:28">
      <c r="A2582" s="5" t="s">
        <v>28</v>
      </c>
      <c r="B2582" s="5" t="s">
        <v>697</v>
      </c>
      <c r="C2582" s="5">
        <v>2027</v>
      </c>
      <c r="D2582" s="5" t="s">
        <v>30</v>
      </c>
      <c r="E2582" t="s">
        <v>1626</v>
      </c>
      <c r="F2582" t="s">
        <v>1627</v>
      </c>
      <c r="G2582" t="s">
        <v>117</v>
      </c>
      <c r="H2582" t="s">
        <v>1628</v>
      </c>
      <c r="I2582" t="s">
        <v>119</v>
      </c>
      <c r="J2582" t="s">
        <v>74</v>
      </c>
      <c r="K2582">
        <v>1590</v>
      </c>
      <c r="O2582" t="s">
        <v>68</v>
      </c>
      <c r="P2582" t="s">
        <v>76</v>
      </c>
      <c r="U2582" s="9" t="s">
        <v>136</v>
      </c>
      <c r="V2582" t="s">
        <v>137</v>
      </c>
      <c r="W2582" t="s">
        <v>138</v>
      </c>
      <c r="X2582" t="s">
        <v>122</v>
      </c>
      <c r="Y2582" t="s">
        <v>1154</v>
      </c>
      <c r="Z2582" t="s">
        <v>71</v>
      </c>
      <c r="AA2582" t="s">
        <v>1155</v>
      </c>
      <c r="AB2582" t="str">
        <f t="shared" si="120"/>
        <v>46863</v>
      </c>
    </row>
    <row r="2583" ht="14.25" spans="1:28">
      <c r="A2583" s="5" t="s">
        <v>28</v>
      </c>
      <c r="B2583" s="5" t="s">
        <v>697</v>
      </c>
      <c r="C2583" s="5">
        <v>2027</v>
      </c>
      <c r="D2583" s="5" t="s">
        <v>30</v>
      </c>
      <c r="E2583" t="s">
        <v>1626</v>
      </c>
      <c r="F2583" t="s">
        <v>1627</v>
      </c>
      <c r="G2583" t="s">
        <v>117</v>
      </c>
      <c r="H2583" t="s">
        <v>1628</v>
      </c>
      <c r="I2583" t="s">
        <v>119</v>
      </c>
      <c r="J2583" t="s">
        <v>74</v>
      </c>
      <c r="K2583">
        <v>1590</v>
      </c>
      <c r="O2583" t="s">
        <v>68</v>
      </c>
      <c r="P2583" t="s">
        <v>77</v>
      </c>
      <c r="U2583" s="9" t="s">
        <v>136</v>
      </c>
      <c r="V2583" t="s">
        <v>137</v>
      </c>
      <c r="W2583" t="s">
        <v>138</v>
      </c>
      <c r="X2583" t="s">
        <v>122</v>
      </c>
      <c r="Y2583" t="s">
        <v>1154</v>
      </c>
      <c r="Z2583" t="s">
        <v>71</v>
      </c>
      <c r="AA2583" t="s">
        <v>1155</v>
      </c>
      <c r="AB2583" t="str">
        <f t="shared" si="120"/>
        <v>46863</v>
      </c>
    </row>
    <row r="2584" ht="14.25" spans="1:28">
      <c r="A2584" s="5" t="s">
        <v>28</v>
      </c>
      <c r="B2584" s="5" t="s">
        <v>697</v>
      </c>
      <c r="C2584" s="5">
        <v>2027</v>
      </c>
      <c r="D2584" s="5" t="s">
        <v>30</v>
      </c>
      <c r="E2584" t="s">
        <v>1626</v>
      </c>
      <c r="F2584" t="s">
        <v>1627</v>
      </c>
      <c r="G2584" t="s">
        <v>117</v>
      </c>
      <c r="H2584" t="s">
        <v>1628</v>
      </c>
      <c r="I2584" t="s">
        <v>119</v>
      </c>
      <c r="J2584" t="s">
        <v>74</v>
      </c>
      <c r="K2584">
        <v>1590</v>
      </c>
      <c r="O2584" t="s">
        <v>68</v>
      </c>
      <c r="P2584" t="s">
        <v>78</v>
      </c>
      <c r="U2584" s="9" t="s">
        <v>136</v>
      </c>
      <c r="V2584" t="s">
        <v>137</v>
      </c>
      <c r="W2584" t="s">
        <v>138</v>
      </c>
      <c r="X2584" t="s">
        <v>122</v>
      </c>
      <c r="Y2584" t="s">
        <v>1154</v>
      </c>
      <c r="Z2584" t="s">
        <v>71</v>
      </c>
      <c r="AA2584" t="s">
        <v>1155</v>
      </c>
      <c r="AB2584" t="str">
        <f t="shared" si="120"/>
        <v>46863</v>
      </c>
    </row>
    <row r="2585" ht="14.25" spans="1:28">
      <c r="A2585" s="5" t="s">
        <v>28</v>
      </c>
      <c r="B2585" s="5" t="s">
        <v>697</v>
      </c>
      <c r="C2585" s="5">
        <v>2027</v>
      </c>
      <c r="D2585" s="5" t="s">
        <v>30</v>
      </c>
      <c r="E2585" t="s">
        <v>1626</v>
      </c>
      <c r="F2585" t="s">
        <v>1627</v>
      </c>
      <c r="G2585" t="s">
        <v>117</v>
      </c>
      <c r="H2585" t="s">
        <v>1628</v>
      </c>
      <c r="I2585" t="s">
        <v>119</v>
      </c>
      <c r="J2585" t="s">
        <v>74</v>
      </c>
      <c r="K2585">
        <v>1590</v>
      </c>
      <c r="O2585" t="s">
        <v>68</v>
      </c>
      <c r="P2585" t="s">
        <v>79</v>
      </c>
      <c r="U2585" s="9" t="s">
        <v>136</v>
      </c>
      <c r="V2585" t="s">
        <v>137</v>
      </c>
      <c r="W2585" t="s">
        <v>138</v>
      </c>
      <c r="X2585" t="s">
        <v>122</v>
      </c>
      <c r="Y2585" t="s">
        <v>1154</v>
      </c>
      <c r="Z2585" t="s">
        <v>71</v>
      </c>
      <c r="AA2585" t="s">
        <v>1155</v>
      </c>
      <c r="AB2585" t="str">
        <f t="shared" si="120"/>
        <v>46863</v>
      </c>
    </row>
    <row r="2586" ht="14.25" spans="1:28">
      <c r="A2586" s="5" t="s">
        <v>28</v>
      </c>
      <c r="B2586" s="5" t="s">
        <v>697</v>
      </c>
      <c r="C2586" s="5">
        <v>2027</v>
      </c>
      <c r="D2586" s="5" t="s">
        <v>30</v>
      </c>
      <c r="E2586" t="s">
        <v>1629</v>
      </c>
      <c r="F2586" t="s">
        <v>1627</v>
      </c>
      <c r="G2586" t="s">
        <v>1595</v>
      </c>
      <c r="H2586" t="s">
        <v>1630</v>
      </c>
      <c r="I2586" t="s">
        <v>119</v>
      </c>
      <c r="J2586" t="s">
        <v>74</v>
      </c>
      <c r="K2586">
        <v>1590</v>
      </c>
      <c r="O2586" t="s">
        <v>68</v>
      </c>
      <c r="P2586" t="s">
        <v>69</v>
      </c>
      <c r="R2586">
        <f t="shared" si="121"/>
        <v>0</v>
      </c>
      <c r="S2586">
        <f>SUMIFS([1]Sheet1!$T:$T,[1]Sheet1!$I:$I,E2586,[1]Sheet1!$C:$C,A2586)</f>
        <v>0</v>
      </c>
      <c r="T2586">
        <f t="shared" si="122"/>
        <v>0</v>
      </c>
      <c r="U2586" s="9" t="s">
        <v>136</v>
      </c>
      <c r="V2586" t="s">
        <v>137</v>
      </c>
      <c r="W2586" t="s">
        <v>138</v>
      </c>
      <c r="X2586" t="s">
        <v>243</v>
      </c>
      <c r="Y2586" t="s">
        <v>1154</v>
      </c>
      <c r="Z2586" t="s">
        <v>71</v>
      </c>
      <c r="AA2586" t="s">
        <v>1155</v>
      </c>
      <c r="AB2586" t="str">
        <f t="shared" si="120"/>
        <v>46863</v>
      </c>
    </row>
    <row r="2587" ht="14.25" spans="1:28">
      <c r="A2587" s="5" t="s">
        <v>28</v>
      </c>
      <c r="B2587" s="5" t="s">
        <v>697</v>
      </c>
      <c r="C2587" s="5">
        <v>2027</v>
      </c>
      <c r="D2587" s="5" t="s">
        <v>30</v>
      </c>
      <c r="E2587" t="s">
        <v>1629</v>
      </c>
      <c r="F2587" t="s">
        <v>1627</v>
      </c>
      <c r="G2587" t="s">
        <v>1595</v>
      </c>
      <c r="H2587" t="s">
        <v>1630</v>
      </c>
      <c r="I2587" t="s">
        <v>119</v>
      </c>
      <c r="J2587" t="s">
        <v>74</v>
      </c>
      <c r="K2587">
        <v>1590</v>
      </c>
      <c r="O2587" t="s">
        <v>68</v>
      </c>
      <c r="P2587" t="s">
        <v>72</v>
      </c>
      <c r="U2587" s="9" t="s">
        <v>136</v>
      </c>
      <c r="V2587" t="s">
        <v>137</v>
      </c>
      <c r="W2587" t="s">
        <v>138</v>
      </c>
      <c r="X2587" t="s">
        <v>243</v>
      </c>
      <c r="Y2587" t="s">
        <v>1154</v>
      </c>
      <c r="Z2587" t="s">
        <v>71</v>
      </c>
      <c r="AA2587" t="s">
        <v>1155</v>
      </c>
      <c r="AB2587" t="str">
        <f t="shared" si="120"/>
        <v>46863</v>
      </c>
    </row>
    <row r="2588" ht="14.25" spans="1:28">
      <c r="A2588" s="5" t="s">
        <v>28</v>
      </c>
      <c r="B2588" s="5" t="s">
        <v>697</v>
      </c>
      <c r="C2588" s="5">
        <v>2027</v>
      </c>
      <c r="D2588" s="5" t="s">
        <v>30</v>
      </c>
      <c r="E2588" t="s">
        <v>1629</v>
      </c>
      <c r="F2588" t="s">
        <v>1627</v>
      </c>
      <c r="G2588" t="s">
        <v>1595</v>
      </c>
      <c r="H2588" t="s">
        <v>1630</v>
      </c>
      <c r="I2588" t="s">
        <v>119</v>
      </c>
      <c r="J2588" t="s">
        <v>74</v>
      </c>
      <c r="K2588">
        <v>1590</v>
      </c>
      <c r="O2588" t="s">
        <v>68</v>
      </c>
      <c r="P2588" t="s">
        <v>73</v>
      </c>
      <c r="U2588" s="9" t="s">
        <v>136</v>
      </c>
      <c r="V2588" t="s">
        <v>137</v>
      </c>
      <c r="W2588" t="s">
        <v>138</v>
      </c>
      <c r="X2588" t="s">
        <v>243</v>
      </c>
      <c r="Y2588" t="s">
        <v>1154</v>
      </c>
      <c r="Z2588" t="s">
        <v>71</v>
      </c>
      <c r="AA2588" t="s">
        <v>1155</v>
      </c>
      <c r="AB2588" t="str">
        <f t="shared" si="120"/>
        <v>46863</v>
      </c>
    </row>
    <row r="2589" ht="14.25" spans="1:28">
      <c r="A2589" s="5" t="s">
        <v>28</v>
      </c>
      <c r="B2589" s="5" t="s">
        <v>697</v>
      </c>
      <c r="C2589" s="5">
        <v>2027</v>
      </c>
      <c r="D2589" s="5" t="s">
        <v>30</v>
      </c>
      <c r="E2589" t="s">
        <v>1629</v>
      </c>
      <c r="F2589" t="s">
        <v>1627</v>
      </c>
      <c r="G2589" t="s">
        <v>1595</v>
      </c>
      <c r="H2589" t="s">
        <v>1630</v>
      </c>
      <c r="I2589" t="s">
        <v>119</v>
      </c>
      <c r="J2589" t="s">
        <v>74</v>
      </c>
      <c r="K2589">
        <v>1590</v>
      </c>
      <c r="O2589" t="s">
        <v>68</v>
      </c>
      <c r="P2589" t="s">
        <v>74</v>
      </c>
      <c r="U2589" s="9" t="s">
        <v>136</v>
      </c>
      <c r="V2589" t="s">
        <v>137</v>
      </c>
      <c r="W2589" t="s">
        <v>138</v>
      </c>
      <c r="X2589" t="s">
        <v>243</v>
      </c>
      <c r="Y2589" t="s">
        <v>1154</v>
      </c>
      <c r="Z2589" t="s">
        <v>71</v>
      </c>
      <c r="AA2589" t="s">
        <v>1155</v>
      </c>
      <c r="AB2589" t="str">
        <f t="shared" si="120"/>
        <v>46863</v>
      </c>
    </row>
    <row r="2590" ht="14.25" spans="1:28">
      <c r="A2590" s="5" t="s">
        <v>28</v>
      </c>
      <c r="B2590" s="5" t="s">
        <v>697</v>
      </c>
      <c r="C2590" s="5">
        <v>2027</v>
      </c>
      <c r="D2590" s="5" t="s">
        <v>30</v>
      </c>
      <c r="E2590" t="s">
        <v>1629</v>
      </c>
      <c r="F2590" t="s">
        <v>1627</v>
      </c>
      <c r="G2590" t="s">
        <v>1595</v>
      </c>
      <c r="H2590" t="s">
        <v>1630</v>
      </c>
      <c r="I2590" t="s">
        <v>119</v>
      </c>
      <c r="J2590" t="s">
        <v>74</v>
      </c>
      <c r="K2590">
        <v>1590</v>
      </c>
      <c r="O2590" t="s">
        <v>68</v>
      </c>
      <c r="P2590" t="s">
        <v>75</v>
      </c>
      <c r="U2590" s="9" t="s">
        <v>136</v>
      </c>
      <c r="V2590" t="s">
        <v>137</v>
      </c>
      <c r="W2590" t="s">
        <v>138</v>
      </c>
      <c r="X2590" t="s">
        <v>243</v>
      </c>
      <c r="Y2590" t="s">
        <v>1154</v>
      </c>
      <c r="Z2590" t="s">
        <v>71</v>
      </c>
      <c r="AA2590" t="s">
        <v>1155</v>
      </c>
      <c r="AB2590" t="str">
        <f t="shared" si="120"/>
        <v>46863</v>
      </c>
    </row>
    <row r="2591" ht="14.25" spans="1:28">
      <c r="A2591" s="5" t="s">
        <v>28</v>
      </c>
      <c r="B2591" s="5" t="s">
        <v>697</v>
      </c>
      <c r="C2591" s="5">
        <v>2027</v>
      </c>
      <c r="D2591" s="5" t="s">
        <v>30</v>
      </c>
      <c r="E2591" t="s">
        <v>1629</v>
      </c>
      <c r="F2591" t="s">
        <v>1627</v>
      </c>
      <c r="G2591" t="s">
        <v>1595</v>
      </c>
      <c r="H2591" t="s">
        <v>1630</v>
      </c>
      <c r="I2591" t="s">
        <v>119</v>
      </c>
      <c r="J2591" t="s">
        <v>74</v>
      </c>
      <c r="K2591">
        <v>1590</v>
      </c>
      <c r="O2591" t="s">
        <v>68</v>
      </c>
      <c r="P2591" t="s">
        <v>76</v>
      </c>
      <c r="U2591" s="9" t="s">
        <v>136</v>
      </c>
      <c r="V2591" t="s">
        <v>137</v>
      </c>
      <c r="W2591" t="s">
        <v>138</v>
      </c>
      <c r="X2591" t="s">
        <v>243</v>
      </c>
      <c r="Y2591" t="s">
        <v>1154</v>
      </c>
      <c r="Z2591" t="s">
        <v>71</v>
      </c>
      <c r="AA2591" t="s">
        <v>1155</v>
      </c>
      <c r="AB2591" t="str">
        <f t="shared" si="120"/>
        <v>46863</v>
      </c>
    </row>
    <row r="2592" ht="14.25" spans="1:28">
      <c r="A2592" s="5" t="s">
        <v>28</v>
      </c>
      <c r="B2592" s="5" t="s">
        <v>697</v>
      </c>
      <c r="C2592" s="5">
        <v>2027</v>
      </c>
      <c r="D2592" s="5" t="s">
        <v>30</v>
      </c>
      <c r="E2592" t="s">
        <v>1629</v>
      </c>
      <c r="F2592" t="s">
        <v>1627</v>
      </c>
      <c r="G2592" t="s">
        <v>1595</v>
      </c>
      <c r="H2592" t="s">
        <v>1630</v>
      </c>
      <c r="I2592" t="s">
        <v>119</v>
      </c>
      <c r="J2592" t="s">
        <v>74</v>
      </c>
      <c r="K2592">
        <v>1590</v>
      </c>
      <c r="O2592" t="s">
        <v>68</v>
      </c>
      <c r="P2592" t="s">
        <v>77</v>
      </c>
      <c r="U2592" s="9" t="s">
        <v>136</v>
      </c>
      <c r="V2592" t="s">
        <v>137</v>
      </c>
      <c r="W2592" t="s">
        <v>138</v>
      </c>
      <c r="X2592" t="s">
        <v>243</v>
      </c>
      <c r="Y2592" t="s">
        <v>1154</v>
      </c>
      <c r="Z2592" t="s">
        <v>71</v>
      </c>
      <c r="AA2592" t="s">
        <v>1155</v>
      </c>
      <c r="AB2592" t="str">
        <f t="shared" si="120"/>
        <v>46863</v>
      </c>
    </row>
    <row r="2593" ht="14.25" spans="1:28">
      <c r="A2593" s="5" t="s">
        <v>28</v>
      </c>
      <c r="B2593" s="5" t="s">
        <v>697</v>
      </c>
      <c r="C2593" s="5">
        <v>2027</v>
      </c>
      <c r="D2593" s="5" t="s">
        <v>30</v>
      </c>
      <c r="E2593" t="s">
        <v>1629</v>
      </c>
      <c r="F2593" t="s">
        <v>1627</v>
      </c>
      <c r="G2593" t="s">
        <v>1595</v>
      </c>
      <c r="H2593" t="s">
        <v>1630</v>
      </c>
      <c r="I2593" t="s">
        <v>119</v>
      </c>
      <c r="J2593" t="s">
        <v>74</v>
      </c>
      <c r="K2593">
        <v>1590</v>
      </c>
      <c r="O2593" t="s">
        <v>68</v>
      </c>
      <c r="P2593" t="s">
        <v>78</v>
      </c>
      <c r="U2593" s="9" t="s">
        <v>136</v>
      </c>
      <c r="V2593" t="s">
        <v>137</v>
      </c>
      <c r="W2593" t="s">
        <v>138</v>
      </c>
      <c r="X2593" t="s">
        <v>243</v>
      </c>
      <c r="Y2593" t="s">
        <v>1154</v>
      </c>
      <c r="Z2593" t="s">
        <v>71</v>
      </c>
      <c r="AA2593" t="s">
        <v>1155</v>
      </c>
      <c r="AB2593" t="str">
        <f t="shared" si="120"/>
        <v>46863</v>
      </c>
    </row>
    <row r="2594" ht="14.25" spans="1:28">
      <c r="A2594" s="5" t="s">
        <v>28</v>
      </c>
      <c r="B2594" s="5" t="s">
        <v>697</v>
      </c>
      <c r="C2594" s="5">
        <v>2027</v>
      </c>
      <c r="D2594" s="5" t="s">
        <v>30</v>
      </c>
      <c r="E2594" t="s">
        <v>1629</v>
      </c>
      <c r="F2594" t="s">
        <v>1627</v>
      </c>
      <c r="G2594" t="s">
        <v>1595</v>
      </c>
      <c r="H2594" t="s">
        <v>1630</v>
      </c>
      <c r="I2594" t="s">
        <v>119</v>
      </c>
      <c r="J2594" t="s">
        <v>74</v>
      </c>
      <c r="K2594">
        <v>1590</v>
      </c>
      <c r="O2594" t="s">
        <v>68</v>
      </c>
      <c r="P2594" t="s">
        <v>79</v>
      </c>
      <c r="U2594" s="9" t="s">
        <v>136</v>
      </c>
      <c r="V2594" t="s">
        <v>137</v>
      </c>
      <c r="W2594" t="s">
        <v>138</v>
      </c>
      <c r="X2594" t="s">
        <v>243</v>
      </c>
      <c r="Y2594" t="s">
        <v>1154</v>
      </c>
      <c r="Z2594" t="s">
        <v>71</v>
      </c>
      <c r="AA2594" t="s">
        <v>1155</v>
      </c>
      <c r="AB2594" t="str">
        <f t="shared" si="120"/>
        <v>46863</v>
      </c>
    </row>
    <row r="2595" ht="14.25" spans="1:28">
      <c r="A2595" s="5" t="s">
        <v>28</v>
      </c>
      <c r="B2595" s="5" t="s">
        <v>697</v>
      </c>
      <c r="C2595" s="5">
        <v>2027</v>
      </c>
      <c r="D2595" s="5" t="s">
        <v>30</v>
      </c>
      <c r="E2595" t="s">
        <v>1631</v>
      </c>
      <c r="F2595" t="s">
        <v>1632</v>
      </c>
      <c r="G2595" t="s">
        <v>65</v>
      </c>
      <c r="H2595" t="s">
        <v>1633</v>
      </c>
      <c r="I2595" t="s">
        <v>119</v>
      </c>
      <c r="J2595" t="s">
        <v>74</v>
      </c>
      <c r="K2595">
        <v>1590</v>
      </c>
      <c r="O2595" t="s">
        <v>68</v>
      </c>
      <c r="P2595" t="s">
        <v>69</v>
      </c>
      <c r="R2595">
        <f t="shared" si="121"/>
        <v>0</v>
      </c>
      <c r="S2595">
        <f>SUMIFS([1]Sheet1!$T:$T,[1]Sheet1!$I:$I,E2595,[1]Sheet1!$C:$C,A2595)</f>
        <v>150</v>
      </c>
      <c r="T2595">
        <f t="shared" si="122"/>
        <v>-150</v>
      </c>
      <c r="U2595" s="9" t="s">
        <v>136</v>
      </c>
      <c r="V2595" t="s">
        <v>137</v>
      </c>
      <c r="W2595" t="s">
        <v>138</v>
      </c>
      <c r="X2595" t="s">
        <v>70</v>
      </c>
      <c r="Y2595" t="s">
        <v>1634</v>
      </c>
      <c r="Z2595" t="s">
        <v>71</v>
      </c>
      <c r="AA2595" t="s">
        <v>1635</v>
      </c>
      <c r="AB2595" t="str">
        <f t="shared" si="120"/>
        <v>46864</v>
      </c>
    </row>
    <row r="2596" ht="14.25" spans="1:28">
      <c r="A2596" s="5" t="s">
        <v>28</v>
      </c>
      <c r="B2596" s="5" t="s">
        <v>697</v>
      </c>
      <c r="C2596" s="5">
        <v>2027</v>
      </c>
      <c r="D2596" s="5" t="s">
        <v>30</v>
      </c>
      <c r="E2596" t="s">
        <v>1631</v>
      </c>
      <c r="F2596" t="s">
        <v>1632</v>
      </c>
      <c r="G2596" t="s">
        <v>65</v>
      </c>
      <c r="H2596" t="s">
        <v>1633</v>
      </c>
      <c r="I2596" t="s">
        <v>119</v>
      </c>
      <c r="J2596" t="s">
        <v>74</v>
      </c>
      <c r="K2596">
        <v>1590</v>
      </c>
      <c r="O2596" t="s">
        <v>68</v>
      </c>
      <c r="P2596" t="s">
        <v>72</v>
      </c>
      <c r="U2596" s="9" t="s">
        <v>136</v>
      </c>
      <c r="V2596" t="s">
        <v>137</v>
      </c>
      <c r="W2596" t="s">
        <v>138</v>
      </c>
      <c r="X2596" t="s">
        <v>70</v>
      </c>
      <c r="Y2596" t="s">
        <v>1634</v>
      </c>
      <c r="Z2596" t="s">
        <v>71</v>
      </c>
      <c r="AA2596" t="s">
        <v>1635</v>
      </c>
      <c r="AB2596" t="str">
        <f t="shared" si="120"/>
        <v>46864</v>
      </c>
    </row>
    <row r="2597" ht="14.25" spans="1:28">
      <c r="A2597" s="5" t="s">
        <v>28</v>
      </c>
      <c r="B2597" s="5" t="s">
        <v>697</v>
      </c>
      <c r="C2597" s="5">
        <v>2027</v>
      </c>
      <c r="D2597" s="5" t="s">
        <v>30</v>
      </c>
      <c r="E2597" t="s">
        <v>1631</v>
      </c>
      <c r="F2597" t="s">
        <v>1632</v>
      </c>
      <c r="G2597" t="s">
        <v>65</v>
      </c>
      <c r="H2597" t="s">
        <v>1633</v>
      </c>
      <c r="I2597" t="s">
        <v>119</v>
      </c>
      <c r="J2597" t="s">
        <v>74</v>
      </c>
      <c r="K2597">
        <v>1590</v>
      </c>
      <c r="O2597" t="s">
        <v>68</v>
      </c>
      <c r="P2597" t="s">
        <v>73</v>
      </c>
      <c r="U2597" s="9" t="s">
        <v>136</v>
      </c>
      <c r="V2597" t="s">
        <v>137</v>
      </c>
      <c r="W2597" t="s">
        <v>138</v>
      </c>
      <c r="X2597" t="s">
        <v>70</v>
      </c>
      <c r="Y2597" t="s">
        <v>1634</v>
      </c>
      <c r="Z2597" t="s">
        <v>71</v>
      </c>
      <c r="AA2597" t="s">
        <v>1635</v>
      </c>
      <c r="AB2597" t="str">
        <f t="shared" si="120"/>
        <v>46864</v>
      </c>
    </row>
    <row r="2598" ht="14.25" spans="1:28">
      <c r="A2598" s="5" t="s">
        <v>28</v>
      </c>
      <c r="B2598" s="5" t="s">
        <v>697</v>
      </c>
      <c r="C2598" s="5">
        <v>2027</v>
      </c>
      <c r="D2598" s="5" t="s">
        <v>30</v>
      </c>
      <c r="E2598" t="s">
        <v>1631</v>
      </c>
      <c r="F2598" t="s">
        <v>1632</v>
      </c>
      <c r="G2598" t="s">
        <v>65</v>
      </c>
      <c r="H2598" t="s">
        <v>1633</v>
      </c>
      <c r="I2598" t="s">
        <v>119</v>
      </c>
      <c r="J2598" t="s">
        <v>74</v>
      </c>
      <c r="K2598">
        <v>1590</v>
      </c>
      <c r="O2598" t="s">
        <v>68</v>
      </c>
      <c r="P2598" t="s">
        <v>74</v>
      </c>
      <c r="U2598" s="9" t="s">
        <v>136</v>
      </c>
      <c r="V2598" t="s">
        <v>137</v>
      </c>
      <c r="W2598" t="s">
        <v>138</v>
      </c>
      <c r="X2598" t="s">
        <v>70</v>
      </c>
      <c r="Y2598" t="s">
        <v>1634</v>
      </c>
      <c r="Z2598" t="s">
        <v>71</v>
      </c>
      <c r="AA2598" t="s">
        <v>1635</v>
      </c>
      <c r="AB2598" t="str">
        <f t="shared" si="120"/>
        <v>46864</v>
      </c>
    </row>
    <row r="2599" ht="14.25" spans="1:28">
      <c r="A2599" s="5" t="s">
        <v>28</v>
      </c>
      <c r="B2599" s="5" t="s">
        <v>697</v>
      </c>
      <c r="C2599" s="5">
        <v>2027</v>
      </c>
      <c r="D2599" s="5" t="s">
        <v>30</v>
      </c>
      <c r="E2599" t="s">
        <v>1631</v>
      </c>
      <c r="F2599" t="s">
        <v>1632</v>
      </c>
      <c r="G2599" t="s">
        <v>65</v>
      </c>
      <c r="H2599" t="s">
        <v>1633</v>
      </c>
      <c r="I2599" t="s">
        <v>119</v>
      </c>
      <c r="J2599" t="s">
        <v>74</v>
      </c>
      <c r="K2599">
        <v>1590</v>
      </c>
      <c r="O2599" t="s">
        <v>68</v>
      </c>
      <c r="P2599" t="s">
        <v>75</v>
      </c>
      <c r="U2599" s="9" t="s">
        <v>136</v>
      </c>
      <c r="V2599" t="s">
        <v>137</v>
      </c>
      <c r="W2599" t="s">
        <v>138</v>
      </c>
      <c r="X2599" t="s">
        <v>70</v>
      </c>
      <c r="Y2599" t="s">
        <v>1634</v>
      </c>
      <c r="Z2599" t="s">
        <v>71</v>
      </c>
      <c r="AA2599" t="s">
        <v>1635</v>
      </c>
      <c r="AB2599" t="str">
        <f t="shared" si="120"/>
        <v>46864</v>
      </c>
    </row>
    <row r="2600" ht="14.25" spans="1:28">
      <c r="A2600" s="5" t="s">
        <v>28</v>
      </c>
      <c r="B2600" s="5" t="s">
        <v>697</v>
      </c>
      <c r="C2600" s="5">
        <v>2027</v>
      </c>
      <c r="D2600" s="5" t="s">
        <v>30</v>
      </c>
      <c r="E2600" t="s">
        <v>1631</v>
      </c>
      <c r="F2600" t="s">
        <v>1632</v>
      </c>
      <c r="G2600" t="s">
        <v>65</v>
      </c>
      <c r="H2600" t="s">
        <v>1633</v>
      </c>
      <c r="I2600" t="s">
        <v>119</v>
      </c>
      <c r="J2600" t="s">
        <v>74</v>
      </c>
      <c r="K2600">
        <v>1590</v>
      </c>
      <c r="O2600" t="s">
        <v>68</v>
      </c>
      <c r="P2600" t="s">
        <v>76</v>
      </c>
      <c r="U2600" s="9" t="s">
        <v>136</v>
      </c>
      <c r="V2600" t="s">
        <v>137</v>
      </c>
      <c r="W2600" t="s">
        <v>138</v>
      </c>
      <c r="X2600" t="s">
        <v>70</v>
      </c>
      <c r="Y2600" t="s">
        <v>1634</v>
      </c>
      <c r="Z2600" t="s">
        <v>71</v>
      </c>
      <c r="AA2600" t="s">
        <v>1635</v>
      </c>
      <c r="AB2600" t="str">
        <f t="shared" si="120"/>
        <v>46864</v>
      </c>
    </row>
    <row r="2601" ht="14.25" spans="1:28">
      <c r="A2601" s="5" t="s">
        <v>28</v>
      </c>
      <c r="B2601" s="5" t="s">
        <v>697</v>
      </c>
      <c r="C2601" s="5">
        <v>2027</v>
      </c>
      <c r="D2601" s="5" t="s">
        <v>30</v>
      </c>
      <c r="E2601" t="s">
        <v>1631</v>
      </c>
      <c r="F2601" t="s">
        <v>1632</v>
      </c>
      <c r="G2601" t="s">
        <v>65</v>
      </c>
      <c r="H2601" t="s">
        <v>1633</v>
      </c>
      <c r="I2601" t="s">
        <v>119</v>
      </c>
      <c r="J2601" t="s">
        <v>74</v>
      </c>
      <c r="K2601">
        <v>1590</v>
      </c>
      <c r="O2601" t="s">
        <v>68</v>
      </c>
      <c r="P2601" t="s">
        <v>77</v>
      </c>
      <c r="U2601" s="9" t="s">
        <v>136</v>
      </c>
      <c r="V2601" t="s">
        <v>137</v>
      </c>
      <c r="W2601" t="s">
        <v>138</v>
      </c>
      <c r="X2601" t="s">
        <v>70</v>
      </c>
      <c r="Y2601" t="s">
        <v>1634</v>
      </c>
      <c r="Z2601" t="s">
        <v>71</v>
      </c>
      <c r="AA2601" t="s">
        <v>1635</v>
      </c>
      <c r="AB2601" t="str">
        <f t="shared" si="120"/>
        <v>46864</v>
      </c>
    </row>
    <row r="2602" ht="14.25" spans="1:28">
      <c r="A2602" s="5" t="s">
        <v>28</v>
      </c>
      <c r="B2602" s="5" t="s">
        <v>697</v>
      </c>
      <c r="C2602" s="5">
        <v>2027</v>
      </c>
      <c r="D2602" s="5" t="s">
        <v>30</v>
      </c>
      <c r="E2602" t="s">
        <v>1631</v>
      </c>
      <c r="F2602" t="s">
        <v>1632</v>
      </c>
      <c r="G2602" t="s">
        <v>65</v>
      </c>
      <c r="H2602" t="s">
        <v>1633</v>
      </c>
      <c r="I2602" t="s">
        <v>119</v>
      </c>
      <c r="J2602" t="s">
        <v>74</v>
      </c>
      <c r="K2602">
        <v>1590</v>
      </c>
      <c r="O2602" t="s">
        <v>68</v>
      </c>
      <c r="P2602" t="s">
        <v>78</v>
      </c>
      <c r="U2602" s="9" t="s">
        <v>136</v>
      </c>
      <c r="V2602" t="s">
        <v>137</v>
      </c>
      <c r="W2602" t="s">
        <v>138</v>
      </c>
      <c r="X2602" t="s">
        <v>70</v>
      </c>
      <c r="Y2602" t="s">
        <v>1634</v>
      </c>
      <c r="Z2602" t="s">
        <v>71</v>
      </c>
      <c r="AA2602" t="s">
        <v>1635</v>
      </c>
      <c r="AB2602" t="str">
        <f t="shared" si="120"/>
        <v>46864</v>
      </c>
    </row>
    <row r="2603" ht="14.25" spans="1:28">
      <c r="A2603" s="5" t="s">
        <v>28</v>
      </c>
      <c r="B2603" s="5" t="s">
        <v>697</v>
      </c>
      <c r="C2603" s="5">
        <v>2027</v>
      </c>
      <c r="D2603" s="5" t="s">
        <v>30</v>
      </c>
      <c r="E2603" t="s">
        <v>1631</v>
      </c>
      <c r="F2603" t="s">
        <v>1632</v>
      </c>
      <c r="G2603" t="s">
        <v>65</v>
      </c>
      <c r="H2603" t="s">
        <v>1633</v>
      </c>
      <c r="I2603" t="s">
        <v>119</v>
      </c>
      <c r="J2603" t="s">
        <v>74</v>
      </c>
      <c r="K2603">
        <v>1590</v>
      </c>
      <c r="O2603" t="s">
        <v>68</v>
      </c>
      <c r="P2603" t="s">
        <v>79</v>
      </c>
      <c r="U2603" s="9" t="s">
        <v>136</v>
      </c>
      <c r="V2603" t="s">
        <v>137</v>
      </c>
      <c r="W2603" t="s">
        <v>138</v>
      </c>
      <c r="X2603" t="s">
        <v>70</v>
      </c>
      <c r="Y2603" t="s">
        <v>1634</v>
      </c>
      <c r="Z2603" t="s">
        <v>71</v>
      </c>
      <c r="AA2603" t="s">
        <v>1635</v>
      </c>
      <c r="AB2603" t="str">
        <f t="shared" si="120"/>
        <v>46864</v>
      </c>
    </row>
    <row r="2604" ht="14.25" spans="1:28">
      <c r="A2604" s="5" t="s">
        <v>28</v>
      </c>
      <c r="B2604" s="5" t="s">
        <v>697</v>
      </c>
      <c r="C2604" s="5">
        <v>2027</v>
      </c>
      <c r="D2604" s="5" t="s">
        <v>30</v>
      </c>
      <c r="E2604" t="s">
        <v>1636</v>
      </c>
      <c r="F2604" t="s">
        <v>1632</v>
      </c>
      <c r="G2604" t="s">
        <v>100</v>
      </c>
      <c r="H2604" t="s">
        <v>1637</v>
      </c>
      <c r="I2604" t="s">
        <v>119</v>
      </c>
      <c r="J2604" t="s">
        <v>74</v>
      </c>
      <c r="K2604">
        <v>1590</v>
      </c>
      <c r="O2604" t="s">
        <v>68</v>
      </c>
      <c r="P2604" t="s">
        <v>69</v>
      </c>
      <c r="R2604">
        <f t="shared" si="121"/>
        <v>0</v>
      </c>
      <c r="S2604">
        <f>SUMIFS([1]Sheet1!$T:$T,[1]Sheet1!$I:$I,E2604,[1]Sheet1!$C:$C,A2604)</f>
        <v>300</v>
      </c>
      <c r="T2604">
        <f t="shared" si="122"/>
        <v>-300</v>
      </c>
      <c r="U2604" s="9" t="s">
        <v>136</v>
      </c>
      <c r="V2604" t="s">
        <v>137</v>
      </c>
      <c r="W2604" t="s">
        <v>138</v>
      </c>
      <c r="X2604" t="s">
        <v>102</v>
      </c>
      <c r="Y2604" t="s">
        <v>1634</v>
      </c>
      <c r="Z2604" t="s">
        <v>71</v>
      </c>
      <c r="AA2604" t="s">
        <v>1635</v>
      </c>
      <c r="AB2604" t="str">
        <f t="shared" si="120"/>
        <v>46864</v>
      </c>
    </row>
    <row r="2605" ht="14.25" spans="1:28">
      <c r="A2605" s="5" t="s">
        <v>28</v>
      </c>
      <c r="B2605" s="5" t="s">
        <v>697</v>
      </c>
      <c r="C2605" s="5">
        <v>2027</v>
      </c>
      <c r="D2605" s="5" t="s">
        <v>30</v>
      </c>
      <c r="E2605" t="s">
        <v>1636</v>
      </c>
      <c r="F2605" t="s">
        <v>1632</v>
      </c>
      <c r="G2605" t="s">
        <v>100</v>
      </c>
      <c r="H2605" t="s">
        <v>1637</v>
      </c>
      <c r="I2605" t="s">
        <v>119</v>
      </c>
      <c r="J2605" t="s">
        <v>74</v>
      </c>
      <c r="K2605">
        <v>1590</v>
      </c>
      <c r="O2605" t="s">
        <v>68</v>
      </c>
      <c r="P2605" t="s">
        <v>72</v>
      </c>
      <c r="U2605" s="9" t="s">
        <v>136</v>
      </c>
      <c r="V2605" t="s">
        <v>137</v>
      </c>
      <c r="W2605" t="s">
        <v>138</v>
      </c>
      <c r="X2605" t="s">
        <v>102</v>
      </c>
      <c r="Y2605" t="s">
        <v>1634</v>
      </c>
      <c r="Z2605" t="s">
        <v>71</v>
      </c>
      <c r="AA2605" t="s">
        <v>1635</v>
      </c>
      <c r="AB2605" t="str">
        <f t="shared" si="120"/>
        <v>46864</v>
      </c>
    </row>
    <row r="2606" ht="14.25" spans="1:28">
      <c r="A2606" s="5" t="s">
        <v>28</v>
      </c>
      <c r="B2606" s="5" t="s">
        <v>697</v>
      </c>
      <c r="C2606" s="5">
        <v>2027</v>
      </c>
      <c r="D2606" s="5" t="s">
        <v>30</v>
      </c>
      <c r="E2606" t="s">
        <v>1636</v>
      </c>
      <c r="F2606" t="s">
        <v>1632</v>
      </c>
      <c r="G2606" t="s">
        <v>100</v>
      </c>
      <c r="H2606" t="s">
        <v>1637</v>
      </c>
      <c r="I2606" t="s">
        <v>119</v>
      </c>
      <c r="J2606" t="s">
        <v>74</v>
      </c>
      <c r="K2606">
        <v>1590</v>
      </c>
      <c r="O2606" t="s">
        <v>68</v>
      </c>
      <c r="P2606" t="s">
        <v>73</v>
      </c>
      <c r="U2606" s="9" t="s">
        <v>136</v>
      </c>
      <c r="V2606" t="s">
        <v>137</v>
      </c>
      <c r="W2606" t="s">
        <v>138</v>
      </c>
      <c r="X2606" t="s">
        <v>102</v>
      </c>
      <c r="Y2606" t="s">
        <v>1634</v>
      </c>
      <c r="Z2606" t="s">
        <v>71</v>
      </c>
      <c r="AA2606" t="s">
        <v>1635</v>
      </c>
      <c r="AB2606" t="str">
        <f t="shared" si="120"/>
        <v>46864</v>
      </c>
    </row>
    <row r="2607" ht="14.25" spans="1:28">
      <c r="A2607" s="5" t="s">
        <v>28</v>
      </c>
      <c r="B2607" s="5" t="s">
        <v>697</v>
      </c>
      <c r="C2607" s="5">
        <v>2027</v>
      </c>
      <c r="D2607" s="5" t="s">
        <v>30</v>
      </c>
      <c r="E2607" t="s">
        <v>1636</v>
      </c>
      <c r="F2607" t="s">
        <v>1632</v>
      </c>
      <c r="G2607" t="s">
        <v>100</v>
      </c>
      <c r="H2607" t="s">
        <v>1637</v>
      </c>
      <c r="I2607" t="s">
        <v>119</v>
      </c>
      <c r="J2607" t="s">
        <v>74</v>
      </c>
      <c r="K2607">
        <v>1590</v>
      </c>
      <c r="O2607" t="s">
        <v>68</v>
      </c>
      <c r="P2607" t="s">
        <v>74</v>
      </c>
      <c r="U2607" s="9" t="s">
        <v>136</v>
      </c>
      <c r="V2607" t="s">
        <v>137</v>
      </c>
      <c r="W2607" t="s">
        <v>138</v>
      </c>
      <c r="X2607" t="s">
        <v>102</v>
      </c>
      <c r="Y2607" t="s">
        <v>1634</v>
      </c>
      <c r="Z2607" t="s">
        <v>71</v>
      </c>
      <c r="AA2607" t="s">
        <v>1635</v>
      </c>
      <c r="AB2607" t="str">
        <f t="shared" si="120"/>
        <v>46864</v>
      </c>
    </row>
    <row r="2608" ht="14.25" spans="1:28">
      <c r="A2608" s="5" t="s">
        <v>28</v>
      </c>
      <c r="B2608" s="5" t="s">
        <v>697</v>
      </c>
      <c r="C2608" s="5">
        <v>2027</v>
      </c>
      <c r="D2608" s="5" t="s">
        <v>30</v>
      </c>
      <c r="E2608" t="s">
        <v>1636</v>
      </c>
      <c r="F2608" t="s">
        <v>1632</v>
      </c>
      <c r="G2608" t="s">
        <v>100</v>
      </c>
      <c r="H2608" t="s">
        <v>1637</v>
      </c>
      <c r="I2608" t="s">
        <v>119</v>
      </c>
      <c r="J2608" t="s">
        <v>74</v>
      </c>
      <c r="K2608">
        <v>1590</v>
      </c>
      <c r="O2608" t="s">
        <v>68</v>
      </c>
      <c r="P2608" t="s">
        <v>75</v>
      </c>
      <c r="U2608" s="9" t="s">
        <v>136</v>
      </c>
      <c r="V2608" t="s">
        <v>137</v>
      </c>
      <c r="W2608" t="s">
        <v>138</v>
      </c>
      <c r="X2608" t="s">
        <v>102</v>
      </c>
      <c r="Y2608" t="s">
        <v>1634</v>
      </c>
      <c r="Z2608" t="s">
        <v>71</v>
      </c>
      <c r="AA2608" t="s">
        <v>1635</v>
      </c>
      <c r="AB2608" t="str">
        <f t="shared" si="120"/>
        <v>46864</v>
      </c>
    </row>
    <row r="2609" ht="14.25" spans="1:28">
      <c r="A2609" s="5" t="s">
        <v>28</v>
      </c>
      <c r="B2609" s="5" t="s">
        <v>697</v>
      </c>
      <c r="C2609" s="5">
        <v>2027</v>
      </c>
      <c r="D2609" s="5" t="s">
        <v>30</v>
      </c>
      <c r="E2609" t="s">
        <v>1636</v>
      </c>
      <c r="F2609" t="s">
        <v>1632</v>
      </c>
      <c r="G2609" t="s">
        <v>100</v>
      </c>
      <c r="H2609" t="s">
        <v>1637</v>
      </c>
      <c r="I2609" t="s">
        <v>119</v>
      </c>
      <c r="J2609" t="s">
        <v>74</v>
      </c>
      <c r="K2609">
        <v>1590</v>
      </c>
      <c r="O2609" t="s">
        <v>68</v>
      </c>
      <c r="P2609" t="s">
        <v>76</v>
      </c>
      <c r="U2609" s="9" t="s">
        <v>136</v>
      </c>
      <c r="V2609" t="s">
        <v>137</v>
      </c>
      <c r="W2609" t="s">
        <v>138</v>
      </c>
      <c r="X2609" t="s">
        <v>102</v>
      </c>
      <c r="Y2609" t="s">
        <v>1634</v>
      </c>
      <c r="Z2609" t="s">
        <v>71</v>
      </c>
      <c r="AA2609" t="s">
        <v>1635</v>
      </c>
      <c r="AB2609" t="str">
        <f t="shared" si="120"/>
        <v>46864</v>
      </c>
    </row>
    <row r="2610" ht="14.25" spans="1:28">
      <c r="A2610" s="5" t="s">
        <v>28</v>
      </c>
      <c r="B2610" s="5" t="s">
        <v>697</v>
      </c>
      <c r="C2610" s="5">
        <v>2027</v>
      </c>
      <c r="D2610" s="5" t="s">
        <v>30</v>
      </c>
      <c r="E2610" t="s">
        <v>1636</v>
      </c>
      <c r="F2610" t="s">
        <v>1632</v>
      </c>
      <c r="G2610" t="s">
        <v>100</v>
      </c>
      <c r="H2610" t="s">
        <v>1637</v>
      </c>
      <c r="I2610" t="s">
        <v>119</v>
      </c>
      <c r="J2610" t="s">
        <v>74</v>
      </c>
      <c r="K2610">
        <v>1590</v>
      </c>
      <c r="O2610" t="s">
        <v>68</v>
      </c>
      <c r="P2610" t="s">
        <v>77</v>
      </c>
      <c r="U2610" s="9" t="s">
        <v>136</v>
      </c>
      <c r="V2610" t="s">
        <v>137</v>
      </c>
      <c r="W2610" t="s">
        <v>138</v>
      </c>
      <c r="X2610" t="s">
        <v>102</v>
      </c>
      <c r="Y2610" t="s">
        <v>1634</v>
      </c>
      <c r="Z2610" t="s">
        <v>71</v>
      </c>
      <c r="AA2610" t="s">
        <v>1635</v>
      </c>
      <c r="AB2610" t="str">
        <f t="shared" si="120"/>
        <v>46864</v>
      </c>
    </row>
    <row r="2611" ht="14.25" spans="1:28">
      <c r="A2611" s="5" t="s">
        <v>28</v>
      </c>
      <c r="B2611" s="5" t="s">
        <v>697</v>
      </c>
      <c r="C2611" s="5">
        <v>2027</v>
      </c>
      <c r="D2611" s="5" t="s">
        <v>30</v>
      </c>
      <c r="E2611" t="s">
        <v>1636</v>
      </c>
      <c r="F2611" t="s">
        <v>1632</v>
      </c>
      <c r="G2611" t="s">
        <v>100</v>
      </c>
      <c r="H2611" t="s">
        <v>1637</v>
      </c>
      <c r="I2611" t="s">
        <v>119</v>
      </c>
      <c r="J2611" t="s">
        <v>74</v>
      </c>
      <c r="K2611">
        <v>1590</v>
      </c>
      <c r="O2611" t="s">
        <v>68</v>
      </c>
      <c r="P2611" t="s">
        <v>78</v>
      </c>
      <c r="U2611" s="9" t="s">
        <v>136</v>
      </c>
      <c r="V2611" t="s">
        <v>137</v>
      </c>
      <c r="W2611" t="s">
        <v>138</v>
      </c>
      <c r="X2611" t="s">
        <v>102</v>
      </c>
      <c r="Y2611" t="s">
        <v>1634</v>
      </c>
      <c r="Z2611" t="s">
        <v>71</v>
      </c>
      <c r="AA2611" t="s">
        <v>1635</v>
      </c>
      <c r="AB2611" t="str">
        <f t="shared" ref="AB2611:AB2674" si="123">MID(E2611,6,5)</f>
        <v>46864</v>
      </c>
    </row>
    <row r="2612" ht="14.25" spans="1:28">
      <c r="A2612" s="5" t="s">
        <v>28</v>
      </c>
      <c r="B2612" s="5" t="s">
        <v>697</v>
      </c>
      <c r="C2612" s="5">
        <v>2027</v>
      </c>
      <c r="D2612" s="5" t="s">
        <v>30</v>
      </c>
      <c r="E2612" t="s">
        <v>1636</v>
      </c>
      <c r="F2612" t="s">
        <v>1632</v>
      </c>
      <c r="G2612" t="s">
        <v>100</v>
      </c>
      <c r="H2612" t="s">
        <v>1637</v>
      </c>
      <c r="I2612" t="s">
        <v>119</v>
      </c>
      <c r="J2612" t="s">
        <v>74</v>
      </c>
      <c r="K2612">
        <v>1590</v>
      </c>
      <c r="O2612" t="s">
        <v>68</v>
      </c>
      <c r="P2612" t="s">
        <v>79</v>
      </c>
      <c r="U2612" s="9" t="s">
        <v>136</v>
      </c>
      <c r="V2612" t="s">
        <v>137</v>
      </c>
      <c r="W2612" t="s">
        <v>138</v>
      </c>
      <c r="X2612" t="s">
        <v>102</v>
      </c>
      <c r="Y2612" t="s">
        <v>1634</v>
      </c>
      <c r="Z2612" t="s">
        <v>71</v>
      </c>
      <c r="AA2612" t="s">
        <v>1635</v>
      </c>
      <c r="AB2612" t="str">
        <f t="shared" si="123"/>
        <v>46864</v>
      </c>
    </row>
    <row r="2613" ht="14.25" spans="1:28">
      <c r="A2613" s="5" t="s">
        <v>28</v>
      </c>
      <c r="B2613" s="5" t="s">
        <v>697</v>
      </c>
      <c r="C2613" s="5">
        <v>2027</v>
      </c>
      <c r="D2613" s="5" t="s">
        <v>30</v>
      </c>
      <c r="E2613" t="s">
        <v>1638</v>
      </c>
      <c r="F2613" t="s">
        <v>1632</v>
      </c>
      <c r="G2613" t="s">
        <v>1595</v>
      </c>
      <c r="H2613" t="s">
        <v>1639</v>
      </c>
      <c r="I2613" t="s">
        <v>119</v>
      </c>
      <c r="J2613" t="s">
        <v>74</v>
      </c>
      <c r="K2613">
        <v>1590</v>
      </c>
      <c r="O2613" t="s">
        <v>68</v>
      </c>
      <c r="P2613" t="s">
        <v>69</v>
      </c>
      <c r="R2613">
        <f t="shared" si="121"/>
        <v>0</v>
      </c>
      <c r="S2613">
        <f>SUMIFS([1]Sheet1!$T:$T,[1]Sheet1!$I:$I,E2613,[1]Sheet1!$C:$C,A2613)</f>
        <v>60</v>
      </c>
      <c r="T2613">
        <f t="shared" si="122"/>
        <v>-60</v>
      </c>
      <c r="U2613" s="9" t="s">
        <v>136</v>
      </c>
      <c r="V2613" t="s">
        <v>137</v>
      </c>
      <c r="W2613" t="s">
        <v>138</v>
      </c>
      <c r="X2613" t="s">
        <v>243</v>
      </c>
      <c r="Y2613" t="s">
        <v>1634</v>
      </c>
      <c r="Z2613" t="s">
        <v>71</v>
      </c>
      <c r="AA2613" t="s">
        <v>1635</v>
      </c>
      <c r="AB2613" t="str">
        <f t="shared" si="123"/>
        <v>46864</v>
      </c>
    </row>
    <row r="2614" ht="14.25" spans="1:28">
      <c r="A2614" s="5" t="s">
        <v>28</v>
      </c>
      <c r="B2614" s="5" t="s">
        <v>697</v>
      </c>
      <c r="C2614" s="5">
        <v>2027</v>
      </c>
      <c r="D2614" s="5" t="s">
        <v>30</v>
      </c>
      <c r="E2614" t="s">
        <v>1638</v>
      </c>
      <c r="F2614" t="s">
        <v>1632</v>
      </c>
      <c r="G2614" t="s">
        <v>1595</v>
      </c>
      <c r="H2614" t="s">
        <v>1639</v>
      </c>
      <c r="I2614" t="s">
        <v>119</v>
      </c>
      <c r="J2614" t="s">
        <v>74</v>
      </c>
      <c r="K2614">
        <v>1590</v>
      </c>
      <c r="O2614" t="s">
        <v>68</v>
      </c>
      <c r="P2614" t="s">
        <v>72</v>
      </c>
      <c r="U2614" s="9" t="s">
        <v>136</v>
      </c>
      <c r="V2614" t="s">
        <v>137</v>
      </c>
      <c r="W2614" t="s">
        <v>138</v>
      </c>
      <c r="X2614" t="s">
        <v>243</v>
      </c>
      <c r="Y2614" t="s">
        <v>1634</v>
      </c>
      <c r="Z2614" t="s">
        <v>71</v>
      </c>
      <c r="AA2614" t="s">
        <v>1635</v>
      </c>
      <c r="AB2614" t="str">
        <f t="shared" si="123"/>
        <v>46864</v>
      </c>
    </row>
    <row r="2615" ht="14.25" spans="1:28">
      <c r="A2615" s="5" t="s">
        <v>28</v>
      </c>
      <c r="B2615" s="5" t="s">
        <v>697</v>
      </c>
      <c r="C2615" s="5">
        <v>2027</v>
      </c>
      <c r="D2615" s="5" t="s">
        <v>30</v>
      </c>
      <c r="E2615" t="s">
        <v>1638</v>
      </c>
      <c r="F2615" t="s">
        <v>1632</v>
      </c>
      <c r="G2615" t="s">
        <v>1595</v>
      </c>
      <c r="H2615" t="s">
        <v>1639</v>
      </c>
      <c r="I2615" t="s">
        <v>119</v>
      </c>
      <c r="J2615" t="s">
        <v>74</v>
      </c>
      <c r="K2615">
        <v>1590</v>
      </c>
      <c r="O2615" t="s">
        <v>68</v>
      </c>
      <c r="P2615" t="s">
        <v>73</v>
      </c>
      <c r="U2615" s="9" t="s">
        <v>136</v>
      </c>
      <c r="V2615" t="s">
        <v>137</v>
      </c>
      <c r="W2615" t="s">
        <v>138</v>
      </c>
      <c r="X2615" t="s">
        <v>243</v>
      </c>
      <c r="Y2615" t="s">
        <v>1634</v>
      </c>
      <c r="Z2615" t="s">
        <v>71</v>
      </c>
      <c r="AA2615" t="s">
        <v>1635</v>
      </c>
      <c r="AB2615" t="str">
        <f t="shared" si="123"/>
        <v>46864</v>
      </c>
    </row>
    <row r="2616" ht="14.25" spans="1:28">
      <c r="A2616" s="5" t="s">
        <v>28</v>
      </c>
      <c r="B2616" s="5" t="s">
        <v>697</v>
      </c>
      <c r="C2616" s="5">
        <v>2027</v>
      </c>
      <c r="D2616" s="5" t="s">
        <v>30</v>
      </c>
      <c r="E2616" t="s">
        <v>1638</v>
      </c>
      <c r="F2616" t="s">
        <v>1632</v>
      </c>
      <c r="G2616" t="s">
        <v>1595</v>
      </c>
      <c r="H2616" t="s">
        <v>1639</v>
      </c>
      <c r="I2616" t="s">
        <v>119</v>
      </c>
      <c r="J2616" t="s">
        <v>74</v>
      </c>
      <c r="K2616">
        <v>1590</v>
      </c>
      <c r="O2616" t="s">
        <v>68</v>
      </c>
      <c r="P2616" t="s">
        <v>74</v>
      </c>
      <c r="U2616" s="9" t="s">
        <v>136</v>
      </c>
      <c r="V2616" t="s">
        <v>137</v>
      </c>
      <c r="W2616" t="s">
        <v>138</v>
      </c>
      <c r="X2616" t="s">
        <v>243</v>
      </c>
      <c r="Y2616" t="s">
        <v>1634</v>
      </c>
      <c r="Z2616" t="s">
        <v>71</v>
      </c>
      <c r="AA2616" t="s">
        <v>1635</v>
      </c>
      <c r="AB2616" t="str">
        <f t="shared" si="123"/>
        <v>46864</v>
      </c>
    </row>
    <row r="2617" ht="14.25" spans="1:28">
      <c r="A2617" s="5" t="s">
        <v>28</v>
      </c>
      <c r="B2617" s="5" t="s">
        <v>697</v>
      </c>
      <c r="C2617" s="5">
        <v>2027</v>
      </c>
      <c r="D2617" s="5" t="s">
        <v>30</v>
      </c>
      <c r="E2617" t="s">
        <v>1638</v>
      </c>
      <c r="F2617" t="s">
        <v>1632</v>
      </c>
      <c r="G2617" t="s">
        <v>1595</v>
      </c>
      <c r="H2617" t="s">
        <v>1639</v>
      </c>
      <c r="I2617" t="s">
        <v>119</v>
      </c>
      <c r="J2617" t="s">
        <v>74</v>
      </c>
      <c r="K2617">
        <v>1590</v>
      </c>
      <c r="O2617" t="s">
        <v>68</v>
      </c>
      <c r="P2617" t="s">
        <v>75</v>
      </c>
      <c r="U2617" s="9" t="s">
        <v>136</v>
      </c>
      <c r="V2617" t="s">
        <v>137</v>
      </c>
      <c r="W2617" t="s">
        <v>138</v>
      </c>
      <c r="X2617" t="s">
        <v>243</v>
      </c>
      <c r="Y2617" t="s">
        <v>1634</v>
      </c>
      <c r="Z2617" t="s">
        <v>71</v>
      </c>
      <c r="AA2617" t="s">
        <v>1635</v>
      </c>
      <c r="AB2617" t="str">
        <f t="shared" si="123"/>
        <v>46864</v>
      </c>
    </row>
    <row r="2618" ht="14.25" spans="1:28">
      <c r="A2618" s="5" t="s">
        <v>28</v>
      </c>
      <c r="B2618" s="5" t="s">
        <v>697</v>
      </c>
      <c r="C2618" s="5">
        <v>2027</v>
      </c>
      <c r="D2618" s="5" t="s">
        <v>30</v>
      </c>
      <c r="E2618" t="s">
        <v>1638</v>
      </c>
      <c r="F2618" t="s">
        <v>1632</v>
      </c>
      <c r="G2618" t="s">
        <v>1595</v>
      </c>
      <c r="H2618" t="s">
        <v>1639</v>
      </c>
      <c r="I2618" t="s">
        <v>119</v>
      </c>
      <c r="J2618" t="s">
        <v>74</v>
      </c>
      <c r="K2618">
        <v>1590</v>
      </c>
      <c r="O2618" t="s">
        <v>68</v>
      </c>
      <c r="P2618" t="s">
        <v>76</v>
      </c>
      <c r="U2618" s="9" t="s">
        <v>136</v>
      </c>
      <c r="V2618" t="s">
        <v>137</v>
      </c>
      <c r="W2618" t="s">
        <v>138</v>
      </c>
      <c r="X2618" t="s">
        <v>243</v>
      </c>
      <c r="Y2618" t="s">
        <v>1634</v>
      </c>
      <c r="Z2618" t="s">
        <v>71</v>
      </c>
      <c r="AA2618" t="s">
        <v>1635</v>
      </c>
      <c r="AB2618" t="str">
        <f t="shared" si="123"/>
        <v>46864</v>
      </c>
    </row>
    <row r="2619" ht="14.25" spans="1:28">
      <c r="A2619" s="5" t="s">
        <v>28</v>
      </c>
      <c r="B2619" s="5" t="s">
        <v>697</v>
      </c>
      <c r="C2619" s="5">
        <v>2027</v>
      </c>
      <c r="D2619" s="5" t="s">
        <v>30</v>
      </c>
      <c r="E2619" t="s">
        <v>1638</v>
      </c>
      <c r="F2619" t="s">
        <v>1632</v>
      </c>
      <c r="G2619" t="s">
        <v>1595</v>
      </c>
      <c r="H2619" t="s">
        <v>1639</v>
      </c>
      <c r="I2619" t="s">
        <v>119</v>
      </c>
      <c r="J2619" t="s">
        <v>74</v>
      </c>
      <c r="K2619">
        <v>1590</v>
      </c>
      <c r="O2619" t="s">
        <v>68</v>
      </c>
      <c r="P2619" t="s">
        <v>77</v>
      </c>
      <c r="U2619" s="9" t="s">
        <v>136</v>
      </c>
      <c r="V2619" t="s">
        <v>137</v>
      </c>
      <c r="W2619" t="s">
        <v>138</v>
      </c>
      <c r="X2619" t="s">
        <v>243</v>
      </c>
      <c r="Y2619" t="s">
        <v>1634</v>
      </c>
      <c r="Z2619" t="s">
        <v>71</v>
      </c>
      <c r="AA2619" t="s">
        <v>1635</v>
      </c>
      <c r="AB2619" t="str">
        <f t="shared" si="123"/>
        <v>46864</v>
      </c>
    </row>
    <row r="2620" ht="14.25" spans="1:28">
      <c r="A2620" s="5" t="s">
        <v>28</v>
      </c>
      <c r="B2620" s="5" t="s">
        <v>697</v>
      </c>
      <c r="C2620" s="5">
        <v>2027</v>
      </c>
      <c r="D2620" s="5" t="s">
        <v>30</v>
      </c>
      <c r="E2620" t="s">
        <v>1638</v>
      </c>
      <c r="F2620" t="s">
        <v>1632</v>
      </c>
      <c r="G2620" t="s">
        <v>1595</v>
      </c>
      <c r="H2620" t="s">
        <v>1639</v>
      </c>
      <c r="I2620" t="s">
        <v>119</v>
      </c>
      <c r="J2620" t="s">
        <v>74</v>
      </c>
      <c r="K2620">
        <v>1590</v>
      </c>
      <c r="O2620" t="s">
        <v>68</v>
      </c>
      <c r="P2620" t="s">
        <v>78</v>
      </c>
      <c r="U2620" s="9" t="s">
        <v>136</v>
      </c>
      <c r="V2620" t="s">
        <v>137</v>
      </c>
      <c r="W2620" t="s">
        <v>138</v>
      </c>
      <c r="X2620" t="s">
        <v>243</v>
      </c>
      <c r="Y2620" t="s">
        <v>1634</v>
      </c>
      <c r="Z2620" t="s">
        <v>71</v>
      </c>
      <c r="AA2620" t="s">
        <v>1635</v>
      </c>
      <c r="AB2620" t="str">
        <f t="shared" si="123"/>
        <v>46864</v>
      </c>
    </row>
    <row r="2621" ht="14.25" spans="1:28">
      <c r="A2621" s="5" t="s">
        <v>28</v>
      </c>
      <c r="B2621" s="5" t="s">
        <v>697</v>
      </c>
      <c r="C2621" s="5">
        <v>2027</v>
      </c>
      <c r="D2621" s="5" t="s">
        <v>30</v>
      </c>
      <c r="E2621" t="s">
        <v>1638</v>
      </c>
      <c r="F2621" t="s">
        <v>1632</v>
      </c>
      <c r="G2621" t="s">
        <v>1595</v>
      </c>
      <c r="H2621" t="s">
        <v>1639</v>
      </c>
      <c r="I2621" t="s">
        <v>119</v>
      </c>
      <c r="J2621" t="s">
        <v>74</v>
      </c>
      <c r="K2621">
        <v>1590</v>
      </c>
      <c r="O2621" t="s">
        <v>68</v>
      </c>
      <c r="P2621" t="s">
        <v>79</v>
      </c>
      <c r="U2621" s="9" t="s">
        <v>136</v>
      </c>
      <c r="V2621" t="s">
        <v>137</v>
      </c>
      <c r="W2621" t="s">
        <v>138</v>
      </c>
      <c r="X2621" t="s">
        <v>243</v>
      </c>
      <c r="Y2621" t="s">
        <v>1634</v>
      </c>
      <c r="Z2621" t="s">
        <v>71</v>
      </c>
      <c r="AA2621" t="s">
        <v>1635</v>
      </c>
      <c r="AB2621" t="str">
        <f t="shared" si="123"/>
        <v>46864</v>
      </c>
    </row>
    <row r="2622" ht="14.25" spans="1:28">
      <c r="A2622" s="5" t="s">
        <v>28</v>
      </c>
      <c r="B2622" s="5" t="s">
        <v>697</v>
      </c>
      <c r="C2622" s="5">
        <v>2027</v>
      </c>
      <c r="D2622" s="5" t="s">
        <v>30</v>
      </c>
      <c r="E2622" t="s">
        <v>1640</v>
      </c>
      <c r="F2622" t="s">
        <v>1641</v>
      </c>
      <c r="G2622" t="s">
        <v>923</v>
      </c>
      <c r="H2622" t="s">
        <v>1642</v>
      </c>
      <c r="I2622" t="s">
        <v>147</v>
      </c>
      <c r="J2622" t="s">
        <v>74</v>
      </c>
      <c r="K2622">
        <v>1590</v>
      </c>
      <c r="O2622" t="s">
        <v>68</v>
      </c>
      <c r="P2622" t="s">
        <v>69</v>
      </c>
      <c r="R2622">
        <f t="shared" si="121"/>
        <v>0</v>
      </c>
      <c r="S2622">
        <f>SUMIFS([1]Sheet1!$T:$T,[1]Sheet1!$I:$I,E2622,[1]Sheet1!$C:$C,A2622)</f>
        <v>120</v>
      </c>
      <c r="T2622">
        <f t="shared" si="122"/>
        <v>-120</v>
      </c>
      <c r="U2622" s="9" t="s">
        <v>136</v>
      </c>
      <c r="V2622" t="s">
        <v>137</v>
      </c>
      <c r="W2622" t="s">
        <v>138</v>
      </c>
      <c r="X2622" t="s">
        <v>70</v>
      </c>
      <c r="Y2622" t="s">
        <v>1190</v>
      </c>
      <c r="Z2622" t="s">
        <v>140</v>
      </c>
      <c r="AB2622" t="str">
        <f t="shared" si="123"/>
        <v>46866</v>
      </c>
    </row>
    <row r="2623" ht="14.25" spans="1:28">
      <c r="A2623" s="5" t="s">
        <v>28</v>
      </c>
      <c r="B2623" s="5" t="s">
        <v>697</v>
      </c>
      <c r="C2623" s="5">
        <v>2027</v>
      </c>
      <c r="D2623" s="5" t="s">
        <v>30</v>
      </c>
      <c r="E2623" t="s">
        <v>1640</v>
      </c>
      <c r="F2623" t="s">
        <v>1641</v>
      </c>
      <c r="G2623" t="s">
        <v>923</v>
      </c>
      <c r="H2623" t="s">
        <v>1642</v>
      </c>
      <c r="I2623" t="s">
        <v>147</v>
      </c>
      <c r="J2623" t="s">
        <v>74</v>
      </c>
      <c r="K2623">
        <v>1590</v>
      </c>
      <c r="O2623" t="s">
        <v>68</v>
      </c>
      <c r="P2623" t="s">
        <v>72</v>
      </c>
      <c r="U2623" s="9" t="s">
        <v>136</v>
      </c>
      <c r="V2623" t="s">
        <v>137</v>
      </c>
      <c r="W2623" t="s">
        <v>138</v>
      </c>
      <c r="X2623" t="s">
        <v>70</v>
      </c>
      <c r="Y2623" t="s">
        <v>1190</v>
      </c>
      <c r="Z2623" t="s">
        <v>140</v>
      </c>
      <c r="AB2623" t="str">
        <f t="shared" si="123"/>
        <v>46866</v>
      </c>
    </row>
    <row r="2624" ht="14.25" spans="1:28">
      <c r="A2624" s="5" t="s">
        <v>28</v>
      </c>
      <c r="B2624" s="5" t="s">
        <v>697</v>
      </c>
      <c r="C2624" s="5">
        <v>2027</v>
      </c>
      <c r="D2624" s="5" t="s">
        <v>30</v>
      </c>
      <c r="E2624" t="s">
        <v>1640</v>
      </c>
      <c r="F2624" t="s">
        <v>1641</v>
      </c>
      <c r="G2624" t="s">
        <v>923</v>
      </c>
      <c r="H2624" t="s">
        <v>1642</v>
      </c>
      <c r="I2624" t="s">
        <v>147</v>
      </c>
      <c r="J2624" t="s">
        <v>74</v>
      </c>
      <c r="K2624">
        <v>1590</v>
      </c>
      <c r="O2624" t="s">
        <v>68</v>
      </c>
      <c r="P2624" t="s">
        <v>73</v>
      </c>
      <c r="U2624" s="9" t="s">
        <v>136</v>
      </c>
      <c r="V2624" t="s">
        <v>137</v>
      </c>
      <c r="W2624" t="s">
        <v>138</v>
      </c>
      <c r="X2624" t="s">
        <v>70</v>
      </c>
      <c r="Y2624" t="s">
        <v>1190</v>
      </c>
      <c r="Z2624" t="s">
        <v>140</v>
      </c>
      <c r="AB2624" t="str">
        <f t="shared" si="123"/>
        <v>46866</v>
      </c>
    </row>
    <row r="2625" ht="14.25" spans="1:28">
      <c r="A2625" s="5" t="s">
        <v>28</v>
      </c>
      <c r="B2625" s="5" t="s">
        <v>697</v>
      </c>
      <c r="C2625" s="5">
        <v>2027</v>
      </c>
      <c r="D2625" s="5" t="s">
        <v>30</v>
      </c>
      <c r="E2625" t="s">
        <v>1640</v>
      </c>
      <c r="F2625" t="s">
        <v>1641</v>
      </c>
      <c r="G2625" t="s">
        <v>923</v>
      </c>
      <c r="H2625" t="s">
        <v>1642</v>
      </c>
      <c r="I2625" t="s">
        <v>147</v>
      </c>
      <c r="J2625" t="s">
        <v>74</v>
      </c>
      <c r="K2625">
        <v>1590</v>
      </c>
      <c r="O2625" t="s">
        <v>68</v>
      </c>
      <c r="P2625" t="s">
        <v>74</v>
      </c>
      <c r="U2625" s="9" t="s">
        <v>136</v>
      </c>
      <c r="V2625" t="s">
        <v>137</v>
      </c>
      <c r="W2625" t="s">
        <v>138</v>
      </c>
      <c r="X2625" t="s">
        <v>70</v>
      </c>
      <c r="Y2625" t="s">
        <v>1190</v>
      </c>
      <c r="Z2625" t="s">
        <v>140</v>
      </c>
      <c r="AB2625" t="str">
        <f t="shared" si="123"/>
        <v>46866</v>
      </c>
    </row>
    <row r="2626" ht="14.25" spans="1:28">
      <c r="A2626" s="5" t="s">
        <v>28</v>
      </c>
      <c r="B2626" s="5" t="s">
        <v>697</v>
      </c>
      <c r="C2626" s="5">
        <v>2027</v>
      </c>
      <c r="D2626" s="5" t="s">
        <v>30</v>
      </c>
      <c r="E2626" t="s">
        <v>1640</v>
      </c>
      <c r="F2626" t="s">
        <v>1641</v>
      </c>
      <c r="G2626" t="s">
        <v>923</v>
      </c>
      <c r="H2626" t="s">
        <v>1642</v>
      </c>
      <c r="I2626" t="s">
        <v>147</v>
      </c>
      <c r="J2626" t="s">
        <v>74</v>
      </c>
      <c r="K2626">
        <v>1590</v>
      </c>
      <c r="O2626" t="s">
        <v>68</v>
      </c>
      <c r="P2626" t="s">
        <v>75</v>
      </c>
      <c r="U2626" s="9" t="s">
        <v>136</v>
      </c>
      <c r="V2626" t="s">
        <v>137</v>
      </c>
      <c r="W2626" t="s">
        <v>138</v>
      </c>
      <c r="X2626" t="s">
        <v>70</v>
      </c>
      <c r="Y2626" t="s">
        <v>1190</v>
      </c>
      <c r="Z2626" t="s">
        <v>140</v>
      </c>
      <c r="AB2626" t="str">
        <f t="shared" si="123"/>
        <v>46866</v>
      </c>
    </row>
    <row r="2627" ht="14.25" spans="1:28">
      <c r="A2627" s="5" t="s">
        <v>28</v>
      </c>
      <c r="B2627" s="5" t="s">
        <v>697</v>
      </c>
      <c r="C2627" s="5">
        <v>2027</v>
      </c>
      <c r="D2627" s="5" t="s">
        <v>30</v>
      </c>
      <c r="E2627" t="s">
        <v>1640</v>
      </c>
      <c r="F2627" t="s">
        <v>1641</v>
      </c>
      <c r="G2627" t="s">
        <v>923</v>
      </c>
      <c r="H2627" t="s">
        <v>1642</v>
      </c>
      <c r="I2627" t="s">
        <v>147</v>
      </c>
      <c r="J2627" t="s">
        <v>74</v>
      </c>
      <c r="K2627">
        <v>1590</v>
      </c>
      <c r="O2627" t="s">
        <v>68</v>
      </c>
      <c r="P2627" t="s">
        <v>76</v>
      </c>
      <c r="U2627" s="9" t="s">
        <v>136</v>
      </c>
      <c r="V2627" t="s">
        <v>137</v>
      </c>
      <c r="W2627" t="s">
        <v>138</v>
      </c>
      <c r="X2627" t="s">
        <v>70</v>
      </c>
      <c r="Y2627" t="s">
        <v>1190</v>
      </c>
      <c r="Z2627" t="s">
        <v>140</v>
      </c>
      <c r="AB2627" t="str">
        <f t="shared" si="123"/>
        <v>46866</v>
      </c>
    </row>
    <row r="2628" ht="14.25" spans="1:28">
      <c r="A2628" s="5" t="s">
        <v>28</v>
      </c>
      <c r="B2628" s="5" t="s">
        <v>697</v>
      </c>
      <c r="C2628" s="5">
        <v>2027</v>
      </c>
      <c r="D2628" s="5" t="s">
        <v>30</v>
      </c>
      <c r="E2628" t="s">
        <v>1640</v>
      </c>
      <c r="F2628" t="s">
        <v>1641</v>
      </c>
      <c r="G2628" t="s">
        <v>923</v>
      </c>
      <c r="H2628" t="s">
        <v>1642</v>
      </c>
      <c r="I2628" t="s">
        <v>147</v>
      </c>
      <c r="J2628" t="s">
        <v>74</v>
      </c>
      <c r="K2628">
        <v>1590</v>
      </c>
      <c r="O2628" t="s">
        <v>68</v>
      </c>
      <c r="P2628" t="s">
        <v>77</v>
      </c>
      <c r="U2628" s="9" t="s">
        <v>136</v>
      </c>
      <c r="V2628" t="s">
        <v>137</v>
      </c>
      <c r="W2628" t="s">
        <v>138</v>
      </c>
      <c r="X2628" t="s">
        <v>70</v>
      </c>
      <c r="Y2628" t="s">
        <v>1190</v>
      </c>
      <c r="Z2628" t="s">
        <v>140</v>
      </c>
      <c r="AB2628" t="str">
        <f t="shared" si="123"/>
        <v>46866</v>
      </c>
    </row>
    <row r="2629" ht="14.25" spans="1:28">
      <c r="A2629" s="5" t="s">
        <v>28</v>
      </c>
      <c r="B2629" s="5" t="s">
        <v>697</v>
      </c>
      <c r="C2629" s="5">
        <v>2027</v>
      </c>
      <c r="D2629" s="5" t="s">
        <v>30</v>
      </c>
      <c r="E2629" t="s">
        <v>1640</v>
      </c>
      <c r="F2629" t="s">
        <v>1641</v>
      </c>
      <c r="G2629" t="s">
        <v>923</v>
      </c>
      <c r="H2629" t="s">
        <v>1642</v>
      </c>
      <c r="I2629" t="s">
        <v>147</v>
      </c>
      <c r="J2629" t="s">
        <v>74</v>
      </c>
      <c r="K2629">
        <v>1590</v>
      </c>
      <c r="O2629" t="s">
        <v>68</v>
      </c>
      <c r="P2629" t="s">
        <v>78</v>
      </c>
      <c r="U2629" s="9" t="s">
        <v>136</v>
      </c>
      <c r="V2629" t="s">
        <v>137</v>
      </c>
      <c r="W2629" t="s">
        <v>138</v>
      </c>
      <c r="X2629" t="s">
        <v>70</v>
      </c>
      <c r="Y2629" t="s">
        <v>1190</v>
      </c>
      <c r="Z2629" t="s">
        <v>140</v>
      </c>
      <c r="AB2629" t="str">
        <f t="shared" si="123"/>
        <v>46866</v>
      </c>
    </row>
    <row r="2630" ht="14.25" spans="1:28">
      <c r="A2630" s="5" t="s">
        <v>28</v>
      </c>
      <c r="B2630" s="5" t="s">
        <v>697</v>
      </c>
      <c r="C2630" s="5">
        <v>2027</v>
      </c>
      <c r="D2630" s="5" t="s">
        <v>30</v>
      </c>
      <c r="E2630" t="s">
        <v>1640</v>
      </c>
      <c r="F2630" t="s">
        <v>1641</v>
      </c>
      <c r="G2630" t="s">
        <v>923</v>
      </c>
      <c r="H2630" t="s">
        <v>1642</v>
      </c>
      <c r="I2630" t="s">
        <v>147</v>
      </c>
      <c r="J2630" t="s">
        <v>74</v>
      </c>
      <c r="K2630">
        <v>1590</v>
      </c>
      <c r="O2630" t="s">
        <v>68</v>
      </c>
      <c r="P2630" t="s">
        <v>79</v>
      </c>
      <c r="U2630" s="9" t="s">
        <v>136</v>
      </c>
      <c r="V2630" t="s">
        <v>137</v>
      </c>
      <c r="W2630" t="s">
        <v>138</v>
      </c>
      <c r="X2630" t="s">
        <v>70</v>
      </c>
      <c r="Y2630" t="s">
        <v>1190</v>
      </c>
      <c r="Z2630" t="s">
        <v>140</v>
      </c>
      <c r="AB2630" t="str">
        <f t="shared" si="123"/>
        <v>46866</v>
      </c>
    </row>
    <row r="2631" ht="14.25" spans="1:28">
      <c r="A2631" s="5" t="s">
        <v>28</v>
      </c>
      <c r="B2631" s="5" t="s">
        <v>697</v>
      </c>
      <c r="C2631" s="5">
        <v>2027</v>
      </c>
      <c r="D2631" s="5" t="s">
        <v>30</v>
      </c>
      <c r="E2631" t="s">
        <v>1643</v>
      </c>
      <c r="F2631" t="s">
        <v>1641</v>
      </c>
      <c r="G2631" t="s">
        <v>100</v>
      </c>
      <c r="H2631" t="s">
        <v>1644</v>
      </c>
      <c r="I2631" t="s">
        <v>147</v>
      </c>
      <c r="J2631" t="s">
        <v>74</v>
      </c>
      <c r="K2631">
        <v>1590</v>
      </c>
      <c r="O2631" t="s">
        <v>68</v>
      </c>
      <c r="P2631" t="s">
        <v>69</v>
      </c>
      <c r="R2631">
        <f t="shared" ref="R2626:R2689" si="124">SUMIFS(Q:Q,E:E,E2631)</f>
        <v>0</v>
      </c>
      <c r="S2631">
        <f>SUMIFS([1]Sheet1!$T:$T,[1]Sheet1!$I:$I,E2631,[1]Sheet1!$C:$C,A2631)</f>
        <v>150</v>
      </c>
      <c r="T2631">
        <f t="shared" ref="T2626:T2689" si="125">R2631-S2631</f>
        <v>-150</v>
      </c>
      <c r="U2631" s="9" t="s">
        <v>136</v>
      </c>
      <c r="V2631" t="s">
        <v>137</v>
      </c>
      <c r="W2631" t="s">
        <v>138</v>
      </c>
      <c r="X2631" t="s">
        <v>102</v>
      </c>
      <c r="Y2631" t="s">
        <v>1190</v>
      </c>
      <c r="Z2631" t="s">
        <v>140</v>
      </c>
      <c r="AB2631" t="str">
        <f t="shared" si="123"/>
        <v>46866</v>
      </c>
    </row>
    <row r="2632" ht="14.25" spans="1:28">
      <c r="A2632" s="5" t="s">
        <v>28</v>
      </c>
      <c r="B2632" s="5" t="s">
        <v>697</v>
      </c>
      <c r="C2632" s="5">
        <v>2027</v>
      </c>
      <c r="D2632" s="5" t="s">
        <v>30</v>
      </c>
      <c r="E2632" t="s">
        <v>1643</v>
      </c>
      <c r="F2632" t="s">
        <v>1641</v>
      </c>
      <c r="G2632" t="s">
        <v>100</v>
      </c>
      <c r="H2632" t="s">
        <v>1644</v>
      </c>
      <c r="I2632" t="s">
        <v>147</v>
      </c>
      <c r="J2632" t="s">
        <v>74</v>
      </c>
      <c r="K2632">
        <v>1590</v>
      </c>
      <c r="O2632" t="s">
        <v>68</v>
      </c>
      <c r="P2632" t="s">
        <v>72</v>
      </c>
      <c r="U2632" s="9" t="s">
        <v>136</v>
      </c>
      <c r="V2632" t="s">
        <v>137</v>
      </c>
      <c r="W2632" t="s">
        <v>138</v>
      </c>
      <c r="X2632" t="s">
        <v>102</v>
      </c>
      <c r="Y2632" t="s">
        <v>1190</v>
      </c>
      <c r="Z2632" t="s">
        <v>140</v>
      </c>
      <c r="AB2632" t="str">
        <f t="shared" si="123"/>
        <v>46866</v>
      </c>
    </row>
    <row r="2633" ht="14.25" spans="1:28">
      <c r="A2633" s="5" t="s">
        <v>28</v>
      </c>
      <c r="B2633" s="5" t="s">
        <v>697</v>
      </c>
      <c r="C2633" s="5">
        <v>2027</v>
      </c>
      <c r="D2633" s="5" t="s">
        <v>30</v>
      </c>
      <c r="E2633" t="s">
        <v>1643</v>
      </c>
      <c r="F2633" t="s">
        <v>1641</v>
      </c>
      <c r="G2633" t="s">
        <v>100</v>
      </c>
      <c r="H2633" t="s">
        <v>1644</v>
      </c>
      <c r="I2633" t="s">
        <v>147</v>
      </c>
      <c r="J2633" t="s">
        <v>74</v>
      </c>
      <c r="K2633">
        <v>1590</v>
      </c>
      <c r="O2633" t="s">
        <v>68</v>
      </c>
      <c r="P2633" t="s">
        <v>73</v>
      </c>
      <c r="U2633" s="9" t="s">
        <v>136</v>
      </c>
      <c r="V2633" t="s">
        <v>137</v>
      </c>
      <c r="W2633" t="s">
        <v>138</v>
      </c>
      <c r="X2633" t="s">
        <v>102</v>
      </c>
      <c r="Y2633" t="s">
        <v>1190</v>
      </c>
      <c r="Z2633" t="s">
        <v>140</v>
      </c>
      <c r="AB2633" t="str">
        <f t="shared" si="123"/>
        <v>46866</v>
      </c>
    </row>
    <row r="2634" ht="14.25" spans="1:28">
      <c r="A2634" s="5" t="s">
        <v>28</v>
      </c>
      <c r="B2634" s="5" t="s">
        <v>697</v>
      </c>
      <c r="C2634" s="5">
        <v>2027</v>
      </c>
      <c r="D2634" s="5" t="s">
        <v>30</v>
      </c>
      <c r="E2634" t="s">
        <v>1643</v>
      </c>
      <c r="F2634" t="s">
        <v>1641</v>
      </c>
      <c r="G2634" t="s">
        <v>100</v>
      </c>
      <c r="H2634" t="s">
        <v>1644</v>
      </c>
      <c r="I2634" t="s">
        <v>147</v>
      </c>
      <c r="J2634" t="s">
        <v>74</v>
      </c>
      <c r="K2634">
        <v>1590</v>
      </c>
      <c r="O2634" t="s">
        <v>68</v>
      </c>
      <c r="P2634" t="s">
        <v>74</v>
      </c>
      <c r="U2634" s="9" t="s">
        <v>136</v>
      </c>
      <c r="V2634" t="s">
        <v>137</v>
      </c>
      <c r="W2634" t="s">
        <v>138</v>
      </c>
      <c r="X2634" t="s">
        <v>102</v>
      </c>
      <c r="Y2634" t="s">
        <v>1190</v>
      </c>
      <c r="Z2634" t="s">
        <v>140</v>
      </c>
      <c r="AB2634" t="str">
        <f t="shared" si="123"/>
        <v>46866</v>
      </c>
    </row>
    <row r="2635" ht="14.25" spans="1:28">
      <c r="A2635" s="5" t="s">
        <v>28</v>
      </c>
      <c r="B2635" s="5" t="s">
        <v>697</v>
      </c>
      <c r="C2635" s="5">
        <v>2027</v>
      </c>
      <c r="D2635" s="5" t="s">
        <v>30</v>
      </c>
      <c r="E2635" t="s">
        <v>1643</v>
      </c>
      <c r="F2635" t="s">
        <v>1641</v>
      </c>
      <c r="G2635" t="s">
        <v>100</v>
      </c>
      <c r="H2635" t="s">
        <v>1644</v>
      </c>
      <c r="I2635" t="s">
        <v>147</v>
      </c>
      <c r="J2635" t="s">
        <v>74</v>
      </c>
      <c r="K2635">
        <v>1590</v>
      </c>
      <c r="O2635" t="s">
        <v>68</v>
      </c>
      <c r="P2635" t="s">
        <v>75</v>
      </c>
      <c r="U2635" s="9" t="s">
        <v>136</v>
      </c>
      <c r="V2635" t="s">
        <v>137</v>
      </c>
      <c r="W2635" t="s">
        <v>138</v>
      </c>
      <c r="X2635" t="s">
        <v>102</v>
      </c>
      <c r="Y2635" t="s">
        <v>1190</v>
      </c>
      <c r="Z2635" t="s">
        <v>140</v>
      </c>
      <c r="AB2635" t="str">
        <f t="shared" si="123"/>
        <v>46866</v>
      </c>
    </row>
    <row r="2636" ht="14.25" spans="1:28">
      <c r="A2636" s="5" t="s">
        <v>28</v>
      </c>
      <c r="B2636" s="5" t="s">
        <v>697</v>
      </c>
      <c r="C2636" s="5">
        <v>2027</v>
      </c>
      <c r="D2636" s="5" t="s">
        <v>30</v>
      </c>
      <c r="E2636" t="s">
        <v>1643</v>
      </c>
      <c r="F2636" t="s">
        <v>1641</v>
      </c>
      <c r="G2636" t="s">
        <v>100</v>
      </c>
      <c r="H2636" t="s">
        <v>1644</v>
      </c>
      <c r="I2636" t="s">
        <v>147</v>
      </c>
      <c r="J2636" t="s">
        <v>74</v>
      </c>
      <c r="K2636">
        <v>1590</v>
      </c>
      <c r="O2636" t="s">
        <v>68</v>
      </c>
      <c r="P2636" t="s">
        <v>76</v>
      </c>
      <c r="U2636" s="9" t="s">
        <v>136</v>
      </c>
      <c r="V2636" t="s">
        <v>137</v>
      </c>
      <c r="W2636" t="s">
        <v>138</v>
      </c>
      <c r="X2636" t="s">
        <v>102</v>
      </c>
      <c r="Y2636" t="s">
        <v>1190</v>
      </c>
      <c r="Z2636" t="s">
        <v>140</v>
      </c>
      <c r="AB2636" t="str">
        <f t="shared" si="123"/>
        <v>46866</v>
      </c>
    </row>
    <row r="2637" ht="14.25" spans="1:28">
      <c r="A2637" s="5" t="s">
        <v>28</v>
      </c>
      <c r="B2637" s="5" t="s">
        <v>697</v>
      </c>
      <c r="C2637" s="5">
        <v>2027</v>
      </c>
      <c r="D2637" s="5" t="s">
        <v>30</v>
      </c>
      <c r="E2637" t="s">
        <v>1643</v>
      </c>
      <c r="F2637" t="s">
        <v>1641</v>
      </c>
      <c r="G2637" t="s">
        <v>100</v>
      </c>
      <c r="H2637" t="s">
        <v>1644</v>
      </c>
      <c r="I2637" t="s">
        <v>147</v>
      </c>
      <c r="J2637" t="s">
        <v>74</v>
      </c>
      <c r="K2637">
        <v>1590</v>
      </c>
      <c r="O2637" t="s">
        <v>68</v>
      </c>
      <c r="P2637" t="s">
        <v>77</v>
      </c>
      <c r="U2637" s="9" t="s">
        <v>136</v>
      </c>
      <c r="V2637" t="s">
        <v>137</v>
      </c>
      <c r="W2637" t="s">
        <v>138</v>
      </c>
      <c r="X2637" t="s">
        <v>102</v>
      </c>
      <c r="Y2637" t="s">
        <v>1190</v>
      </c>
      <c r="Z2637" t="s">
        <v>140</v>
      </c>
      <c r="AB2637" t="str">
        <f t="shared" si="123"/>
        <v>46866</v>
      </c>
    </row>
    <row r="2638" ht="14.25" spans="1:28">
      <c r="A2638" s="5" t="s">
        <v>28</v>
      </c>
      <c r="B2638" s="5" t="s">
        <v>697</v>
      </c>
      <c r="C2638" s="5">
        <v>2027</v>
      </c>
      <c r="D2638" s="5" t="s">
        <v>30</v>
      </c>
      <c r="E2638" t="s">
        <v>1643</v>
      </c>
      <c r="F2638" t="s">
        <v>1641</v>
      </c>
      <c r="G2638" t="s">
        <v>100</v>
      </c>
      <c r="H2638" t="s">
        <v>1644</v>
      </c>
      <c r="I2638" t="s">
        <v>147</v>
      </c>
      <c r="J2638" t="s">
        <v>74</v>
      </c>
      <c r="K2638">
        <v>1590</v>
      </c>
      <c r="O2638" t="s">
        <v>68</v>
      </c>
      <c r="P2638" t="s">
        <v>78</v>
      </c>
      <c r="U2638" s="9" t="s">
        <v>136</v>
      </c>
      <c r="V2638" t="s">
        <v>137</v>
      </c>
      <c r="W2638" t="s">
        <v>138</v>
      </c>
      <c r="X2638" t="s">
        <v>102</v>
      </c>
      <c r="Y2638" t="s">
        <v>1190</v>
      </c>
      <c r="Z2638" t="s">
        <v>140</v>
      </c>
      <c r="AB2638" t="str">
        <f t="shared" si="123"/>
        <v>46866</v>
      </c>
    </row>
    <row r="2639" ht="14.25" spans="1:28">
      <c r="A2639" s="5" t="s">
        <v>28</v>
      </c>
      <c r="B2639" s="5" t="s">
        <v>697</v>
      </c>
      <c r="C2639" s="5">
        <v>2027</v>
      </c>
      <c r="D2639" s="5" t="s">
        <v>30</v>
      </c>
      <c r="E2639" t="s">
        <v>1643</v>
      </c>
      <c r="F2639" t="s">
        <v>1641</v>
      </c>
      <c r="G2639" t="s">
        <v>100</v>
      </c>
      <c r="H2639" t="s">
        <v>1644</v>
      </c>
      <c r="I2639" t="s">
        <v>147</v>
      </c>
      <c r="J2639" t="s">
        <v>74</v>
      </c>
      <c r="K2639">
        <v>1590</v>
      </c>
      <c r="O2639" t="s">
        <v>68</v>
      </c>
      <c r="P2639" t="s">
        <v>79</v>
      </c>
      <c r="U2639" s="9" t="s">
        <v>136</v>
      </c>
      <c r="V2639" t="s">
        <v>137</v>
      </c>
      <c r="W2639" t="s">
        <v>138</v>
      </c>
      <c r="X2639" t="s">
        <v>102</v>
      </c>
      <c r="Y2639" t="s">
        <v>1190</v>
      </c>
      <c r="Z2639" t="s">
        <v>140</v>
      </c>
      <c r="AB2639" t="str">
        <f t="shared" si="123"/>
        <v>46866</v>
      </c>
    </row>
    <row r="2640" ht="14.25" spans="1:28">
      <c r="A2640" s="5" t="s">
        <v>28</v>
      </c>
      <c r="B2640" s="5" t="s">
        <v>697</v>
      </c>
      <c r="C2640" s="5">
        <v>2027</v>
      </c>
      <c r="D2640" s="5" t="s">
        <v>30</v>
      </c>
      <c r="E2640" t="s">
        <v>1645</v>
      </c>
      <c r="F2640" t="s">
        <v>1646</v>
      </c>
      <c r="G2640" t="s">
        <v>1647</v>
      </c>
      <c r="H2640" t="s">
        <v>1648</v>
      </c>
      <c r="I2640" t="s">
        <v>119</v>
      </c>
      <c r="J2640" t="s">
        <v>36</v>
      </c>
      <c r="K2640">
        <v>1390</v>
      </c>
      <c r="O2640" t="s">
        <v>37</v>
      </c>
      <c r="P2640" t="s">
        <v>38</v>
      </c>
      <c r="R2640">
        <f t="shared" si="124"/>
        <v>0</v>
      </c>
      <c r="S2640">
        <f>SUMIFS([1]Sheet1!$T:$T,[1]Sheet1!$I:$I,E2640,[1]Sheet1!$C:$C,A2640)</f>
        <v>0</v>
      </c>
      <c r="T2640">
        <f t="shared" si="125"/>
        <v>0</v>
      </c>
      <c r="U2640" s="9" t="s">
        <v>148</v>
      </c>
      <c r="V2640" t="s">
        <v>164</v>
      </c>
      <c r="W2640" t="s">
        <v>138</v>
      </c>
      <c r="Y2640" t="s">
        <v>1047</v>
      </c>
      <c r="Z2640" t="s">
        <v>41</v>
      </c>
      <c r="AB2640" t="str">
        <f t="shared" si="123"/>
        <v>46872</v>
      </c>
    </row>
    <row r="2641" ht="14.25" spans="1:28">
      <c r="A2641" s="5" t="s">
        <v>28</v>
      </c>
      <c r="B2641" s="5" t="s">
        <v>697</v>
      </c>
      <c r="C2641" s="5">
        <v>2027</v>
      </c>
      <c r="D2641" s="5" t="s">
        <v>30</v>
      </c>
      <c r="E2641" t="s">
        <v>1645</v>
      </c>
      <c r="F2641" t="s">
        <v>1646</v>
      </c>
      <c r="G2641" t="s">
        <v>1647</v>
      </c>
      <c r="H2641" t="s">
        <v>1648</v>
      </c>
      <c r="I2641" t="s">
        <v>119</v>
      </c>
      <c r="J2641" t="s">
        <v>36</v>
      </c>
      <c r="K2641">
        <v>1390</v>
      </c>
      <c r="O2641" t="s">
        <v>37</v>
      </c>
      <c r="P2641" t="s">
        <v>42</v>
      </c>
      <c r="U2641" s="9" t="s">
        <v>148</v>
      </c>
      <c r="V2641" t="s">
        <v>164</v>
      </c>
      <c r="W2641" t="s">
        <v>138</v>
      </c>
      <c r="Y2641" t="s">
        <v>1047</v>
      </c>
      <c r="Z2641" t="s">
        <v>41</v>
      </c>
      <c r="AB2641" t="str">
        <f t="shared" si="123"/>
        <v>46872</v>
      </c>
    </row>
    <row r="2642" ht="14.25" spans="1:28">
      <c r="A2642" s="5" t="s">
        <v>28</v>
      </c>
      <c r="B2642" s="5" t="s">
        <v>697</v>
      </c>
      <c r="C2642" s="5">
        <v>2027</v>
      </c>
      <c r="D2642" s="5" t="s">
        <v>30</v>
      </c>
      <c r="E2642" t="s">
        <v>1645</v>
      </c>
      <c r="F2642" t="s">
        <v>1646</v>
      </c>
      <c r="G2642" t="s">
        <v>1647</v>
      </c>
      <c r="H2642" t="s">
        <v>1648</v>
      </c>
      <c r="I2642" t="s">
        <v>119</v>
      </c>
      <c r="J2642" t="s">
        <v>36</v>
      </c>
      <c r="K2642">
        <v>1390</v>
      </c>
      <c r="O2642" t="s">
        <v>37</v>
      </c>
      <c r="P2642" t="s">
        <v>43</v>
      </c>
      <c r="U2642" s="9" t="s">
        <v>148</v>
      </c>
      <c r="V2642" t="s">
        <v>164</v>
      </c>
      <c r="W2642" t="s">
        <v>138</v>
      </c>
      <c r="Y2642" t="s">
        <v>1047</v>
      </c>
      <c r="Z2642" t="s">
        <v>41</v>
      </c>
      <c r="AB2642" t="str">
        <f t="shared" si="123"/>
        <v>46872</v>
      </c>
    </row>
    <row r="2643" ht="14.25" spans="1:28">
      <c r="A2643" s="5" t="s">
        <v>28</v>
      </c>
      <c r="B2643" s="5" t="s">
        <v>697</v>
      </c>
      <c r="C2643" s="5">
        <v>2027</v>
      </c>
      <c r="D2643" s="5" t="s">
        <v>30</v>
      </c>
      <c r="E2643" t="s">
        <v>1645</v>
      </c>
      <c r="F2643" t="s">
        <v>1646</v>
      </c>
      <c r="G2643" t="s">
        <v>1647</v>
      </c>
      <c r="H2643" t="s">
        <v>1648</v>
      </c>
      <c r="I2643" t="s">
        <v>119</v>
      </c>
      <c r="J2643" t="s">
        <v>36</v>
      </c>
      <c r="K2643">
        <v>1390</v>
      </c>
      <c r="O2643" t="s">
        <v>37</v>
      </c>
      <c r="P2643" t="s">
        <v>44</v>
      </c>
      <c r="U2643" s="9" t="s">
        <v>148</v>
      </c>
      <c r="V2643" t="s">
        <v>164</v>
      </c>
      <c r="W2643" t="s">
        <v>138</v>
      </c>
      <c r="Y2643" t="s">
        <v>1047</v>
      </c>
      <c r="Z2643" t="s">
        <v>41</v>
      </c>
      <c r="AB2643" t="str">
        <f t="shared" si="123"/>
        <v>46872</v>
      </c>
    </row>
    <row r="2644" ht="14.25" spans="1:28">
      <c r="A2644" s="5" t="s">
        <v>28</v>
      </c>
      <c r="B2644" s="5" t="s">
        <v>697</v>
      </c>
      <c r="C2644" s="5">
        <v>2027</v>
      </c>
      <c r="D2644" s="5" t="s">
        <v>30</v>
      </c>
      <c r="E2644" t="s">
        <v>1645</v>
      </c>
      <c r="F2644" t="s">
        <v>1646</v>
      </c>
      <c r="G2644" t="s">
        <v>1647</v>
      </c>
      <c r="H2644" t="s">
        <v>1648</v>
      </c>
      <c r="I2644" t="s">
        <v>119</v>
      </c>
      <c r="J2644" t="s">
        <v>36</v>
      </c>
      <c r="K2644">
        <v>1390</v>
      </c>
      <c r="O2644" t="s">
        <v>37</v>
      </c>
      <c r="P2644" t="s">
        <v>45</v>
      </c>
      <c r="U2644" s="9" t="s">
        <v>148</v>
      </c>
      <c r="V2644" t="s">
        <v>164</v>
      </c>
      <c r="W2644" t="s">
        <v>138</v>
      </c>
      <c r="Y2644" t="s">
        <v>1047</v>
      </c>
      <c r="Z2644" t="s">
        <v>41</v>
      </c>
      <c r="AB2644" t="str">
        <f t="shared" si="123"/>
        <v>46872</v>
      </c>
    </row>
    <row r="2645" ht="14.25" spans="1:28">
      <c r="A2645" s="5" t="s">
        <v>28</v>
      </c>
      <c r="B2645" s="5" t="s">
        <v>697</v>
      </c>
      <c r="C2645" s="5">
        <v>2027</v>
      </c>
      <c r="D2645" s="5" t="s">
        <v>30</v>
      </c>
      <c r="E2645" t="s">
        <v>1645</v>
      </c>
      <c r="F2645" t="s">
        <v>1646</v>
      </c>
      <c r="G2645" t="s">
        <v>1647</v>
      </c>
      <c r="H2645" t="s">
        <v>1648</v>
      </c>
      <c r="I2645" t="s">
        <v>119</v>
      </c>
      <c r="J2645" t="s">
        <v>36</v>
      </c>
      <c r="K2645">
        <v>1390</v>
      </c>
      <c r="O2645" t="s">
        <v>37</v>
      </c>
      <c r="P2645" t="s">
        <v>46</v>
      </c>
      <c r="U2645" s="9" t="s">
        <v>148</v>
      </c>
      <c r="V2645" t="s">
        <v>164</v>
      </c>
      <c r="W2645" t="s">
        <v>138</v>
      </c>
      <c r="Y2645" t="s">
        <v>1047</v>
      </c>
      <c r="Z2645" t="s">
        <v>41</v>
      </c>
      <c r="AB2645" t="str">
        <f t="shared" si="123"/>
        <v>46872</v>
      </c>
    </row>
    <row r="2646" ht="14.25" spans="1:28">
      <c r="A2646" s="5" t="s">
        <v>28</v>
      </c>
      <c r="B2646" s="5" t="s">
        <v>697</v>
      </c>
      <c r="C2646" s="5">
        <v>2027</v>
      </c>
      <c r="D2646" s="5" t="s">
        <v>30</v>
      </c>
      <c r="E2646" t="s">
        <v>1649</v>
      </c>
      <c r="F2646" t="s">
        <v>1646</v>
      </c>
      <c r="G2646" t="s">
        <v>1119</v>
      </c>
      <c r="H2646" t="s">
        <v>1650</v>
      </c>
      <c r="I2646" t="s">
        <v>147</v>
      </c>
      <c r="J2646" t="s">
        <v>36</v>
      </c>
      <c r="K2646">
        <v>1390</v>
      </c>
      <c r="O2646" t="s">
        <v>37</v>
      </c>
      <c r="P2646" t="s">
        <v>38</v>
      </c>
      <c r="R2646">
        <f t="shared" si="124"/>
        <v>0</v>
      </c>
      <c r="S2646">
        <f>SUMIFS([1]Sheet1!$T:$T,[1]Sheet1!$I:$I,E2646,[1]Sheet1!$C:$C,A2646)</f>
        <v>0</v>
      </c>
      <c r="T2646">
        <f t="shared" si="125"/>
        <v>0</v>
      </c>
      <c r="U2646" s="9" t="s">
        <v>148</v>
      </c>
      <c r="V2646" t="s">
        <v>164</v>
      </c>
      <c r="W2646" t="s">
        <v>138</v>
      </c>
      <c r="X2646" t="s">
        <v>503</v>
      </c>
      <c r="Y2646" t="s">
        <v>1047</v>
      </c>
      <c r="Z2646" t="s">
        <v>41</v>
      </c>
      <c r="AB2646" t="str">
        <f t="shared" si="123"/>
        <v>46872</v>
      </c>
    </row>
    <row r="2647" ht="14.25" spans="1:28">
      <c r="A2647" s="5" t="s">
        <v>28</v>
      </c>
      <c r="B2647" s="5" t="s">
        <v>697</v>
      </c>
      <c r="C2647" s="5">
        <v>2027</v>
      </c>
      <c r="D2647" s="5" t="s">
        <v>30</v>
      </c>
      <c r="E2647" t="s">
        <v>1649</v>
      </c>
      <c r="F2647" t="s">
        <v>1646</v>
      </c>
      <c r="G2647" t="s">
        <v>1119</v>
      </c>
      <c r="H2647" t="s">
        <v>1650</v>
      </c>
      <c r="I2647" t="s">
        <v>147</v>
      </c>
      <c r="J2647" t="s">
        <v>36</v>
      </c>
      <c r="K2647">
        <v>1390</v>
      </c>
      <c r="O2647" t="s">
        <v>37</v>
      </c>
      <c r="P2647" t="s">
        <v>42</v>
      </c>
      <c r="U2647" s="9" t="s">
        <v>148</v>
      </c>
      <c r="V2647" t="s">
        <v>164</v>
      </c>
      <c r="W2647" t="s">
        <v>138</v>
      </c>
      <c r="X2647" t="s">
        <v>503</v>
      </c>
      <c r="Y2647" t="s">
        <v>1047</v>
      </c>
      <c r="Z2647" t="s">
        <v>41</v>
      </c>
      <c r="AB2647" t="str">
        <f t="shared" si="123"/>
        <v>46872</v>
      </c>
    </row>
    <row r="2648" ht="14.25" spans="1:28">
      <c r="A2648" s="5" t="s">
        <v>28</v>
      </c>
      <c r="B2648" s="5" t="s">
        <v>697</v>
      </c>
      <c r="C2648" s="5">
        <v>2027</v>
      </c>
      <c r="D2648" s="5" t="s">
        <v>30</v>
      </c>
      <c r="E2648" t="s">
        <v>1649</v>
      </c>
      <c r="F2648" t="s">
        <v>1646</v>
      </c>
      <c r="G2648" t="s">
        <v>1119</v>
      </c>
      <c r="H2648" t="s">
        <v>1650</v>
      </c>
      <c r="I2648" t="s">
        <v>147</v>
      </c>
      <c r="J2648" t="s">
        <v>36</v>
      </c>
      <c r="K2648">
        <v>1390</v>
      </c>
      <c r="O2648" t="s">
        <v>37</v>
      </c>
      <c r="P2648" t="s">
        <v>43</v>
      </c>
      <c r="U2648" s="9" t="s">
        <v>148</v>
      </c>
      <c r="V2648" t="s">
        <v>164</v>
      </c>
      <c r="W2648" t="s">
        <v>138</v>
      </c>
      <c r="X2648" t="s">
        <v>503</v>
      </c>
      <c r="Y2648" t="s">
        <v>1047</v>
      </c>
      <c r="Z2648" t="s">
        <v>41</v>
      </c>
      <c r="AB2648" t="str">
        <f t="shared" si="123"/>
        <v>46872</v>
      </c>
    </row>
    <row r="2649" ht="14.25" spans="1:28">
      <c r="A2649" s="5" t="s">
        <v>28</v>
      </c>
      <c r="B2649" s="5" t="s">
        <v>697</v>
      </c>
      <c r="C2649" s="5">
        <v>2027</v>
      </c>
      <c r="D2649" s="5" t="s">
        <v>30</v>
      </c>
      <c r="E2649" t="s">
        <v>1649</v>
      </c>
      <c r="F2649" t="s">
        <v>1646</v>
      </c>
      <c r="G2649" t="s">
        <v>1119</v>
      </c>
      <c r="H2649" t="s">
        <v>1650</v>
      </c>
      <c r="I2649" t="s">
        <v>147</v>
      </c>
      <c r="J2649" t="s">
        <v>36</v>
      </c>
      <c r="K2649">
        <v>1390</v>
      </c>
      <c r="O2649" t="s">
        <v>37</v>
      </c>
      <c r="P2649" t="s">
        <v>44</v>
      </c>
      <c r="U2649" s="9" t="s">
        <v>148</v>
      </c>
      <c r="V2649" t="s">
        <v>164</v>
      </c>
      <c r="W2649" t="s">
        <v>138</v>
      </c>
      <c r="X2649" t="s">
        <v>503</v>
      </c>
      <c r="Y2649" t="s">
        <v>1047</v>
      </c>
      <c r="Z2649" t="s">
        <v>41</v>
      </c>
      <c r="AB2649" t="str">
        <f t="shared" si="123"/>
        <v>46872</v>
      </c>
    </row>
    <row r="2650" ht="14.25" spans="1:28">
      <c r="A2650" s="5" t="s">
        <v>28</v>
      </c>
      <c r="B2650" s="5" t="s">
        <v>697</v>
      </c>
      <c r="C2650" s="5">
        <v>2027</v>
      </c>
      <c r="D2650" s="5" t="s">
        <v>30</v>
      </c>
      <c r="E2650" t="s">
        <v>1649</v>
      </c>
      <c r="F2650" t="s">
        <v>1646</v>
      </c>
      <c r="G2650" t="s">
        <v>1119</v>
      </c>
      <c r="H2650" t="s">
        <v>1650</v>
      </c>
      <c r="I2650" t="s">
        <v>147</v>
      </c>
      <c r="J2650" t="s">
        <v>36</v>
      </c>
      <c r="K2650">
        <v>1390</v>
      </c>
      <c r="O2650" t="s">
        <v>37</v>
      </c>
      <c r="P2650" t="s">
        <v>45</v>
      </c>
      <c r="U2650" s="9" t="s">
        <v>148</v>
      </c>
      <c r="V2650" t="s">
        <v>164</v>
      </c>
      <c r="W2650" t="s">
        <v>138</v>
      </c>
      <c r="X2650" t="s">
        <v>503</v>
      </c>
      <c r="Y2650" t="s">
        <v>1047</v>
      </c>
      <c r="Z2650" t="s">
        <v>41</v>
      </c>
      <c r="AB2650" t="str">
        <f t="shared" si="123"/>
        <v>46872</v>
      </c>
    </row>
    <row r="2651" ht="14.25" spans="1:28">
      <c r="A2651" s="5" t="s">
        <v>28</v>
      </c>
      <c r="B2651" s="5" t="s">
        <v>697</v>
      </c>
      <c r="C2651" s="5">
        <v>2027</v>
      </c>
      <c r="D2651" s="5" t="s">
        <v>30</v>
      </c>
      <c r="E2651" t="s">
        <v>1649</v>
      </c>
      <c r="F2651" t="s">
        <v>1646</v>
      </c>
      <c r="G2651" t="s">
        <v>1119</v>
      </c>
      <c r="H2651" t="s">
        <v>1650</v>
      </c>
      <c r="I2651" t="s">
        <v>147</v>
      </c>
      <c r="J2651" t="s">
        <v>36</v>
      </c>
      <c r="K2651">
        <v>1390</v>
      </c>
      <c r="O2651" t="s">
        <v>37</v>
      </c>
      <c r="P2651" t="s">
        <v>46</v>
      </c>
      <c r="U2651" s="9" t="s">
        <v>148</v>
      </c>
      <c r="V2651" t="s">
        <v>164</v>
      </c>
      <c r="W2651" t="s">
        <v>138</v>
      </c>
      <c r="X2651" t="s">
        <v>503</v>
      </c>
      <c r="Y2651" t="s">
        <v>1047</v>
      </c>
      <c r="Z2651" t="s">
        <v>41</v>
      </c>
      <c r="AB2651" t="str">
        <f t="shared" si="123"/>
        <v>46872</v>
      </c>
    </row>
    <row r="2652" ht="14.25" spans="1:28">
      <c r="A2652" s="5" t="s">
        <v>28</v>
      </c>
      <c r="B2652" s="5" t="s">
        <v>697</v>
      </c>
      <c r="C2652" s="5">
        <v>2027</v>
      </c>
      <c r="D2652" s="5" t="s">
        <v>30</v>
      </c>
      <c r="E2652" t="s">
        <v>1651</v>
      </c>
      <c r="F2652" t="s">
        <v>1652</v>
      </c>
      <c r="G2652" t="s">
        <v>100</v>
      </c>
      <c r="H2652" t="s">
        <v>1653</v>
      </c>
      <c r="I2652" t="s">
        <v>119</v>
      </c>
      <c r="J2652" t="s">
        <v>36</v>
      </c>
      <c r="K2652">
        <v>1390</v>
      </c>
      <c r="O2652" t="s">
        <v>37</v>
      </c>
      <c r="P2652" t="s">
        <v>38</v>
      </c>
      <c r="R2652">
        <f t="shared" si="124"/>
        <v>0</v>
      </c>
      <c r="S2652">
        <f>SUMIFS([1]Sheet1!$T:$T,[1]Sheet1!$I:$I,E2652,[1]Sheet1!$C:$C,A2652)</f>
        <v>400</v>
      </c>
      <c r="T2652">
        <f t="shared" si="125"/>
        <v>-400</v>
      </c>
      <c r="U2652" s="9" t="s">
        <v>148</v>
      </c>
      <c r="V2652" t="s">
        <v>164</v>
      </c>
      <c r="W2652" t="s">
        <v>138</v>
      </c>
      <c r="X2652" t="s">
        <v>102</v>
      </c>
      <c r="Y2652" t="s">
        <v>1342</v>
      </c>
      <c r="Z2652" t="s">
        <v>155</v>
      </c>
      <c r="AA2652" t="s">
        <v>1167</v>
      </c>
      <c r="AB2652" t="str">
        <f t="shared" si="123"/>
        <v>46875</v>
      </c>
    </row>
    <row r="2653" ht="14.25" spans="1:28">
      <c r="A2653" s="5" t="s">
        <v>28</v>
      </c>
      <c r="B2653" s="5" t="s">
        <v>697</v>
      </c>
      <c r="C2653" s="5">
        <v>2027</v>
      </c>
      <c r="D2653" s="5" t="s">
        <v>30</v>
      </c>
      <c r="E2653" t="s">
        <v>1651</v>
      </c>
      <c r="F2653" t="s">
        <v>1652</v>
      </c>
      <c r="G2653" t="s">
        <v>100</v>
      </c>
      <c r="H2653" t="s">
        <v>1653</v>
      </c>
      <c r="I2653" t="s">
        <v>119</v>
      </c>
      <c r="J2653" t="s">
        <v>36</v>
      </c>
      <c r="K2653">
        <v>1390</v>
      </c>
      <c r="O2653" t="s">
        <v>37</v>
      </c>
      <c r="P2653" t="s">
        <v>42</v>
      </c>
      <c r="U2653" s="9" t="s">
        <v>148</v>
      </c>
      <c r="V2653" t="s">
        <v>164</v>
      </c>
      <c r="W2653" t="s">
        <v>138</v>
      </c>
      <c r="X2653" t="s">
        <v>102</v>
      </c>
      <c r="Y2653" t="s">
        <v>1342</v>
      </c>
      <c r="Z2653" t="s">
        <v>155</v>
      </c>
      <c r="AA2653" t="s">
        <v>1167</v>
      </c>
      <c r="AB2653" t="str">
        <f t="shared" si="123"/>
        <v>46875</v>
      </c>
    </row>
    <row r="2654" ht="14.25" spans="1:28">
      <c r="A2654" s="5" t="s">
        <v>28</v>
      </c>
      <c r="B2654" s="5" t="s">
        <v>697</v>
      </c>
      <c r="C2654" s="5">
        <v>2027</v>
      </c>
      <c r="D2654" s="5" t="s">
        <v>30</v>
      </c>
      <c r="E2654" t="s">
        <v>1651</v>
      </c>
      <c r="F2654" t="s">
        <v>1652</v>
      </c>
      <c r="G2654" t="s">
        <v>100</v>
      </c>
      <c r="H2654" t="s">
        <v>1653</v>
      </c>
      <c r="I2654" t="s">
        <v>119</v>
      </c>
      <c r="J2654" t="s">
        <v>36</v>
      </c>
      <c r="K2654">
        <v>1390</v>
      </c>
      <c r="O2654" t="s">
        <v>37</v>
      </c>
      <c r="P2654" t="s">
        <v>43</v>
      </c>
      <c r="U2654" s="9" t="s">
        <v>148</v>
      </c>
      <c r="V2654" t="s">
        <v>164</v>
      </c>
      <c r="W2654" t="s">
        <v>138</v>
      </c>
      <c r="X2654" t="s">
        <v>102</v>
      </c>
      <c r="Y2654" t="s">
        <v>1342</v>
      </c>
      <c r="Z2654" t="s">
        <v>155</v>
      </c>
      <c r="AA2654" t="s">
        <v>1167</v>
      </c>
      <c r="AB2654" t="str">
        <f t="shared" si="123"/>
        <v>46875</v>
      </c>
    </row>
    <row r="2655" ht="14.25" spans="1:28">
      <c r="A2655" s="5" t="s">
        <v>28</v>
      </c>
      <c r="B2655" s="5" t="s">
        <v>697</v>
      </c>
      <c r="C2655" s="5">
        <v>2027</v>
      </c>
      <c r="D2655" s="5" t="s">
        <v>30</v>
      </c>
      <c r="E2655" t="s">
        <v>1651</v>
      </c>
      <c r="F2655" t="s">
        <v>1652</v>
      </c>
      <c r="G2655" t="s">
        <v>100</v>
      </c>
      <c r="H2655" t="s">
        <v>1653</v>
      </c>
      <c r="I2655" t="s">
        <v>119</v>
      </c>
      <c r="J2655" t="s">
        <v>36</v>
      </c>
      <c r="K2655">
        <v>1390</v>
      </c>
      <c r="O2655" t="s">
        <v>37</v>
      </c>
      <c r="P2655" t="s">
        <v>44</v>
      </c>
      <c r="U2655" s="9" t="s">
        <v>148</v>
      </c>
      <c r="V2655" t="s">
        <v>164</v>
      </c>
      <c r="W2655" t="s">
        <v>138</v>
      </c>
      <c r="X2655" t="s">
        <v>102</v>
      </c>
      <c r="Y2655" t="s">
        <v>1342</v>
      </c>
      <c r="Z2655" t="s">
        <v>155</v>
      </c>
      <c r="AA2655" t="s">
        <v>1167</v>
      </c>
      <c r="AB2655" t="str">
        <f t="shared" si="123"/>
        <v>46875</v>
      </c>
    </row>
    <row r="2656" ht="14.25" spans="1:28">
      <c r="A2656" s="5" t="s">
        <v>28</v>
      </c>
      <c r="B2656" s="5" t="s">
        <v>697</v>
      </c>
      <c r="C2656" s="5">
        <v>2027</v>
      </c>
      <c r="D2656" s="5" t="s">
        <v>30</v>
      </c>
      <c r="E2656" t="s">
        <v>1651</v>
      </c>
      <c r="F2656" t="s">
        <v>1652</v>
      </c>
      <c r="G2656" t="s">
        <v>100</v>
      </c>
      <c r="H2656" t="s">
        <v>1653</v>
      </c>
      <c r="I2656" t="s">
        <v>119</v>
      </c>
      <c r="J2656" t="s">
        <v>36</v>
      </c>
      <c r="K2656">
        <v>1390</v>
      </c>
      <c r="O2656" t="s">
        <v>37</v>
      </c>
      <c r="P2656" t="s">
        <v>45</v>
      </c>
      <c r="U2656" s="9" t="s">
        <v>148</v>
      </c>
      <c r="V2656" t="s">
        <v>164</v>
      </c>
      <c r="W2656" t="s">
        <v>138</v>
      </c>
      <c r="X2656" t="s">
        <v>102</v>
      </c>
      <c r="Y2656" t="s">
        <v>1342</v>
      </c>
      <c r="Z2656" t="s">
        <v>155</v>
      </c>
      <c r="AA2656" t="s">
        <v>1167</v>
      </c>
      <c r="AB2656" t="str">
        <f t="shared" si="123"/>
        <v>46875</v>
      </c>
    </row>
    <row r="2657" ht="14.25" spans="1:28">
      <c r="A2657" s="5" t="s">
        <v>28</v>
      </c>
      <c r="B2657" s="5" t="s">
        <v>697</v>
      </c>
      <c r="C2657" s="5">
        <v>2027</v>
      </c>
      <c r="D2657" s="5" t="s">
        <v>30</v>
      </c>
      <c r="E2657" t="s">
        <v>1651</v>
      </c>
      <c r="F2657" t="s">
        <v>1652</v>
      </c>
      <c r="G2657" t="s">
        <v>100</v>
      </c>
      <c r="H2657" t="s">
        <v>1653</v>
      </c>
      <c r="I2657" t="s">
        <v>119</v>
      </c>
      <c r="J2657" t="s">
        <v>36</v>
      </c>
      <c r="K2657">
        <v>1390</v>
      </c>
      <c r="O2657" t="s">
        <v>37</v>
      </c>
      <c r="P2657" t="s">
        <v>46</v>
      </c>
      <c r="U2657" s="9" t="s">
        <v>148</v>
      </c>
      <c r="V2657" t="s">
        <v>164</v>
      </c>
      <c r="W2657" t="s">
        <v>138</v>
      </c>
      <c r="X2657" t="s">
        <v>102</v>
      </c>
      <c r="Y2657" t="s">
        <v>1342</v>
      </c>
      <c r="Z2657" t="s">
        <v>155</v>
      </c>
      <c r="AA2657" t="s">
        <v>1167</v>
      </c>
      <c r="AB2657" t="str">
        <f t="shared" si="123"/>
        <v>46875</v>
      </c>
    </row>
    <row r="2658" ht="14.25" spans="1:28">
      <c r="A2658" s="5" t="s">
        <v>28</v>
      </c>
      <c r="B2658" s="5" t="s">
        <v>697</v>
      </c>
      <c r="C2658" s="5">
        <v>2027</v>
      </c>
      <c r="D2658" s="5" t="s">
        <v>30</v>
      </c>
      <c r="E2658" t="s">
        <v>1654</v>
      </c>
      <c r="F2658" t="s">
        <v>1652</v>
      </c>
      <c r="G2658" t="s">
        <v>226</v>
      </c>
      <c r="H2658" t="s">
        <v>1655</v>
      </c>
      <c r="I2658" t="s">
        <v>119</v>
      </c>
      <c r="J2658" t="s">
        <v>36</v>
      </c>
      <c r="K2658">
        <v>1390</v>
      </c>
      <c r="O2658" t="s">
        <v>37</v>
      </c>
      <c r="P2658" t="s">
        <v>38</v>
      </c>
      <c r="R2658">
        <f t="shared" si="124"/>
        <v>0</v>
      </c>
      <c r="S2658">
        <f>SUMIFS([1]Sheet1!$T:$T,[1]Sheet1!$I:$I,E2658,[1]Sheet1!$C:$C,A2658)</f>
        <v>30</v>
      </c>
      <c r="T2658">
        <f t="shared" si="125"/>
        <v>-30</v>
      </c>
      <c r="U2658" s="9" t="s">
        <v>148</v>
      </c>
      <c r="V2658" t="s">
        <v>164</v>
      </c>
      <c r="W2658" t="s">
        <v>138</v>
      </c>
      <c r="X2658" t="s">
        <v>54</v>
      </c>
      <c r="Y2658" t="s">
        <v>1342</v>
      </c>
      <c r="Z2658" t="s">
        <v>155</v>
      </c>
      <c r="AA2658" t="s">
        <v>1167</v>
      </c>
      <c r="AB2658" t="str">
        <f t="shared" si="123"/>
        <v>46875</v>
      </c>
    </row>
    <row r="2659" ht="14.25" spans="1:28">
      <c r="A2659" s="5" t="s">
        <v>28</v>
      </c>
      <c r="B2659" s="5" t="s">
        <v>697</v>
      </c>
      <c r="C2659" s="5">
        <v>2027</v>
      </c>
      <c r="D2659" s="5" t="s">
        <v>30</v>
      </c>
      <c r="E2659" t="s">
        <v>1654</v>
      </c>
      <c r="F2659" t="s">
        <v>1652</v>
      </c>
      <c r="G2659" t="s">
        <v>226</v>
      </c>
      <c r="H2659" t="s">
        <v>1655</v>
      </c>
      <c r="I2659" t="s">
        <v>119</v>
      </c>
      <c r="J2659" t="s">
        <v>36</v>
      </c>
      <c r="K2659">
        <v>1390</v>
      </c>
      <c r="O2659" t="s">
        <v>37</v>
      </c>
      <c r="P2659" t="s">
        <v>42</v>
      </c>
      <c r="U2659" s="9" t="s">
        <v>148</v>
      </c>
      <c r="V2659" t="s">
        <v>164</v>
      </c>
      <c r="W2659" t="s">
        <v>138</v>
      </c>
      <c r="X2659" t="s">
        <v>54</v>
      </c>
      <c r="Y2659" t="s">
        <v>1342</v>
      </c>
      <c r="Z2659" t="s">
        <v>155</v>
      </c>
      <c r="AA2659" t="s">
        <v>1167</v>
      </c>
      <c r="AB2659" t="str">
        <f t="shared" si="123"/>
        <v>46875</v>
      </c>
    </row>
    <row r="2660" ht="14.25" spans="1:28">
      <c r="A2660" s="5" t="s">
        <v>28</v>
      </c>
      <c r="B2660" s="5" t="s">
        <v>697</v>
      </c>
      <c r="C2660" s="5">
        <v>2027</v>
      </c>
      <c r="D2660" s="5" t="s">
        <v>30</v>
      </c>
      <c r="E2660" t="s">
        <v>1654</v>
      </c>
      <c r="F2660" t="s">
        <v>1652</v>
      </c>
      <c r="G2660" t="s">
        <v>226</v>
      </c>
      <c r="H2660" t="s">
        <v>1655</v>
      </c>
      <c r="I2660" t="s">
        <v>119</v>
      </c>
      <c r="J2660" t="s">
        <v>36</v>
      </c>
      <c r="K2660">
        <v>1390</v>
      </c>
      <c r="O2660" t="s">
        <v>37</v>
      </c>
      <c r="P2660" t="s">
        <v>43</v>
      </c>
      <c r="U2660" s="9" t="s">
        <v>148</v>
      </c>
      <c r="V2660" t="s">
        <v>164</v>
      </c>
      <c r="W2660" t="s">
        <v>138</v>
      </c>
      <c r="X2660" t="s">
        <v>54</v>
      </c>
      <c r="Y2660" t="s">
        <v>1342</v>
      </c>
      <c r="Z2660" t="s">
        <v>155</v>
      </c>
      <c r="AA2660" t="s">
        <v>1167</v>
      </c>
      <c r="AB2660" t="str">
        <f t="shared" si="123"/>
        <v>46875</v>
      </c>
    </row>
    <row r="2661" ht="14.25" spans="1:28">
      <c r="A2661" s="5" t="s">
        <v>28</v>
      </c>
      <c r="B2661" s="5" t="s">
        <v>697</v>
      </c>
      <c r="C2661" s="5">
        <v>2027</v>
      </c>
      <c r="D2661" s="5" t="s">
        <v>30</v>
      </c>
      <c r="E2661" t="s">
        <v>1654</v>
      </c>
      <c r="F2661" t="s">
        <v>1652</v>
      </c>
      <c r="G2661" t="s">
        <v>226</v>
      </c>
      <c r="H2661" t="s">
        <v>1655</v>
      </c>
      <c r="I2661" t="s">
        <v>119</v>
      </c>
      <c r="J2661" t="s">
        <v>36</v>
      </c>
      <c r="K2661">
        <v>1390</v>
      </c>
      <c r="O2661" t="s">
        <v>37</v>
      </c>
      <c r="P2661" t="s">
        <v>44</v>
      </c>
      <c r="U2661" s="9" t="s">
        <v>148</v>
      </c>
      <c r="V2661" t="s">
        <v>164</v>
      </c>
      <c r="W2661" t="s">
        <v>138</v>
      </c>
      <c r="X2661" t="s">
        <v>54</v>
      </c>
      <c r="Y2661" t="s">
        <v>1342</v>
      </c>
      <c r="Z2661" t="s">
        <v>155</v>
      </c>
      <c r="AA2661" t="s">
        <v>1167</v>
      </c>
      <c r="AB2661" t="str">
        <f t="shared" si="123"/>
        <v>46875</v>
      </c>
    </row>
    <row r="2662" ht="14.25" spans="1:28">
      <c r="A2662" s="5" t="s">
        <v>28</v>
      </c>
      <c r="B2662" s="5" t="s">
        <v>697</v>
      </c>
      <c r="C2662" s="5">
        <v>2027</v>
      </c>
      <c r="D2662" s="5" t="s">
        <v>30</v>
      </c>
      <c r="E2662" t="s">
        <v>1654</v>
      </c>
      <c r="F2662" t="s">
        <v>1652</v>
      </c>
      <c r="G2662" t="s">
        <v>226</v>
      </c>
      <c r="H2662" t="s">
        <v>1655</v>
      </c>
      <c r="I2662" t="s">
        <v>119</v>
      </c>
      <c r="J2662" t="s">
        <v>36</v>
      </c>
      <c r="K2662">
        <v>1390</v>
      </c>
      <c r="O2662" t="s">
        <v>37</v>
      </c>
      <c r="P2662" t="s">
        <v>45</v>
      </c>
      <c r="U2662" s="9" t="s">
        <v>148</v>
      </c>
      <c r="V2662" t="s">
        <v>164</v>
      </c>
      <c r="W2662" t="s">
        <v>138</v>
      </c>
      <c r="X2662" t="s">
        <v>54</v>
      </c>
      <c r="Y2662" t="s">
        <v>1342</v>
      </c>
      <c r="Z2662" t="s">
        <v>155</v>
      </c>
      <c r="AA2662" t="s">
        <v>1167</v>
      </c>
      <c r="AB2662" t="str">
        <f t="shared" si="123"/>
        <v>46875</v>
      </c>
    </row>
    <row r="2663" ht="14.25" spans="1:28">
      <c r="A2663" s="5" t="s">
        <v>28</v>
      </c>
      <c r="B2663" s="5" t="s">
        <v>697</v>
      </c>
      <c r="C2663" s="5">
        <v>2027</v>
      </c>
      <c r="D2663" s="5" t="s">
        <v>30</v>
      </c>
      <c r="E2663" t="s">
        <v>1654</v>
      </c>
      <c r="F2663" t="s">
        <v>1652</v>
      </c>
      <c r="G2663" t="s">
        <v>226</v>
      </c>
      <c r="H2663" t="s">
        <v>1655</v>
      </c>
      <c r="I2663" t="s">
        <v>119</v>
      </c>
      <c r="J2663" t="s">
        <v>36</v>
      </c>
      <c r="K2663">
        <v>1390</v>
      </c>
      <c r="O2663" t="s">
        <v>37</v>
      </c>
      <c r="P2663" t="s">
        <v>46</v>
      </c>
      <c r="U2663" s="9" t="s">
        <v>148</v>
      </c>
      <c r="V2663" t="s">
        <v>164</v>
      </c>
      <c r="W2663" t="s">
        <v>138</v>
      </c>
      <c r="X2663" t="s">
        <v>54</v>
      </c>
      <c r="Y2663" t="s">
        <v>1342</v>
      </c>
      <c r="Z2663" t="s">
        <v>155</v>
      </c>
      <c r="AA2663" t="s">
        <v>1167</v>
      </c>
      <c r="AB2663" t="str">
        <f t="shared" si="123"/>
        <v>46875</v>
      </c>
    </row>
    <row r="2664" ht="14.25" spans="1:28">
      <c r="A2664" s="5" t="s">
        <v>28</v>
      </c>
      <c r="B2664" s="5" t="s">
        <v>697</v>
      </c>
      <c r="C2664" s="5">
        <v>2027</v>
      </c>
      <c r="D2664" s="5" t="s">
        <v>30</v>
      </c>
      <c r="E2664" t="s">
        <v>1656</v>
      </c>
      <c r="F2664" t="s">
        <v>1652</v>
      </c>
      <c r="G2664" t="s">
        <v>1053</v>
      </c>
      <c r="H2664" t="s">
        <v>1657</v>
      </c>
      <c r="I2664" t="s">
        <v>119</v>
      </c>
      <c r="J2664" t="s">
        <v>36</v>
      </c>
      <c r="K2664">
        <v>1390</v>
      </c>
      <c r="O2664" t="s">
        <v>37</v>
      </c>
      <c r="P2664" t="s">
        <v>38</v>
      </c>
      <c r="R2664">
        <f t="shared" si="124"/>
        <v>0</v>
      </c>
      <c r="S2664">
        <f>SUMIFS([1]Sheet1!$T:$T,[1]Sheet1!$I:$I,E2664,[1]Sheet1!$C:$C,A2664)</f>
        <v>60</v>
      </c>
      <c r="T2664">
        <f t="shared" si="125"/>
        <v>-60</v>
      </c>
      <c r="U2664" s="9" t="s">
        <v>148</v>
      </c>
      <c r="V2664" t="s">
        <v>164</v>
      </c>
      <c r="W2664" t="s">
        <v>138</v>
      </c>
      <c r="X2664" t="s">
        <v>243</v>
      </c>
      <c r="Y2664" t="s">
        <v>1342</v>
      </c>
      <c r="Z2664" t="s">
        <v>155</v>
      </c>
      <c r="AA2664" t="s">
        <v>1167</v>
      </c>
      <c r="AB2664" t="str">
        <f t="shared" si="123"/>
        <v>46875</v>
      </c>
    </row>
    <row r="2665" ht="14.25" spans="1:28">
      <c r="A2665" s="5" t="s">
        <v>28</v>
      </c>
      <c r="B2665" s="5" t="s">
        <v>697</v>
      </c>
      <c r="C2665" s="5">
        <v>2027</v>
      </c>
      <c r="D2665" s="5" t="s">
        <v>30</v>
      </c>
      <c r="E2665" t="s">
        <v>1656</v>
      </c>
      <c r="F2665" t="s">
        <v>1652</v>
      </c>
      <c r="G2665" t="s">
        <v>1053</v>
      </c>
      <c r="H2665" t="s">
        <v>1657</v>
      </c>
      <c r="I2665" t="s">
        <v>119</v>
      </c>
      <c r="J2665" t="s">
        <v>36</v>
      </c>
      <c r="K2665">
        <v>1390</v>
      </c>
      <c r="O2665" t="s">
        <v>37</v>
      </c>
      <c r="P2665" t="s">
        <v>42</v>
      </c>
      <c r="U2665" s="9" t="s">
        <v>148</v>
      </c>
      <c r="V2665" t="s">
        <v>164</v>
      </c>
      <c r="W2665" t="s">
        <v>138</v>
      </c>
      <c r="X2665" t="s">
        <v>243</v>
      </c>
      <c r="Y2665" t="s">
        <v>1342</v>
      </c>
      <c r="Z2665" t="s">
        <v>155</v>
      </c>
      <c r="AA2665" t="s">
        <v>1167</v>
      </c>
      <c r="AB2665" t="str">
        <f t="shared" si="123"/>
        <v>46875</v>
      </c>
    </row>
    <row r="2666" ht="14.25" spans="1:28">
      <c r="A2666" s="5" t="s">
        <v>28</v>
      </c>
      <c r="B2666" s="5" t="s">
        <v>697</v>
      </c>
      <c r="C2666" s="5">
        <v>2027</v>
      </c>
      <c r="D2666" s="5" t="s">
        <v>30</v>
      </c>
      <c r="E2666" t="s">
        <v>1656</v>
      </c>
      <c r="F2666" t="s">
        <v>1652</v>
      </c>
      <c r="G2666" t="s">
        <v>1053</v>
      </c>
      <c r="H2666" t="s">
        <v>1657</v>
      </c>
      <c r="I2666" t="s">
        <v>119</v>
      </c>
      <c r="J2666" t="s">
        <v>36</v>
      </c>
      <c r="K2666">
        <v>1390</v>
      </c>
      <c r="O2666" t="s">
        <v>37</v>
      </c>
      <c r="P2666" t="s">
        <v>43</v>
      </c>
      <c r="U2666" s="9" t="s">
        <v>148</v>
      </c>
      <c r="V2666" t="s">
        <v>164</v>
      </c>
      <c r="W2666" t="s">
        <v>138</v>
      </c>
      <c r="X2666" t="s">
        <v>243</v>
      </c>
      <c r="Y2666" t="s">
        <v>1342</v>
      </c>
      <c r="Z2666" t="s">
        <v>155</v>
      </c>
      <c r="AA2666" t="s">
        <v>1167</v>
      </c>
      <c r="AB2666" t="str">
        <f t="shared" si="123"/>
        <v>46875</v>
      </c>
    </row>
    <row r="2667" ht="14.25" spans="1:28">
      <c r="A2667" s="5" t="s">
        <v>28</v>
      </c>
      <c r="B2667" s="5" t="s">
        <v>697</v>
      </c>
      <c r="C2667" s="5">
        <v>2027</v>
      </c>
      <c r="D2667" s="5" t="s">
        <v>30</v>
      </c>
      <c r="E2667" t="s">
        <v>1656</v>
      </c>
      <c r="F2667" t="s">
        <v>1652</v>
      </c>
      <c r="G2667" t="s">
        <v>1053</v>
      </c>
      <c r="H2667" t="s">
        <v>1657</v>
      </c>
      <c r="I2667" t="s">
        <v>119</v>
      </c>
      <c r="J2667" t="s">
        <v>36</v>
      </c>
      <c r="K2667">
        <v>1390</v>
      </c>
      <c r="O2667" t="s">
        <v>37</v>
      </c>
      <c r="P2667" t="s">
        <v>44</v>
      </c>
      <c r="U2667" s="9" t="s">
        <v>148</v>
      </c>
      <c r="V2667" t="s">
        <v>164</v>
      </c>
      <c r="W2667" t="s">
        <v>138</v>
      </c>
      <c r="X2667" t="s">
        <v>243</v>
      </c>
      <c r="Y2667" t="s">
        <v>1342</v>
      </c>
      <c r="Z2667" t="s">
        <v>155</v>
      </c>
      <c r="AA2667" t="s">
        <v>1167</v>
      </c>
      <c r="AB2667" t="str">
        <f t="shared" si="123"/>
        <v>46875</v>
      </c>
    </row>
    <row r="2668" ht="14.25" spans="1:28">
      <c r="A2668" s="5" t="s">
        <v>28</v>
      </c>
      <c r="B2668" s="5" t="s">
        <v>697</v>
      </c>
      <c r="C2668" s="5">
        <v>2027</v>
      </c>
      <c r="D2668" s="5" t="s">
        <v>30</v>
      </c>
      <c r="E2668" t="s">
        <v>1656</v>
      </c>
      <c r="F2668" t="s">
        <v>1652</v>
      </c>
      <c r="G2668" t="s">
        <v>1053</v>
      </c>
      <c r="H2668" t="s">
        <v>1657</v>
      </c>
      <c r="I2668" t="s">
        <v>119</v>
      </c>
      <c r="J2668" t="s">
        <v>36</v>
      </c>
      <c r="K2668">
        <v>1390</v>
      </c>
      <c r="O2668" t="s">
        <v>37</v>
      </c>
      <c r="P2668" t="s">
        <v>45</v>
      </c>
      <c r="U2668" s="9" t="s">
        <v>148</v>
      </c>
      <c r="V2668" t="s">
        <v>164</v>
      </c>
      <c r="W2668" t="s">
        <v>138</v>
      </c>
      <c r="X2668" t="s">
        <v>243</v>
      </c>
      <c r="Y2668" t="s">
        <v>1342</v>
      </c>
      <c r="Z2668" t="s">
        <v>155</v>
      </c>
      <c r="AA2668" t="s">
        <v>1167</v>
      </c>
      <c r="AB2668" t="str">
        <f t="shared" si="123"/>
        <v>46875</v>
      </c>
    </row>
    <row r="2669" ht="14.25" spans="1:28">
      <c r="A2669" s="5" t="s">
        <v>28</v>
      </c>
      <c r="B2669" s="5" t="s">
        <v>697</v>
      </c>
      <c r="C2669" s="5">
        <v>2027</v>
      </c>
      <c r="D2669" s="5" t="s">
        <v>30</v>
      </c>
      <c r="E2669" t="s">
        <v>1656</v>
      </c>
      <c r="F2669" t="s">
        <v>1652</v>
      </c>
      <c r="G2669" t="s">
        <v>1053</v>
      </c>
      <c r="H2669" t="s">
        <v>1657</v>
      </c>
      <c r="I2669" t="s">
        <v>119</v>
      </c>
      <c r="J2669" t="s">
        <v>36</v>
      </c>
      <c r="K2669">
        <v>1390</v>
      </c>
      <c r="O2669" t="s">
        <v>37</v>
      </c>
      <c r="P2669" t="s">
        <v>46</v>
      </c>
      <c r="U2669" s="9" t="s">
        <v>148</v>
      </c>
      <c r="V2669" t="s">
        <v>164</v>
      </c>
      <c r="W2669" t="s">
        <v>138</v>
      </c>
      <c r="X2669" t="s">
        <v>243</v>
      </c>
      <c r="Y2669" t="s">
        <v>1342</v>
      </c>
      <c r="Z2669" t="s">
        <v>155</v>
      </c>
      <c r="AA2669" t="s">
        <v>1167</v>
      </c>
      <c r="AB2669" t="str">
        <f t="shared" si="123"/>
        <v>46875</v>
      </c>
    </row>
    <row r="2670" ht="14.25" spans="1:28">
      <c r="A2670" s="5" t="s">
        <v>28</v>
      </c>
      <c r="B2670" s="5" t="s">
        <v>697</v>
      </c>
      <c r="C2670" s="5">
        <v>2027</v>
      </c>
      <c r="D2670" s="5" t="s">
        <v>30</v>
      </c>
      <c r="E2670" t="s">
        <v>1658</v>
      </c>
      <c r="F2670" t="s">
        <v>1652</v>
      </c>
      <c r="G2670" t="s">
        <v>60</v>
      </c>
      <c r="H2670" t="s">
        <v>1659</v>
      </c>
      <c r="I2670" t="s">
        <v>119</v>
      </c>
      <c r="J2670" t="s">
        <v>36</v>
      </c>
      <c r="K2670">
        <v>1390</v>
      </c>
      <c r="O2670" t="s">
        <v>37</v>
      </c>
      <c r="P2670" t="s">
        <v>38</v>
      </c>
      <c r="R2670">
        <f t="shared" si="124"/>
        <v>0</v>
      </c>
      <c r="S2670">
        <f>SUMIFS([1]Sheet1!$T:$T,[1]Sheet1!$I:$I,E2670,[1]Sheet1!$C:$C,A2670)</f>
        <v>350</v>
      </c>
      <c r="T2670">
        <f t="shared" si="125"/>
        <v>-350</v>
      </c>
      <c r="U2670" s="9" t="s">
        <v>148</v>
      </c>
      <c r="V2670" t="s">
        <v>164</v>
      </c>
      <c r="W2670" t="s">
        <v>138</v>
      </c>
      <c r="X2670" t="s">
        <v>62</v>
      </c>
      <c r="Y2670" t="s">
        <v>1342</v>
      </c>
      <c r="Z2670" t="s">
        <v>155</v>
      </c>
      <c r="AA2670" t="s">
        <v>1167</v>
      </c>
      <c r="AB2670" t="str">
        <f t="shared" si="123"/>
        <v>46875</v>
      </c>
    </row>
    <row r="2671" ht="14.25" spans="1:28">
      <c r="A2671" s="5" t="s">
        <v>28</v>
      </c>
      <c r="B2671" s="5" t="s">
        <v>697</v>
      </c>
      <c r="C2671" s="5">
        <v>2027</v>
      </c>
      <c r="D2671" s="5" t="s">
        <v>30</v>
      </c>
      <c r="E2671" t="s">
        <v>1658</v>
      </c>
      <c r="F2671" t="s">
        <v>1652</v>
      </c>
      <c r="G2671" t="s">
        <v>60</v>
      </c>
      <c r="H2671" t="s">
        <v>1659</v>
      </c>
      <c r="I2671" t="s">
        <v>119</v>
      </c>
      <c r="J2671" t="s">
        <v>36</v>
      </c>
      <c r="K2671">
        <v>1390</v>
      </c>
      <c r="O2671" t="s">
        <v>37</v>
      </c>
      <c r="P2671" t="s">
        <v>42</v>
      </c>
      <c r="U2671" s="9" t="s">
        <v>148</v>
      </c>
      <c r="V2671" t="s">
        <v>164</v>
      </c>
      <c r="W2671" t="s">
        <v>138</v>
      </c>
      <c r="X2671" t="s">
        <v>62</v>
      </c>
      <c r="Y2671" t="s">
        <v>1342</v>
      </c>
      <c r="Z2671" t="s">
        <v>155</v>
      </c>
      <c r="AA2671" t="s">
        <v>1167</v>
      </c>
      <c r="AB2671" t="str">
        <f t="shared" si="123"/>
        <v>46875</v>
      </c>
    </row>
    <row r="2672" ht="14.25" spans="1:28">
      <c r="A2672" s="5" t="s">
        <v>28</v>
      </c>
      <c r="B2672" s="5" t="s">
        <v>697</v>
      </c>
      <c r="C2672" s="5">
        <v>2027</v>
      </c>
      <c r="D2672" s="5" t="s">
        <v>30</v>
      </c>
      <c r="E2672" t="s">
        <v>1658</v>
      </c>
      <c r="F2672" t="s">
        <v>1652</v>
      </c>
      <c r="G2672" t="s">
        <v>60</v>
      </c>
      <c r="H2672" t="s">
        <v>1659</v>
      </c>
      <c r="I2672" t="s">
        <v>119</v>
      </c>
      <c r="J2672" t="s">
        <v>36</v>
      </c>
      <c r="K2672">
        <v>1390</v>
      </c>
      <c r="O2672" t="s">
        <v>37</v>
      </c>
      <c r="P2672" t="s">
        <v>43</v>
      </c>
      <c r="U2672" s="9" t="s">
        <v>148</v>
      </c>
      <c r="V2672" t="s">
        <v>164</v>
      </c>
      <c r="W2672" t="s">
        <v>138</v>
      </c>
      <c r="X2672" t="s">
        <v>62</v>
      </c>
      <c r="Y2672" t="s">
        <v>1342</v>
      </c>
      <c r="Z2672" t="s">
        <v>155</v>
      </c>
      <c r="AA2672" t="s">
        <v>1167</v>
      </c>
      <c r="AB2672" t="str">
        <f t="shared" si="123"/>
        <v>46875</v>
      </c>
    </row>
    <row r="2673" ht="14.25" spans="1:28">
      <c r="A2673" s="5" t="s">
        <v>28</v>
      </c>
      <c r="B2673" s="5" t="s">
        <v>697</v>
      </c>
      <c r="C2673" s="5">
        <v>2027</v>
      </c>
      <c r="D2673" s="5" t="s">
        <v>30</v>
      </c>
      <c r="E2673" t="s">
        <v>1658</v>
      </c>
      <c r="F2673" t="s">
        <v>1652</v>
      </c>
      <c r="G2673" t="s">
        <v>60</v>
      </c>
      <c r="H2673" t="s">
        <v>1659</v>
      </c>
      <c r="I2673" t="s">
        <v>119</v>
      </c>
      <c r="J2673" t="s">
        <v>36</v>
      </c>
      <c r="K2673">
        <v>1390</v>
      </c>
      <c r="O2673" t="s">
        <v>37</v>
      </c>
      <c r="P2673" t="s">
        <v>44</v>
      </c>
      <c r="U2673" s="9" t="s">
        <v>148</v>
      </c>
      <c r="V2673" t="s">
        <v>164</v>
      </c>
      <c r="W2673" t="s">
        <v>138</v>
      </c>
      <c r="X2673" t="s">
        <v>62</v>
      </c>
      <c r="Y2673" t="s">
        <v>1342</v>
      </c>
      <c r="Z2673" t="s">
        <v>155</v>
      </c>
      <c r="AA2673" t="s">
        <v>1167</v>
      </c>
      <c r="AB2673" t="str">
        <f t="shared" si="123"/>
        <v>46875</v>
      </c>
    </row>
    <row r="2674" ht="14.25" spans="1:28">
      <c r="A2674" s="5" t="s">
        <v>28</v>
      </c>
      <c r="B2674" s="5" t="s">
        <v>697</v>
      </c>
      <c r="C2674" s="5">
        <v>2027</v>
      </c>
      <c r="D2674" s="5" t="s">
        <v>30</v>
      </c>
      <c r="E2674" t="s">
        <v>1658</v>
      </c>
      <c r="F2674" t="s">
        <v>1652</v>
      </c>
      <c r="G2674" t="s">
        <v>60</v>
      </c>
      <c r="H2674" t="s">
        <v>1659</v>
      </c>
      <c r="I2674" t="s">
        <v>119</v>
      </c>
      <c r="J2674" t="s">
        <v>36</v>
      </c>
      <c r="K2674">
        <v>1390</v>
      </c>
      <c r="O2674" t="s">
        <v>37</v>
      </c>
      <c r="P2674" t="s">
        <v>45</v>
      </c>
      <c r="U2674" s="9" t="s">
        <v>148</v>
      </c>
      <c r="V2674" t="s">
        <v>164</v>
      </c>
      <c r="W2674" t="s">
        <v>138</v>
      </c>
      <c r="X2674" t="s">
        <v>62</v>
      </c>
      <c r="Y2674" t="s">
        <v>1342</v>
      </c>
      <c r="Z2674" t="s">
        <v>155</v>
      </c>
      <c r="AA2674" t="s">
        <v>1167</v>
      </c>
      <c r="AB2674" t="str">
        <f t="shared" si="123"/>
        <v>46875</v>
      </c>
    </row>
    <row r="2675" ht="14.25" spans="1:28">
      <c r="A2675" s="5" t="s">
        <v>28</v>
      </c>
      <c r="B2675" s="5" t="s">
        <v>697</v>
      </c>
      <c r="C2675" s="5">
        <v>2027</v>
      </c>
      <c r="D2675" s="5" t="s">
        <v>30</v>
      </c>
      <c r="E2675" t="s">
        <v>1658</v>
      </c>
      <c r="F2675" t="s">
        <v>1652</v>
      </c>
      <c r="G2675" t="s">
        <v>60</v>
      </c>
      <c r="H2675" t="s">
        <v>1659</v>
      </c>
      <c r="I2675" t="s">
        <v>119</v>
      </c>
      <c r="J2675" t="s">
        <v>36</v>
      </c>
      <c r="K2675">
        <v>1390</v>
      </c>
      <c r="O2675" t="s">
        <v>37</v>
      </c>
      <c r="P2675" t="s">
        <v>46</v>
      </c>
      <c r="U2675" s="9" t="s">
        <v>148</v>
      </c>
      <c r="V2675" t="s">
        <v>164</v>
      </c>
      <c r="W2675" t="s">
        <v>138</v>
      </c>
      <c r="X2675" t="s">
        <v>62</v>
      </c>
      <c r="Y2675" t="s">
        <v>1342</v>
      </c>
      <c r="Z2675" t="s">
        <v>155</v>
      </c>
      <c r="AA2675" t="s">
        <v>1167</v>
      </c>
      <c r="AB2675" t="str">
        <f t="shared" ref="AB2675:AB2738" si="126">MID(E2675,6,5)</f>
        <v>46875</v>
      </c>
    </row>
    <row r="2676" ht="14.25" spans="1:28">
      <c r="A2676" s="5" t="s">
        <v>28</v>
      </c>
      <c r="B2676" s="5" t="s">
        <v>697</v>
      </c>
      <c r="C2676" s="5">
        <v>2027</v>
      </c>
      <c r="D2676" s="5" t="s">
        <v>30</v>
      </c>
      <c r="E2676" t="s">
        <v>1660</v>
      </c>
      <c r="F2676" t="s">
        <v>1661</v>
      </c>
      <c r="G2676" t="s">
        <v>100</v>
      </c>
      <c r="H2676" t="s">
        <v>1662</v>
      </c>
      <c r="I2676" t="s">
        <v>147</v>
      </c>
      <c r="J2676" t="s">
        <v>36</v>
      </c>
      <c r="K2676">
        <v>990</v>
      </c>
      <c r="O2676" t="s">
        <v>37</v>
      </c>
      <c r="P2676" t="s">
        <v>38</v>
      </c>
      <c r="R2676">
        <f t="shared" si="124"/>
        <v>0</v>
      </c>
      <c r="S2676">
        <f>SUMIFS([1]Sheet1!$T:$T,[1]Sheet1!$I:$I,E2676,[1]Sheet1!$C:$C,A2676)</f>
        <v>0</v>
      </c>
      <c r="T2676">
        <f t="shared" si="125"/>
        <v>0</v>
      </c>
      <c r="U2676" s="9" t="s">
        <v>148</v>
      </c>
      <c r="V2676" t="s">
        <v>674</v>
      </c>
      <c r="W2676" t="s">
        <v>138</v>
      </c>
      <c r="X2676" t="s">
        <v>102</v>
      </c>
      <c r="Y2676" t="s">
        <v>1047</v>
      </c>
      <c r="Z2676" t="s">
        <v>104</v>
      </c>
      <c r="AB2676" t="str">
        <f t="shared" si="126"/>
        <v>46876</v>
      </c>
    </row>
    <row r="2677" ht="14.25" spans="1:28">
      <c r="A2677" s="5" t="s">
        <v>28</v>
      </c>
      <c r="B2677" s="5" t="s">
        <v>697</v>
      </c>
      <c r="C2677" s="5">
        <v>2027</v>
      </c>
      <c r="D2677" s="5" t="s">
        <v>30</v>
      </c>
      <c r="E2677" t="s">
        <v>1660</v>
      </c>
      <c r="F2677" t="s">
        <v>1661</v>
      </c>
      <c r="G2677" t="s">
        <v>100</v>
      </c>
      <c r="H2677" t="s">
        <v>1662</v>
      </c>
      <c r="I2677" t="s">
        <v>147</v>
      </c>
      <c r="J2677" t="s">
        <v>36</v>
      </c>
      <c r="K2677">
        <v>990</v>
      </c>
      <c r="O2677" t="s">
        <v>37</v>
      </c>
      <c r="P2677" t="s">
        <v>42</v>
      </c>
      <c r="U2677" s="9" t="s">
        <v>148</v>
      </c>
      <c r="V2677" t="s">
        <v>674</v>
      </c>
      <c r="W2677" t="s">
        <v>138</v>
      </c>
      <c r="X2677" t="s">
        <v>102</v>
      </c>
      <c r="Y2677" t="s">
        <v>1047</v>
      </c>
      <c r="Z2677" t="s">
        <v>104</v>
      </c>
      <c r="AB2677" t="str">
        <f t="shared" si="126"/>
        <v>46876</v>
      </c>
    </row>
    <row r="2678" ht="14.25" spans="1:28">
      <c r="A2678" s="5" t="s">
        <v>28</v>
      </c>
      <c r="B2678" s="5" t="s">
        <v>697</v>
      </c>
      <c r="C2678" s="5">
        <v>2027</v>
      </c>
      <c r="D2678" s="5" t="s">
        <v>30</v>
      </c>
      <c r="E2678" t="s">
        <v>1660</v>
      </c>
      <c r="F2678" t="s">
        <v>1661</v>
      </c>
      <c r="G2678" t="s">
        <v>100</v>
      </c>
      <c r="H2678" t="s">
        <v>1662</v>
      </c>
      <c r="I2678" t="s">
        <v>147</v>
      </c>
      <c r="J2678" t="s">
        <v>36</v>
      </c>
      <c r="K2678">
        <v>990</v>
      </c>
      <c r="O2678" t="s">
        <v>37</v>
      </c>
      <c r="P2678" t="s">
        <v>43</v>
      </c>
      <c r="U2678" s="9" t="s">
        <v>148</v>
      </c>
      <c r="V2678" t="s">
        <v>674</v>
      </c>
      <c r="W2678" t="s">
        <v>138</v>
      </c>
      <c r="X2678" t="s">
        <v>102</v>
      </c>
      <c r="Y2678" t="s">
        <v>1047</v>
      </c>
      <c r="Z2678" t="s">
        <v>104</v>
      </c>
      <c r="AB2678" t="str">
        <f t="shared" si="126"/>
        <v>46876</v>
      </c>
    </row>
    <row r="2679" ht="14.25" spans="1:28">
      <c r="A2679" s="5" t="s">
        <v>28</v>
      </c>
      <c r="B2679" s="5" t="s">
        <v>697</v>
      </c>
      <c r="C2679" s="5">
        <v>2027</v>
      </c>
      <c r="D2679" s="5" t="s">
        <v>30</v>
      </c>
      <c r="E2679" t="s">
        <v>1660</v>
      </c>
      <c r="F2679" t="s">
        <v>1661</v>
      </c>
      <c r="G2679" t="s">
        <v>100</v>
      </c>
      <c r="H2679" t="s">
        <v>1662</v>
      </c>
      <c r="I2679" t="s">
        <v>147</v>
      </c>
      <c r="J2679" t="s">
        <v>36</v>
      </c>
      <c r="K2679">
        <v>990</v>
      </c>
      <c r="O2679" t="s">
        <v>37</v>
      </c>
      <c r="P2679" t="s">
        <v>44</v>
      </c>
      <c r="U2679" s="9" t="s">
        <v>148</v>
      </c>
      <c r="V2679" t="s">
        <v>674</v>
      </c>
      <c r="W2679" t="s">
        <v>138</v>
      </c>
      <c r="X2679" t="s">
        <v>102</v>
      </c>
      <c r="Y2679" t="s">
        <v>1047</v>
      </c>
      <c r="Z2679" t="s">
        <v>104</v>
      </c>
      <c r="AB2679" t="str">
        <f t="shared" si="126"/>
        <v>46876</v>
      </c>
    </row>
    <row r="2680" ht="14.25" spans="1:28">
      <c r="A2680" s="5" t="s">
        <v>28</v>
      </c>
      <c r="B2680" s="5" t="s">
        <v>697</v>
      </c>
      <c r="C2680" s="5">
        <v>2027</v>
      </c>
      <c r="D2680" s="5" t="s">
        <v>30</v>
      </c>
      <c r="E2680" t="s">
        <v>1660</v>
      </c>
      <c r="F2680" t="s">
        <v>1661</v>
      </c>
      <c r="G2680" t="s">
        <v>100</v>
      </c>
      <c r="H2680" t="s">
        <v>1662</v>
      </c>
      <c r="I2680" t="s">
        <v>147</v>
      </c>
      <c r="J2680" t="s">
        <v>36</v>
      </c>
      <c r="K2680">
        <v>990</v>
      </c>
      <c r="O2680" t="s">
        <v>37</v>
      </c>
      <c r="P2680" t="s">
        <v>45</v>
      </c>
      <c r="U2680" s="9" t="s">
        <v>148</v>
      </c>
      <c r="V2680" t="s">
        <v>674</v>
      </c>
      <c r="W2680" t="s">
        <v>138</v>
      </c>
      <c r="X2680" t="s">
        <v>102</v>
      </c>
      <c r="Y2680" t="s">
        <v>1047</v>
      </c>
      <c r="Z2680" t="s">
        <v>104</v>
      </c>
      <c r="AB2680" t="str">
        <f t="shared" si="126"/>
        <v>46876</v>
      </c>
    </row>
    <row r="2681" ht="14.25" spans="1:28">
      <c r="A2681" s="5" t="s">
        <v>28</v>
      </c>
      <c r="B2681" s="5" t="s">
        <v>697</v>
      </c>
      <c r="C2681" s="5">
        <v>2027</v>
      </c>
      <c r="D2681" s="5" t="s">
        <v>30</v>
      </c>
      <c r="E2681" t="s">
        <v>1660</v>
      </c>
      <c r="F2681" t="s">
        <v>1661</v>
      </c>
      <c r="G2681" t="s">
        <v>100</v>
      </c>
      <c r="H2681" t="s">
        <v>1662</v>
      </c>
      <c r="I2681" t="s">
        <v>147</v>
      </c>
      <c r="J2681" t="s">
        <v>36</v>
      </c>
      <c r="K2681">
        <v>990</v>
      </c>
      <c r="O2681" t="s">
        <v>37</v>
      </c>
      <c r="P2681" t="s">
        <v>46</v>
      </c>
      <c r="U2681" s="9" t="s">
        <v>148</v>
      </c>
      <c r="V2681" t="s">
        <v>674</v>
      </c>
      <c r="W2681" t="s">
        <v>138</v>
      </c>
      <c r="X2681" t="s">
        <v>102</v>
      </c>
      <c r="Y2681" t="s">
        <v>1047</v>
      </c>
      <c r="Z2681" t="s">
        <v>104</v>
      </c>
      <c r="AB2681" t="str">
        <f t="shared" si="126"/>
        <v>46876</v>
      </c>
    </row>
    <row r="2682" ht="14.25" spans="1:28">
      <c r="A2682" s="5" t="s">
        <v>28</v>
      </c>
      <c r="B2682" s="5" t="s">
        <v>697</v>
      </c>
      <c r="C2682" s="5">
        <v>2027</v>
      </c>
      <c r="D2682" s="5" t="s">
        <v>30</v>
      </c>
      <c r="E2682" t="s">
        <v>1663</v>
      </c>
      <c r="F2682" t="s">
        <v>1661</v>
      </c>
      <c r="G2682" t="s">
        <v>254</v>
      </c>
      <c r="H2682" t="s">
        <v>1664</v>
      </c>
      <c r="I2682" t="s">
        <v>147</v>
      </c>
      <c r="J2682" t="s">
        <v>36</v>
      </c>
      <c r="K2682">
        <v>990</v>
      </c>
      <c r="O2682" t="s">
        <v>37</v>
      </c>
      <c r="P2682" t="s">
        <v>38</v>
      </c>
      <c r="R2682">
        <f t="shared" si="124"/>
        <v>0</v>
      </c>
      <c r="S2682">
        <f>SUMIFS([1]Sheet1!$T:$T,[1]Sheet1!$I:$I,E2682,[1]Sheet1!$C:$C,A2682)</f>
        <v>0</v>
      </c>
      <c r="T2682">
        <f t="shared" si="125"/>
        <v>0</v>
      </c>
      <c r="U2682" s="9" t="s">
        <v>148</v>
      </c>
      <c r="V2682" t="s">
        <v>674</v>
      </c>
      <c r="W2682" t="s">
        <v>138</v>
      </c>
      <c r="X2682" t="s">
        <v>86</v>
      </c>
      <c r="Y2682" t="s">
        <v>1047</v>
      </c>
      <c r="Z2682" t="s">
        <v>104</v>
      </c>
      <c r="AB2682" t="str">
        <f t="shared" si="126"/>
        <v>46876</v>
      </c>
    </row>
    <row r="2683" ht="14.25" spans="1:28">
      <c r="A2683" s="5" t="s">
        <v>28</v>
      </c>
      <c r="B2683" s="5" t="s">
        <v>697</v>
      </c>
      <c r="C2683" s="5">
        <v>2027</v>
      </c>
      <c r="D2683" s="5" t="s">
        <v>30</v>
      </c>
      <c r="E2683" t="s">
        <v>1663</v>
      </c>
      <c r="F2683" t="s">
        <v>1661</v>
      </c>
      <c r="G2683" t="s">
        <v>254</v>
      </c>
      <c r="H2683" t="s">
        <v>1664</v>
      </c>
      <c r="I2683" t="s">
        <v>147</v>
      </c>
      <c r="J2683" t="s">
        <v>36</v>
      </c>
      <c r="K2683">
        <v>990</v>
      </c>
      <c r="O2683" t="s">
        <v>37</v>
      </c>
      <c r="P2683" t="s">
        <v>42</v>
      </c>
      <c r="U2683" s="9" t="s">
        <v>148</v>
      </c>
      <c r="V2683" t="s">
        <v>674</v>
      </c>
      <c r="W2683" t="s">
        <v>138</v>
      </c>
      <c r="X2683" t="s">
        <v>86</v>
      </c>
      <c r="Y2683" t="s">
        <v>1047</v>
      </c>
      <c r="Z2683" t="s">
        <v>104</v>
      </c>
      <c r="AB2683" t="str">
        <f t="shared" si="126"/>
        <v>46876</v>
      </c>
    </row>
    <row r="2684" ht="14.25" spans="1:28">
      <c r="A2684" s="5" t="s">
        <v>28</v>
      </c>
      <c r="B2684" s="5" t="s">
        <v>697</v>
      </c>
      <c r="C2684" s="5">
        <v>2027</v>
      </c>
      <c r="D2684" s="5" t="s">
        <v>30</v>
      </c>
      <c r="E2684" t="s">
        <v>1663</v>
      </c>
      <c r="F2684" t="s">
        <v>1661</v>
      </c>
      <c r="G2684" t="s">
        <v>254</v>
      </c>
      <c r="H2684" t="s">
        <v>1664</v>
      </c>
      <c r="I2684" t="s">
        <v>147</v>
      </c>
      <c r="J2684" t="s">
        <v>36</v>
      </c>
      <c r="K2684">
        <v>990</v>
      </c>
      <c r="O2684" t="s">
        <v>37</v>
      </c>
      <c r="P2684" t="s">
        <v>43</v>
      </c>
      <c r="U2684" s="9" t="s">
        <v>148</v>
      </c>
      <c r="V2684" t="s">
        <v>674</v>
      </c>
      <c r="W2684" t="s">
        <v>138</v>
      </c>
      <c r="X2684" t="s">
        <v>86</v>
      </c>
      <c r="Y2684" t="s">
        <v>1047</v>
      </c>
      <c r="Z2684" t="s">
        <v>104</v>
      </c>
      <c r="AB2684" t="str">
        <f t="shared" si="126"/>
        <v>46876</v>
      </c>
    </row>
    <row r="2685" ht="14.25" spans="1:28">
      <c r="A2685" s="5" t="s">
        <v>28</v>
      </c>
      <c r="B2685" s="5" t="s">
        <v>697</v>
      </c>
      <c r="C2685" s="5">
        <v>2027</v>
      </c>
      <c r="D2685" s="5" t="s">
        <v>30</v>
      </c>
      <c r="E2685" t="s">
        <v>1663</v>
      </c>
      <c r="F2685" t="s">
        <v>1661</v>
      </c>
      <c r="G2685" t="s">
        <v>254</v>
      </c>
      <c r="H2685" t="s">
        <v>1664</v>
      </c>
      <c r="I2685" t="s">
        <v>147</v>
      </c>
      <c r="J2685" t="s">
        <v>36</v>
      </c>
      <c r="K2685">
        <v>990</v>
      </c>
      <c r="O2685" t="s">
        <v>37</v>
      </c>
      <c r="P2685" t="s">
        <v>44</v>
      </c>
      <c r="U2685" s="9" t="s">
        <v>148</v>
      </c>
      <c r="V2685" t="s">
        <v>674</v>
      </c>
      <c r="W2685" t="s">
        <v>138</v>
      </c>
      <c r="X2685" t="s">
        <v>86</v>
      </c>
      <c r="Y2685" t="s">
        <v>1047</v>
      </c>
      <c r="Z2685" t="s">
        <v>104</v>
      </c>
      <c r="AB2685" t="str">
        <f t="shared" si="126"/>
        <v>46876</v>
      </c>
    </row>
    <row r="2686" ht="14.25" spans="1:28">
      <c r="A2686" s="5" t="s">
        <v>28</v>
      </c>
      <c r="B2686" s="5" t="s">
        <v>697</v>
      </c>
      <c r="C2686" s="5">
        <v>2027</v>
      </c>
      <c r="D2686" s="5" t="s">
        <v>30</v>
      </c>
      <c r="E2686" t="s">
        <v>1663</v>
      </c>
      <c r="F2686" t="s">
        <v>1661</v>
      </c>
      <c r="G2686" t="s">
        <v>254</v>
      </c>
      <c r="H2686" t="s">
        <v>1664</v>
      </c>
      <c r="I2686" t="s">
        <v>147</v>
      </c>
      <c r="J2686" t="s">
        <v>36</v>
      </c>
      <c r="K2686">
        <v>990</v>
      </c>
      <c r="O2686" t="s">
        <v>37</v>
      </c>
      <c r="P2686" t="s">
        <v>45</v>
      </c>
      <c r="U2686" s="9" t="s">
        <v>148</v>
      </c>
      <c r="V2686" t="s">
        <v>674</v>
      </c>
      <c r="W2686" t="s">
        <v>138</v>
      </c>
      <c r="X2686" t="s">
        <v>86</v>
      </c>
      <c r="Y2686" t="s">
        <v>1047</v>
      </c>
      <c r="Z2686" t="s">
        <v>104</v>
      </c>
      <c r="AB2686" t="str">
        <f t="shared" si="126"/>
        <v>46876</v>
      </c>
    </row>
    <row r="2687" ht="14.25" spans="1:28">
      <c r="A2687" s="5" t="s">
        <v>28</v>
      </c>
      <c r="B2687" s="5" t="s">
        <v>697</v>
      </c>
      <c r="C2687" s="5">
        <v>2027</v>
      </c>
      <c r="D2687" s="5" t="s">
        <v>30</v>
      </c>
      <c r="E2687" t="s">
        <v>1663</v>
      </c>
      <c r="F2687" t="s">
        <v>1661</v>
      </c>
      <c r="G2687" t="s">
        <v>254</v>
      </c>
      <c r="H2687" t="s">
        <v>1664</v>
      </c>
      <c r="I2687" t="s">
        <v>147</v>
      </c>
      <c r="J2687" t="s">
        <v>36</v>
      </c>
      <c r="K2687">
        <v>990</v>
      </c>
      <c r="O2687" t="s">
        <v>37</v>
      </c>
      <c r="P2687" t="s">
        <v>46</v>
      </c>
      <c r="U2687" s="9" t="s">
        <v>148</v>
      </c>
      <c r="V2687" t="s">
        <v>674</v>
      </c>
      <c r="W2687" t="s">
        <v>138</v>
      </c>
      <c r="X2687" t="s">
        <v>86</v>
      </c>
      <c r="Y2687" t="s">
        <v>1047</v>
      </c>
      <c r="Z2687" t="s">
        <v>104</v>
      </c>
      <c r="AB2687" t="str">
        <f t="shared" si="126"/>
        <v>46876</v>
      </c>
    </row>
    <row r="2688" ht="14.25" spans="1:28">
      <c r="A2688" s="5" t="s">
        <v>28</v>
      </c>
      <c r="B2688" s="5" t="s">
        <v>697</v>
      </c>
      <c r="C2688" s="5">
        <v>2027</v>
      </c>
      <c r="D2688" s="5" t="s">
        <v>30</v>
      </c>
      <c r="E2688" t="s">
        <v>1665</v>
      </c>
      <c r="F2688" t="s">
        <v>1666</v>
      </c>
      <c r="G2688" t="s">
        <v>100</v>
      </c>
      <c r="H2688" t="s">
        <v>1667</v>
      </c>
      <c r="I2688" t="s">
        <v>147</v>
      </c>
      <c r="J2688" t="s">
        <v>36</v>
      </c>
      <c r="K2688">
        <v>990</v>
      </c>
      <c r="O2688" t="s">
        <v>37</v>
      </c>
      <c r="P2688" t="s">
        <v>38</v>
      </c>
      <c r="R2688">
        <f t="shared" si="124"/>
        <v>0</v>
      </c>
      <c r="S2688">
        <f>SUMIFS([1]Sheet1!$T:$T,[1]Sheet1!$I:$I,E2688,[1]Sheet1!$C:$C,A2688)</f>
        <v>40</v>
      </c>
      <c r="T2688">
        <f t="shared" si="125"/>
        <v>-40</v>
      </c>
      <c r="U2688" s="9" t="s">
        <v>136</v>
      </c>
      <c r="V2688" t="s">
        <v>1150</v>
      </c>
      <c r="W2688" t="s">
        <v>138</v>
      </c>
      <c r="X2688" t="s">
        <v>102</v>
      </c>
      <c r="Y2688" t="s">
        <v>1047</v>
      </c>
      <c r="Z2688" t="s">
        <v>41</v>
      </c>
      <c r="AB2688" t="str">
        <f t="shared" si="126"/>
        <v>46877</v>
      </c>
    </row>
    <row r="2689" ht="14.25" spans="1:28">
      <c r="A2689" s="5" t="s">
        <v>28</v>
      </c>
      <c r="B2689" s="5" t="s">
        <v>697</v>
      </c>
      <c r="C2689" s="5">
        <v>2027</v>
      </c>
      <c r="D2689" s="5" t="s">
        <v>30</v>
      </c>
      <c r="E2689" t="s">
        <v>1665</v>
      </c>
      <c r="F2689" t="s">
        <v>1666</v>
      </c>
      <c r="G2689" t="s">
        <v>100</v>
      </c>
      <c r="H2689" t="s">
        <v>1667</v>
      </c>
      <c r="I2689" t="s">
        <v>147</v>
      </c>
      <c r="J2689" t="s">
        <v>36</v>
      </c>
      <c r="K2689">
        <v>990</v>
      </c>
      <c r="O2689" t="s">
        <v>37</v>
      </c>
      <c r="P2689" t="s">
        <v>42</v>
      </c>
      <c r="U2689" s="9" t="s">
        <v>136</v>
      </c>
      <c r="V2689" t="s">
        <v>1150</v>
      </c>
      <c r="W2689" t="s">
        <v>138</v>
      </c>
      <c r="X2689" t="s">
        <v>102</v>
      </c>
      <c r="Y2689" t="s">
        <v>1047</v>
      </c>
      <c r="Z2689" t="s">
        <v>41</v>
      </c>
      <c r="AB2689" t="str">
        <f t="shared" si="126"/>
        <v>46877</v>
      </c>
    </row>
    <row r="2690" ht="14.25" spans="1:28">
      <c r="A2690" s="5" t="s">
        <v>28</v>
      </c>
      <c r="B2690" s="5" t="s">
        <v>697</v>
      </c>
      <c r="C2690" s="5">
        <v>2027</v>
      </c>
      <c r="D2690" s="5" t="s">
        <v>30</v>
      </c>
      <c r="E2690" t="s">
        <v>1665</v>
      </c>
      <c r="F2690" t="s">
        <v>1666</v>
      </c>
      <c r="G2690" t="s">
        <v>100</v>
      </c>
      <c r="H2690" t="s">
        <v>1667</v>
      </c>
      <c r="I2690" t="s">
        <v>147</v>
      </c>
      <c r="J2690" t="s">
        <v>36</v>
      </c>
      <c r="K2690">
        <v>990</v>
      </c>
      <c r="O2690" t="s">
        <v>37</v>
      </c>
      <c r="P2690" t="s">
        <v>43</v>
      </c>
      <c r="U2690" s="9" t="s">
        <v>136</v>
      </c>
      <c r="V2690" t="s">
        <v>1150</v>
      </c>
      <c r="W2690" t="s">
        <v>138</v>
      </c>
      <c r="X2690" t="s">
        <v>102</v>
      </c>
      <c r="Y2690" t="s">
        <v>1047</v>
      </c>
      <c r="Z2690" t="s">
        <v>41</v>
      </c>
      <c r="AB2690" t="str">
        <f t="shared" si="126"/>
        <v>46877</v>
      </c>
    </row>
    <row r="2691" ht="14.25" spans="1:28">
      <c r="A2691" s="5" t="s">
        <v>28</v>
      </c>
      <c r="B2691" s="5" t="s">
        <v>697</v>
      </c>
      <c r="C2691" s="5">
        <v>2027</v>
      </c>
      <c r="D2691" s="5" t="s">
        <v>30</v>
      </c>
      <c r="E2691" t="s">
        <v>1665</v>
      </c>
      <c r="F2691" t="s">
        <v>1666</v>
      </c>
      <c r="G2691" t="s">
        <v>100</v>
      </c>
      <c r="H2691" t="s">
        <v>1667</v>
      </c>
      <c r="I2691" t="s">
        <v>147</v>
      </c>
      <c r="J2691" t="s">
        <v>36</v>
      </c>
      <c r="K2691">
        <v>990</v>
      </c>
      <c r="O2691" t="s">
        <v>37</v>
      </c>
      <c r="P2691" t="s">
        <v>44</v>
      </c>
      <c r="U2691" s="9" t="s">
        <v>136</v>
      </c>
      <c r="V2691" t="s">
        <v>1150</v>
      </c>
      <c r="W2691" t="s">
        <v>138</v>
      </c>
      <c r="X2691" t="s">
        <v>102</v>
      </c>
      <c r="Y2691" t="s">
        <v>1047</v>
      </c>
      <c r="Z2691" t="s">
        <v>41</v>
      </c>
      <c r="AB2691" t="str">
        <f t="shared" si="126"/>
        <v>46877</v>
      </c>
    </row>
    <row r="2692" ht="14.25" spans="1:28">
      <c r="A2692" s="5" t="s">
        <v>28</v>
      </c>
      <c r="B2692" s="5" t="s">
        <v>697</v>
      </c>
      <c r="C2692" s="5">
        <v>2027</v>
      </c>
      <c r="D2692" s="5" t="s">
        <v>30</v>
      </c>
      <c r="E2692" t="s">
        <v>1665</v>
      </c>
      <c r="F2692" t="s">
        <v>1666</v>
      </c>
      <c r="G2692" t="s">
        <v>100</v>
      </c>
      <c r="H2692" t="s">
        <v>1667</v>
      </c>
      <c r="I2692" t="s">
        <v>147</v>
      </c>
      <c r="J2692" t="s">
        <v>36</v>
      </c>
      <c r="K2692">
        <v>990</v>
      </c>
      <c r="O2692" t="s">
        <v>37</v>
      </c>
      <c r="P2692" t="s">
        <v>45</v>
      </c>
      <c r="U2692" s="9" t="s">
        <v>136</v>
      </c>
      <c r="V2692" t="s">
        <v>1150</v>
      </c>
      <c r="W2692" t="s">
        <v>138</v>
      </c>
      <c r="X2692" t="s">
        <v>102</v>
      </c>
      <c r="Y2692" t="s">
        <v>1047</v>
      </c>
      <c r="Z2692" t="s">
        <v>41</v>
      </c>
      <c r="AB2692" t="str">
        <f t="shared" si="126"/>
        <v>46877</v>
      </c>
    </row>
    <row r="2693" ht="14.25" spans="1:28">
      <c r="A2693" s="5" t="s">
        <v>28</v>
      </c>
      <c r="B2693" s="5" t="s">
        <v>697</v>
      </c>
      <c r="C2693" s="5">
        <v>2027</v>
      </c>
      <c r="D2693" s="5" t="s">
        <v>30</v>
      </c>
      <c r="E2693" t="s">
        <v>1665</v>
      </c>
      <c r="F2693" t="s">
        <v>1666</v>
      </c>
      <c r="G2693" t="s">
        <v>100</v>
      </c>
      <c r="H2693" t="s">
        <v>1667</v>
      </c>
      <c r="I2693" t="s">
        <v>147</v>
      </c>
      <c r="J2693" t="s">
        <v>36</v>
      </c>
      <c r="K2693">
        <v>990</v>
      </c>
      <c r="O2693" t="s">
        <v>37</v>
      </c>
      <c r="P2693" t="s">
        <v>46</v>
      </c>
      <c r="U2693" s="9" t="s">
        <v>136</v>
      </c>
      <c r="V2693" t="s">
        <v>1150</v>
      </c>
      <c r="W2693" t="s">
        <v>138</v>
      </c>
      <c r="X2693" t="s">
        <v>102</v>
      </c>
      <c r="Y2693" t="s">
        <v>1047</v>
      </c>
      <c r="Z2693" t="s">
        <v>41</v>
      </c>
      <c r="AB2693" t="str">
        <f t="shared" si="126"/>
        <v>46877</v>
      </c>
    </row>
    <row r="2694" ht="14.25" spans="1:28">
      <c r="A2694" s="5" t="s">
        <v>28</v>
      </c>
      <c r="B2694" s="5" t="s">
        <v>697</v>
      </c>
      <c r="C2694" s="5">
        <v>2027</v>
      </c>
      <c r="D2694" s="5" t="s">
        <v>30</v>
      </c>
      <c r="E2694" t="s">
        <v>1668</v>
      </c>
      <c r="F2694" t="s">
        <v>1666</v>
      </c>
      <c r="G2694" t="s">
        <v>254</v>
      </c>
      <c r="H2694" t="s">
        <v>1669</v>
      </c>
      <c r="I2694" t="s">
        <v>147</v>
      </c>
      <c r="J2694" t="s">
        <v>36</v>
      </c>
      <c r="K2694">
        <v>990</v>
      </c>
      <c r="O2694" t="s">
        <v>37</v>
      </c>
      <c r="P2694" t="s">
        <v>38</v>
      </c>
      <c r="R2694">
        <f t="shared" ref="R2690:R2753" si="127">SUMIFS(Q:Q,E:E,E2694)</f>
        <v>0</v>
      </c>
      <c r="S2694">
        <f>SUMIFS([1]Sheet1!$T:$T,[1]Sheet1!$I:$I,E2694,[1]Sheet1!$C:$C,A2694)</f>
        <v>20</v>
      </c>
      <c r="T2694">
        <f t="shared" ref="T2690:T2753" si="128">R2694-S2694</f>
        <v>-20</v>
      </c>
      <c r="U2694" s="9" t="s">
        <v>136</v>
      </c>
      <c r="V2694" t="s">
        <v>1150</v>
      </c>
      <c r="W2694" t="s">
        <v>138</v>
      </c>
      <c r="X2694" t="s">
        <v>86</v>
      </c>
      <c r="Y2694" t="s">
        <v>1047</v>
      </c>
      <c r="Z2694" t="s">
        <v>41</v>
      </c>
      <c r="AB2694" t="str">
        <f t="shared" si="126"/>
        <v>46877</v>
      </c>
    </row>
    <row r="2695" ht="14.25" spans="1:28">
      <c r="A2695" s="5" t="s">
        <v>28</v>
      </c>
      <c r="B2695" s="5" t="s">
        <v>697</v>
      </c>
      <c r="C2695" s="5">
        <v>2027</v>
      </c>
      <c r="D2695" s="5" t="s">
        <v>30</v>
      </c>
      <c r="E2695" t="s">
        <v>1668</v>
      </c>
      <c r="F2695" t="s">
        <v>1666</v>
      </c>
      <c r="G2695" t="s">
        <v>254</v>
      </c>
      <c r="H2695" t="s">
        <v>1669</v>
      </c>
      <c r="I2695" t="s">
        <v>147</v>
      </c>
      <c r="J2695" t="s">
        <v>36</v>
      </c>
      <c r="K2695">
        <v>990</v>
      </c>
      <c r="O2695" t="s">
        <v>37</v>
      </c>
      <c r="P2695" t="s">
        <v>42</v>
      </c>
      <c r="U2695" s="9" t="s">
        <v>136</v>
      </c>
      <c r="V2695" t="s">
        <v>1150</v>
      </c>
      <c r="W2695" t="s">
        <v>138</v>
      </c>
      <c r="X2695" t="s">
        <v>86</v>
      </c>
      <c r="Y2695" t="s">
        <v>1047</v>
      </c>
      <c r="Z2695" t="s">
        <v>41</v>
      </c>
      <c r="AB2695" t="str">
        <f t="shared" si="126"/>
        <v>46877</v>
      </c>
    </row>
    <row r="2696" ht="14.25" spans="1:28">
      <c r="A2696" s="5" t="s">
        <v>28</v>
      </c>
      <c r="B2696" s="5" t="s">
        <v>697</v>
      </c>
      <c r="C2696" s="5">
        <v>2027</v>
      </c>
      <c r="D2696" s="5" t="s">
        <v>30</v>
      </c>
      <c r="E2696" t="s">
        <v>1668</v>
      </c>
      <c r="F2696" t="s">
        <v>1666</v>
      </c>
      <c r="G2696" t="s">
        <v>254</v>
      </c>
      <c r="H2696" t="s">
        <v>1669</v>
      </c>
      <c r="I2696" t="s">
        <v>147</v>
      </c>
      <c r="J2696" t="s">
        <v>36</v>
      </c>
      <c r="K2696">
        <v>990</v>
      </c>
      <c r="O2696" t="s">
        <v>37</v>
      </c>
      <c r="P2696" t="s">
        <v>43</v>
      </c>
      <c r="U2696" s="9" t="s">
        <v>136</v>
      </c>
      <c r="V2696" t="s">
        <v>1150</v>
      </c>
      <c r="W2696" t="s">
        <v>138</v>
      </c>
      <c r="X2696" t="s">
        <v>86</v>
      </c>
      <c r="Y2696" t="s">
        <v>1047</v>
      </c>
      <c r="Z2696" t="s">
        <v>41</v>
      </c>
      <c r="AB2696" t="str">
        <f t="shared" si="126"/>
        <v>46877</v>
      </c>
    </row>
    <row r="2697" ht="14.25" spans="1:28">
      <c r="A2697" s="5" t="s">
        <v>28</v>
      </c>
      <c r="B2697" s="5" t="s">
        <v>697</v>
      </c>
      <c r="C2697" s="5">
        <v>2027</v>
      </c>
      <c r="D2697" s="5" t="s">
        <v>30</v>
      </c>
      <c r="E2697" t="s">
        <v>1668</v>
      </c>
      <c r="F2697" t="s">
        <v>1666</v>
      </c>
      <c r="G2697" t="s">
        <v>254</v>
      </c>
      <c r="H2697" t="s">
        <v>1669</v>
      </c>
      <c r="I2697" t="s">
        <v>147</v>
      </c>
      <c r="J2697" t="s">
        <v>36</v>
      </c>
      <c r="K2697">
        <v>990</v>
      </c>
      <c r="O2697" t="s">
        <v>37</v>
      </c>
      <c r="P2697" t="s">
        <v>44</v>
      </c>
      <c r="U2697" s="9" t="s">
        <v>136</v>
      </c>
      <c r="V2697" t="s">
        <v>1150</v>
      </c>
      <c r="W2697" t="s">
        <v>138</v>
      </c>
      <c r="X2697" t="s">
        <v>86</v>
      </c>
      <c r="Y2697" t="s">
        <v>1047</v>
      </c>
      <c r="Z2697" t="s">
        <v>41</v>
      </c>
      <c r="AB2697" t="str">
        <f t="shared" si="126"/>
        <v>46877</v>
      </c>
    </row>
    <row r="2698" ht="14.25" spans="1:28">
      <c r="A2698" s="5" t="s">
        <v>28</v>
      </c>
      <c r="B2698" s="5" t="s">
        <v>697</v>
      </c>
      <c r="C2698" s="5">
        <v>2027</v>
      </c>
      <c r="D2698" s="5" t="s">
        <v>30</v>
      </c>
      <c r="E2698" t="s">
        <v>1668</v>
      </c>
      <c r="F2698" t="s">
        <v>1666</v>
      </c>
      <c r="G2698" t="s">
        <v>254</v>
      </c>
      <c r="H2698" t="s">
        <v>1669</v>
      </c>
      <c r="I2698" t="s">
        <v>147</v>
      </c>
      <c r="J2698" t="s">
        <v>36</v>
      </c>
      <c r="K2698">
        <v>990</v>
      </c>
      <c r="O2698" t="s">
        <v>37</v>
      </c>
      <c r="P2698" t="s">
        <v>45</v>
      </c>
      <c r="U2698" s="9" t="s">
        <v>136</v>
      </c>
      <c r="V2698" t="s">
        <v>1150</v>
      </c>
      <c r="W2698" t="s">
        <v>138</v>
      </c>
      <c r="X2698" t="s">
        <v>86</v>
      </c>
      <c r="Y2698" t="s">
        <v>1047</v>
      </c>
      <c r="Z2698" t="s">
        <v>41</v>
      </c>
      <c r="AB2698" t="str">
        <f t="shared" si="126"/>
        <v>46877</v>
      </c>
    </row>
    <row r="2699" ht="14.25" spans="1:28">
      <c r="A2699" s="5" t="s">
        <v>28</v>
      </c>
      <c r="B2699" s="5" t="s">
        <v>697</v>
      </c>
      <c r="C2699" s="5">
        <v>2027</v>
      </c>
      <c r="D2699" s="5" t="s">
        <v>30</v>
      </c>
      <c r="E2699" t="s">
        <v>1668</v>
      </c>
      <c r="F2699" t="s">
        <v>1666</v>
      </c>
      <c r="G2699" t="s">
        <v>254</v>
      </c>
      <c r="H2699" t="s">
        <v>1669</v>
      </c>
      <c r="I2699" t="s">
        <v>147</v>
      </c>
      <c r="J2699" t="s">
        <v>36</v>
      </c>
      <c r="K2699">
        <v>990</v>
      </c>
      <c r="O2699" t="s">
        <v>37</v>
      </c>
      <c r="P2699" t="s">
        <v>46</v>
      </c>
      <c r="U2699" s="9" t="s">
        <v>136</v>
      </c>
      <c r="V2699" t="s">
        <v>1150</v>
      </c>
      <c r="W2699" t="s">
        <v>138</v>
      </c>
      <c r="X2699" t="s">
        <v>86</v>
      </c>
      <c r="Y2699" t="s">
        <v>1047</v>
      </c>
      <c r="Z2699" t="s">
        <v>41</v>
      </c>
      <c r="AB2699" t="str">
        <f t="shared" si="126"/>
        <v>46877</v>
      </c>
    </row>
    <row r="2700" ht="14.25" spans="1:28">
      <c r="A2700" s="5" t="s">
        <v>28</v>
      </c>
      <c r="B2700" s="5" t="s">
        <v>697</v>
      </c>
      <c r="C2700" s="5">
        <v>2027</v>
      </c>
      <c r="D2700" s="5" t="s">
        <v>30</v>
      </c>
      <c r="E2700" t="s">
        <v>1670</v>
      </c>
      <c r="F2700" t="s">
        <v>1671</v>
      </c>
      <c r="G2700" t="s">
        <v>89</v>
      </c>
      <c r="H2700" t="s">
        <v>1672</v>
      </c>
      <c r="I2700" t="s">
        <v>119</v>
      </c>
      <c r="J2700" t="s">
        <v>36</v>
      </c>
      <c r="K2700">
        <v>1590</v>
      </c>
      <c r="O2700" t="s">
        <v>37</v>
      </c>
      <c r="P2700" t="s">
        <v>38</v>
      </c>
      <c r="R2700">
        <f t="shared" si="127"/>
        <v>0</v>
      </c>
      <c r="S2700">
        <f>SUMIFS([1]Sheet1!$T:$T,[1]Sheet1!$I:$I,E2700,[1]Sheet1!$C:$C,A2700)</f>
        <v>0</v>
      </c>
      <c r="T2700">
        <f t="shared" si="128"/>
        <v>0</v>
      </c>
      <c r="U2700" s="9" t="s">
        <v>148</v>
      </c>
      <c r="V2700" t="s">
        <v>233</v>
      </c>
      <c r="W2700" t="s">
        <v>138</v>
      </c>
      <c r="X2700" t="s">
        <v>39</v>
      </c>
      <c r="Y2700" t="s">
        <v>1190</v>
      </c>
      <c r="Z2700" t="s">
        <v>104</v>
      </c>
      <c r="AB2700" t="str">
        <f t="shared" si="126"/>
        <v>46889</v>
      </c>
    </row>
    <row r="2701" ht="14.25" spans="1:28">
      <c r="A2701" s="5" t="s">
        <v>28</v>
      </c>
      <c r="B2701" s="5" t="s">
        <v>697</v>
      </c>
      <c r="C2701" s="5">
        <v>2027</v>
      </c>
      <c r="D2701" s="5" t="s">
        <v>30</v>
      </c>
      <c r="E2701" t="s">
        <v>1670</v>
      </c>
      <c r="F2701" t="s">
        <v>1671</v>
      </c>
      <c r="G2701" t="s">
        <v>89</v>
      </c>
      <c r="H2701" t="s">
        <v>1672</v>
      </c>
      <c r="I2701" t="s">
        <v>119</v>
      </c>
      <c r="J2701" t="s">
        <v>36</v>
      </c>
      <c r="K2701">
        <v>1590</v>
      </c>
      <c r="O2701" t="s">
        <v>37</v>
      </c>
      <c r="P2701" t="s">
        <v>42</v>
      </c>
      <c r="U2701" s="9" t="s">
        <v>148</v>
      </c>
      <c r="V2701" t="s">
        <v>233</v>
      </c>
      <c r="W2701" t="s">
        <v>138</v>
      </c>
      <c r="X2701" t="s">
        <v>39</v>
      </c>
      <c r="Y2701" t="s">
        <v>1190</v>
      </c>
      <c r="Z2701" t="s">
        <v>104</v>
      </c>
      <c r="AB2701" t="str">
        <f t="shared" si="126"/>
        <v>46889</v>
      </c>
    </row>
    <row r="2702" ht="14.25" spans="1:28">
      <c r="A2702" s="5" t="s">
        <v>28</v>
      </c>
      <c r="B2702" s="5" t="s">
        <v>697</v>
      </c>
      <c r="C2702" s="5">
        <v>2027</v>
      </c>
      <c r="D2702" s="5" t="s">
        <v>30</v>
      </c>
      <c r="E2702" t="s">
        <v>1670</v>
      </c>
      <c r="F2702" t="s">
        <v>1671</v>
      </c>
      <c r="G2702" t="s">
        <v>89</v>
      </c>
      <c r="H2702" t="s">
        <v>1672</v>
      </c>
      <c r="I2702" t="s">
        <v>119</v>
      </c>
      <c r="J2702" t="s">
        <v>36</v>
      </c>
      <c r="K2702">
        <v>1590</v>
      </c>
      <c r="O2702" t="s">
        <v>37</v>
      </c>
      <c r="P2702" t="s">
        <v>43</v>
      </c>
      <c r="U2702" s="9" t="s">
        <v>148</v>
      </c>
      <c r="V2702" t="s">
        <v>233</v>
      </c>
      <c r="W2702" t="s">
        <v>138</v>
      </c>
      <c r="X2702" t="s">
        <v>39</v>
      </c>
      <c r="Y2702" t="s">
        <v>1190</v>
      </c>
      <c r="Z2702" t="s">
        <v>104</v>
      </c>
      <c r="AB2702" t="str">
        <f t="shared" si="126"/>
        <v>46889</v>
      </c>
    </row>
    <row r="2703" ht="14.25" spans="1:28">
      <c r="A2703" s="5" t="s">
        <v>28</v>
      </c>
      <c r="B2703" s="5" t="s">
        <v>697</v>
      </c>
      <c r="C2703" s="5">
        <v>2027</v>
      </c>
      <c r="D2703" s="5" t="s">
        <v>30</v>
      </c>
      <c r="E2703" t="s">
        <v>1670</v>
      </c>
      <c r="F2703" t="s">
        <v>1671</v>
      </c>
      <c r="G2703" t="s">
        <v>89</v>
      </c>
      <c r="H2703" t="s">
        <v>1672</v>
      </c>
      <c r="I2703" t="s">
        <v>119</v>
      </c>
      <c r="J2703" t="s">
        <v>36</v>
      </c>
      <c r="K2703">
        <v>1590</v>
      </c>
      <c r="O2703" t="s">
        <v>37</v>
      </c>
      <c r="P2703" t="s">
        <v>44</v>
      </c>
      <c r="U2703" s="9" t="s">
        <v>148</v>
      </c>
      <c r="V2703" t="s">
        <v>233</v>
      </c>
      <c r="W2703" t="s">
        <v>138</v>
      </c>
      <c r="X2703" t="s">
        <v>39</v>
      </c>
      <c r="Y2703" t="s">
        <v>1190</v>
      </c>
      <c r="Z2703" t="s">
        <v>104</v>
      </c>
      <c r="AB2703" t="str">
        <f t="shared" si="126"/>
        <v>46889</v>
      </c>
    </row>
    <row r="2704" ht="14.25" spans="1:28">
      <c r="A2704" s="5" t="s">
        <v>28</v>
      </c>
      <c r="B2704" s="5" t="s">
        <v>697</v>
      </c>
      <c r="C2704" s="5">
        <v>2027</v>
      </c>
      <c r="D2704" s="5" t="s">
        <v>30</v>
      </c>
      <c r="E2704" t="s">
        <v>1670</v>
      </c>
      <c r="F2704" t="s">
        <v>1671</v>
      </c>
      <c r="G2704" t="s">
        <v>89</v>
      </c>
      <c r="H2704" t="s">
        <v>1672</v>
      </c>
      <c r="I2704" t="s">
        <v>119</v>
      </c>
      <c r="J2704" t="s">
        <v>36</v>
      </c>
      <c r="K2704">
        <v>1590</v>
      </c>
      <c r="O2704" t="s">
        <v>37</v>
      </c>
      <c r="P2704" t="s">
        <v>45</v>
      </c>
      <c r="U2704" s="9" t="s">
        <v>148</v>
      </c>
      <c r="V2704" t="s">
        <v>233</v>
      </c>
      <c r="W2704" t="s">
        <v>138</v>
      </c>
      <c r="X2704" t="s">
        <v>39</v>
      </c>
      <c r="Y2704" t="s">
        <v>1190</v>
      </c>
      <c r="Z2704" t="s">
        <v>104</v>
      </c>
      <c r="AB2704" t="str">
        <f t="shared" si="126"/>
        <v>46889</v>
      </c>
    </row>
    <row r="2705" ht="14.25" spans="1:28">
      <c r="A2705" s="5" t="s">
        <v>28</v>
      </c>
      <c r="B2705" s="5" t="s">
        <v>697</v>
      </c>
      <c r="C2705" s="5">
        <v>2027</v>
      </c>
      <c r="D2705" s="5" t="s">
        <v>30</v>
      </c>
      <c r="E2705" t="s">
        <v>1670</v>
      </c>
      <c r="F2705" t="s">
        <v>1671</v>
      </c>
      <c r="G2705" t="s">
        <v>89</v>
      </c>
      <c r="H2705" t="s">
        <v>1672</v>
      </c>
      <c r="I2705" t="s">
        <v>119</v>
      </c>
      <c r="J2705" t="s">
        <v>36</v>
      </c>
      <c r="K2705">
        <v>1590</v>
      </c>
      <c r="O2705" t="s">
        <v>37</v>
      </c>
      <c r="P2705" t="s">
        <v>46</v>
      </c>
      <c r="U2705" s="9" t="s">
        <v>148</v>
      </c>
      <c r="V2705" t="s">
        <v>233</v>
      </c>
      <c r="W2705" t="s">
        <v>138</v>
      </c>
      <c r="X2705" t="s">
        <v>39</v>
      </c>
      <c r="Y2705" t="s">
        <v>1190</v>
      </c>
      <c r="Z2705" t="s">
        <v>104</v>
      </c>
      <c r="AB2705" t="str">
        <f t="shared" si="126"/>
        <v>46889</v>
      </c>
    </row>
    <row r="2706" ht="14.25" spans="1:28">
      <c r="A2706" s="5" t="s">
        <v>28</v>
      </c>
      <c r="B2706" s="5" t="s">
        <v>697</v>
      </c>
      <c r="C2706" s="5">
        <v>2027</v>
      </c>
      <c r="D2706" s="5" t="s">
        <v>30</v>
      </c>
      <c r="E2706" t="s">
        <v>1673</v>
      </c>
      <c r="F2706" t="s">
        <v>1674</v>
      </c>
      <c r="G2706" t="s">
        <v>221</v>
      </c>
      <c r="H2706" t="s">
        <v>1675</v>
      </c>
      <c r="I2706" t="s">
        <v>119</v>
      </c>
      <c r="J2706" t="s">
        <v>36</v>
      </c>
      <c r="K2706">
        <v>2990</v>
      </c>
      <c r="O2706" t="s">
        <v>37</v>
      </c>
      <c r="P2706" t="s">
        <v>38</v>
      </c>
      <c r="R2706">
        <f t="shared" si="127"/>
        <v>0</v>
      </c>
      <c r="S2706">
        <f>SUMIFS([1]Sheet1!$T:$T,[1]Sheet1!$I:$I,E2706,[1]Sheet1!$C:$C,A2706)</f>
        <v>0</v>
      </c>
      <c r="T2706">
        <f t="shared" si="128"/>
        <v>0</v>
      </c>
      <c r="U2706" s="9" t="s">
        <v>242</v>
      </c>
      <c r="V2706" t="s">
        <v>242</v>
      </c>
      <c r="W2706" t="s">
        <v>138</v>
      </c>
      <c r="X2706" t="s">
        <v>70</v>
      </c>
      <c r="Y2706" t="s">
        <v>179</v>
      </c>
      <c r="Z2706" t="s">
        <v>104</v>
      </c>
      <c r="AB2706" t="str">
        <f t="shared" si="126"/>
        <v>46897</v>
      </c>
    </row>
    <row r="2707" ht="14.25" spans="1:28">
      <c r="A2707" s="5" t="s">
        <v>28</v>
      </c>
      <c r="B2707" s="5" t="s">
        <v>697</v>
      </c>
      <c r="C2707" s="5">
        <v>2027</v>
      </c>
      <c r="D2707" s="5" t="s">
        <v>30</v>
      </c>
      <c r="E2707" t="s">
        <v>1673</v>
      </c>
      <c r="F2707" t="s">
        <v>1674</v>
      </c>
      <c r="G2707" t="s">
        <v>221</v>
      </c>
      <c r="H2707" t="s">
        <v>1675</v>
      </c>
      <c r="I2707" t="s">
        <v>119</v>
      </c>
      <c r="J2707" t="s">
        <v>36</v>
      </c>
      <c r="K2707">
        <v>2990</v>
      </c>
      <c r="O2707" t="s">
        <v>37</v>
      </c>
      <c r="P2707" t="s">
        <v>42</v>
      </c>
      <c r="U2707" s="9" t="s">
        <v>242</v>
      </c>
      <c r="V2707" t="s">
        <v>242</v>
      </c>
      <c r="W2707" t="s">
        <v>138</v>
      </c>
      <c r="X2707" t="s">
        <v>70</v>
      </c>
      <c r="Y2707" t="s">
        <v>179</v>
      </c>
      <c r="Z2707" t="s">
        <v>104</v>
      </c>
      <c r="AB2707" t="str">
        <f t="shared" si="126"/>
        <v>46897</v>
      </c>
    </row>
    <row r="2708" ht="14.25" spans="1:28">
      <c r="A2708" s="5" t="s">
        <v>28</v>
      </c>
      <c r="B2708" s="5" t="s">
        <v>697</v>
      </c>
      <c r="C2708" s="5">
        <v>2027</v>
      </c>
      <c r="D2708" s="5" t="s">
        <v>30</v>
      </c>
      <c r="E2708" t="s">
        <v>1673</v>
      </c>
      <c r="F2708" t="s">
        <v>1674</v>
      </c>
      <c r="G2708" t="s">
        <v>221</v>
      </c>
      <c r="H2708" t="s">
        <v>1675</v>
      </c>
      <c r="I2708" t="s">
        <v>119</v>
      </c>
      <c r="J2708" t="s">
        <v>36</v>
      </c>
      <c r="K2708">
        <v>2990</v>
      </c>
      <c r="O2708" t="s">
        <v>37</v>
      </c>
      <c r="P2708" t="s">
        <v>43</v>
      </c>
      <c r="U2708" s="9" t="s">
        <v>242</v>
      </c>
      <c r="V2708" t="s">
        <v>242</v>
      </c>
      <c r="W2708" t="s">
        <v>138</v>
      </c>
      <c r="X2708" t="s">
        <v>70</v>
      </c>
      <c r="Y2708" t="s">
        <v>179</v>
      </c>
      <c r="Z2708" t="s">
        <v>104</v>
      </c>
      <c r="AB2708" t="str">
        <f t="shared" si="126"/>
        <v>46897</v>
      </c>
    </row>
    <row r="2709" ht="14.25" spans="1:28">
      <c r="A2709" s="5" t="s">
        <v>28</v>
      </c>
      <c r="B2709" s="5" t="s">
        <v>697</v>
      </c>
      <c r="C2709" s="5">
        <v>2027</v>
      </c>
      <c r="D2709" s="5" t="s">
        <v>30</v>
      </c>
      <c r="E2709" t="s">
        <v>1673</v>
      </c>
      <c r="F2709" t="s">
        <v>1674</v>
      </c>
      <c r="G2709" t="s">
        <v>221</v>
      </c>
      <c r="H2709" t="s">
        <v>1675</v>
      </c>
      <c r="I2709" t="s">
        <v>119</v>
      </c>
      <c r="J2709" t="s">
        <v>36</v>
      </c>
      <c r="K2709">
        <v>2990</v>
      </c>
      <c r="O2709" t="s">
        <v>37</v>
      </c>
      <c r="P2709" t="s">
        <v>44</v>
      </c>
      <c r="U2709" s="9" t="s">
        <v>242</v>
      </c>
      <c r="V2709" t="s">
        <v>242</v>
      </c>
      <c r="W2709" t="s">
        <v>138</v>
      </c>
      <c r="X2709" t="s">
        <v>70</v>
      </c>
      <c r="Y2709" t="s">
        <v>179</v>
      </c>
      <c r="Z2709" t="s">
        <v>104</v>
      </c>
      <c r="AB2709" t="str">
        <f t="shared" si="126"/>
        <v>46897</v>
      </c>
    </row>
    <row r="2710" ht="14.25" spans="1:28">
      <c r="A2710" s="5" t="s">
        <v>28</v>
      </c>
      <c r="B2710" s="5" t="s">
        <v>697</v>
      </c>
      <c r="C2710" s="5">
        <v>2027</v>
      </c>
      <c r="D2710" s="5" t="s">
        <v>30</v>
      </c>
      <c r="E2710" t="s">
        <v>1673</v>
      </c>
      <c r="F2710" t="s">
        <v>1674</v>
      </c>
      <c r="G2710" t="s">
        <v>221</v>
      </c>
      <c r="H2710" t="s">
        <v>1675</v>
      </c>
      <c r="I2710" t="s">
        <v>119</v>
      </c>
      <c r="J2710" t="s">
        <v>36</v>
      </c>
      <c r="K2710">
        <v>2990</v>
      </c>
      <c r="O2710" t="s">
        <v>37</v>
      </c>
      <c r="P2710" t="s">
        <v>45</v>
      </c>
      <c r="U2710" s="9" t="s">
        <v>242</v>
      </c>
      <c r="V2710" t="s">
        <v>242</v>
      </c>
      <c r="W2710" t="s">
        <v>138</v>
      </c>
      <c r="X2710" t="s">
        <v>70</v>
      </c>
      <c r="Y2710" t="s">
        <v>179</v>
      </c>
      <c r="Z2710" t="s">
        <v>104</v>
      </c>
      <c r="AB2710" t="str">
        <f t="shared" si="126"/>
        <v>46897</v>
      </c>
    </row>
    <row r="2711" ht="14.25" spans="1:28">
      <c r="A2711" s="5" t="s">
        <v>28</v>
      </c>
      <c r="B2711" s="5" t="s">
        <v>697</v>
      </c>
      <c r="C2711" s="5">
        <v>2027</v>
      </c>
      <c r="D2711" s="5" t="s">
        <v>30</v>
      </c>
      <c r="E2711" t="s">
        <v>1673</v>
      </c>
      <c r="F2711" t="s">
        <v>1674</v>
      </c>
      <c r="G2711" t="s">
        <v>221</v>
      </c>
      <c r="H2711" t="s">
        <v>1675</v>
      </c>
      <c r="I2711" t="s">
        <v>119</v>
      </c>
      <c r="J2711" t="s">
        <v>36</v>
      </c>
      <c r="K2711">
        <v>2990</v>
      </c>
      <c r="O2711" t="s">
        <v>37</v>
      </c>
      <c r="P2711" t="s">
        <v>46</v>
      </c>
      <c r="U2711" s="9" t="s">
        <v>242</v>
      </c>
      <c r="V2711" t="s">
        <v>242</v>
      </c>
      <c r="W2711" t="s">
        <v>138</v>
      </c>
      <c r="X2711" t="s">
        <v>70</v>
      </c>
      <c r="Y2711" t="s">
        <v>179</v>
      </c>
      <c r="Z2711" t="s">
        <v>104</v>
      </c>
      <c r="AB2711" t="str">
        <f t="shared" si="126"/>
        <v>46897</v>
      </c>
    </row>
    <row r="2712" ht="14.25" spans="1:28">
      <c r="A2712" s="5" t="s">
        <v>28</v>
      </c>
      <c r="B2712" s="5" t="s">
        <v>697</v>
      </c>
      <c r="C2712" s="5">
        <v>2027</v>
      </c>
      <c r="D2712" s="5" t="s">
        <v>30</v>
      </c>
      <c r="E2712" t="s">
        <v>1676</v>
      </c>
      <c r="F2712" t="s">
        <v>1677</v>
      </c>
      <c r="G2712" t="s">
        <v>1237</v>
      </c>
      <c r="H2712" t="s">
        <v>1678</v>
      </c>
      <c r="I2712" t="s">
        <v>147</v>
      </c>
      <c r="J2712" t="s">
        <v>36</v>
      </c>
      <c r="K2712">
        <v>1990</v>
      </c>
      <c r="O2712" t="s">
        <v>37</v>
      </c>
      <c r="P2712" t="s">
        <v>38</v>
      </c>
      <c r="R2712">
        <f t="shared" si="127"/>
        <v>0</v>
      </c>
      <c r="S2712">
        <f>SUMIFS([1]Sheet1!$T:$T,[1]Sheet1!$I:$I,E2712,[1]Sheet1!$C:$C,A2712)</f>
        <v>8</v>
      </c>
      <c r="T2712">
        <f t="shared" si="128"/>
        <v>-8</v>
      </c>
      <c r="U2712" s="9" t="s">
        <v>148</v>
      </c>
      <c r="V2712" t="s">
        <v>233</v>
      </c>
      <c r="W2712" t="s">
        <v>138</v>
      </c>
      <c r="X2712" t="s">
        <v>1239</v>
      </c>
      <c r="Y2712" t="s">
        <v>179</v>
      </c>
      <c r="Z2712" t="s">
        <v>104</v>
      </c>
      <c r="AB2712" t="str">
        <f t="shared" si="126"/>
        <v>47019</v>
      </c>
    </row>
    <row r="2713" ht="14.25" spans="1:28">
      <c r="A2713" s="5" t="s">
        <v>28</v>
      </c>
      <c r="B2713" s="5" t="s">
        <v>697</v>
      </c>
      <c r="C2713" s="5">
        <v>2027</v>
      </c>
      <c r="D2713" s="5" t="s">
        <v>30</v>
      </c>
      <c r="E2713" t="s">
        <v>1676</v>
      </c>
      <c r="F2713" t="s">
        <v>1677</v>
      </c>
      <c r="G2713" t="s">
        <v>1237</v>
      </c>
      <c r="H2713" t="s">
        <v>1678</v>
      </c>
      <c r="I2713" t="s">
        <v>147</v>
      </c>
      <c r="J2713" t="s">
        <v>36</v>
      </c>
      <c r="K2713">
        <v>1990</v>
      </c>
      <c r="O2713" t="s">
        <v>37</v>
      </c>
      <c r="P2713" t="s">
        <v>42</v>
      </c>
      <c r="U2713" s="9" t="s">
        <v>148</v>
      </c>
      <c r="V2713" t="s">
        <v>233</v>
      </c>
      <c r="W2713" t="s">
        <v>138</v>
      </c>
      <c r="X2713" t="s">
        <v>1239</v>
      </c>
      <c r="Y2713" t="s">
        <v>179</v>
      </c>
      <c r="Z2713" t="s">
        <v>104</v>
      </c>
      <c r="AB2713" t="str">
        <f t="shared" si="126"/>
        <v>47019</v>
      </c>
    </row>
    <row r="2714" ht="14.25" spans="1:28">
      <c r="A2714" s="5" t="s">
        <v>28</v>
      </c>
      <c r="B2714" s="5" t="s">
        <v>697</v>
      </c>
      <c r="C2714" s="5">
        <v>2027</v>
      </c>
      <c r="D2714" s="5" t="s">
        <v>30</v>
      </c>
      <c r="E2714" t="s">
        <v>1676</v>
      </c>
      <c r="F2714" t="s">
        <v>1677</v>
      </c>
      <c r="G2714" t="s">
        <v>1237</v>
      </c>
      <c r="H2714" t="s">
        <v>1678</v>
      </c>
      <c r="I2714" t="s">
        <v>147</v>
      </c>
      <c r="J2714" t="s">
        <v>36</v>
      </c>
      <c r="K2714">
        <v>1990</v>
      </c>
      <c r="O2714" t="s">
        <v>37</v>
      </c>
      <c r="P2714" t="s">
        <v>43</v>
      </c>
      <c r="U2714" s="9" t="s">
        <v>148</v>
      </c>
      <c r="V2714" t="s">
        <v>233</v>
      </c>
      <c r="W2714" t="s">
        <v>138</v>
      </c>
      <c r="X2714" t="s">
        <v>1239</v>
      </c>
      <c r="Y2714" t="s">
        <v>179</v>
      </c>
      <c r="Z2714" t="s">
        <v>104</v>
      </c>
      <c r="AB2714" t="str">
        <f t="shared" si="126"/>
        <v>47019</v>
      </c>
    </row>
    <row r="2715" ht="14.25" spans="1:28">
      <c r="A2715" s="5" t="s">
        <v>28</v>
      </c>
      <c r="B2715" s="5" t="s">
        <v>697</v>
      </c>
      <c r="C2715" s="5">
        <v>2027</v>
      </c>
      <c r="D2715" s="5" t="s">
        <v>30</v>
      </c>
      <c r="E2715" t="s">
        <v>1676</v>
      </c>
      <c r="F2715" t="s">
        <v>1677</v>
      </c>
      <c r="G2715" t="s">
        <v>1237</v>
      </c>
      <c r="H2715" t="s">
        <v>1678</v>
      </c>
      <c r="I2715" t="s">
        <v>147</v>
      </c>
      <c r="J2715" t="s">
        <v>36</v>
      </c>
      <c r="K2715">
        <v>1990</v>
      </c>
      <c r="O2715" t="s">
        <v>37</v>
      </c>
      <c r="P2715" t="s">
        <v>44</v>
      </c>
      <c r="U2715" s="9" t="s">
        <v>148</v>
      </c>
      <c r="V2715" t="s">
        <v>233</v>
      </c>
      <c r="W2715" t="s">
        <v>138</v>
      </c>
      <c r="X2715" t="s">
        <v>1239</v>
      </c>
      <c r="Y2715" t="s">
        <v>179</v>
      </c>
      <c r="Z2715" t="s">
        <v>104</v>
      </c>
      <c r="AB2715" t="str">
        <f t="shared" si="126"/>
        <v>47019</v>
      </c>
    </row>
    <row r="2716" ht="14.25" spans="1:28">
      <c r="A2716" s="5" t="s">
        <v>28</v>
      </c>
      <c r="B2716" s="5" t="s">
        <v>697</v>
      </c>
      <c r="C2716" s="5">
        <v>2027</v>
      </c>
      <c r="D2716" s="5" t="s">
        <v>30</v>
      </c>
      <c r="E2716" t="s">
        <v>1676</v>
      </c>
      <c r="F2716" t="s">
        <v>1677</v>
      </c>
      <c r="G2716" t="s">
        <v>1237</v>
      </c>
      <c r="H2716" t="s">
        <v>1678</v>
      </c>
      <c r="I2716" t="s">
        <v>147</v>
      </c>
      <c r="J2716" t="s">
        <v>36</v>
      </c>
      <c r="K2716">
        <v>1990</v>
      </c>
      <c r="O2716" t="s">
        <v>37</v>
      </c>
      <c r="P2716" t="s">
        <v>45</v>
      </c>
      <c r="U2716" s="9" t="s">
        <v>148</v>
      </c>
      <c r="V2716" t="s">
        <v>233</v>
      </c>
      <c r="W2716" t="s">
        <v>138</v>
      </c>
      <c r="X2716" t="s">
        <v>1239</v>
      </c>
      <c r="Y2716" t="s">
        <v>179</v>
      </c>
      <c r="Z2716" t="s">
        <v>104</v>
      </c>
      <c r="AB2716" t="str">
        <f t="shared" si="126"/>
        <v>47019</v>
      </c>
    </row>
    <row r="2717" ht="14.25" spans="1:28">
      <c r="A2717" s="5" t="s">
        <v>28</v>
      </c>
      <c r="B2717" s="5" t="s">
        <v>697</v>
      </c>
      <c r="C2717" s="5">
        <v>2027</v>
      </c>
      <c r="D2717" s="5" t="s">
        <v>30</v>
      </c>
      <c r="E2717" t="s">
        <v>1676</v>
      </c>
      <c r="F2717" t="s">
        <v>1677</v>
      </c>
      <c r="G2717" t="s">
        <v>1237</v>
      </c>
      <c r="H2717" t="s">
        <v>1678</v>
      </c>
      <c r="I2717" t="s">
        <v>147</v>
      </c>
      <c r="J2717" t="s">
        <v>36</v>
      </c>
      <c r="K2717">
        <v>1990</v>
      </c>
      <c r="O2717" t="s">
        <v>37</v>
      </c>
      <c r="P2717" t="s">
        <v>46</v>
      </c>
      <c r="U2717" s="9" t="s">
        <v>148</v>
      </c>
      <c r="V2717" t="s">
        <v>233</v>
      </c>
      <c r="W2717" t="s">
        <v>138</v>
      </c>
      <c r="X2717" t="s">
        <v>1239</v>
      </c>
      <c r="Y2717" t="s">
        <v>179</v>
      </c>
      <c r="Z2717" t="s">
        <v>104</v>
      </c>
      <c r="AB2717" t="str">
        <f t="shared" si="126"/>
        <v>47019</v>
      </c>
    </row>
    <row r="2718" ht="14.25" spans="1:28">
      <c r="A2718" s="5" t="s">
        <v>28</v>
      </c>
      <c r="B2718" s="5" t="s">
        <v>697</v>
      </c>
      <c r="C2718" s="5">
        <v>2027</v>
      </c>
      <c r="D2718" s="5" t="s">
        <v>30</v>
      </c>
      <c r="E2718" t="s">
        <v>1679</v>
      </c>
      <c r="F2718" t="s">
        <v>1680</v>
      </c>
      <c r="G2718" t="s">
        <v>1237</v>
      </c>
      <c r="H2718" t="s">
        <v>1681</v>
      </c>
      <c r="I2718" t="s">
        <v>112</v>
      </c>
      <c r="J2718" t="s">
        <v>67</v>
      </c>
      <c r="K2718">
        <v>1390</v>
      </c>
      <c r="O2718" t="s">
        <v>68</v>
      </c>
      <c r="P2718" t="s">
        <v>69</v>
      </c>
      <c r="R2718">
        <f t="shared" si="127"/>
        <v>0</v>
      </c>
      <c r="S2718">
        <f>SUMIFS([1]Sheet1!$T:$T,[1]Sheet1!$I:$I,E2718,[1]Sheet1!$C:$C,A2718)</f>
        <v>8</v>
      </c>
      <c r="T2718">
        <f t="shared" si="128"/>
        <v>-8</v>
      </c>
      <c r="U2718" s="9" t="s">
        <v>136</v>
      </c>
      <c r="V2718" t="s">
        <v>1150</v>
      </c>
      <c r="W2718" t="s">
        <v>138</v>
      </c>
      <c r="X2718" t="s">
        <v>1239</v>
      </c>
      <c r="Y2718" t="s">
        <v>1682</v>
      </c>
      <c r="Z2718" t="s">
        <v>71</v>
      </c>
      <c r="AB2718" t="str">
        <f t="shared" si="126"/>
        <v>47021</v>
      </c>
    </row>
    <row r="2719" ht="14.25" spans="1:28">
      <c r="A2719" s="5" t="s">
        <v>28</v>
      </c>
      <c r="B2719" s="5" t="s">
        <v>697</v>
      </c>
      <c r="C2719" s="5">
        <v>2027</v>
      </c>
      <c r="D2719" s="5" t="s">
        <v>30</v>
      </c>
      <c r="E2719" t="s">
        <v>1679</v>
      </c>
      <c r="F2719" t="s">
        <v>1680</v>
      </c>
      <c r="G2719" t="s">
        <v>1237</v>
      </c>
      <c r="H2719" t="s">
        <v>1681</v>
      </c>
      <c r="I2719" t="s">
        <v>112</v>
      </c>
      <c r="J2719" t="s">
        <v>67</v>
      </c>
      <c r="K2719">
        <v>1390</v>
      </c>
      <c r="O2719" t="s">
        <v>68</v>
      </c>
      <c r="P2719" t="s">
        <v>72</v>
      </c>
      <c r="U2719" s="9" t="s">
        <v>136</v>
      </c>
      <c r="V2719" t="s">
        <v>1150</v>
      </c>
      <c r="W2719" t="s">
        <v>138</v>
      </c>
      <c r="X2719" t="s">
        <v>1239</v>
      </c>
      <c r="Y2719" t="s">
        <v>1682</v>
      </c>
      <c r="Z2719" t="s">
        <v>71</v>
      </c>
      <c r="AB2719" t="str">
        <f t="shared" si="126"/>
        <v>47021</v>
      </c>
    </row>
    <row r="2720" ht="14.25" spans="1:28">
      <c r="A2720" s="5" t="s">
        <v>28</v>
      </c>
      <c r="B2720" s="5" t="s">
        <v>697</v>
      </c>
      <c r="C2720" s="5">
        <v>2027</v>
      </c>
      <c r="D2720" s="5" t="s">
        <v>30</v>
      </c>
      <c r="E2720" t="s">
        <v>1679</v>
      </c>
      <c r="F2720" t="s">
        <v>1680</v>
      </c>
      <c r="G2720" t="s">
        <v>1237</v>
      </c>
      <c r="H2720" t="s">
        <v>1681</v>
      </c>
      <c r="I2720" t="s">
        <v>112</v>
      </c>
      <c r="J2720" t="s">
        <v>67</v>
      </c>
      <c r="K2720">
        <v>1390</v>
      </c>
      <c r="O2720" t="s">
        <v>68</v>
      </c>
      <c r="P2720" t="s">
        <v>73</v>
      </c>
      <c r="U2720" s="9" t="s">
        <v>136</v>
      </c>
      <c r="V2720" t="s">
        <v>1150</v>
      </c>
      <c r="W2720" t="s">
        <v>138</v>
      </c>
      <c r="X2720" t="s">
        <v>1239</v>
      </c>
      <c r="Y2720" t="s">
        <v>1682</v>
      </c>
      <c r="Z2720" t="s">
        <v>71</v>
      </c>
      <c r="AB2720" t="str">
        <f t="shared" si="126"/>
        <v>47021</v>
      </c>
    </row>
    <row r="2721" ht="14.25" spans="1:28">
      <c r="A2721" s="5" t="s">
        <v>28</v>
      </c>
      <c r="B2721" s="5" t="s">
        <v>697</v>
      </c>
      <c r="C2721" s="5">
        <v>2027</v>
      </c>
      <c r="D2721" s="5" t="s">
        <v>30</v>
      </c>
      <c r="E2721" t="s">
        <v>1679</v>
      </c>
      <c r="F2721" t="s">
        <v>1680</v>
      </c>
      <c r="G2721" t="s">
        <v>1237</v>
      </c>
      <c r="H2721" t="s">
        <v>1681</v>
      </c>
      <c r="I2721" t="s">
        <v>112</v>
      </c>
      <c r="J2721" t="s">
        <v>67</v>
      </c>
      <c r="K2721">
        <v>1390</v>
      </c>
      <c r="O2721" t="s">
        <v>68</v>
      </c>
      <c r="P2721" t="s">
        <v>74</v>
      </c>
      <c r="U2721" s="9" t="s">
        <v>136</v>
      </c>
      <c r="V2721" t="s">
        <v>1150</v>
      </c>
      <c r="W2721" t="s">
        <v>138</v>
      </c>
      <c r="X2721" t="s">
        <v>1239</v>
      </c>
      <c r="Y2721" t="s">
        <v>1682</v>
      </c>
      <c r="Z2721" t="s">
        <v>71</v>
      </c>
      <c r="AB2721" t="str">
        <f t="shared" si="126"/>
        <v>47021</v>
      </c>
    </row>
    <row r="2722" ht="14.25" spans="1:28">
      <c r="A2722" s="5" t="s">
        <v>28</v>
      </c>
      <c r="B2722" s="5" t="s">
        <v>697</v>
      </c>
      <c r="C2722" s="5">
        <v>2027</v>
      </c>
      <c r="D2722" s="5" t="s">
        <v>30</v>
      </c>
      <c r="E2722" t="s">
        <v>1679</v>
      </c>
      <c r="F2722" t="s">
        <v>1680</v>
      </c>
      <c r="G2722" t="s">
        <v>1237</v>
      </c>
      <c r="H2722" t="s">
        <v>1681</v>
      </c>
      <c r="I2722" t="s">
        <v>112</v>
      </c>
      <c r="J2722" t="s">
        <v>67</v>
      </c>
      <c r="K2722">
        <v>1390</v>
      </c>
      <c r="O2722" t="s">
        <v>68</v>
      </c>
      <c r="P2722" t="s">
        <v>75</v>
      </c>
      <c r="U2722" s="9" t="s">
        <v>136</v>
      </c>
      <c r="V2722" t="s">
        <v>1150</v>
      </c>
      <c r="W2722" t="s">
        <v>138</v>
      </c>
      <c r="X2722" t="s">
        <v>1239</v>
      </c>
      <c r="Y2722" t="s">
        <v>1682</v>
      </c>
      <c r="Z2722" t="s">
        <v>71</v>
      </c>
      <c r="AB2722" t="str">
        <f t="shared" si="126"/>
        <v>47021</v>
      </c>
    </row>
    <row r="2723" ht="14.25" spans="1:28">
      <c r="A2723" s="5" t="s">
        <v>28</v>
      </c>
      <c r="B2723" s="5" t="s">
        <v>697</v>
      </c>
      <c r="C2723" s="5">
        <v>2027</v>
      </c>
      <c r="D2723" s="5" t="s">
        <v>30</v>
      </c>
      <c r="E2723" t="s">
        <v>1679</v>
      </c>
      <c r="F2723" t="s">
        <v>1680</v>
      </c>
      <c r="G2723" t="s">
        <v>1237</v>
      </c>
      <c r="H2723" t="s">
        <v>1681</v>
      </c>
      <c r="I2723" t="s">
        <v>112</v>
      </c>
      <c r="J2723" t="s">
        <v>67</v>
      </c>
      <c r="K2723">
        <v>1390</v>
      </c>
      <c r="O2723" t="s">
        <v>68</v>
      </c>
      <c r="P2723" t="s">
        <v>76</v>
      </c>
      <c r="U2723" s="9" t="s">
        <v>136</v>
      </c>
      <c r="V2723" t="s">
        <v>1150</v>
      </c>
      <c r="W2723" t="s">
        <v>138</v>
      </c>
      <c r="X2723" t="s">
        <v>1239</v>
      </c>
      <c r="Y2723" t="s">
        <v>1682</v>
      </c>
      <c r="Z2723" t="s">
        <v>71</v>
      </c>
      <c r="AB2723" t="str">
        <f t="shared" si="126"/>
        <v>47021</v>
      </c>
    </row>
    <row r="2724" ht="14.25" spans="1:28">
      <c r="A2724" s="5" t="s">
        <v>28</v>
      </c>
      <c r="B2724" s="5" t="s">
        <v>697</v>
      </c>
      <c r="C2724" s="5">
        <v>2027</v>
      </c>
      <c r="D2724" s="5" t="s">
        <v>30</v>
      </c>
      <c r="E2724" t="s">
        <v>1679</v>
      </c>
      <c r="F2724" t="s">
        <v>1680</v>
      </c>
      <c r="G2724" t="s">
        <v>1237</v>
      </c>
      <c r="H2724" t="s">
        <v>1681</v>
      </c>
      <c r="I2724" t="s">
        <v>112</v>
      </c>
      <c r="J2724" t="s">
        <v>67</v>
      </c>
      <c r="K2724">
        <v>1390</v>
      </c>
      <c r="O2724" t="s">
        <v>68</v>
      </c>
      <c r="P2724" t="s">
        <v>77</v>
      </c>
      <c r="U2724" s="9" t="s">
        <v>136</v>
      </c>
      <c r="V2724" t="s">
        <v>1150</v>
      </c>
      <c r="W2724" t="s">
        <v>138</v>
      </c>
      <c r="X2724" t="s">
        <v>1239</v>
      </c>
      <c r="Y2724" t="s">
        <v>1682</v>
      </c>
      <c r="Z2724" t="s">
        <v>71</v>
      </c>
      <c r="AB2724" t="str">
        <f t="shared" si="126"/>
        <v>47021</v>
      </c>
    </row>
    <row r="2725" ht="14.25" spans="1:28">
      <c r="A2725" s="5" t="s">
        <v>28</v>
      </c>
      <c r="B2725" s="5" t="s">
        <v>697</v>
      </c>
      <c r="C2725" s="5">
        <v>2027</v>
      </c>
      <c r="D2725" s="5" t="s">
        <v>30</v>
      </c>
      <c r="E2725" t="s">
        <v>1679</v>
      </c>
      <c r="F2725" t="s">
        <v>1680</v>
      </c>
      <c r="G2725" t="s">
        <v>1237</v>
      </c>
      <c r="H2725" t="s">
        <v>1681</v>
      </c>
      <c r="I2725" t="s">
        <v>112</v>
      </c>
      <c r="J2725" t="s">
        <v>67</v>
      </c>
      <c r="K2725">
        <v>1390</v>
      </c>
      <c r="O2725" t="s">
        <v>68</v>
      </c>
      <c r="P2725" t="s">
        <v>78</v>
      </c>
      <c r="U2725" s="9" t="s">
        <v>136</v>
      </c>
      <c r="V2725" t="s">
        <v>1150</v>
      </c>
      <c r="W2725" t="s">
        <v>138</v>
      </c>
      <c r="X2725" t="s">
        <v>1239</v>
      </c>
      <c r="Y2725" t="s">
        <v>1682</v>
      </c>
      <c r="Z2725" t="s">
        <v>71</v>
      </c>
      <c r="AB2725" t="str">
        <f t="shared" si="126"/>
        <v>47021</v>
      </c>
    </row>
    <row r="2726" ht="14.25" spans="1:28">
      <c r="A2726" s="5" t="s">
        <v>28</v>
      </c>
      <c r="B2726" s="5" t="s">
        <v>697</v>
      </c>
      <c r="C2726" s="5">
        <v>2027</v>
      </c>
      <c r="D2726" s="5" t="s">
        <v>30</v>
      </c>
      <c r="E2726" t="s">
        <v>1679</v>
      </c>
      <c r="F2726" t="s">
        <v>1680</v>
      </c>
      <c r="G2726" t="s">
        <v>1237</v>
      </c>
      <c r="H2726" t="s">
        <v>1681</v>
      </c>
      <c r="I2726" t="s">
        <v>112</v>
      </c>
      <c r="J2726" t="s">
        <v>67</v>
      </c>
      <c r="K2726">
        <v>1390</v>
      </c>
      <c r="O2726" t="s">
        <v>68</v>
      </c>
      <c r="P2726" t="s">
        <v>79</v>
      </c>
      <c r="U2726" s="9" t="s">
        <v>136</v>
      </c>
      <c r="V2726" t="s">
        <v>1150</v>
      </c>
      <c r="W2726" t="s">
        <v>138</v>
      </c>
      <c r="X2726" t="s">
        <v>1239</v>
      </c>
      <c r="Y2726" t="s">
        <v>1682</v>
      </c>
      <c r="Z2726" t="s">
        <v>71</v>
      </c>
      <c r="AB2726" t="str">
        <f t="shared" si="126"/>
        <v>47021</v>
      </c>
    </row>
    <row r="2727" ht="14.25" spans="1:28">
      <c r="A2727" s="5" t="s">
        <v>28</v>
      </c>
      <c r="B2727" s="5" t="s">
        <v>697</v>
      </c>
      <c r="C2727" s="5">
        <v>2027</v>
      </c>
      <c r="D2727" s="5" t="s">
        <v>30</v>
      </c>
      <c r="E2727" t="s">
        <v>1683</v>
      </c>
      <c r="F2727" t="s">
        <v>1684</v>
      </c>
      <c r="G2727" t="s">
        <v>926</v>
      </c>
      <c r="H2727" t="s">
        <v>1685</v>
      </c>
      <c r="I2727" t="s">
        <v>119</v>
      </c>
      <c r="J2727" t="s">
        <v>36</v>
      </c>
      <c r="K2727">
        <v>2390</v>
      </c>
      <c r="O2727" t="s">
        <v>37</v>
      </c>
      <c r="P2727" t="s">
        <v>38</v>
      </c>
      <c r="R2727">
        <f t="shared" si="127"/>
        <v>0</v>
      </c>
      <c r="S2727">
        <f>SUMIFS([1]Sheet1!$T:$T,[1]Sheet1!$I:$I,E2727,[1]Sheet1!$C:$C,A2727)</f>
        <v>20</v>
      </c>
      <c r="T2727">
        <f t="shared" si="128"/>
        <v>-20</v>
      </c>
      <c r="U2727" s="9" t="s">
        <v>242</v>
      </c>
      <c r="V2727" t="s">
        <v>242</v>
      </c>
      <c r="W2727" t="s">
        <v>138</v>
      </c>
      <c r="X2727" t="s">
        <v>94</v>
      </c>
      <c r="Y2727" t="s">
        <v>179</v>
      </c>
      <c r="Z2727" t="s">
        <v>41</v>
      </c>
      <c r="AB2727" t="str">
        <f t="shared" si="126"/>
        <v>47022</v>
      </c>
    </row>
    <row r="2728" ht="14.25" spans="1:28">
      <c r="A2728" s="5" t="s">
        <v>28</v>
      </c>
      <c r="B2728" s="5" t="s">
        <v>697</v>
      </c>
      <c r="C2728" s="5">
        <v>2027</v>
      </c>
      <c r="D2728" s="5" t="s">
        <v>30</v>
      </c>
      <c r="E2728" t="s">
        <v>1683</v>
      </c>
      <c r="F2728" t="s">
        <v>1684</v>
      </c>
      <c r="G2728" t="s">
        <v>926</v>
      </c>
      <c r="H2728" t="s">
        <v>1685</v>
      </c>
      <c r="I2728" t="s">
        <v>119</v>
      </c>
      <c r="J2728" t="s">
        <v>36</v>
      </c>
      <c r="K2728">
        <v>2390</v>
      </c>
      <c r="O2728" t="s">
        <v>37</v>
      </c>
      <c r="P2728" t="s">
        <v>42</v>
      </c>
      <c r="U2728" s="9" t="s">
        <v>242</v>
      </c>
      <c r="V2728" t="s">
        <v>242</v>
      </c>
      <c r="W2728" t="s">
        <v>138</v>
      </c>
      <c r="X2728" t="s">
        <v>94</v>
      </c>
      <c r="Y2728" t="s">
        <v>179</v>
      </c>
      <c r="Z2728" t="s">
        <v>41</v>
      </c>
      <c r="AB2728" t="str">
        <f t="shared" si="126"/>
        <v>47022</v>
      </c>
    </row>
    <row r="2729" ht="14.25" spans="1:28">
      <c r="A2729" s="5" t="s">
        <v>28</v>
      </c>
      <c r="B2729" s="5" t="s">
        <v>697</v>
      </c>
      <c r="C2729" s="5">
        <v>2027</v>
      </c>
      <c r="D2729" s="5" t="s">
        <v>30</v>
      </c>
      <c r="E2729" t="s">
        <v>1683</v>
      </c>
      <c r="F2729" t="s">
        <v>1684</v>
      </c>
      <c r="G2729" t="s">
        <v>926</v>
      </c>
      <c r="H2729" t="s">
        <v>1685</v>
      </c>
      <c r="I2729" t="s">
        <v>119</v>
      </c>
      <c r="J2729" t="s">
        <v>36</v>
      </c>
      <c r="K2729">
        <v>2390</v>
      </c>
      <c r="O2729" t="s">
        <v>37</v>
      </c>
      <c r="P2729" t="s">
        <v>43</v>
      </c>
      <c r="U2729" s="9" t="s">
        <v>242</v>
      </c>
      <c r="V2729" t="s">
        <v>242</v>
      </c>
      <c r="W2729" t="s">
        <v>138</v>
      </c>
      <c r="X2729" t="s">
        <v>94</v>
      </c>
      <c r="Y2729" t="s">
        <v>179</v>
      </c>
      <c r="Z2729" t="s">
        <v>41</v>
      </c>
      <c r="AB2729" t="str">
        <f t="shared" si="126"/>
        <v>47022</v>
      </c>
    </row>
    <row r="2730" ht="14.25" spans="1:28">
      <c r="A2730" s="5" t="s">
        <v>28</v>
      </c>
      <c r="B2730" s="5" t="s">
        <v>697</v>
      </c>
      <c r="C2730" s="5">
        <v>2027</v>
      </c>
      <c r="D2730" s="5" t="s">
        <v>30</v>
      </c>
      <c r="E2730" t="s">
        <v>1683</v>
      </c>
      <c r="F2730" t="s">
        <v>1684</v>
      </c>
      <c r="G2730" t="s">
        <v>926</v>
      </c>
      <c r="H2730" t="s">
        <v>1685</v>
      </c>
      <c r="I2730" t="s">
        <v>119</v>
      </c>
      <c r="J2730" t="s">
        <v>36</v>
      </c>
      <c r="K2730">
        <v>2390</v>
      </c>
      <c r="O2730" t="s">
        <v>37</v>
      </c>
      <c r="P2730" t="s">
        <v>44</v>
      </c>
      <c r="U2730" s="9" t="s">
        <v>242</v>
      </c>
      <c r="V2730" t="s">
        <v>242</v>
      </c>
      <c r="W2730" t="s">
        <v>138</v>
      </c>
      <c r="X2730" t="s">
        <v>94</v>
      </c>
      <c r="Y2730" t="s">
        <v>179</v>
      </c>
      <c r="Z2730" t="s">
        <v>41</v>
      </c>
      <c r="AB2730" t="str">
        <f t="shared" si="126"/>
        <v>47022</v>
      </c>
    </row>
    <row r="2731" ht="14.25" spans="1:28">
      <c r="A2731" s="5" t="s">
        <v>28</v>
      </c>
      <c r="B2731" s="5" t="s">
        <v>697</v>
      </c>
      <c r="C2731" s="5">
        <v>2027</v>
      </c>
      <c r="D2731" s="5" t="s">
        <v>30</v>
      </c>
      <c r="E2731" t="s">
        <v>1683</v>
      </c>
      <c r="F2731" t="s">
        <v>1684</v>
      </c>
      <c r="G2731" t="s">
        <v>926</v>
      </c>
      <c r="H2731" t="s">
        <v>1685</v>
      </c>
      <c r="I2731" t="s">
        <v>119</v>
      </c>
      <c r="J2731" t="s">
        <v>36</v>
      </c>
      <c r="K2731">
        <v>2390</v>
      </c>
      <c r="O2731" t="s">
        <v>37</v>
      </c>
      <c r="P2731" t="s">
        <v>45</v>
      </c>
      <c r="U2731" s="9" t="s">
        <v>242</v>
      </c>
      <c r="V2731" t="s">
        <v>242</v>
      </c>
      <c r="W2731" t="s">
        <v>138</v>
      </c>
      <c r="X2731" t="s">
        <v>94</v>
      </c>
      <c r="Y2731" t="s">
        <v>179</v>
      </c>
      <c r="Z2731" t="s">
        <v>41</v>
      </c>
      <c r="AB2731" t="str">
        <f t="shared" si="126"/>
        <v>47022</v>
      </c>
    </row>
    <row r="2732" ht="14.25" spans="1:28">
      <c r="A2732" s="5" t="s">
        <v>28</v>
      </c>
      <c r="B2732" s="5" t="s">
        <v>697</v>
      </c>
      <c r="C2732" s="5">
        <v>2027</v>
      </c>
      <c r="D2732" s="5" t="s">
        <v>30</v>
      </c>
      <c r="E2732" t="s">
        <v>1683</v>
      </c>
      <c r="F2732" t="s">
        <v>1684</v>
      </c>
      <c r="G2732" t="s">
        <v>926</v>
      </c>
      <c r="H2732" t="s">
        <v>1685</v>
      </c>
      <c r="I2732" t="s">
        <v>119</v>
      </c>
      <c r="J2732" t="s">
        <v>36</v>
      </c>
      <c r="K2732">
        <v>2390</v>
      </c>
      <c r="O2732" t="s">
        <v>37</v>
      </c>
      <c r="P2732" t="s">
        <v>46</v>
      </c>
      <c r="U2732" s="9" t="s">
        <v>242</v>
      </c>
      <c r="V2732" t="s">
        <v>242</v>
      </c>
      <c r="W2732" t="s">
        <v>138</v>
      </c>
      <c r="X2732" t="s">
        <v>94</v>
      </c>
      <c r="Y2732" t="s">
        <v>179</v>
      </c>
      <c r="Z2732" t="s">
        <v>41</v>
      </c>
      <c r="AB2732" t="str">
        <f t="shared" si="126"/>
        <v>47022</v>
      </c>
    </row>
    <row r="2733" ht="14.25" spans="1:28">
      <c r="A2733" s="5" t="s">
        <v>28</v>
      </c>
      <c r="B2733" s="5" t="s">
        <v>697</v>
      </c>
      <c r="C2733" s="5">
        <v>2027</v>
      </c>
      <c r="D2733" s="5" t="s">
        <v>30</v>
      </c>
      <c r="E2733" t="s">
        <v>1686</v>
      </c>
      <c r="F2733" t="s">
        <v>1687</v>
      </c>
      <c r="G2733" t="s">
        <v>100</v>
      </c>
      <c r="H2733" t="s">
        <v>1688</v>
      </c>
      <c r="I2733" t="s">
        <v>119</v>
      </c>
      <c r="J2733" t="s">
        <v>36</v>
      </c>
      <c r="K2733">
        <v>2390</v>
      </c>
      <c r="O2733" t="s">
        <v>37</v>
      </c>
      <c r="P2733" t="s">
        <v>38</v>
      </c>
      <c r="R2733">
        <f t="shared" si="127"/>
        <v>0</v>
      </c>
      <c r="S2733">
        <f>SUMIFS([1]Sheet1!$T:$T,[1]Sheet1!$I:$I,E2733,[1]Sheet1!$C:$C,A2733)</f>
        <v>150</v>
      </c>
      <c r="T2733">
        <f t="shared" si="128"/>
        <v>-150</v>
      </c>
      <c r="U2733" s="9" t="s">
        <v>242</v>
      </c>
      <c r="V2733" t="s">
        <v>242</v>
      </c>
      <c r="W2733" t="s">
        <v>138</v>
      </c>
      <c r="X2733" t="s">
        <v>102</v>
      </c>
      <c r="Y2733" t="s">
        <v>179</v>
      </c>
      <c r="Z2733" t="s">
        <v>41</v>
      </c>
      <c r="AA2733" t="s">
        <v>1440</v>
      </c>
      <c r="AB2733" t="str">
        <f t="shared" si="126"/>
        <v>47253</v>
      </c>
    </row>
    <row r="2734" ht="14.25" spans="1:28">
      <c r="A2734" s="5" t="s">
        <v>28</v>
      </c>
      <c r="B2734" s="5" t="s">
        <v>697</v>
      </c>
      <c r="C2734" s="5">
        <v>2027</v>
      </c>
      <c r="D2734" s="5" t="s">
        <v>30</v>
      </c>
      <c r="E2734" t="s">
        <v>1686</v>
      </c>
      <c r="F2734" t="s">
        <v>1687</v>
      </c>
      <c r="G2734" t="s">
        <v>100</v>
      </c>
      <c r="H2734" t="s">
        <v>1688</v>
      </c>
      <c r="I2734" t="s">
        <v>119</v>
      </c>
      <c r="J2734" t="s">
        <v>36</v>
      </c>
      <c r="K2734">
        <v>2390</v>
      </c>
      <c r="O2734" t="s">
        <v>37</v>
      </c>
      <c r="P2734" t="s">
        <v>42</v>
      </c>
      <c r="U2734" s="9" t="s">
        <v>242</v>
      </c>
      <c r="V2734" t="s">
        <v>242</v>
      </c>
      <c r="W2734" t="s">
        <v>138</v>
      </c>
      <c r="X2734" t="s">
        <v>102</v>
      </c>
      <c r="Y2734" t="s">
        <v>179</v>
      </c>
      <c r="Z2734" t="s">
        <v>41</v>
      </c>
      <c r="AA2734" t="s">
        <v>1440</v>
      </c>
      <c r="AB2734" t="str">
        <f t="shared" si="126"/>
        <v>47253</v>
      </c>
    </row>
    <row r="2735" ht="14.25" spans="1:28">
      <c r="A2735" s="5" t="s">
        <v>28</v>
      </c>
      <c r="B2735" s="5" t="s">
        <v>697</v>
      </c>
      <c r="C2735" s="5">
        <v>2027</v>
      </c>
      <c r="D2735" s="5" t="s">
        <v>30</v>
      </c>
      <c r="E2735" t="s">
        <v>1686</v>
      </c>
      <c r="F2735" t="s">
        <v>1687</v>
      </c>
      <c r="G2735" t="s">
        <v>100</v>
      </c>
      <c r="H2735" t="s">
        <v>1688</v>
      </c>
      <c r="I2735" t="s">
        <v>119</v>
      </c>
      <c r="J2735" t="s">
        <v>36</v>
      </c>
      <c r="K2735">
        <v>2390</v>
      </c>
      <c r="O2735" t="s">
        <v>37</v>
      </c>
      <c r="P2735" t="s">
        <v>43</v>
      </c>
      <c r="U2735" s="9" t="s">
        <v>242</v>
      </c>
      <c r="V2735" t="s">
        <v>242</v>
      </c>
      <c r="W2735" t="s">
        <v>138</v>
      </c>
      <c r="X2735" t="s">
        <v>102</v>
      </c>
      <c r="Y2735" t="s">
        <v>179</v>
      </c>
      <c r="Z2735" t="s">
        <v>41</v>
      </c>
      <c r="AA2735" t="s">
        <v>1440</v>
      </c>
      <c r="AB2735" t="str">
        <f t="shared" si="126"/>
        <v>47253</v>
      </c>
    </row>
    <row r="2736" ht="14.25" spans="1:28">
      <c r="A2736" s="5" t="s">
        <v>28</v>
      </c>
      <c r="B2736" s="5" t="s">
        <v>697</v>
      </c>
      <c r="C2736" s="5">
        <v>2027</v>
      </c>
      <c r="D2736" s="5" t="s">
        <v>30</v>
      </c>
      <c r="E2736" t="s">
        <v>1686</v>
      </c>
      <c r="F2736" t="s">
        <v>1687</v>
      </c>
      <c r="G2736" t="s">
        <v>100</v>
      </c>
      <c r="H2736" t="s">
        <v>1688</v>
      </c>
      <c r="I2736" t="s">
        <v>119</v>
      </c>
      <c r="J2736" t="s">
        <v>36</v>
      </c>
      <c r="K2736">
        <v>2390</v>
      </c>
      <c r="O2736" t="s">
        <v>37</v>
      </c>
      <c r="P2736" t="s">
        <v>44</v>
      </c>
      <c r="U2736" s="9" t="s">
        <v>242</v>
      </c>
      <c r="V2736" t="s">
        <v>242</v>
      </c>
      <c r="W2736" t="s">
        <v>138</v>
      </c>
      <c r="X2736" t="s">
        <v>102</v>
      </c>
      <c r="Y2736" t="s">
        <v>179</v>
      </c>
      <c r="Z2736" t="s">
        <v>41</v>
      </c>
      <c r="AA2736" t="s">
        <v>1440</v>
      </c>
      <c r="AB2736" t="str">
        <f t="shared" si="126"/>
        <v>47253</v>
      </c>
    </row>
    <row r="2737" ht="14.25" spans="1:28">
      <c r="A2737" s="5" t="s">
        <v>28</v>
      </c>
      <c r="B2737" s="5" t="s">
        <v>697</v>
      </c>
      <c r="C2737" s="5">
        <v>2027</v>
      </c>
      <c r="D2737" s="5" t="s">
        <v>30</v>
      </c>
      <c r="E2737" t="s">
        <v>1686</v>
      </c>
      <c r="F2737" t="s">
        <v>1687</v>
      </c>
      <c r="G2737" t="s">
        <v>100</v>
      </c>
      <c r="H2737" t="s">
        <v>1688</v>
      </c>
      <c r="I2737" t="s">
        <v>119</v>
      </c>
      <c r="J2737" t="s">
        <v>36</v>
      </c>
      <c r="K2737">
        <v>2390</v>
      </c>
      <c r="O2737" t="s">
        <v>37</v>
      </c>
      <c r="P2737" t="s">
        <v>45</v>
      </c>
      <c r="U2737" s="9" t="s">
        <v>242</v>
      </c>
      <c r="V2737" t="s">
        <v>242</v>
      </c>
      <c r="W2737" t="s">
        <v>138</v>
      </c>
      <c r="X2737" t="s">
        <v>102</v>
      </c>
      <c r="Y2737" t="s">
        <v>179</v>
      </c>
      <c r="Z2737" t="s">
        <v>41</v>
      </c>
      <c r="AA2737" t="s">
        <v>1440</v>
      </c>
      <c r="AB2737" t="str">
        <f t="shared" si="126"/>
        <v>47253</v>
      </c>
    </row>
    <row r="2738" ht="14.25" spans="1:28">
      <c r="A2738" s="5" t="s">
        <v>28</v>
      </c>
      <c r="B2738" s="5" t="s">
        <v>697</v>
      </c>
      <c r="C2738" s="5">
        <v>2027</v>
      </c>
      <c r="D2738" s="5" t="s">
        <v>30</v>
      </c>
      <c r="E2738" t="s">
        <v>1686</v>
      </c>
      <c r="F2738" t="s">
        <v>1687</v>
      </c>
      <c r="G2738" t="s">
        <v>100</v>
      </c>
      <c r="H2738" t="s">
        <v>1688</v>
      </c>
      <c r="I2738" t="s">
        <v>119</v>
      </c>
      <c r="J2738" t="s">
        <v>36</v>
      </c>
      <c r="K2738">
        <v>2390</v>
      </c>
      <c r="O2738" t="s">
        <v>37</v>
      </c>
      <c r="P2738" t="s">
        <v>46</v>
      </c>
      <c r="U2738" s="9" t="s">
        <v>242</v>
      </c>
      <c r="V2738" t="s">
        <v>242</v>
      </c>
      <c r="W2738" t="s">
        <v>138</v>
      </c>
      <c r="X2738" t="s">
        <v>102</v>
      </c>
      <c r="Y2738" t="s">
        <v>179</v>
      </c>
      <c r="Z2738" t="s">
        <v>41</v>
      </c>
      <c r="AA2738" t="s">
        <v>1440</v>
      </c>
      <c r="AB2738" t="str">
        <f t="shared" si="126"/>
        <v>47253</v>
      </c>
    </row>
    <row r="2739" ht="14.25" spans="1:28">
      <c r="A2739" s="5" t="s">
        <v>28</v>
      </c>
      <c r="B2739" s="5" t="s">
        <v>697</v>
      </c>
      <c r="C2739" s="5">
        <v>2027</v>
      </c>
      <c r="D2739" s="5" t="s">
        <v>30</v>
      </c>
      <c r="E2739" t="s">
        <v>1689</v>
      </c>
      <c r="F2739" t="s">
        <v>1687</v>
      </c>
      <c r="G2739" t="s">
        <v>240</v>
      </c>
      <c r="H2739" t="s">
        <v>1690</v>
      </c>
      <c r="I2739" t="s">
        <v>119</v>
      </c>
      <c r="J2739" t="s">
        <v>36</v>
      </c>
      <c r="K2739">
        <v>2390</v>
      </c>
      <c r="O2739" t="s">
        <v>37</v>
      </c>
      <c r="P2739" t="s">
        <v>38</v>
      </c>
      <c r="R2739">
        <f t="shared" si="127"/>
        <v>0</v>
      </c>
      <c r="S2739">
        <f>SUMIFS([1]Sheet1!$T:$T,[1]Sheet1!$I:$I,E2739,[1]Sheet1!$C:$C,A2739)</f>
        <v>40</v>
      </c>
      <c r="T2739">
        <f t="shared" si="128"/>
        <v>-40</v>
      </c>
      <c r="U2739" s="9" t="s">
        <v>242</v>
      </c>
      <c r="V2739" t="s">
        <v>242</v>
      </c>
      <c r="W2739" t="s">
        <v>138</v>
      </c>
      <c r="X2739" t="s">
        <v>243</v>
      </c>
      <c r="Y2739" t="s">
        <v>179</v>
      </c>
      <c r="Z2739" t="s">
        <v>41</v>
      </c>
      <c r="AA2739" t="s">
        <v>1440</v>
      </c>
      <c r="AB2739" t="str">
        <f t="shared" ref="AB2739:AB2802" si="129">MID(E2739,6,5)</f>
        <v>47253</v>
      </c>
    </row>
    <row r="2740" ht="14.25" spans="1:28">
      <c r="A2740" s="5" t="s">
        <v>28</v>
      </c>
      <c r="B2740" s="5" t="s">
        <v>697</v>
      </c>
      <c r="C2740" s="5">
        <v>2027</v>
      </c>
      <c r="D2740" s="5" t="s">
        <v>30</v>
      </c>
      <c r="E2740" t="s">
        <v>1689</v>
      </c>
      <c r="F2740" t="s">
        <v>1687</v>
      </c>
      <c r="G2740" t="s">
        <v>240</v>
      </c>
      <c r="H2740" t="s">
        <v>1690</v>
      </c>
      <c r="I2740" t="s">
        <v>119</v>
      </c>
      <c r="J2740" t="s">
        <v>36</v>
      </c>
      <c r="K2740">
        <v>2390</v>
      </c>
      <c r="O2740" t="s">
        <v>37</v>
      </c>
      <c r="P2740" t="s">
        <v>42</v>
      </c>
      <c r="U2740" s="9" t="s">
        <v>242</v>
      </c>
      <c r="V2740" t="s">
        <v>242</v>
      </c>
      <c r="W2740" t="s">
        <v>138</v>
      </c>
      <c r="X2740" t="s">
        <v>243</v>
      </c>
      <c r="Y2740" t="s">
        <v>179</v>
      </c>
      <c r="Z2740" t="s">
        <v>41</v>
      </c>
      <c r="AA2740" t="s">
        <v>1440</v>
      </c>
      <c r="AB2740" t="str">
        <f t="shared" si="129"/>
        <v>47253</v>
      </c>
    </row>
    <row r="2741" ht="14.25" spans="1:28">
      <c r="A2741" s="5" t="s">
        <v>28</v>
      </c>
      <c r="B2741" s="5" t="s">
        <v>697</v>
      </c>
      <c r="C2741" s="5">
        <v>2027</v>
      </c>
      <c r="D2741" s="5" t="s">
        <v>30</v>
      </c>
      <c r="E2741" t="s">
        <v>1689</v>
      </c>
      <c r="F2741" t="s">
        <v>1687</v>
      </c>
      <c r="G2741" t="s">
        <v>240</v>
      </c>
      <c r="H2741" t="s">
        <v>1690</v>
      </c>
      <c r="I2741" t="s">
        <v>119</v>
      </c>
      <c r="J2741" t="s">
        <v>36</v>
      </c>
      <c r="K2741">
        <v>2390</v>
      </c>
      <c r="O2741" t="s">
        <v>37</v>
      </c>
      <c r="P2741" t="s">
        <v>43</v>
      </c>
      <c r="U2741" s="9" t="s">
        <v>242</v>
      </c>
      <c r="V2741" t="s">
        <v>242</v>
      </c>
      <c r="W2741" t="s">
        <v>138</v>
      </c>
      <c r="X2741" t="s">
        <v>243</v>
      </c>
      <c r="Y2741" t="s">
        <v>179</v>
      </c>
      <c r="Z2741" t="s">
        <v>41</v>
      </c>
      <c r="AA2741" t="s">
        <v>1440</v>
      </c>
      <c r="AB2741" t="str">
        <f t="shared" si="129"/>
        <v>47253</v>
      </c>
    </row>
    <row r="2742" ht="14.25" spans="1:28">
      <c r="A2742" s="5" t="s">
        <v>28</v>
      </c>
      <c r="B2742" s="5" t="s">
        <v>697</v>
      </c>
      <c r="C2742" s="5">
        <v>2027</v>
      </c>
      <c r="D2742" s="5" t="s">
        <v>30</v>
      </c>
      <c r="E2742" t="s">
        <v>1689</v>
      </c>
      <c r="F2742" t="s">
        <v>1687</v>
      </c>
      <c r="G2742" t="s">
        <v>240</v>
      </c>
      <c r="H2742" t="s">
        <v>1690</v>
      </c>
      <c r="I2742" t="s">
        <v>119</v>
      </c>
      <c r="J2742" t="s">
        <v>36</v>
      </c>
      <c r="K2742">
        <v>2390</v>
      </c>
      <c r="O2742" t="s">
        <v>37</v>
      </c>
      <c r="P2742" t="s">
        <v>44</v>
      </c>
      <c r="U2742" s="9" t="s">
        <v>242</v>
      </c>
      <c r="V2742" t="s">
        <v>242</v>
      </c>
      <c r="W2742" t="s">
        <v>138</v>
      </c>
      <c r="X2742" t="s">
        <v>243</v>
      </c>
      <c r="Y2742" t="s">
        <v>179</v>
      </c>
      <c r="Z2742" t="s">
        <v>41</v>
      </c>
      <c r="AA2742" t="s">
        <v>1440</v>
      </c>
      <c r="AB2742" t="str">
        <f t="shared" si="129"/>
        <v>47253</v>
      </c>
    </row>
    <row r="2743" ht="14.25" spans="1:28">
      <c r="A2743" s="5" t="s">
        <v>28</v>
      </c>
      <c r="B2743" s="5" t="s">
        <v>697</v>
      </c>
      <c r="C2743" s="5">
        <v>2027</v>
      </c>
      <c r="D2743" s="5" t="s">
        <v>30</v>
      </c>
      <c r="E2743" t="s">
        <v>1689</v>
      </c>
      <c r="F2743" t="s">
        <v>1687</v>
      </c>
      <c r="G2743" t="s">
        <v>240</v>
      </c>
      <c r="H2743" t="s">
        <v>1690</v>
      </c>
      <c r="I2743" t="s">
        <v>119</v>
      </c>
      <c r="J2743" t="s">
        <v>36</v>
      </c>
      <c r="K2743">
        <v>2390</v>
      </c>
      <c r="O2743" t="s">
        <v>37</v>
      </c>
      <c r="P2743" t="s">
        <v>45</v>
      </c>
      <c r="U2743" s="9" t="s">
        <v>242</v>
      </c>
      <c r="V2743" t="s">
        <v>242</v>
      </c>
      <c r="W2743" t="s">
        <v>138</v>
      </c>
      <c r="X2743" t="s">
        <v>243</v>
      </c>
      <c r="Y2743" t="s">
        <v>179</v>
      </c>
      <c r="Z2743" t="s">
        <v>41</v>
      </c>
      <c r="AA2743" t="s">
        <v>1440</v>
      </c>
      <c r="AB2743" t="str">
        <f t="shared" si="129"/>
        <v>47253</v>
      </c>
    </row>
    <row r="2744" ht="14.25" spans="1:28">
      <c r="A2744" s="5" t="s">
        <v>28</v>
      </c>
      <c r="B2744" s="5" t="s">
        <v>697</v>
      </c>
      <c r="C2744" s="5">
        <v>2027</v>
      </c>
      <c r="D2744" s="5" t="s">
        <v>30</v>
      </c>
      <c r="E2744" t="s">
        <v>1689</v>
      </c>
      <c r="F2744" t="s">
        <v>1687</v>
      </c>
      <c r="G2744" t="s">
        <v>240</v>
      </c>
      <c r="H2744" t="s">
        <v>1690</v>
      </c>
      <c r="I2744" t="s">
        <v>119</v>
      </c>
      <c r="J2744" t="s">
        <v>36</v>
      </c>
      <c r="K2744">
        <v>2390</v>
      </c>
      <c r="O2744" t="s">
        <v>37</v>
      </c>
      <c r="P2744" t="s">
        <v>46</v>
      </c>
      <c r="U2744" s="9" t="s">
        <v>242</v>
      </c>
      <c r="V2744" t="s">
        <v>242</v>
      </c>
      <c r="W2744" t="s">
        <v>138</v>
      </c>
      <c r="X2744" t="s">
        <v>243</v>
      </c>
      <c r="Y2744" t="s">
        <v>179</v>
      </c>
      <c r="Z2744" t="s">
        <v>41</v>
      </c>
      <c r="AA2744" t="s">
        <v>1440</v>
      </c>
      <c r="AB2744" t="str">
        <f t="shared" si="129"/>
        <v>47253</v>
      </c>
    </row>
    <row r="2745" ht="14.25" spans="1:28">
      <c r="A2745" s="5" t="s">
        <v>28</v>
      </c>
      <c r="B2745" s="5" t="s">
        <v>697</v>
      </c>
      <c r="C2745" s="5">
        <v>2027</v>
      </c>
      <c r="D2745" s="5" t="s">
        <v>30</v>
      </c>
      <c r="E2745" t="s">
        <v>1691</v>
      </c>
      <c r="F2745" t="s">
        <v>1687</v>
      </c>
      <c r="G2745" t="s">
        <v>84</v>
      </c>
      <c r="H2745" t="s">
        <v>1692</v>
      </c>
      <c r="I2745" t="s">
        <v>119</v>
      </c>
      <c r="J2745" t="s">
        <v>36</v>
      </c>
      <c r="K2745">
        <v>2390</v>
      </c>
      <c r="O2745" t="s">
        <v>37</v>
      </c>
      <c r="P2745" t="s">
        <v>38</v>
      </c>
      <c r="R2745">
        <f t="shared" si="127"/>
        <v>0</v>
      </c>
      <c r="S2745">
        <f>SUMIFS([1]Sheet1!$T:$T,[1]Sheet1!$I:$I,E2745,[1]Sheet1!$C:$C,A2745)</f>
        <v>80</v>
      </c>
      <c r="T2745">
        <f t="shared" si="128"/>
        <v>-80</v>
      </c>
      <c r="U2745" s="9" t="s">
        <v>242</v>
      </c>
      <c r="V2745" t="s">
        <v>242</v>
      </c>
      <c r="W2745" t="s">
        <v>138</v>
      </c>
      <c r="X2745" t="s">
        <v>86</v>
      </c>
      <c r="Y2745" t="s">
        <v>179</v>
      </c>
      <c r="Z2745" t="s">
        <v>41</v>
      </c>
      <c r="AA2745" t="s">
        <v>1440</v>
      </c>
      <c r="AB2745" t="str">
        <f t="shared" si="129"/>
        <v>47253</v>
      </c>
    </row>
    <row r="2746" ht="14.25" spans="1:28">
      <c r="A2746" s="5" t="s">
        <v>28</v>
      </c>
      <c r="B2746" s="5" t="s">
        <v>697</v>
      </c>
      <c r="C2746" s="5">
        <v>2027</v>
      </c>
      <c r="D2746" s="5" t="s">
        <v>30</v>
      </c>
      <c r="E2746" t="s">
        <v>1691</v>
      </c>
      <c r="F2746" t="s">
        <v>1687</v>
      </c>
      <c r="G2746" t="s">
        <v>84</v>
      </c>
      <c r="H2746" t="s">
        <v>1692</v>
      </c>
      <c r="I2746" t="s">
        <v>119</v>
      </c>
      <c r="J2746" t="s">
        <v>36</v>
      </c>
      <c r="K2746">
        <v>2390</v>
      </c>
      <c r="O2746" t="s">
        <v>37</v>
      </c>
      <c r="P2746" t="s">
        <v>42</v>
      </c>
      <c r="U2746" s="9" t="s">
        <v>242</v>
      </c>
      <c r="V2746" t="s">
        <v>242</v>
      </c>
      <c r="W2746" t="s">
        <v>138</v>
      </c>
      <c r="X2746" t="s">
        <v>86</v>
      </c>
      <c r="Y2746" t="s">
        <v>179</v>
      </c>
      <c r="Z2746" t="s">
        <v>41</v>
      </c>
      <c r="AA2746" t="s">
        <v>1440</v>
      </c>
      <c r="AB2746" t="str">
        <f t="shared" si="129"/>
        <v>47253</v>
      </c>
    </row>
    <row r="2747" ht="14.25" spans="1:28">
      <c r="A2747" s="5" t="s">
        <v>28</v>
      </c>
      <c r="B2747" s="5" t="s">
        <v>697</v>
      </c>
      <c r="C2747" s="5">
        <v>2027</v>
      </c>
      <c r="D2747" s="5" t="s">
        <v>30</v>
      </c>
      <c r="E2747" t="s">
        <v>1691</v>
      </c>
      <c r="F2747" t="s">
        <v>1687</v>
      </c>
      <c r="G2747" t="s">
        <v>84</v>
      </c>
      <c r="H2747" t="s">
        <v>1692</v>
      </c>
      <c r="I2747" t="s">
        <v>119</v>
      </c>
      <c r="J2747" t="s">
        <v>36</v>
      </c>
      <c r="K2747">
        <v>2390</v>
      </c>
      <c r="O2747" t="s">
        <v>37</v>
      </c>
      <c r="P2747" t="s">
        <v>43</v>
      </c>
      <c r="U2747" s="9" t="s">
        <v>242</v>
      </c>
      <c r="V2747" t="s">
        <v>242</v>
      </c>
      <c r="W2747" t="s">
        <v>138</v>
      </c>
      <c r="X2747" t="s">
        <v>86</v>
      </c>
      <c r="Y2747" t="s">
        <v>179</v>
      </c>
      <c r="Z2747" t="s">
        <v>41</v>
      </c>
      <c r="AA2747" t="s">
        <v>1440</v>
      </c>
      <c r="AB2747" t="str">
        <f t="shared" si="129"/>
        <v>47253</v>
      </c>
    </row>
    <row r="2748" ht="14.25" spans="1:28">
      <c r="A2748" s="5" t="s">
        <v>28</v>
      </c>
      <c r="B2748" s="5" t="s">
        <v>697</v>
      </c>
      <c r="C2748" s="5">
        <v>2027</v>
      </c>
      <c r="D2748" s="5" t="s">
        <v>30</v>
      </c>
      <c r="E2748" t="s">
        <v>1691</v>
      </c>
      <c r="F2748" t="s">
        <v>1687</v>
      </c>
      <c r="G2748" t="s">
        <v>84</v>
      </c>
      <c r="H2748" t="s">
        <v>1692</v>
      </c>
      <c r="I2748" t="s">
        <v>119</v>
      </c>
      <c r="J2748" t="s">
        <v>36</v>
      </c>
      <c r="K2748">
        <v>2390</v>
      </c>
      <c r="O2748" t="s">
        <v>37</v>
      </c>
      <c r="P2748" t="s">
        <v>44</v>
      </c>
      <c r="U2748" s="9" t="s">
        <v>242</v>
      </c>
      <c r="V2748" t="s">
        <v>242</v>
      </c>
      <c r="W2748" t="s">
        <v>138</v>
      </c>
      <c r="X2748" t="s">
        <v>86</v>
      </c>
      <c r="Y2748" t="s">
        <v>179</v>
      </c>
      <c r="Z2748" t="s">
        <v>41</v>
      </c>
      <c r="AA2748" t="s">
        <v>1440</v>
      </c>
      <c r="AB2748" t="str">
        <f t="shared" si="129"/>
        <v>47253</v>
      </c>
    </row>
    <row r="2749" ht="14.25" spans="1:28">
      <c r="A2749" s="5" t="s">
        <v>28</v>
      </c>
      <c r="B2749" s="5" t="s">
        <v>697</v>
      </c>
      <c r="C2749" s="5">
        <v>2027</v>
      </c>
      <c r="D2749" s="5" t="s">
        <v>30</v>
      </c>
      <c r="E2749" t="s">
        <v>1691</v>
      </c>
      <c r="F2749" t="s">
        <v>1687</v>
      </c>
      <c r="G2749" t="s">
        <v>84</v>
      </c>
      <c r="H2749" t="s">
        <v>1692</v>
      </c>
      <c r="I2749" t="s">
        <v>119</v>
      </c>
      <c r="J2749" t="s">
        <v>36</v>
      </c>
      <c r="K2749">
        <v>2390</v>
      </c>
      <c r="O2749" t="s">
        <v>37</v>
      </c>
      <c r="P2749" t="s">
        <v>45</v>
      </c>
      <c r="U2749" s="9" t="s">
        <v>242</v>
      </c>
      <c r="V2749" t="s">
        <v>242</v>
      </c>
      <c r="W2749" t="s">
        <v>138</v>
      </c>
      <c r="X2749" t="s">
        <v>86</v>
      </c>
      <c r="Y2749" t="s">
        <v>179</v>
      </c>
      <c r="Z2749" t="s">
        <v>41</v>
      </c>
      <c r="AA2749" t="s">
        <v>1440</v>
      </c>
      <c r="AB2749" t="str">
        <f t="shared" si="129"/>
        <v>47253</v>
      </c>
    </row>
    <row r="2750" ht="14.25" spans="1:28">
      <c r="A2750" s="5" t="s">
        <v>28</v>
      </c>
      <c r="B2750" s="5" t="s">
        <v>697</v>
      </c>
      <c r="C2750" s="5">
        <v>2027</v>
      </c>
      <c r="D2750" s="5" t="s">
        <v>30</v>
      </c>
      <c r="E2750" t="s">
        <v>1691</v>
      </c>
      <c r="F2750" t="s">
        <v>1687</v>
      </c>
      <c r="G2750" t="s">
        <v>84</v>
      </c>
      <c r="H2750" t="s">
        <v>1692</v>
      </c>
      <c r="I2750" t="s">
        <v>119</v>
      </c>
      <c r="J2750" t="s">
        <v>36</v>
      </c>
      <c r="K2750">
        <v>2390</v>
      </c>
      <c r="O2750" t="s">
        <v>37</v>
      </c>
      <c r="P2750" t="s">
        <v>46</v>
      </c>
      <c r="U2750" s="9" t="s">
        <v>242</v>
      </c>
      <c r="V2750" t="s">
        <v>242</v>
      </c>
      <c r="W2750" t="s">
        <v>138</v>
      </c>
      <c r="X2750" t="s">
        <v>86</v>
      </c>
      <c r="Y2750" t="s">
        <v>179</v>
      </c>
      <c r="Z2750" t="s">
        <v>41</v>
      </c>
      <c r="AA2750" t="s">
        <v>1440</v>
      </c>
      <c r="AB2750" t="str">
        <f t="shared" si="129"/>
        <v>47253</v>
      </c>
    </row>
    <row r="2751" ht="14.25" spans="1:28">
      <c r="A2751" s="5" t="s">
        <v>28</v>
      </c>
      <c r="B2751" s="5" t="s">
        <v>697</v>
      </c>
      <c r="C2751" s="5">
        <v>2027</v>
      </c>
      <c r="D2751" s="5" t="s">
        <v>30</v>
      </c>
      <c r="E2751" t="s">
        <v>1693</v>
      </c>
      <c r="F2751" t="s">
        <v>1694</v>
      </c>
      <c r="G2751" t="s">
        <v>100</v>
      </c>
      <c r="H2751" t="s">
        <v>1695</v>
      </c>
      <c r="I2751" t="s">
        <v>119</v>
      </c>
      <c r="J2751" t="s">
        <v>36</v>
      </c>
      <c r="K2751">
        <v>2690</v>
      </c>
      <c r="O2751" t="s">
        <v>37</v>
      </c>
      <c r="P2751" t="s">
        <v>38</v>
      </c>
      <c r="R2751">
        <f t="shared" si="127"/>
        <v>0</v>
      </c>
      <c r="S2751">
        <f>SUMIFS([1]Sheet1!$T:$T,[1]Sheet1!$I:$I,E2751,[1]Sheet1!$C:$C,A2751)</f>
        <v>100</v>
      </c>
      <c r="T2751">
        <f t="shared" si="128"/>
        <v>-100</v>
      </c>
      <c r="U2751" s="9" t="s">
        <v>242</v>
      </c>
      <c r="V2751" t="s">
        <v>242</v>
      </c>
      <c r="W2751" t="s">
        <v>138</v>
      </c>
      <c r="X2751" t="s">
        <v>102</v>
      </c>
      <c r="Y2751" t="s">
        <v>179</v>
      </c>
      <c r="Z2751" t="s">
        <v>41</v>
      </c>
      <c r="AA2751" t="s">
        <v>1440</v>
      </c>
      <c r="AB2751" t="str">
        <f t="shared" si="129"/>
        <v>47344</v>
      </c>
    </row>
    <row r="2752" ht="14.25" spans="1:28">
      <c r="A2752" s="5" t="s">
        <v>28</v>
      </c>
      <c r="B2752" s="5" t="s">
        <v>697</v>
      </c>
      <c r="C2752" s="5">
        <v>2027</v>
      </c>
      <c r="D2752" s="5" t="s">
        <v>30</v>
      </c>
      <c r="E2752" t="s">
        <v>1693</v>
      </c>
      <c r="F2752" t="s">
        <v>1694</v>
      </c>
      <c r="G2752" t="s">
        <v>100</v>
      </c>
      <c r="H2752" t="s">
        <v>1695</v>
      </c>
      <c r="I2752" t="s">
        <v>119</v>
      </c>
      <c r="J2752" t="s">
        <v>36</v>
      </c>
      <c r="K2752">
        <v>2690</v>
      </c>
      <c r="O2752" t="s">
        <v>37</v>
      </c>
      <c r="P2752" t="s">
        <v>42</v>
      </c>
      <c r="U2752" s="9" t="s">
        <v>242</v>
      </c>
      <c r="V2752" t="s">
        <v>242</v>
      </c>
      <c r="W2752" t="s">
        <v>138</v>
      </c>
      <c r="X2752" t="s">
        <v>102</v>
      </c>
      <c r="Y2752" t="s">
        <v>179</v>
      </c>
      <c r="Z2752" t="s">
        <v>41</v>
      </c>
      <c r="AA2752" t="s">
        <v>1440</v>
      </c>
      <c r="AB2752" t="str">
        <f t="shared" si="129"/>
        <v>47344</v>
      </c>
    </row>
    <row r="2753" ht="14.25" spans="1:28">
      <c r="A2753" s="5" t="s">
        <v>28</v>
      </c>
      <c r="B2753" s="5" t="s">
        <v>697</v>
      </c>
      <c r="C2753" s="5">
        <v>2027</v>
      </c>
      <c r="D2753" s="5" t="s">
        <v>30</v>
      </c>
      <c r="E2753" t="s">
        <v>1693</v>
      </c>
      <c r="F2753" t="s">
        <v>1694</v>
      </c>
      <c r="G2753" t="s">
        <v>100</v>
      </c>
      <c r="H2753" t="s">
        <v>1695</v>
      </c>
      <c r="I2753" t="s">
        <v>119</v>
      </c>
      <c r="J2753" t="s">
        <v>36</v>
      </c>
      <c r="K2753">
        <v>2690</v>
      </c>
      <c r="O2753" t="s">
        <v>37</v>
      </c>
      <c r="P2753" t="s">
        <v>43</v>
      </c>
      <c r="U2753" s="9" t="s">
        <v>242</v>
      </c>
      <c r="V2753" t="s">
        <v>242</v>
      </c>
      <c r="W2753" t="s">
        <v>138</v>
      </c>
      <c r="X2753" t="s">
        <v>102</v>
      </c>
      <c r="Y2753" t="s">
        <v>179</v>
      </c>
      <c r="Z2753" t="s">
        <v>41</v>
      </c>
      <c r="AA2753" t="s">
        <v>1440</v>
      </c>
      <c r="AB2753" t="str">
        <f t="shared" si="129"/>
        <v>47344</v>
      </c>
    </row>
    <row r="2754" ht="14.25" spans="1:28">
      <c r="A2754" s="5" t="s">
        <v>28</v>
      </c>
      <c r="B2754" s="5" t="s">
        <v>697</v>
      </c>
      <c r="C2754" s="5">
        <v>2027</v>
      </c>
      <c r="D2754" s="5" t="s">
        <v>30</v>
      </c>
      <c r="E2754" t="s">
        <v>1693</v>
      </c>
      <c r="F2754" t="s">
        <v>1694</v>
      </c>
      <c r="G2754" t="s">
        <v>100</v>
      </c>
      <c r="H2754" t="s">
        <v>1695</v>
      </c>
      <c r="I2754" t="s">
        <v>119</v>
      </c>
      <c r="J2754" t="s">
        <v>36</v>
      </c>
      <c r="K2754">
        <v>2690</v>
      </c>
      <c r="O2754" t="s">
        <v>37</v>
      </c>
      <c r="P2754" t="s">
        <v>44</v>
      </c>
      <c r="U2754" s="9" t="s">
        <v>242</v>
      </c>
      <c r="V2754" t="s">
        <v>242</v>
      </c>
      <c r="W2754" t="s">
        <v>138</v>
      </c>
      <c r="X2754" t="s">
        <v>102</v>
      </c>
      <c r="Y2754" t="s">
        <v>179</v>
      </c>
      <c r="Z2754" t="s">
        <v>41</v>
      </c>
      <c r="AA2754" t="s">
        <v>1440</v>
      </c>
      <c r="AB2754" t="str">
        <f t="shared" si="129"/>
        <v>47344</v>
      </c>
    </row>
    <row r="2755" ht="14.25" spans="1:28">
      <c r="A2755" s="5" t="s">
        <v>28</v>
      </c>
      <c r="B2755" s="5" t="s">
        <v>697</v>
      </c>
      <c r="C2755" s="5">
        <v>2027</v>
      </c>
      <c r="D2755" s="5" t="s">
        <v>30</v>
      </c>
      <c r="E2755" t="s">
        <v>1693</v>
      </c>
      <c r="F2755" t="s">
        <v>1694</v>
      </c>
      <c r="G2755" t="s">
        <v>100</v>
      </c>
      <c r="H2755" t="s">
        <v>1695</v>
      </c>
      <c r="I2755" t="s">
        <v>119</v>
      </c>
      <c r="J2755" t="s">
        <v>36</v>
      </c>
      <c r="K2755">
        <v>2690</v>
      </c>
      <c r="O2755" t="s">
        <v>37</v>
      </c>
      <c r="P2755" t="s">
        <v>45</v>
      </c>
      <c r="U2755" s="9" t="s">
        <v>242</v>
      </c>
      <c r="V2755" t="s">
        <v>242</v>
      </c>
      <c r="W2755" t="s">
        <v>138</v>
      </c>
      <c r="X2755" t="s">
        <v>102</v>
      </c>
      <c r="Y2755" t="s">
        <v>179</v>
      </c>
      <c r="Z2755" t="s">
        <v>41</v>
      </c>
      <c r="AA2755" t="s">
        <v>1440</v>
      </c>
      <c r="AB2755" t="str">
        <f t="shared" si="129"/>
        <v>47344</v>
      </c>
    </row>
    <row r="2756" ht="14.25" spans="1:28">
      <c r="A2756" s="5" t="s">
        <v>28</v>
      </c>
      <c r="B2756" s="5" t="s">
        <v>697</v>
      </c>
      <c r="C2756" s="5">
        <v>2027</v>
      </c>
      <c r="D2756" s="5" t="s">
        <v>30</v>
      </c>
      <c r="E2756" t="s">
        <v>1693</v>
      </c>
      <c r="F2756" t="s">
        <v>1694</v>
      </c>
      <c r="G2756" t="s">
        <v>100</v>
      </c>
      <c r="H2756" t="s">
        <v>1695</v>
      </c>
      <c r="I2756" t="s">
        <v>119</v>
      </c>
      <c r="J2756" t="s">
        <v>36</v>
      </c>
      <c r="K2756">
        <v>2690</v>
      </c>
      <c r="O2756" t="s">
        <v>37</v>
      </c>
      <c r="P2756" t="s">
        <v>46</v>
      </c>
      <c r="U2756" s="9" t="s">
        <v>242</v>
      </c>
      <c r="V2756" t="s">
        <v>242</v>
      </c>
      <c r="W2756" t="s">
        <v>138</v>
      </c>
      <c r="X2756" t="s">
        <v>102</v>
      </c>
      <c r="Y2756" t="s">
        <v>179</v>
      </c>
      <c r="Z2756" t="s">
        <v>41</v>
      </c>
      <c r="AA2756" t="s">
        <v>1440</v>
      </c>
      <c r="AB2756" t="str">
        <f t="shared" si="129"/>
        <v>47344</v>
      </c>
    </row>
    <row r="2757" ht="14.25" spans="1:28">
      <c r="A2757" s="5" t="s">
        <v>28</v>
      </c>
      <c r="B2757" s="5" t="s">
        <v>697</v>
      </c>
      <c r="C2757" s="5">
        <v>2027</v>
      </c>
      <c r="D2757" s="5" t="s">
        <v>30</v>
      </c>
      <c r="E2757" t="s">
        <v>1696</v>
      </c>
      <c r="F2757" t="s">
        <v>1694</v>
      </c>
      <c r="G2757" t="s">
        <v>81</v>
      </c>
      <c r="H2757" t="s">
        <v>1697</v>
      </c>
      <c r="I2757" t="s">
        <v>119</v>
      </c>
      <c r="J2757" t="s">
        <v>36</v>
      </c>
      <c r="K2757">
        <v>2690</v>
      </c>
      <c r="O2757" t="s">
        <v>37</v>
      </c>
      <c r="P2757" t="s">
        <v>38</v>
      </c>
      <c r="R2757">
        <f t="shared" ref="R2754:R2817" si="130">SUMIFS(Q:Q,E:E,E2757)</f>
        <v>0</v>
      </c>
      <c r="S2757">
        <f>SUMIFS([1]Sheet1!$T:$T,[1]Sheet1!$I:$I,E2757,[1]Sheet1!$C:$C,A2757)</f>
        <v>40</v>
      </c>
      <c r="T2757">
        <f t="shared" ref="T2754:T2817" si="131">R2757-S2757</f>
        <v>-40</v>
      </c>
      <c r="U2757" s="9" t="s">
        <v>242</v>
      </c>
      <c r="V2757" t="s">
        <v>242</v>
      </c>
      <c r="W2757" t="s">
        <v>138</v>
      </c>
      <c r="X2757" t="s">
        <v>54</v>
      </c>
      <c r="Y2757" t="s">
        <v>179</v>
      </c>
      <c r="Z2757" t="s">
        <v>41</v>
      </c>
      <c r="AA2757" t="s">
        <v>1440</v>
      </c>
      <c r="AB2757" t="str">
        <f t="shared" si="129"/>
        <v>47344</v>
      </c>
    </row>
    <row r="2758" ht="14.25" spans="1:28">
      <c r="A2758" s="5" t="s">
        <v>28</v>
      </c>
      <c r="B2758" s="5" t="s">
        <v>697</v>
      </c>
      <c r="C2758" s="5">
        <v>2027</v>
      </c>
      <c r="D2758" s="5" t="s">
        <v>30</v>
      </c>
      <c r="E2758" t="s">
        <v>1696</v>
      </c>
      <c r="F2758" t="s">
        <v>1694</v>
      </c>
      <c r="G2758" t="s">
        <v>81</v>
      </c>
      <c r="H2758" t="s">
        <v>1697</v>
      </c>
      <c r="I2758" t="s">
        <v>119</v>
      </c>
      <c r="J2758" t="s">
        <v>36</v>
      </c>
      <c r="K2758">
        <v>2690</v>
      </c>
      <c r="O2758" t="s">
        <v>37</v>
      </c>
      <c r="P2758" t="s">
        <v>42</v>
      </c>
      <c r="U2758" s="9" t="s">
        <v>242</v>
      </c>
      <c r="V2758" t="s">
        <v>242</v>
      </c>
      <c r="W2758" t="s">
        <v>138</v>
      </c>
      <c r="X2758" t="s">
        <v>54</v>
      </c>
      <c r="Y2758" t="s">
        <v>179</v>
      </c>
      <c r="Z2758" t="s">
        <v>41</v>
      </c>
      <c r="AA2758" t="s">
        <v>1440</v>
      </c>
      <c r="AB2758" t="str">
        <f t="shared" si="129"/>
        <v>47344</v>
      </c>
    </row>
    <row r="2759" ht="14.25" spans="1:28">
      <c r="A2759" s="5" t="s">
        <v>28</v>
      </c>
      <c r="B2759" s="5" t="s">
        <v>697</v>
      </c>
      <c r="C2759" s="5">
        <v>2027</v>
      </c>
      <c r="D2759" s="5" t="s">
        <v>30</v>
      </c>
      <c r="E2759" t="s">
        <v>1696</v>
      </c>
      <c r="F2759" t="s">
        <v>1694</v>
      </c>
      <c r="G2759" t="s">
        <v>81</v>
      </c>
      <c r="H2759" t="s">
        <v>1697</v>
      </c>
      <c r="I2759" t="s">
        <v>119</v>
      </c>
      <c r="J2759" t="s">
        <v>36</v>
      </c>
      <c r="K2759">
        <v>2690</v>
      </c>
      <c r="O2759" t="s">
        <v>37</v>
      </c>
      <c r="P2759" t="s">
        <v>43</v>
      </c>
      <c r="U2759" s="9" t="s">
        <v>242</v>
      </c>
      <c r="V2759" t="s">
        <v>242</v>
      </c>
      <c r="W2759" t="s">
        <v>138</v>
      </c>
      <c r="X2759" t="s">
        <v>54</v>
      </c>
      <c r="Y2759" t="s">
        <v>179</v>
      </c>
      <c r="Z2759" t="s">
        <v>41</v>
      </c>
      <c r="AA2759" t="s">
        <v>1440</v>
      </c>
      <c r="AB2759" t="str">
        <f t="shared" si="129"/>
        <v>47344</v>
      </c>
    </row>
    <row r="2760" ht="14.25" spans="1:28">
      <c r="A2760" s="5" t="s">
        <v>28</v>
      </c>
      <c r="B2760" s="5" t="s">
        <v>697</v>
      </c>
      <c r="C2760" s="5">
        <v>2027</v>
      </c>
      <c r="D2760" s="5" t="s">
        <v>30</v>
      </c>
      <c r="E2760" t="s">
        <v>1696</v>
      </c>
      <c r="F2760" t="s">
        <v>1694</v>
      </c>
      <c r="G2760" t="s">
        <v>81</v>
      </c>
      <c r="H2760" t="s">
        <v>1697</v>
      </c>
      <c r="I2760" t="s">
        <v>119</v>
      </c>
      <c r="J2760" t="s">
        <v>36</v>
      </c>
      <c r="K2760">
        <v>2690</v>
      </c>
      <c r="O2760" t="s">
        <v>37</v>
      </c>
      <c r="P2760" t="s">
        <v>44</v>
      </c>
      <c r="U2760" s="9" t="s">
        <v>242</v>
      </c>
      <c r="V2760" t="s">
        <v>242</v>
      </c>
      <c r="W2760" t="s">
        <v>138</v>
      </c>
      <c r="X2760" t="s">
        <v>54</v>
      </c>
      <c r="Y2760" t="s">
        <v>179</v>
      </c>
      <c r="Z2760" t="s">
        <v>41</v>
      </c>
      <c r="AA2760" t="s">
        <v>1440</v>
      </c>
      <c r="AB2760" t="str">
        <f t="shared" si="129"/>
        <v>47344</v>
      </c>
    </row>
    <row r="2761" ht="14.25" spans="1:28">
      <c r="A2761" s="5" t="s">
        <v>28</v>
      </c>
      <c r="B2761" s="5" t="s">
        <v>697</v>
      </c>
      <c r="C2761" s="5">
        <v>2027</v>
      </c>
      <c r="D2761" s="5" t="s">
        <v>30</v>
      </c>
      <c r="E2761" t="s">
        <v>1696</v>
      </c>
      <c r="F2761" t="s">
        <v>1694</v>
      </c>
      <c r="G2761" t="s">
        <v>81</v>
      </c>
      <c r="H2761" t="s">
        <v>1697</v>
      </c>
      <c r="I2761" t="s">
        <v>119</v>
      </c>
      <c r="J2761" t="s">
        <v>36</v>
      </c>
      <c r="K2761">
        <v>2690</v>
      </c>
      <c r="O2761" t="s">
        <v>37</v>
      </c>
      <c r="P2761" t="s">
        <v>45</v>
      </c>
      <c r="U2761" s="9" t="s">
        <v>242</v>
      </c>
      <c r="V2761" t="s">
        <v>242</v>
      </c>
      <c r="W2761" t="s">
        <v>138</v>
      </c>
      <c r="X2761" t="s">
        <v>54</v>
      </c>
      <c r="Y2761" t="s">
        <v>179</v>
      </c>
      <c r="Z2761" t="s">
        <v>41</v>
      </c>
      <c r="AA2761" t="s">
        <v>1440</v>
      </c>
      <c r="AB2761" t="str">
        <f t="shared" si="129"/>
        <v>47344</v>
      </c>
    </row>
    <row r="2762" ht="14.25" spans="1:28">
      <c r="A2762" s="5" t="s">
        <v>28</v>
      </c>
      <c r="B2762" s="5" t="s">
        <v>697</v>
      </c>
      <c r="C2762" s="5">
        <v>2027</v>
      </c>
      <c r="D2762" s="5" t="s">
        <v>30</v>
      </c>
      <c r="E2762" t="s">
        <v>1696</v>
      </c>
      <c r="F2762" t="s">
        <v>1694</v>
      </c>
      <c r="G2762" t="s">
        <v>81</v>
      </c>
      <c r="H2762" t="s">
        <v>1697</v>
      </c>
      <c r="I2762" t="s">
        <v>119</v>
      </c>
      <c r="J2762" t="s">
        <v>36</v>
      </c>
      <c r="K2762">
        <v>2690</v>
      </c>
      <c r="O2762" t="s">
        <v>37</v>
      </c>
      <c r="P2762" t="s">
        <v>46</v>
      </c>
      <c r="U2762" s="9" t="s">
        <v>242</v>
      </c>
      <c r="V2762" t="s">
        <v>242</v>
      </c>
      <c r="W2762" t="s">
        <v>138</v>
      </c>
      <c r="X2762" t="s">
        <v>54</v>
      </c>
      <c r="Y2762" t="s">
        <v>179</v>
      </c>
      <c r="Z2762" t="s">
        <v>41</v>
      </c>
      <c r="AA2762" t="s">
        <v>1440</v>
      </c>
      <c r="AB2762" t="str">
        <f t="shared" si="129"/>
        <v>47344</v>
      </c>
    </row>
    <row r="2763" ht="14.25" spans="1:28">
      <c r="A2763" s="5" t="s">
        <v>28</v>
      </c>
      <c r="B2763" s="5" t="s">
        <v>697</v>
      </c>
      <c r="C2763" s="5">
        <v>2027</v>
      </c>
      <c r="D2763" s="5" t="s">
        <v>30</v>
      </c>
      <c r="E2763" t="s">
        <v>1698</v>
      </c>
      <c r="F2763" t="s">
        <v>1694</v>
      </c>
      <c r="G2763" t="s">
        <v>1157</v>
      </c>
      <c r="H2763" t="s">
        <v>1699</v>
      </c>
      <c r="I2763" t="s">
        <v>119</v>
      </c>
      <c r="J2763" t="s">
        <v>36</v>
      </c>
      <c r="K2763">
        <v>2690</v>
      </c>
      <c r="O2763" t="s">
        <v>37</v>
      </c>
      <c r="P2763" t="s">
        <v>38</v>
      </c>
      <c r="R2763">
        <f t="shared" si="130"/>
        <v>0</v>
      </c>
      <c r="S2763">
        <f>SUMIFS([1]Sheet1!$T:$T,[1]Sheet1!$I:$I,E2763,[1]Sheet1!$C:$C,A2763)</f>
        <v>80</v>
      </c>
      <c r="T2763">
        <f t="shared" si="131"/>
        <v>-80</v>
      </c>
      <c r="U2763" s="9" t="s">
        <v>242</v>
      </c>
      <c r="V2763" t="s">
        <v>242</v>
      </c>
      <c r="W2763" t="s">
        <v>138</v>
      </c>
      <c r="X2763" t="s">
        <v>70</v>
      </c>
      <c r="Y2763" t="s">
        <v>179</v>
      </c>
      <c r="Z2763" t="s">
        <v>41</v>
      </c>
      <c r="AA2763" t="s">
        <v>1440</v>
      </c>
      <c r="AB2763" t="str">
        <f t="shared" si="129"/>
        <v>47344</v>
      </c>
    </row>
    <row r="2764" ht="14.25" spans="1:28">
      <c r="A2764" s="5" t="s">
        <v>28</v>
      </c>
      <c r="B2764" s="5" t="s">
        <v>697</v>
      </c>
      <c r="C2764" s="5">
        <v>2027</v>
      </c>
      <c r="D2764" s="5" t="s">
        <v>30</v>
      </c>
      <c r="E2764" t="s">
        <v>1698</v>
      </c>
      <c r="F2764" t="s">
        <v>1694</v>
      </c>
      <c r="G2764" t="s">
        <v>1157</v>
      </c>
      <c r="H2764" t="s">
        <v>1699</v>
      </c>
      <c r="I2764" t="s">
        <v>119</v>
      </c>
      <c r="J2764" t="s">
        <v>36</v>
      </c>
      <c r="K2764">
        <v>2690</v>
      </c>
      <c r="O2764" t="s">
        <v>37</v>
      </c>
      <c r="P2764" t="s">
        <v>42</v>
      </c>
      <c r="U2764" s="9" t="s">
        <v>242</v>
      </c>
      <c r="V2764" t="s">
        <v>242</v>
      </c>
      <c r="W2764" t="s">
        <v>138</v>
      </c>
      <c r="X2764" t="s">
        <v>70</v>
      </c>
      <c r="Y2764" t="s">
        <v>179</v>
      </c>
      <c r="Z2764" t="s">
        <v>41</v>
      </c>
      <c r="AA2764" t="s">
        <v>1440</v>
      </c>
      <c r="AB2764" t="str">
        <f t="shared" si="129"/>
        <v>47344</v>
      </c>
    </row>
    <row r="2765" ht="14.25" spans="1:28">
      <c r="A2765" s="5" t="s">
        <v>28</v>
      </c>
      <c r="B2765" s="5" t="s">
        <v>697</v>
      </c>
      <c r="C2765" s="5">
        <v>2027</v>
      </c>
      <c r="D2765" s="5" t="s">
        <v>30</v>
      </c>
      <c r="E2765" t="s">
        <v>1698</v>
      </c>
      <c r="F2765" t="s">
        <v>1694</v>
      </c>
      <c r="G2765" t="s">
        <v>1157</v>
      </c>
      <c r="H2765" t="s">
        <v>1699</v>
      </c>
      <c r="I2765" t="s">
        <v>119</v>
      </c>
      <c r="J2765" t="s">
        <v>36</v>
      </c>
      <c r="K2765">
        <v>2690</v>
      </c>
      <c r="O2765" t="s">
        <v>37</v>
      </c>
      <c r="P2765" t="s">
        <v>43</v>
      </c>
      <c r="U2765" s="9" t="s">
        <v>242</v>
      </c>
      <c r="V2765" t="s">
        <v>242</v>
      </c>
      <c r="W2765" t="s">
        <v>138</v>
      </c>
      <c r="X2765" t="s">
        <v>70</v>
      </c>
      <c r="Y2765" t="s">
        <v>179</v>
      </c>
      <c r="Z2765" t="s">
        <v>41</v>
      </c>
      <c r="AA2765" t="s">
        <v>1440</v>
      </c>
      <c r="AB2765" t="str">
        <f t="shared" si="129"/>
        <v>47344</v>
      </c>
    </row>
    <row r="2766" ht="14.25" spans="1:28">
      <c r="A2766" s="5" t="s">
        <v>28</v>
      </c>
      <c r="B2766" s="5" t="s">
        <v>697</v>
      </c>
      <c r="C2766" s="5">
        <v>2027</v>
      </c>
      <c r="D2766" s="5" t="s">
        <v>30</v>
      </c>
      <c r="E2766" t="s">
        <v>1698</v>
      </c>
      <c r="F2766" t="s">
        <v>1694</v>
      </c>
      <c r="G2766" t="s">
        <v>1157</v>
      </c>
      <c r="H2766" t="s">
        <v>1699</v>
      </c>
      <c r="I2766" t="s">
        <v>119</v>
      </c>
      <c r="J2766" t="s">
        <v>36</v>
      </c>
      <c r="K2766">
        <v>2690</v>
      </c>
      <c r="O2766" t="s">
        <v>37</v>
      </c>
      <c r="P2766" t="s">
        <v>44</v>
      </c>
      <c r="U2766" s="9" t="s">
        <v>242</v>
      </c>
      <c r="V2766" t="s">
        <v>242</v>
      </c>
      <c r="W2766" t="s">
        <v>138</v>
      </c>
      <c r="X2766" t="s">
        <v>70</v>
      </c>
      <c r="Y2766" t="s">
        <v>179</v>
      </c>
      <c r="Z2766" t="s">
        <v>41</v>
      </c>
      <c r="AA2766" t="s">
        <v>1440</v>
      </c>
      <c r="AB2766" t="str">
        <f t="shared" si="129"/>
        <v>47344</v>
      </c>
    </row>
    <row r="2767" ht="14.25" spans="1:28">
      <c r="A2767" s="5" t="s">
        <v>28</v>
      </c>
      <c r="B2767" s="5" t="s">
        <v>697</v>
      </c>
      <c r="C2767" s="5">
        <v>2027</v>
      </c>
      <c r="D2767" s="5" t="s">
        <v>30</v>
      </c>
      <c r="E2767" t="s">
        <v>1698</v>
      </c>
      <c r="F2767" t="s">
        <v>1694</v>
      </c>
      <c r="G2767" t="s">
        <v>1157</v>
      </c>
      <c r="H2767" t="s">
        <v>1699</v>
      </c>
      <c r="I2767" t="s">
        <v>119</v>
      </c>
      <c r="J2767" t="s">
        <v>36</v>
      </c>
      <c r="K2767">
        <v>2690</v>
      </c>
      <c r="O2767" t="s">
        <v>37</v>
      </c>
      <c r="P2767" t="s">
        <v>45</v>
      </c>
      <c r="U2767" s="9" t="s">
        <v>242</v>
      </c>
      <c r="V2767" t="s">
        <v>242</v>
      </c>
      <c r="W2767" t="s">
        <v>138</v>
      </c>
      <c r="X2767" t="s">
        <v>70</v>
      </c>
      <c r="Y2767" t="s">
        <v>179</v>
      </c>
      <c r="Z2767" t="s">
        <v>41</v>
      </c>
      <c r="AA2767" t="s">
        <v>1440</v>
      </c>
      <c r="AB2767" t="str">
        <f t="shared" si="129"/>
        <v>47344</v>
      </c>
    </row>
    <row r="2768" ht="14.25" spans="1:28">
      <c r="A2768" s="5" t="s">
        <v>28</v>
      </c>
      <c r="B2768" s="5" t="s">
        <v>697</v>
      </c>
      <c r="C2768" s="5">
        <v>2027</v>
      </c>
      <c r="D2768" s="5" t="s">
        <v>30</v>
      </c>
      <c r="E2768" t="s">
        <v>1698</v>
      </c>
      <c r="F2768" t="s">
        <v>1694</v>
      </c>
      <c r="G2768" t="s">
        <v>1157</v>
      </c>
      <c r="H2768" t="s">
        <v>1699</v>
      </c>
      <c r="I2768" t="s">
        <v>119</v>
      </c>
      <c r="J2768" t="s">
        <v>36</v>
      </c>
      <c r="K2768">
        <v>2690</v>
      </c>
      <c r="O2768" t="s">
        <v>37</v>
      </c>
      <c r="P2768" t="s">
        <v>46</v>
      </c>
      <c r="U2768" s="9" t="s">
        <v>242</v>
      </c>
      <c r="V2768" t="s">
        <v>242</v>
      </c>
      <c r="W2768" t="s">
        <v>138</v>
      </c>
      <c r="X2768" t="s">
        <v>70</v>
      </c>
      <c r="Y2768" t="s">
        <v>179</v>
      </c>
      <c r="Z2768" t="s">
        <v>41</v>
      </c>
      <c r="AA2768" t="s">
        <v>1440</v>
      </c>
      <c r="AB2768" t="str">
        <f t="shared" si="129"/>
        <v>47344</v>
      </c>
    </row>
    <row r="2769" ht="14.25" spans="1:28">
      <c r="A2769" s="5" t="s">
        <v>28</v>
      </c>
      <c r="B2769" s="5" t="s">
        <v>697</v>
      </c>
      <c r="C2769" s="5">
        <v>2027</v>
      </c>
      <c r="D2769" s="5" t="s">
        <v>30</v>
      </c>
      <c r="E2769" t="s">
        <v>1700</v>
      </c>
      <c r="F2769" t="s">
        <v>1701</v>
      </c>
      <c r="G2769" t="s">
        <v>100</v>
      </c>
      <c r="H2769" t="s">
        <v>1702</v>
      </c>
      <c r="I2769" t="s">
        <v>112</v>
      </c>
      <c r="J2769" t="s">
        <v>36</v>
      </c>
      <c r="K2769">
        <v>790</v>
      </c>
      <c r="O2769" t="s">
        <v>37</v>
      </c>
      <c r="P2769" t="s">
        <v>38</v>
      </c>
      <c r="R2769">
        <f t="shared" si="130"/>
        <v>0</v>
      </c>
      <c r="S2769">
        <f>SUMIFS([1]Sheet1!$T:$T,[1]Sheet1!$I:$I,E2769,[1]Sheet1!$C:$C,A2769)</f>
        <v>0</v>
      </c>
      <c r="T2769">
        <f t="shared" si="131"/>
        <v>0</v>
      </c>
      <c r="U2769" s="9" t="s">
        <v>148</v>
      </c>
      <c r="V2769" t="s">
        <v>184</v>
      </c>
      <c r="W2769" t="s">
        <v>138</v>
      </c>
      <c r="X2769" t="s">
        <v>102</v>
      </c>
      <c r="Y2769" t="s">
        <v>237</v>
      </c>
      <c r="Z2769" t="s">
        <v>41</v>
      </c>
      <c r="AB2769" t="str">
        <f t="shared" si="129"/>
        <v>47377</v>
      </c>
    </row>
    <row r="2770" ht="14.25" spans="1:28">
      <c r="A2770" s="5" t="s">
        <v>28</v>
      </c>
      <c r="B2770" s="5" t="s">
        <v>697</v>
      </c>
      <c r="C2770" s="5">
        <v>2027</v>
      </c>
      <c r="D2770" s="5" t="s">
        <v>30</v>
      </c>
      <c r="E2770" t="s">
        <v>1700</v>
      </c>
      <c r="F2770" t="s">
        <v>1701</v>
      </c>
      <c r="G2770" t="s">
        <v>100</v>
      </c>
      <c r="H2770" t="s">
        <v>1702</v>
      </c>
      <c r="I2770" t="s">
        <v>112</v>
      </c>
      <c r="J2770" t="s">
        <v>36</v>
      </c>
      <c r="K2770">
        <v>790</v>
      </c>
      <c r="O2770" t="s">
        <v>37</v>
      </c>
      <c r="P2770" t="s">
        <v>42</v>
      </c>
      <c r="U2770" s="9" t="s">
        <v>148</v>
      </c>
      <c r="V2770" t="s">
        <v>184</v>
      </c>
      <c r="W2770" t="s">
        <v>138</v>
      </c>
      <c r="X2770" t="s">
        <v>102</v>
      </c>
      <c r="Y2770" t="s">
        <v>237</v>
      </c>
      <c r="Z2770" t="s">
        <v>41</v>
      </c>
      <c r="AB2770" t="str">
        <f t="shared" si="129"/>
        <v>47377</v>
      </c>
    </row>
    <row r="2771" ht="14.25" spans="1:28">
      <c r="A2771" s="5" t="s">
        <v>28</v>
      </c>
      <c r="B2771" s="5" t="s">
        <v>697</v>
      </c>
      <c r="C2771" s="5">
        <v>2027</v>
      </c>
      <c r="D2771" s="5" t="s">
        <v>30</v>
      </c>
      <c r="E2771" t="s">
        <v>1700</v>
      </c>
      <c r="F2771" t="s">
        <v>1701</v>
      </c>
      <c r="G2771" t="s">
        <v>100</v>
      </c>
      <c r="H2771" t="s">
        <v>1702</v>
      </c>
      <c r="I2771" t="s">
        <v>112</v>
      </c>
      <c r="J2771" t="s">
        <v>36</v>
      </c>
      <c r="K2771">
        <v>790</v>
      </c>
      <c r="O2771" t="s">
        <v>37</v>
      </c>
      <c r="P2771" t="s">
        <v>43</v>
      </c>
      <c r="U2771" s="9" t="s">
        <v>148</v>
      </c>
      <c r="V2771" t="s">
        <v>184</v>
      </c>
      <c r="W2771" t="s">
        <v>138</v>
      </c>
      <c r="X2771" t="s">
        <v>102</v>
      </c>
      <c r="Y2771" t="s">
        <v>237</v>
      </c>
      <c r="Z2771" t="s">
        <v>41</v>
      </c>
      <c r="AB2771" t="str">
        <f t="shared" si="129"/>
        <v>47377</v>
      </c>
    </row>
    <row r="2772" ht="14.25" spans="1:28">
      <c r="A2772" s="5" t="s">
        <v>28</v>
      </c>
      <c r="B2772" s="5" t="s">
        <v>697</v>
      </c>
      <c r="C2772" s="5">
        <v>2027</v>
      </c>
      <c r="D2772" s="5" t="s">
        <v>30</v>
      </c>
      <c r="E2772" t="s">
        <v>1700</v>
      </c>
      <c r="F2772" t="s">
        <v>1701</v>
      </c>
      <c r="G2772" t="s">
        <v>100</v>
      </c>
      <c r="H2772" t="s">
        <v>1702</v>
      </c>
      <c r="I2772" t="s">
        <v>112</v>
      </c>
      <c r="J2772" t="s">
        <v>36</v>
      </c>
      <c r="K2772">
        <v>790</v>
      </c>
      <c r="O2772" t="s">
        <v>37</v>
      </c>
      <c r="P2772" t="s">
        <v>44</v>
      </c>
      <c r="U2772" s="9" t="s">
        <v>148</v>
      </c>
      <c r="V2772" t="s">
        <v>184</v>
      </c>
      <c r="W2772" t="s">
        <v>138</v>
      </c>
      <c r="X2772" t="s">
        <v>102</v>
      </c>
      <c r="Y2772" t="s">
        <v>237</v>
      </c>
      <c r="Z2772" t="s">
        <v>41</v>
      </c>
      <c r="AB2772" t="str">
        <f t="shared" si="129"/>
        <v>47377</v>
      </c>
    </row>
    <row r="2773" ht="14.25" spans="1:28">
      <c r="A2773" s="5" t="s">
        <v>28</v>
      </c>
      <c r="B2773" s="5" t="s">
        <v>697</v>
      </c>
      <c r="C2773" s="5">
        <v>2027</v>
      </c>
      <c r="D2773" s="5" t="s">
        <v>30</v>
      </c>
      <c r="E2773" t="s">
        <v>1700</v>
      </c>
      <c r="F2773" t="s">
        <v>1701</v>
      </c>
      <c r="G2773" t="s">
        <v>100</v>
      </c>
      <c r="H2773" t="s">
        <v>1702</v>
      </c>
      <c r="I2773" t="s">
        <v>112</v>
      </c>
      <c r="J2773" t="s">
        <v>36</v>
      </c>
      <c r="K2773">
        <v>790</v>
      </c>
      <c r="O2773" t="s">
        <v>37</v>
      </c>
      <c r="P2773" t="s">
        <v>45</v>
      </c>
      <c r="U2773" s="9" t="s">
        <v>148</v>
      </c>
      <c r="V2773" t="s">
        <v>184</v>
      </c>
      <c r="W2773" t="s">
        <v>138</v>
      </c>
      <c r="X2773" t="s">
        <v>102</v>
      </c>
      <c r="Y2773" t="s">
        <v>237</v>
      </c>
      <c r="Z2773" t="s">
        <v>41</v>
      </c>
      <c r="AB2773" t="str">
        <f t="shared" si="129"/>
        <v>47377</v>
      </c>
    </row>
    <row r="2774" ht="14.25" spans="1:28">
      <c r="A2774" s="5" t="s">
        <v>28</v>
      </c>
      <c r="B2774" s="5" t="s">
        <v>697</v>
      </c>
      <c r="C2774" s="5">
        <v>2027</v>
      </c>
      <c r="D2774" s="5" t="s">
        <v>30</v>
      </c>
      <c r="E2774" t="s">
        <v>1700</v>
      </c>
      <c r="F2774" t="s">
        <v>1701</v>
      </c>
      <c r="G2774" t="s">
        <v>100</v>
      </c>
      <c r="H2774" t="s">
        <v>1702</v>
      </c>
      <c r="I2774" t="s">
        <v>112</v>
      </c>
      <c r="J2774" t="s">
        <v>36</v>
      </c>
      <c r="K2774">
        <v>790</v>
      </c>
      <c r="O2774" t="s">
        <v>37</v>
      </c>
      <c r="P2774" t="s">
        <v>46</v>
      </c>
      <c r="U2774" s="9" t="s">
        <v>148</v>
      </c>
      <c r="V2774" t="s">
        <v>184</v>
      </c>
      <c r="W2774" t="s">
        <v>138</v>
      </c>
      <c r="X2774" t="s">
        <v>102</v>
      </c>
      <c r="Y2774" t="s">
        <v>237</v>
      </c>
      <c r="Z2774" t="s">
        <v>41</v>
      </c>
      <c r="AB2774" t="str">
        <f t="shared" si="129"/>
        <v>47377</v>
      </c>
    </row>
    <row r="2775" ht="14.25" spans="1:28">
      <c r="A2775" s="5" t="s">
        <v>28</v>
      </c>
      <c r="B2775" s="5" t="s">
        <v>697</v>
      </c>
      <c r="C2775" s="5">
        <v>2027</v>
      </c>
      <c r="D2775" s="5" t="s">
        <v>30</v>
      </c>
      <c r="E2775" t="s">
        <v>1703</v>
      </c>
      <c r="F2775" t="s">
        <v>1701</v>
      </c>
      <c r="G2775" t="s">
        <v>60</v>
      </c>
      <c r="H2775" t="s">
        <v>1704</v>
      </c>
      <c r="I2775" t="s">
        <v>112</v>
      </c>
      <c r="J2775" t="s">
        <v>36</v>
      </c>
      <c r="K2775">
        <v>790</v>
      </c>
      <c r="O2775" t="s">
        <v>37</v>
      </c>
      <c r="P2775" t="s">
        <v>38</v>
      </c>
      <c r="R2775">
        <f t="shared" si="130"/>
        <v>0</v>
      </c>
      <c r="S2775">
        <f>SUMIFS([1]Sheet1!$T:$T,[1]Sheet1!$I:$I,E2775,[1]Sheet1!$C:$C,A2775)</f>
        <v>0</v>
      </c>
      <c r="T2775">
        <f t="shared" si="131"/>
        <v>0</v>
      </c>
      <c r="U2775" s="9" t="s">
        <v>148</v>
      </c>
      <c r="V2775" t="s">
        <v>184</v>
      </c>
      <c r="W2775" t="s">
        <v>138</v>
      </c>
      <c r="X2775" t="s">
        <v>62</v>
      </c>
      <c r="Y2775" t="s">
        <v>237</v>
      </c>
      <c r="Z2775" t="s">
        <v>41</v>
      </c>
      <c r="AB2775" t="str">
        <f t="shared" si="129"/>
        <v>47377</v>
      </c>
    </row>
    <row r="2776" ht="14.25" spans="1:28">
      <c r="A2776" s="5" t="s">
        <v>28</v>
      </c>
      <c r="B2776" s="5" t="s">
        <v>697</v>
      </c>
      <c r="C2776" s="5">
        <v>2027</v>
      </c>
      <c r="D2776" s="5" t="s">
        <v>30</v>
      </c>
      <c r="E2776" t="s">
        <v>1703</v>
      </c>
      <c r="F2776" t="s">
        <v>1701</v>
      </c>
      <c r="G2776" t="s">
        <v>60</v>
      </c>
      <c r="H2776" t="s">
        <v>1704</v>
      </c>
      <c r="I2776" t="s">
        <v>112</v>
      </c>
      <c r="J2776" t="s">
        <v>36</v>
      </c>
      <c r="K2776">
        <v>790</v>
      </c>
      <c r="O2776" t="s">
        <v>37</v>
      </c>
      <c r="P2776" t="s">
        <v>42</v>
      </c>
      <c r="U2776" s="9" t="s">
        <v>148</v>
      </c>
      <c r="V2776" t="s">
        <v>184</v>
      </c>
      <c r="W2776" t="s">
        <v>138</v>
      </c>
      <c r="X2776" t="s">
        <v>62</v>
      </c>
      <c r="Y2776" t="s">
        <v>237</v>
      </c>
      <c r="Z2776" t="s">
        <v>41</v>
      </c>
      <c r="AB2776" t="str">
        <f t="shared" si="129"/>
        <v>47377</v>
      </c>
    </row>
    <row r="2777" ht="14.25" spans="1:28">
      <c r="A2777" s="5" t="s">
        <v>28</v>
      </c>
      <c r="B2777" s="5" t="s">
        <v>697</v>
      </c>
      <c r="C2777" s="5">
        <v>2027</v>
      </c>
      <c r="D2777" s="5" t="s">
        <v>30</v>
      </c>
      <c r="E2777" t="s">
        <v>1703</v>
      </c>
      <c r="F2777" t="s">
        <v>1701</v>
      </c>
      <c r="G2777" t="s">
        <v>60</v>
      </c>
      <c r="H2777" t="s">
        <v>1704</v>
      </c>
      <c r="I2777" t="s">
        <v>112</v>
      </c>
      <c r="J2777" t="s">
        <v>36</v>
      </c>
      <c r="K2777">
        <v>790</v>
      </c>
      <c r="O2777" t="s">
        <v>37</v>
      </c>
      <c r="P2777" t="s">
        <v>43</v>
      </c>
      <c r="U2777" s="9" t="s">
        <v>148</v>
      </c>
      <c r="V2777" t="s">
        <v>184</v>
      </c>
      <c r="W2777" t="s">
        <v>138</v>
      </c>
      <c r="X2777" t="s">
        <v>62</v>
      </c>
      <c r="Y2777" t="s">
        <v>237</v>
      </c>
      <c r="Z2777" t="s">
        <v>41</v>
      </c>
      <c r="AB2777" t="str">
        <f t="shared" si="129"/>
        <v>47377</v>
      </c>
    </row>
    <row r="2778" ht="14.25" spans="1:28">
      <c r="A2778" s="5" t="s">
        <v>28</v>
      </c>
      <c r="B2778" s="5" t="s">
        <v>697</v>
      </c>
      <c r="C2778" s="5">
        <v>2027</v>
      </c>
      <c r="D2778" s="5" t="s">
        <v>30</v>
      </c>
      <c r="E2778" t="s">
        <v>1703</v>
      </c>
      <c r="F2778" t="s">
        <v>1701</v>
      </c>
      <c r="G2778" t="s">
        <v>60</v>
      </c>
      <c r="H2778" t="s">
        <v>1704</v>
      </c>
      <c r="I2778" t="s">
        <v>112</v>
      </c>
      <c r="J2778" t="s">
        <v>36</v>
      </c>
      <c r="K2778">
        <v>790</v>
      </c>
      <c r="O2778" t="s">
        <v>37</v>
      </c>
      <c r="P2778" t="s">
        <v>44</v>
      </c>
      <c r="U2778" s="9" t="s">
        <v>148</v>
      </c>
      <c r="V2778" t="s">
        <v>184</v>
      </c>
      <c r="W2778" t="s">
        <v>138</v>
      </c>
      <c r="X2778" t="s">
        <v>62</v>
      </c>
      <c r="Y2778" t="s">
        <v>237</v>
      </c>
      <c r="Z2778" t="s">
        <v>41</v>
      </c>
      <c r="AB2778" t="str">
        <f t="shared" si="129"/>
        <v>47377</v>
      </c>
    </row>
    <row r="2779" ht="14.25" spans="1:28">
      <c r="A2779" s="5" t="s">
        <v>28</v>
      </c>
      <c r="B2779" s="5" t="s">
        <v>697</v>
      </c>
      <c r="C2779" s="5">
        <v>2027</v>
      </c>
      <c r="D2779" s="5" t="s">
        <v>30</v>
      </c>
      <c r="E2779" t="s">
        <v>1703</v>
      </c>
      <c r="F2779" t="s">
        <v>1701</v>
      </c>
      <c r="G2779" t="s">
        <v>60</v>
      </c>
      <c r="H2779" t="s">
        <v>1704</v>
      </c>
      <c r="I2779" t="s">
        <v>112</v>
      </c>
      <c r="J2779" t="s">
        <v>36</v>
      </c>
      <c r="K2779">
        <v>790</v>
      </c>
      <c r="O2779" t="s">
        <v>37</v>
      </c>
      <c r="P2779" t="s">
        <v>45</v>
      </c>
      <c r="U2779" s="9" t="s">
        <v>148</v>
      </c>
      <c r="V2779" t="s">
        <v>184</v>
      </c>
      <c r="W2779" t="s">
        <v>138</v>
      </c>
      <c r="X2779" t="s">
        <v>62</v>
      </c>
      <c r="Y2779" t="s">
        <v>237</v>
      </c>
      <c r="Z2779" t="s">
        <v>41</v>
      </c>
      <c r="AB2779" t="str">
        <f t="shared" si="129"/>
        <v>47377</v>
      </c>
    </row>
    <row r="2780" ht="14.25" spans="1:28">
      <c r="A2780" s="5" t="s">
        <v>28</v>
      </c>
      <c r="B2780" s="5" t="s">
        <v>697</v>
      </c>
      <c r="C2780" s="5">
        <v>2027</v>
      </c>
      <c r="D2780" s="5" t="s">
        <v>30</v>
      </c>
      <c r="E2780" t="s">
        <v>1703</v>
      </c>
      <c r="F2780" t="s">
        <v>1701</v>
      </c>
      <c r="G2780" t="s">
        <v>60</v>
      </c>
      <c r="H2780" t="s">
        <v>1704</v>
      </c>
      <c r="I2780" t="s">
        <v>112</v>
      </c>
      <c r="J2780" t="s">
        <v>36</v>
      </c>
      <c r="K2780">
        <v>790</v>
      </c>
      <c r="O2780" t="s">
        <v>37</v>
      </c>
      <c r="P2780" t="s">
        <v>46</v>
      </c>
      <c r="U2780" s="9" t="s">
        <v>148</v>
      </c>
      <c r="V2780" t="s">
        <v>184</v>
      </c>
      <c r="W2780" t="s">
        <v>138</v>
      </c>
      <c r="X2780" t="s">
        <v>62</v>
      </c>
      <c r="Y2780" t="s">
        <v>237</v>
      </c>
      <c r="Z2780" t="s">
        <v>41</v>
      </c>
      <c r="AB2780" t="str">
        <f t="shared" si="129"/>
        <v>47377</v>
      </c>
    </row>
    <row r="2781" ht="14.25" spans="1:28">
      <c r="A2781" s="5" t="s">
        <v>28</v>
      </c>
      <c r="B2781" s="5" t="s">
        <v>697</v>
      </c>
      <c r="C2781" s="5">
        <v>2027</v>
      </c>
      <c r="D2781" s="5" t="s">
        <v>30</v>
      </c>
      <c r="E2781" t="s">
        <v>1705</v>
      </c>
      <c r="F2781" t="s">
        <v>1706</v>
      </c>
      <c r="G2781" t="s">
        <v>525</v>
      </c>
      <c r="H2781" t="s">
        <v>1707</v>
      </c>
      <c r="I2781" t="s">
        <v>147</v>
      </c>
      <c r="J2781" t="s">
        <v>36</v>
      </c>
      <c r="K2781">
        <v>1190</v>
      </c>
      <c r="O2781" t="s">
        <v>37</v>
      </c>
      <c r="P2781" t="s">
        <v>38</v>
      </c>
      <c r="R2781">
        <f t="shared" si="130"/>
        <v>0</v>
      </c>
      <c r="S2781">
        <f>SUMIFS([1]Sheet1!$T:$T,[1]Sheet1!$I:$I,E2781,[1]Sheet1!$C:$C,A2781)</f>
        <v>0</v>
      </c>
      <c r="T2781">
        <f t="shared" si="131"/>
        <v>0</v>
      </c>
      <c r="U2781" s="9" t="s">
        <v>148</v>
      </c>
      <c r="V2781" t="s">
        <v>149</v>
      </c>
      <c r="W2781" t="s">
        <v>138</v>
      </c>
      <c r="X2781" t="s">
        <v>94</v>
      </c>
      <c r="Y2781" t="s">
        <v>103</v>
      </c>
      <c r="Z2781" t="s">
        <v>155</v>
      </c>
      <c r="AB2781" t="str">
        <f t="shared" si="129"/>
        <v>47508</v>
      </c>
    </row>
    <row r="2782" ht="14.25" spans="1:28">
      <c r="A2782" s="5" t="s">
        <v>28</v>
      </c>
      <c r="B2782" s="5" t="s">
        <v>697</v>
      </c>
      <c r="C2782" s="5">
        <v>2027</v>
      </c>
      <c r="D2782" s="5" t="s">
        <v>30</v>
      </c>
      <c r="E2782" t="s">
        <v>1705</v>
      </c>
      <c r="F2782" t="s">
        <v>1706</v>
      </c>
      <c r="G2782" t="s">
        <v>525</v>
      </c>
      <c r="H2782" t="s">
        <v>1707</v>
      </c>
      <c r="I2782" t="s">
        <v>147</v>
      </c>
      <c r="J2782" t="s">
        <v>36</v>
      </c>
      <c r="K2782">
        <v>1190</v>
      </c>
      <c r="O2782" t="s">
        <v>37</v>
      </c>
      <c r="P2782" t="s">
        <v>42</v>
      </c>
      <c r="U2782" s="9" t="s">
        <v>148</v>
      </c>
      <c r="V2782" t="s">
        <v>149</v>
      </c>
      <c r="W2782" t="s">
        <v>138</v>
      </c>
      <c r="X2782" t="s">
        <v>94</v>
      </c>
      <c r="Y2782" t="s">
        <v>103</v>
      </c>
      <c r="Z2782" t="s">
        <v>155</v>
      </c>
      <c r="AB2782" t="str">
        <f t="shared" si="129"/>
        <v>47508</v>
      </c>
    </row>
    <row r="2783" ht="14.25" spans="1:28">
      <c r="A2783" s="5" t="s">
        <v>28</v>
      </c>
      <c r="B2783" s="5" t="s">
        <v>697</v>
      </c>
      <c r="C2783" s="5">
        <v>2027</v>
      </c>
      <c r="D2783" s="5" t="s">
        <v>30</v>
      </c>
      <c r="E2783" t="s">
        <v>1705</v>
      </c>
      <c r="F2783" t="s">
        <v>1706</v>
      </c>
      <c r="G2783" t="s">
        <v>525</v>
      </c>
      <c r="H2783" t="s">
        <v>1707</v>
      </c>
      <c r="I2783" t="s">
        <v>147</v>
      </c>
      <c r="J2783" t="s">
        <v>36</v>
      </c>
      <c r="K2783">
        <v>1190</v>
      </c>
      <c r="O2783" t="s">
        <v>37</v>
      </c>
      <c r="P2783" t="s">
        <v>43</v>
      </c>
      <c r="U2783" s="9" t="s">
        <v>148</v>
      </c>
      <c r="V2783" t="s">
        <v>149</v>
      </c>
      <c r="W2783" t="s">
        <v>138</v>
      </c>
      <c r="X2783" t="s">
        <v>94</v>
      </c>
      <c r="Y2783" t="s">
        <v>103</v>
      </c>
      <c r="Z2783" t="s">
        <v>155</v>
      </c>
      <c r="AB2783" t="str">
        <f t="shared" si="129"/>
        <v>47508</v>
      </c>
    </row>
    <row r="2784" ht="14.25" spans="1:28">
      <c r="A2784" s="5" t="s">
        <v>28</v>
      </c>
      <c r="B2784" s="5" t="s">
        <v>697</v>
      </c>
      <c r="C2784" s="5">
        <v>2027</v>
      </c>
      <c r="D2784" s="5" t="s">
        <v>30</v>
      </c>
      <c r="E2784" t="s">
        <v>1705</v>
      </c>
      <c r="F2784" t="s">
        <v>1706</v>
      </c>
      <c r="G2784" t="s">
        <v>525</v>
      </c>
      <c r="H2784" t="s">
        <v>1707</v>
      </c>
      <c r="I2784" t="s">
        <v>147</v>
      </c>
      <c r="J2784" t="s">
        <v>36</v>
      </c>
      <c r="K2784">
        <v>1190</v>
      </c>
      <c r="O2784" t="s">
        <v>37</v>
      </c>
      <c r="P2784" t="s">
        <v>44</v>
      </c>
      <c r="U2784" s="9" t="s">
        <v>148</v>
      </c>
      <c r="V2784" t="s">
        <v>149</v>
      </c>
      <c r="W2784" t="s">
        <v>138</v>
      </c>
      <c r="X2784" t="s">
        <v>94</v>
      </c>
      <c r="Y2784" t="s">
        <v>103</v>
      </c>
      <c r="Z2784" t="s">
        <v>155</v>
      </c>
      <c r="AB2784" t="str">
        <f t="shared" si="129"/>
        <v>47508</v>
      </c>
    </row>
    <row r="2785" ht="14.25" spans="1:28">
      <c r="A2785" s="5" t="s">
        <v>28</v>
      </c>
      <c r="B2785" s="5" t="s">
        <v>697</v>
      </c>
      <c r="C2785" s="5">
        <v>2027</v>
      </c>
      <c r="D2785" s="5" t="s">
        <v>30</v>
      </c>
      <c r="E2785" t="s">
        <v>1705</v>
      </c>
      <c r="F2785" t="s">
        <v>1706</v>
      </c>
      <c r="G2785" t="s">
        <v>525</v>
      </c>
      <c r="H2785" t="s">
        <v>1707</v>
      </c>
      <c r="I2785" t="s">
        <v>147</v>
      </c>
      <c r="J2785" t="s">
        <v>36</v>
      </c>
      <c r="K2785">
        <v>1190</v>
      </c>
      <c r="O2785" t="s">
        <v>37</v>
      </c>
      <c r="P2785" t="s">
        <v>45</v>
      </c>
      <c r="U2785" s="9" t="s">
        <v>148</v>
      </c>
      <c r="V2785" t="s">
        <v>149</v>
      </c>
      <c r="W2785" t="s">
        <v>138</v>
      </c>
      <c r="X2785" t="s">
        <v>94</v>
      </c>
      <c r="Y2785" t="s">
        <v>103</v>
      </c>
      <c r="Z2785" t="s">
        <v>155</v>
      </c>
      <c r="AB2785" t="str">
        <f t="shared" si="129"/>
        <v>47508</v>
      </c>
    </row>
    <row r="2786" ht="14.25" spans="1:28">
      <c r="A2786" s="5" t="s">
        <v>28</v>
      </c>
      <c r="B2786" s="5" t="s">
        <v>697</v>
      </c>
      <c r="C2786" s="5">
        <v>2027</v>
      </c>
      <c r="D2786" s="5" t="s">
        <v>30</v>
      </c>
      <c r="E2786" t="s">
        <v>1705</v>
      </c>
      <c r="F2786" t="s">
        <v>1706</v>
      </c>
      <c r="G2786" t="s">
        <v>525</v>
      </c>
      <c r="H2786" t="s">
        <v>1707</v>
      </c>
      <c r="I2786" t="s">
        <v>147</v>
      </c>
      <c r="J2786" t="s">
        <v>36</v>
      </c>
      <c r="K2786">
        <v>1190</v>
      </c>
      <c r="O2786" t="s">
        <v>37</v>
      </c>
      <c r="P2786" t="s">
        <v>46</v>
      </c>
      <c r="U2786" s="9" t="s">
        <v>148</v>
      </c>
      <c r="V2786" t="s">
        <v>149</v>
      </c>
      <c r="W2786" t="s">
        <v>138</v>
      </c>
      <c r="X2786" t="s">
        <v>94</v>
      </c>
      <c r="Y2786" t="s">
        <v>103</v>
      </c>
      <c r="Z2786" t="s">
        <v>155</v>
      </c>
      <c r="AB2786" t="str">
        <f t="shared" si="129"/>
        <v>47508</v>
      </c>
    </row>
    <row r="2787" ht="14.25" spans="1:28">
      <c r="A2787" s="5" t="s">
        <v>28</v>
      </c>
      <c r="B2787" s="5" t="s">
        <v>697</v>
      </c>
      <c r="C2787" s="5">
        <v>2027</v>
      </c>
      <c r="D2787" s="5" t="s">
        <v>30</v>
      </c>
      <c r="E2787" t="s">
        <v>1708</v>
      </c>
      <c r="F2787" t="s">
        <v>1706</v>
      </c>
      <c r="G2787" t="s">
        <v>100</v>
      </c>
      <c r="H2787" t="s">
        <v>1709</v>
      </c>
      <c r="I2787" t="s">
        <v>147</v>
      </c>
      <c r="J2787" t="s">
        <v>36</v>
      </c>
      <c r="K2787">
        <v>1190</v>
      </c>
      <c r="O2787" t="s">
        <v>37</v>
      </c>
      <c r="P2787" t="s">
        <v>38</v>
      </c>
      <c r="R2787">
        <f t="shared" si="130"/>
        <v>0</v>
      </c>
      <c r="S2787">
        <f>SUMIFS([1]Sheet1!$T:$T,[1]Sheet1!$I:$I,E2787,[1]Sheet1!$C:$C,A2787)</f>
        <v>60</v>
      </c>
      <c r="T2787">
        <f t="shared" si="131"/>
        <v>-60</v>
      </c>
      <c r="U2787" s="9" t="s">
        <v>148</v>
      </c>
      <c r="V2787" t="s">
        <v>149</v>
      </c>
      <c r="W2787" t="s">
        <v>138</v>
      </c>
      <c r="X2787" t="s">
        <v>102</v>
      </c>
      <c r="Y2787" t="s">
        <v>103</v>
      </c>
      <c r="Z2787" t="s">
        <v>155</v>
      </c>
      <c r="AB2787" t="str">
        <f t="shared" si="129"/>
        <v>47508</v>
      </c>
    </row>
    <row r="2788" ht="14.25" spans="1:28">
      <c r="A2788" s="5" t="s">
        <v>28</v>
      </c>
      <c r="B2788" s="5" t="s">
        <v>697</v>
      </c>
      <c r="C2788" s="5">
        <v>2027</v>
      </c>
      <c r="D2788" s="5" t="s">
        <v>30</v>
      </c>
      <c r="E2788" t="s">
        <v>1708</v>
      </c>
      <c r="F2788" t="s">
        <v>1706</v>
      </c>
      <c r="G2788" t="s">
        <v>100</v>
      </c>
      <c r="H2788" t="s">
        <v>1709</v>
      </c>
      <c r="I2788" t="s">
        <v>147</v>
      </c>
      <c r="J2788" t="s">
        <v>36</v>
      </c>
      <c r="K2788">
        <v>1190</v>
      </c>
      <c r="O2788" t="s">
        <v>37</v>
      </c>
      <c r="P2788" t="s">
        <v>42</v>
      </c>
      <c r="U2788" s="9" t="s">
        <v>148</v>
      </c>
      <c r="V2788" t="s">
        <v>149</v>
      </c>
      <c r="W2788" t="s">
        <v>138</v>
      </c>
      <c r="X2788" t="s">
        <v>102</v>
      </c>
      <c r="Y2788" t="s">
        <v>103</v>
      </c>
      <c r="Z2788" t="s">
        <v>155</v>
      </c>
      <c r="AB2788" t="str">
        <f t="shared" si="129"/>
        <v>47508</v>
      </c>
    </row>
    <row r="2789" ht="14.25" spans="1:28">
      <c r="A2789" s="5" t="s">
        <v>28</v>
      </c>
      <c r="B2789" s="5" t="s">
        <v>697</v>
      </c>
      <c r="C2789" s="5">
        <v>2027</v>
      </c>
      <c r="D2789" s="5" t="s">
        <v>30</v>
      </c>
      <c r="E2789" t="s">
        <v>1708</v>
      </c>
      <c r="F2789" t="s">
        <v>1706</v>
      </c>
      <c r="G2789" t="s">
        <v>100</v>
      </c>
      <c r="H2789" t="s">
        <v>1709</v>
      </c>
      <c r="I2789" t="s">
        <v>147</v>
      </c>
      <c r="J2789" t="s">
        <v>36</v>
      </c>
      <c r="K2789">
        <v>1190</v>
      </c>
      <c r="O2789" t="s">
        <v>37</v>
      </c>
      <c r="P2789" t="s">
        <v>43</v>
      </c>
      <c r="U2789" s="9" t="s">
        <v>148</v>
      </c>
      <c r="V2789" t="s">
        <v>149</v>
      </c>
      <c r="W2789" t="s">
        <v>138</v>
      </c>
      <c r="X2789" t="s">
        <v>102</v>
      </c>
      <c r="Y2789" t="s">
        <v>103</v>
      </c>
      <c r="Z2789" t="s">
        <v>155</v>
      </c>
      <c r="AB2789" t="str">
        <f t="shared" si="129"/>
        <v>47508</v>
      </c>
    </row>
    <row r="2790" ht="14.25" spans="1:28">
      <c r="A2790" s="5" t="s">
        <v>28</v>
      </c>
      <c r="B2790" s="5" t="s">
        <v>697</v>
      </c>
      <c r="C2790" s="5">
        <v>2027</v>
      </c>
      <c r="D2790" s="5" t="s">
        <v>30</v>
      </c>
      <c r="E2790" t="s">
        <v>1708</v>
      </c>
      <c r="F2790" t="s">
        <v>1706</v>
      </c>
      <c r="G2790" t="s">
        <v>100</v>
      </c>
      <c r="H2790" t="s">
        <v>1709</v>
      </c>
      <c r="I2790" t="s">
        <v>147</v>
      </c>
      <c r="J2790" t="s">
        <v>36</v>
      </c>
      <c r="K2790">
        <v>1190</v>
      </c>
      <c r="O2790" t="s">
        <v>37</v>
      </c>
      <c r="P2790" t="s">
        <v>44</v>
      </c>
      <c r="U2790" s="9" t="s">
        <v>148</v>
      </c>
      <c r="V2790" t="s">
        <v>149</v>
      </c>
      <c r="W2790" t="s">
        <v>138</v>
      </c>
      <c r="X2790" t="s">
        <v>102</v>
      </c>
      <c r="Y2790" t="s">
        <v>103</v>
      </c>
      <c r="Z2790" t="s">
        <v>155</v>
      </c>
      <c r="AB2790" t="str">
        <f t="shared" si="129"/>
        <v>47508</v>
      </c>
    </row>
    <row r="2791" ht="14.25" spans="1:28">
      <c r="A2791" s="5" t="s">
        <v>28</v>
      </c>
      <c r="B2791" s="5" t="s">
        <v>697</v>
      </c>
      <c r="C2791" s="5">
        <v>2027</v>
      </c>
      <c r="D2791" s="5" t="s">
        <v>30</v>
      </c>
      <c r="E2791" t="s">
        <v>1708</v>
      </c>
      <c r="F2791" t="s">
        <v>1706</v>
      </c>
      <c r="G2791" t="s">
        <v>100</v>
      </c>
      <c r="H2791" t="s">
        <v>1709</v>
      </c>
      <c r="I2791" t="s">
        <v>147</v>
      </c>
      <c r="J2791" t="s">
        <v>36</v>
      </c>
      <c r="K2791">
        <v>1190</v>
      </c>
      <c r="O2791" t="s">
        <v>37</v>
      </c>
      <c r="P2791" t="s">
        <v>45</v>
      </c>
      <c r="U2791" s="9" t="s">
        <v>148</v>
      </c>
      <c r="V2791" t="s">
        <v>149</v>
      </c>
      <c r="W2791" t="s">
        <v>138</v>
      </c>
      <c r="X2791" t="s">
        <v>102</v>
      </c>
      <c r="Y2791" t="s">
        <v>103</v>
      </c>
      <c r="Z2791" t="s">
        <v>155</v>
      </c>
      <c r="AB2791" t="str">
        <f t="shared" si="129"/>
        <v>47508</v>
      </c>
    </row>
    <row r="2792" ht="14.25" spans="1:28">
      <c r="A2792" s="5" t="s">
        <v>28</v>
      </c>
      <c r="B2792" s="5" t="s">
        <v>697</v>
      </c>
      <c r="C2792" s="5">
        <v>2027</v>
      </c>
      <c r="D2792" s="5" t="s">
        <v>30</v>
      </c>
      <c r="E2792" t="s">
        <v>1708</v>
      </c>
      <c r="F2792" t="s">
        <v>1706</v>
      </c>
      <c r="G2792" t="s">
        <v>100</v>
      </c>
      <c r="H2792" t="s">
        <v>1709</v>
      </c>
      <c r="I2792" t="s">
        <v>147</v>
      </c>
      <c r="J2792" t="s">
        <v>36</v>
      </c>
      <c r="K2792">
        <v>1190</v>
      </c>
      <c r="O2792" t="s">
        <v>37</v>
      </c>
      <c r="P2792" t="s">
        <v>46</v>
      </c>
      <c r="U2792" s="9" t="s">
        <v>148</v>
      </c>
      <c r="V2792" t="s">
        <v>149</v>
      </c>
      <c r="W2792" t="s">
        <v>138</v>
      </c>
      <c r="X2792" t="s">
        <v>102</v>
      </c>
      <c r="Y2792" t="s">
        <v>103</v>
      </c>
      <c r="Z2792" t="s">
        <v>155</v>
      </c>
      <c r="AB2792" t="str">
        <f t="shared" si="129"/>
        <v>47508</v>
      </c>
    </row>
    <row r="2793" ht="14.25" spans="1:28">
      <c r="A2793" s="5" t="s">
        <v>28</v>
      </c>
      <c r="B2793" s="5" t="s">
        <v>697</v>
      </c>
      <c r="C2793" s="5">
        <v>2027</v>
      </c>
      <c r="D2793" s="5" t="s">
        <v>30</v>
      </c>
      <c r="E2793" t="s">
        <v>1710</v>
      </c>
      <c r="F2793" t="s">
        <v>1706</v>
      </c>
      <c r="G2793" t="s">
        <v>60</v>
      </c>
      <c r="H2793" t="s">
        <v>1711</v>
      </c>
      <c r="I2793" t="s">
        <v>147</v>
      </c>
      <c r="J2793" t="s">
        <v>36</v>
      </c>
      <c r="K2793">
        <v>1190</v>
      </c>
      <c r="O2793" t="s">
        <v>37</v>
      </c>
      <c r="P2793" t="s">
        <v>38</v>
      </c>
      <c r="R2793">
        <f t="shared" si="130"/>
        <v>0</v>
      </c>
      <c r="S2793">
        <f>SUMIFS([1]Sheet1!$T:$T,[1]Sheet1!$I:$I,E2793,[1]Sheet1!$C:$C,A2793)</f>
        <v>40</v>
      </c>
      <c r="T2793">
        <f t="shared" si="131"/>
        <v>-40</v>
      </c>
      <c r="U2793" s="9" t="s">
        <v>148</v>
      </c>
      <c r="V2793" t="s">
        <v>149</v>
      </c>
      <c r="W2793" t="s">
        <v>138</v>
      </c>
      <c r="X2793" t="s">
        <v>62</v>
      </c>
      <c r="Y2793" t="s">
        <v>103</v>
      </c>
      <c r="Z2793" t="s">
        <v>155</v>
      </c>
      <c r="AB2793" t="str">
        <f t="shared" si="129"/>
        <v>47508</v>
      </c>
    </row>
    <row r="2794" ht="14.25" spans="1:28">
      <c r="A2794" s="5" t="s">
        <v>28</v>
      </c>
      <c r="B2794" s="5" t="s">
        <v>697</v>
      </c>
      <c r="C2794" s="5">
        <v>2027</v>
      </c>
      <c r="D2794" s="5" t="s">
        <v>30</v>
      </c>
      <c r="E2794" t="s">
        <v>1710</v>
      </c>
      <c r="F2794" t="s">
        <v>1706</v>
      </c>
      <c r="G2794" t="s">
        <v>60</v>
      </c>
      <c r="H2794" t="s">
        <v>1711</v>
      </c>
      <c r="I2794" t="s">
        <v>147</v>
      </c>
      <c r="J2794" t="s">
        <v>36</v>
      </c>
      <c r="K2794">
        <v>1190</v>
      </c>
      <c r="O2794" t="s">
        <v>37</v>
      </c>
      <c r="P2794" t="s">
        <v>42</v>
      </c>
      <c r="U2794" s="9" t="s">
        <v>148</v>
      </c>
      <c r="V2794" t="s">
        <v>149</v>
      </c>
      <c r="W2794" t="s">
        <v>138</v>
      </c>
      <c r="X2794" t="s">
        <v>62</v>
      </c>
      <c r="Y2794" t="s">
        <v>103</v>
      </c>
      <c r="Z2794" t="s">
        <v>155</v>
      </c>
      <c r="AB2794" t="str">
        <f t="shared" si="129"/>
        <v>47508</v>
      </c>
    </row>
    <row r="2795" ht="14.25" spans="1:28">
      <c r="A2795" s="5" t="s">
        <v>28</v>
      </c>
      <c r="B2795" s="5" t="s">
        <v>697</v>
      </c>
      <c r="C2795" s="5">
        <v>2027</v>
      </c>
      <c r="D2795" s="5" t="s">
        <v>30</v>
      </c>
      <c r="E2795" t="s">
        <v>1710</v>
      </c>
      <c r="F2795" t="s">
        <v>1706</v>
      </c>
      <c r="G2795" t="s">
        <v>60</v>
      </c>
      <c r="H2795" t="s">
        <v>1711</v>
      </c>
      <c r="I2795" t="s">
        <v>147</v>
      </c>
      <c r="J2795" t="s">
        <v>36</v>
      </c>
      <c r="K2795">
        <v>1190</v>
      </c>
      <c r="O2795" t="s">
        <v>37</v>
      </c>
      <c r="P2795" t="s">
        <v>43</v>
      </c>
      <c r="U2795" s="9" t="s">
        <v>148</v>
      </c>
      <c r="V2795" t="s">
        <v>149</v>
      </c>
      <c r="W2795" t="s">
        <v>138</v>
      </c>
      <c r="X2795" t="s">
        <v>62</v>
      </c>
      <c r="Y2795" t="s">
        <v>103</v>
      </c>
      <c r="Z2795" t="s">
        <v>155</v>
      </c>
      <c r="AB2795" t="str">
        <f t="shared" si="129"/>
        <v>47508</v>
      </c>
    </row>
    <row r="2796" ht="14.25" spans="1:28">
      <c r="A2796" s="5" t="s">
        <v>28</v>
      </c>
      <c r="B2796" s="5" t="s">
        <v>697</v>
      </c>
      <c r="C2796" s="5">
        <v>2027</v>
      </c>
      <c r="D2796" s="5" t="s">
        <v>30</v>
      </c>
      <c r="E2796" t="s">
        <v>1710</v>
      </c>
      <c r="F2796" t="s">
        <v>1706</v>
      </c>
      <c r="G2796" t="s">
        <v>60</v>
      </c>
      <c r="H2796" t="s">
        <v>1711</v>
      </c>
      <c r="I2796" t="s">
        <v>147</v>
      </c>
      <c r="J2796" t="s">
        <v>36</v>
      </c>
      <c r="K2796">
        <v>1190</v>
      </c>
      <c r="O2796" t="s">
        <v>37</v>
      </c>
      <c r="P2796" t="s">
        <v>44</v>
      </c>
      <c r="U2796" s="9" t="s">
        <v>148</v>
      </c>
      <c r="V2796" t="s">
        <v>149</v>
      </c>
      <c r="W2796" t="s">
        <v>138</v>
      </c>
      <c r="X2796" t="s">
        <v>62</v>
      </c>
      <c r="Y2796" t="s">
        <v>103</v>
      </c>
      <c r="Z2796" t="s">
        <v>155</v>
      </c>
      <c r="AB2796" t="str">
        <f t="shared" si="129"/>
        <v>47508</v>
      </c>
    </row>
    <row r="2797" ht="14.25" spans="1:28">
      <c r="A2797" s="5" t="s">
        <v>28</v>
      </c>
      <c r="B2797" s="5" t="s">
        <v>697</v>
      </c>
      <c r="C2797" s="5">
        <v>2027</v>
      </c>
      <c r="D2797" s="5" t="s">
        <v>30</v>
      </c>
      <c r="E2797" t="s">
        <v>1710</v>
      </c>
      <c r="F2797" t="s">
        <v>1706</v>
      </c>
      <c r="G2797" t="s">
        <v>60</v>
      </c>
      <c r="H2797" t="s">
        <v>1711</v>
      </c>
      <c r="I2797" t="s">
        <v>147</v>
      </c>
      <c r="J2797" t="s">
        <v>36</v>
      </c>
      <c r="K2797">
        <v>1190</v>
      </c>
      <c r="O2797" t="s">
        <v>37</v>
      </c>
      <c r="P2797" t="s">
        <v>45</v>
      </c>
      <c r="U2797" s="9" t="s">
        <v>148</v>
      </c>
      <c r="V2797" t="s">
        <v>149</v>
      </c>
      <c r="W2797" t="s">
        <v>138</v>
      </c>
      <c r="X2797" t="s">
        <v>62</v>
      </c>
      <c r="Y2797" t="s">
        <v>103</v>
      </c>
      <c r="Z2797" t="s">
        <v>155</v>
      </c>
      <c r="AB2797" t="str">
        <f t="shared" si="129"/>
        <v>47508</v>
      </c>
    </row>
    <row r="2798" ht="14.25" spans="1:28">
      <c r="A2798" s="5" t="s">
        <v>28</v>
      </c>
      <c r="B2798" s="5" t="s">
        <v>697</v>
      </c>
      <c r="C2798" s="5">
        <v>2027</v>
      </c>
      <c r="D2798" s="5" t="s">
        <v>30</v>
      </c>
      <c r="E2798" t="s">
        <v>1710</v>
      </c>
      <c r="F2798" t="s">
        <v>1706</v>
      </c>
      <c r="G2798" t="s">
        <v>60</v>
      </c>
      <c r="H2798" t="s">
        <v>1711</v>
      </c>
      <c r="I2798" t="s">
        <v>147</v>
      </c>
      <c r="J2798" t="s">
        <v>36</v>
      </c>
      <c r="K2798">
        <v>1190</v>
      </c>
      <c r="O2798" t="s">
        <v>37</v>
      </c>
      <c r="P2798" t="s">
        <v>46</v>
      </c>
      <c r="U2798" s="9" t="s">
        <v>148</v>
      </c>
      <c r="V2798" t="s">
        <v>149</v>
      </c>
      <c r="W2798" t="s">
        <v>138</v>
      </c>
      <c r="X2798" t="s">
        <v>62</v>
      </c>
      <c r="Y2798" t="s">
        <v>103</v>
      </c>
      <c r="Z2798" t="s">
        <v>155</v>
      </c>
      <c r="AB2798" t="str">
        <f t="shared" si="129"/>
        <v>47508</v>
      </c>
    </row>
    <row r="2799" ht="14.25" spans="1:28">
      <c r="A2799" s="5" t="s">
        <v>28</v>
      </c>
      <c r="B2799" s="5" t="s">
        <v>697</v>
      </c>
      <c r="C2799" s="5">
        <v>2027</v>
      </c>
      <c r="D2799" s="5" t="s">
        <v>30</v>
      </c>
      <c r="E2799" t="s">
        <v>1712</v>
      </c>
      <c r="F2799" t="s">
        <v>1713</v>
      </c>
      <c r="G2799" t="s">
        <v>153</v>
      </c>
      <c r="H2799" t="s">
        <v>1714</v>
      </c>
      <c r="I2799" t="s">
        <v>119</v>
      </c>
      <c r="J2799" t="s">
        <v>36</v>
      </c>
      <c r="K2799">
        <v>1190</v>
      </c>
      <c r="O2799" t="s">
        <v>37</v>
      </c>
      <c r="P2799" t="s">
        <v>38</v>
      </c>
      <c r="R2799">
        <f t="shared" si="130"/>
        <v>0</v>
      </c>
      <c r="S2799">
        <f>SUMIFS([1]Sheet1!$T:$T,[1]Sheet1!$I:$I,E2799,[1]Sheet1!$C:$C,A2799)</f>
        <v>60</v>
      </c>
      <c r="T2799">
        <f t="shared" si="131"/>
        <v>-60</v>
      </c>
      <c r="U2799" s="9" t="s">
        <v>148</v>
      </c>
      <c r="V2799" t="s">
        <v>233</v>
      </c>
      <c r="W2799" t="s">
        <v>138</v>
      </c>
      <c r="X2799" t="s">
        <v>39</v>
      </c>
      <c r="Y2799" t="s">
        <v>150</v>
      </c>
      <c r="Z2799" t="s">
        <v>155</v>
      </c>
      <c r="AB2799" t="str">
        <f t="shared" si="129"/>
        <v>47518</v>
      </c>
    </row>
    <row r="2800" ht="14.25" spans="1:28">
      <c r="A2800" s="5" t="s">
        <v>28</v>
      </c>
      <c r="B2800" s="5" t="s">
        <v>697</v>
      </c>
      <c r="C2800" s="5">
        <v>2027</v>
      </c>
      <c r="D2800" s="5" t="s">
        <v>30</v>
      </c>
      <c r="E2800" t="s">
        <v>1712</v>
      </c>
      <c r="F2800" t="s">
        <v>1713</v>
      </c>
      <c r="G2800" t="s">
        <v>153</v>
      </c>
      <c r="H2800" t="s">
        <v>1714</v>
      </c>
      <c r="I2800" t="s">
        <v>119</v>
      </c>
      <c r="J2800" t="s">
        <v>36</v>
      </c>
      <c r="K2800">
        <v>1190</v>
      </c>
      <c r="O2800" t="s">
        <v>37</v>
      </c>
      <c r="P2800" t="s">
        <v>42</v>
      </c>
      <c r="U2800" s="9" t="s">
        <v>148</v>
      </c>
      <c r="V2800" t="s">
        <v>233</v>
      </c>
      <c r="W2800" t="s">
        <v>138</v>
      </c>
      <c r="X2800" t="s">
        <v>39</v>
      </c>
      <c r="Y2800" t="s">
        <v>150</v>
      </c>
      <c r="Z2800" t="s">
        <v>155</v>
      </c>
      <c r="AB2800" t="str">
        <f t="shared" si="129"/>
        <v>47518</v>
      </c>
    </row>
    <row r="2801" ht="14.25" spans="1:28">
      <c r="A2801" s="5" t="s">
        <v>28</v>
      </c>
      <c r="B2801" s="5" t="s">
        <v>697</v>
      </c>
      <c r="C2801" s="5">
        <v>2027</v>
      </c>
      <c r="D2801" s="5" t="s">
        <v>30</v>
      </c>
      <c r="E2801" t="s">
        <v>1712</v>
      </c>
      <c r="F2801" t="s">
        <v>1713</v>
      </c>
      <c r="G2801" t="s">
        <v>153</v>
      </c>
      <c r="H2801" t="s">
        <v>1714</v>
      </c>
      <c r="I2801" t="s">
        <v>119</v>
      </c>
      <c r="J2801" t="s">
        <v>36</v>
      </c>
      <c r="K2801">
        <v>1190</v>
      </c>
      <c r="O2801" t="s">
        <v>37</v>
      </c>
      <c r="P2801" t="s">
        <v>43</v>
      </c>
      <c r="U2801" s="9" t="s">
        <v>148</v>
      </c>
      <c r="V2801" t="s">
        <v>233</v>
      </c>
      <c r="W2801" t="s">
        <v>138</v>
      </c>
      <c r="X2801" t="s">
        <v>39</v>
      </c>
      <c r="Y2801" t="s">
        <v>150</v>
      </c>
      <c r="Z2801" t="s">
        <v>155</v>
      </c>
      <c r="AB2801" t="str">
        <f t="shared" si="129"/>
        <v>47518</v>
      </c>
    </row>
    <row r="2802" ht="14.25" spans="1:28">
      <c r="A2802" s="5" t="s">
        <v>28</v>
      </c>
      <c r="B2802" s="5" t="s">
        <v>697</v>
      </c>
      <c r="C2802" s="5">
        <v>2027</v>
      </c>
      <c r="D2802" s="5" t="s">
        <v>30</v>
      </c>
      <c r="E2802" t="s">
        <v>1712</v>
      </c>
      <c r="F2802" t="s">
        <v>1713</v>
      </c>
      <c r="G2802" t="s">
        <v>153</v>
      </c>
      <c r="H2802" t="s">
        <v>1714</v>
      </c>
      <c r="I2802" t="s">
        <v>119</v>
      </c>
      <c r="J2802" t="s">
        <v>36</v>
      </c>
      <c r="K2802">
        <v>1190</v>
      </c>
      <c r="O2802" t="s">
        <v>37</v>
      </c>
      <c r="P2802" t="s">
        <v>44</v>
      </c>
      <c r="U2802" s="9" t="s">
        <v>148</v>
      </c>
      <c r="V2802" t="s">
        <v>233</v>
      </c>
      <c r="W2802" t="s">
        <v>138</v>
      </c>
      <c r="X2802" t="s">
        <v>39</v>
      </c>
      <c r="Y2802" t="s">
        <v>150</v>
      </c>
      <c r="Z2802" t="s">
        <v>155</v>
      </c>
      <c r="AB2802" t="str">
        <f t="shared" si="129"/>
        <v>47518</v>
      </c>
    </row>
    <row r="2803" ht="14.25" spans="1:28">
      <c r="A2803" s="5" t="s">
        <v>28</v>
      </c>
      <c r="B2803" s="5" t="s">
        <v>697</v>
      </c>
      <c r="C2803" s="5">
        <v>2027</v>
      </c>
      <c r="D2803" s="5" t="s">
        <v>30</v>
      </c>
      <c r="E2803" t="s">
        <v>1712</v>
      </c>
      <c r="F2803" t="s">
        <v>1713</v>
      </c>
      <c r="G2803" t="s">
        <v>153</v>
      </c>
      <c r="H2803" t="s">
        <v>1714</v>
      </c>
      <c r="I2803" t="s">
        <v>119</v>
      </c>
      <c r="J2803" t="s">
        <v>36</v>
      </c>
      <c r="K2803">
        <v>1190</v>
      </c>
      <c r="O2803" t="s">
        <v>37</v>
      </c>
      <c r="P2803" t="s">
        <v>45</v>
      </c>
      <c r="U2803" s="9" t="s">
        <v>148</v>
      </c>
      <c r="V2803" t="s">
        <v>233</v>
      </c>
      <c r="W2803" t="s">
        <v>138</v>
      </c>
      <c r="X2803" t="s">
        <v>39</v>
      </c>
      <c r="Y2803" t="s">
        <v>150</v>
      </c>
      <c r="Z2803" t="s">
        <v>155</v>
      </c>
      <c r="AB2803" t="str">
        <f t="shared" ref="AB2803:AB2866" si="132">MID(E2803,6,5)</f>
        <v>47518</v>
      </c>
    </row>
    <row r="2804" ht="14.25" spans="1:28">
      <c r="A2804" s="5" t="s">
        <v>28</v>
      </c>
      <c r="B2804" s="5" t="s">
        <v>697</v>
      </c>
      <c r="C2804" s="5">
        <v>2027</v>
      </c>
      <c r="D2804" s="5" t="s">
        <v>30</v>
      </c>
      <c r="E2804" t="s">
        <v>1712</v>
      </c>
      <c r="F2804" t="s">
        <v>1713</v>
      </c>
      <c r="G2804" t="s">
        <v>153</v>
      </c>
      <c r="H2804" t="s">
        <v>1714</v>
      </c>
      <c r="I2804" t="s">
        <v>119</v>
      </c>
      <c r="J2804" t="s">
        <v>36</v>
      </c>
      <c r="K2804">
        <v>1190</v>
      </c>
      <c r="O2804" t="s">
        <v>37</v>
      </c>
      <c r="P2804" t="s">
        <v>46</v>
      </c>
      <c r="U2804" s="9" t="s">
        <v>148</v>
      </c>
      <c r="V2804" t="s">
        <v>233</v>
      </c>
      <c r="W2804" t="s">
        <v>138</v>
      </c>
      <c r="X2804" t="s">
        <v>39</v>
      </c>
      <c r="Y2804" t="s">
        <v>150</v>
      </c>
      <c r="Z2804" t="s">
        <v>155</v>
      </c>
      <c r="AB2804" t="str">
        <f t="shared" si="132"/>
        <v>47518</v>
      </c>
    </row>
    <row r="2805" ht="14.25" spans="1:28">
      <c r="A2805" s="5" t="s">
        <v>28</v>
      </c>
      <c r="B2805" s="5" t="s">
        <v>697</v>
      </c>
      <c r="C2805" s="5">
        <v>2027</v>
      </c>
      <c r="D2805" s="5" t="s">
        <v>30</v>
      </c>
      <c r="E2805" t="s">
        <v>1715</v>
      </c>
      <c r="F2805" t="s">
        <v>1713</v>
      </c>
      <c r="G2805" t="s">
        <v>1110</v>
      </c>
      <c r="H2805" t="s">
        <v>1716</v>
      </c>
      <c r="I2805" t="s">
        <v>119</v>
      </c>
      <c r="J2805" t="s">
        <v>36</v>
      </c>
      <c r="K2805">
        <v>1190</v>
      </c>
      <c r="O2805" t="s">
        <v>37</v>
      </c>
      <c r="P2805" t="s">
        <v>38</v>
      </c>
      <c r="R2805">
        <f t="shared" si="130"/>
        <v>0</v>
      </c>
      <c r="S2805">
        <f>SUMIFS([1]Sheet1!$T:$T,[1]Sheet1!$I:$I,E2805,[1]Sheet1!$C:$C,A2805)</f>
        <v>30</v>
      </c>
      <c r="T2805">
        <f t="shared" si="131"/>
        <v>-30</v>
      </c>
      <c r="U2805" s="9" t="s">
        <v>148</v>
      </c>
      <c r="V2805" t="s">
        <v>233</v>
      </c>
      <c r="W2805" t="s">
        <v>138</v>
      </c>
      <c r="X2805" t="s">
        <v>54</v>
      </c>
      <c r="Y2805" t="s">
        <v>150</v>
      </c>
      <c r="Z2805" t="s">
        <v>155</v>
      </c>
      <c r="AB2805" t="str">
        <f t="shared" si="132"/>
        <v>47518</v>
      </c>
    </row>
    <row r="2806" ht="14.25" spans="1:28">
      <c r="A2806" s="5" t="s">
        <v>28</v>
      </c>
      <c r="B2806" s="5" t="s">
        <v>697</v>
      </c>
      <c r="C2806" s="5">
        <v>2027</v>
      </c>
      <c r="D2806" s="5" t="s">
        <v>30</v>
      </c>
      <c r="E2806" t="s">
        <v>1715</v>
      </c>
      <c r="F2806" t="s">
        <v>1713</v>
      </c>
      <c r="G2806" t="s">
        <v>1110</v>
      </c>
      <c r="H2806" t="s">
        <v>1716</v>
      </c>
      <c r="I2806" t="s">
        <v>119</v>
      </c>
      <c r="J2806" t="s">
        <v>36</v>
      </c>
      <c r="K2806">
        <v>1190</v>
      </c>
      <c r="O2806" t="s">
        <v>37</v>
      </c>
      <c r="P2806" t="s">
        <v>42</v>
      </c>
      <c r="U2806" s="9" t="s">
        <v>148</v>
      </c>
      <c r="V2806" t="s">
        <v>233</v>
      </c>
      <c r="W2806" t="s">
        <v>138</v>
      </c>
      <c r="X2806" t="s">
        <v>54</v>
      </c>
      <c r="Y2806" t="s">
        <v>150</v>
      </c>
      <c r="Z2806" t="s">
        <v>155</v>
      </c>
      <c r="AB2806" t="str">
        <f t="shared" si="132"/>
        <v>47518</v>
      </c>
    </row>
    <row r="2807" ht="14.25" spans="1:28">
      <c r="A2807" s="5" t="s">
        <v>28</v>
      </c>
      <c r="B2807" s="5" t="s">
        <v>697</v>
      </c>
      <c r="C2807" s="5">
        <v>2027</v>
      </c>
      <c r="D2807" s="5" t="s">
        <v>30</v>
      </c>
      <c r="E2807" t="s">
        <v>1715</v>
      </c>
      <c r="F2807" t="s">
        <v>1713</v>
      </c>
      <c r="G2807" t="s">
        <v>1110</v>
      </c>
      <c r="H2807" t="s">
        <v>1716</v>
      </c>
      <c r="I2807" t="s">
        <v>119</v>
      </c>
      <c r="J2807" t="s">
        <v>36</v>
      </c>
      <c r="K2807">
        <v>1190</v>
      </c>
      <c r="O2807" t="s">
        <v>37</v>
      </c>
      <c r="P2807" t="s">
        <v>43</v>
      </c>
      <c r="U2807" s="9" t="s">
        <v>148</v>
      </c>
      <c r="V2807" t="s">
        <v>233</v>
      </c>
      <c r="W2807" t="s">
        <v>138</v>
      </c>
      <c r="X2807" t="s">
        <v>54</v>
      </c>
      <c r="Y2807" t="s">
        <v>150</v>
      </c>
      <c r="Z2807" t="s">
        <v>155</v>
      </c>
      <c r="AB2807" t="str">
        <f t="shared" si="132"/>
        <v>47518</v>
      </c>
    </row>
    <row r="2808" ht="14.25" spans="1:28">
      <c r="A2808" s="5" t="s">
        <v>28</v>
      </c>
      <c r="B2808" s="5" t="s">
        <v>697</v>
      </c>
      <c r="C2808" s="5">
        <v>2027</v>
      </c>
      <c r="D2808" s="5" t="s">
        <v>30</v>
      </c>
      <c r="E2808" t="s">
        <v>1715</v>
      </c>
      <c r="F2808" t="s">
        <v>1713</v>
      </c>
      <c r="G2808" t="s">
        <v>1110</v>
      </c>
      <c r="H2808" t="s">
        <v>1716</v>
      </c>
      <c r="I2808" t="s">
        <v>119</v>
      </c>
      <c r="J2808" t="s">
        <v>36</v>
      </c>
      <c r="K2808">
        <v>1190</v>
      </c>
      <c r="O2808" t="s">
        <v>37</v>
      </c>
      <c r="P2808" t="s">
        <v>44</v>
      </c>
      <c r="U2808" s="9" t="s">
        <v>148</v>
      </c>
      <c r="V2808" t="s">
        <v>233</v>
      </c>
      <c r="W2808" t="s">
        <v>138</v>
      </c>
      <c r="X2808" t="s">
        <v>54</v>
      </c>
      <c r="Y2808" t="s">
        <v>150</v>
      </c>
      <c r="Z2808" t="s">
        <v>155</v>
      </c>
      <c r="AB2808" t="str">
        <f t="shared" si="132"/>
        <v>47518</v>
      </c>
    </row>
    <row r="2809" ht="14.25" spans="1:28">
      <c r="A2809" s="5" t="s">
        <v>28</v>
      </c>
      <c r="B2809" s="5" t="s">
        <v>697</v>
      </c>
      <c r="C2809" s="5">
        <v>2027</v>
      </c>
      <c r="D2809" s="5" t="s">
        <v>30</v>
      </c>
      <c r="E2809" t="s">
        <v>1715</v>
      </c>
      <c r="F2809" t="s">
        <v>1713</v>
      </c>
      <c r="G2809" t="s">
        <v>1110</v>
      </c>
      <c r="H2809" t="s">
        <v>1716</v>
      </c>
      <c r="I2809" t="s">
        <v>119</v>
      </c>
      <c r="J2809" t="s">
        <v>36</v>
      </c>
      <c r="K2809">
        <v>1190</v>
      </c>
      <c r="O2809" t="s">
        <v>37</v>
      </c>
      <c r="P2809" t="s">
        <v>45</v>
      </c>
      <c r="U2809" s="9" t="s">
        <v>148</v>
      </c>
      <c r="V2809" t="s">
        <v>233</v>
      </c>
      <c r="W2809" t="s">
        <v>138</v>
      </c>
      <c r="X2809" t="s">
        <v>54</v>
      </c>
      <c r="Y2809" t="s">
        <v>150</v>
      </c>
      <c r="Z2809" t="s">
        <v>155</v>
      </c>
      <c r="AB2809" t="str">
        <f t="shared" si="132"/>
        <v>47518</v>
      </c>
    </row>
    <row r="2810" ht="14.25" spans="1:28">
      <c r="A2810" s="5" t="s">
        <v>28</v>
      </c>
      <c r="B2810" s="5" t="s">
        <v>697</v>
      </c>
      <c r="C2810" s="5">
        <v>2027</v>
      </c>
      <c r="D2810" s="5" t="s">
        <v>30</v>
      </c>
      <c r="E2810" t="s">
        <v>1715</v>
      </c>
      <c r="F2810" t="s">
        <v>1713</v>
      </c>
      <c r="G2810" t="s">
        <v>1110</v>
      </c>
      <c r="H2810" t="s">
        <v>1716</v>
      </c>
      <c r="I2810" t="s">
        <v>119</v>
      </c>
      <c r="J2810" t="s">
        <v>36</v>
      </c>
      <c r="K2810">
        <v>1190</v>
      </c>
      <c r="O2810" t="s">
        <v>37</v>
      </c>
      <c r="P2810" t="s">
        <v>46</v>
      </c>
      <c r="U2810" s="9" t="s">
        <v>148</v>
      </c>
      <c r="V2810" t="s">
        <v>233</v>
      </c>
      <c r="W2810" t="s">
        <v>138</v>
      </c>
      <c r="X2810" t="s">
        <v>54</v>
      </c>
      <c r="Y2810" t="s">
        <v>150</v>
      </c>
      <c r="Z2810" t="s">
        <v>155</v>
      </c>
      <c r="AB2810" t="str">
        <f t="shared" si="132"/>
        <v>47518</v>
      </c>
    </row>
    <row r="2811" ht="14.25" spans="1:28">
      <c r="A2811" s="5" t="s">
        <v>28</v>
      </c>
      <c r="B2811" s="5" t="s">
        <v>697</v>
      </c>
      <c r="C2811" s="5">
        <v>2027</v>
      </c>
      <c r="D2811" s="5" t="s">
        <v>30</v>
      </c>
      <c r="E2811" t="s">
        <v>1717</v>
      </c>
      <c r="F2811" t="s">
        <v>1713</v>
      </c>
      <c r="G2811" t="s">
        <v>60</v>
      </c>
      <c r="H2811" t="s">
        <v>1718</v>
      </c>
      <c r="I2811" t="s">
        <v>119</v>
      </c>
      <c r="J2811" t="s">
        <v>36</v>
      </c>
      <c r="K2811">
        <v>1190</v>
      </c>
      <c r="O2811" t="s">
        <v>37</v>
      </c>
      <c r="P2811" t="s">
        <v>38</v>
      </c>
      <c r="R2811">
        <f t="shared" si="130"/>
        <v>0</v>
      </c>
      <c r="S2811">
        <f>SUMIFS([1]Sheet1!$T:$T,[1]Sheet1!$I:$I,E2811,[1]Sheet1!$C:$C,A2811)</f>
        <v>300</v>
      </c>
      <c r="T2811">
        <f t="shared" si="131"/>
        <v>-300</v>
      </c>
      <c r="U2811" s="9" t="s">
        <v>148</v>
      </c>
      <c r="V2811" t="s">
        <v>233</v>
      </c>
      <c r="W2811" t="s">
        <v>138</v>
      </c>
      <c r="X2811" t="s">
        <v>62</v>
      </c>
      <c r="Y2811" t="s">
        <v>150</v>
      </c>
      <c r="Z2811" t="s">
        <v>155</v>
      </c>
      <c r="AB2811" t="str">
        <f t="shared" si="132"/>
        <v>47518</v>
      </c>
    </row>
    <row r="2812" ht="14.25" spans="1:28">
      <c r="A2812" s="5" t="s">
        <v>28</v>
      </c>
      <c r="B2812" s="5" t="s">
        <v>697</v>
      </c>
      <c r="C2812" s="5">
        <v>2027</v>
      </c>
      <c r="D2812" s="5" t="s">
        <v>30</v>
      </c>
      <c r="E2812" t="s">
        <v>1717</v>
      </c>
      <c r="F2812" t="s">
        <v>1713</v>
      </c>
      <c r="G2812" t="s">
        <v>60</v>
      </c>
      <c r="H2812" t="s">
        <v>1718</v>
      </c>
      <c r="I2812" t="s">
        <v>119</v>
      </c>
      <c r="J2812" t="s">
        <v>36</v>
      </c>
      <c r="K2812">
        <v>1190</v>
      </c>
      <c r="O2812" t="s">
        <v>37</v>
      </c>
      <c r="P2812" t="s">
        <v>42</v>
      </c>
      <c r="U2812" s="9" t="s">
        <v>148</v>
      </c>
      <c r="V2812" t="s">
        <v>233</v>
      </c>
      <c r="W2812" t="s">
        <v>138</v>
      </c>
      <c r="X2812" t="s">
        <v>62</v>
      </c>
      <c r="Y2812" t="s">
        <v>150</v>
      </c>
      <c r="Z2812" t="s">
        <v>155</v>
      </c>
      <c r="AB2812" t="str">
        <f t="shared" si="132"/>
        <v>47518</v>
      </c>
    </row>
    <row r="2813" ht="14.25" spans="1:28">
      <c r="A2813" s="5" t="s">
        <v>28</v>
      </c>
      <c r="B2813" s="5" t="s">
        <v>697</v>
      </c>
      <c r="C2813" s="5">
        <v>2027</v>
      </c>
      <c r="D2813" s="5" t="s">
        <v>30</v>
      </c>
      <c r="E2813" t="s">
        <v>1717</v>
      </c>
      <c r="F2813" t="s">
        <v>1713</v>
      </c>
      <c r="G2813" t="s">
        <v>60</v>
      </c>
      <c r="H2813" t="s">
        <v>1718</v>
      </c>
      <c r="I2813" t="s">
        <v>119</v>
      </c>
      <c r="J2813" t="s">
        <v>36</v>
      </c>
      <c r="K2813">
        <v>1190</v>
      </c>
      <c r="O2813" t="s">
        <v>37</v>
      </c>
      <c r="P2813" t="s">
        <v>43</v>
      </c>
      <c r="U2813" s="9" t="s">
        <v>148</v>
      </c>
      <c r="V2813" t="s">
        <v>233</v>
      </c>
      <c r="W2813" t="s">
        <v>138</v>
      </c>
      <c r="X2813" t="s">
        <v>62</v>
      </c>
      <c r="Y2813" t="s">
        <v>150</v>
      </c>
      <c r="Z2813" t="s">
        <v>155</v>
      </c>
      <c r="AB2813" t="str">
        <f t="shared" si="132"/>
        <v>47518</v>
      </c>
    </row>
    <row r="2814" ht="14.25" spans="1:28">
      <c r="A2814" s="5" t="s">
        <v>28</v>
      </c>
      <c r="B2814" s="5" t="s">
        <v>697</v>
      </c>
      <c r="C2814" s="5">
        <v>2027</v>
      </c>
      <c r="D2814" s="5" t="s">
        <v>30</v>
      </c>
      <c r="E2814" t="s">
        <v>1717</v>
      </c>
      <c r="F2814" t="s">
        <v>1713</v>
      </c>
      <c r="G2814" t="s">
        <v>60</v>
      </c>
      <c r="H2814" t="s">
        <v>1718</v>
      </c>
      <c r="I2814" t="s">
        <v>119</v>
      </c>
      <c r="J2814" t="s">
        <v>36</v>
      </c>
      <c r="K2814">
        <v>1190</v>
      </c>
      <c r="O2814" t="s">
        <v>37</v>
      </c>
      <c r="P2814" t="s">
        <v>44</v>
      </c>
      <c r="U2814" s="9" t="s">
        <v>148</v>
      </c>
      <c r="V2814" t="s">
        <v>233</v>
      </c>
      <c r="W2814" t="s">
        <v>138</v>
      </c>
      <c r="X2814" t="s">
        <v>62</v>
      </c>
      <c r="Y2814" t="s">
        <v>150</v>
      </c>
      <c r="Z2814" t="s">
        <v>155</v>
      </c>
      <c r="AB2814" t="str">
        <f t="shared" si="132"/>
        <v>47518</v>
      </c>
    </row>
    <row r="2815" ht="14.25" spans="1:28">
      <c r="A2815" s="5" t="s">
        <v>28</v>
      </c>
      <c r="B2815" s="5" t="s">
        <v>697</v>
      </c>
      <c r="C2815" s="5">
        <v>2027</v>
      </c>
      <c r="D2815" s="5" t="s">
        <v>30</v>
      </c>
      <c r="E2815" t="s">
        <v>1717</v>
      </c>
      <c r="F2815" t="s">
        <v>1713</v>
      </c>
      <c r="G2815" t="s">
        <v>60</v>
      </c>
      <c r="H2815" t="s">
        <v>1718</v>
      </c>
      <c r="I2815" t="s">
        <v>119</v>
      </c>
      <c r="J2815" t="s">
        <v>36</v>
      </c>
      <c r="K2815">
        <v>1190</v>
      </c>
      <c r="O2815" t="s">
        <v>37</v>
      </c>
      <c r="P2815" t="s">
        <v>45</v>
      </c>
      <c r="U2815" s="9" t="s">
        <v>148</v>
      </c>
      <c r="V2815" t="s">
        <v>233</v>
      </c>
      <c r="W2815" t="s">
        <v>138</v>
      </c>
      <c r="X2815" t="s">
        <v>62</v>
      </c>
      <c r="Y2815" t="s">
        <v>150</v>
      </c>
      <c r="Z2815" t="s">
        <v>155</v>
      </c>
      <c r="AB2815" t="str">
        <f t="shared" si="132"/>
        <v>47518</v>
      </c>
    </row>
    <row r="2816" ht="14.25" spans="1:28">
      <c r="A2816" s="5" t="s">
        <v>28</v>
      </c>
      <c r="B2816" s="5" t="s">
        <v>697</v>
      </c>
      <c r="C2816" s="5">
        <v>2027</v>
      </c>
      <c r="D2816" s="5" t="s">
        <v>30</v>
      </c>
      <c r="E2816" t="s">
        <v>1717</v>
      </c>
      <c r="F2816" t="s">
        <v>1713</v>
      </c>
      <c r="G2816" t="s">
        <v>60</v>
      </c>
      <c r="H2816" t="s">
        <v>1718</v>
      </c>
      <c r="I2816" t="s">
        <v>119</v>
      </c>
      <c r="J2816" t="s">
        <v>36</v>
      </c>
      <c r="K2816">
        <v>1190</v>
      </c>
      <c r="O2816" t="s">
        <v>37</v>
      </c>
      <c r="P2816" t="s">
        <v>46</v>
      </c>
      <c r="U2816" s="9" t="s">
        <v>148</v>
      </c>
      <c r="V2816" t="s">
        <v>233</v>
      </c>
      <c r="W2816" t="s">
        <v>138</v>
      </c>
      <c r="X2816" t="s">
        <v>62</v>
      </c>
      <c r="Y2816" t="s">
        <v>150</v>
      </c>
      <c r="Z2816" t="s">
        <v>155</v>
      </c>
      <c r="AB2816" t="str">
        <f t="shared" si="132"/>
        <v>47518</v>
      </c>
    </row>
    <row r="2817" ht="14.25" spans="1:28">
      <c r="A2817" s="5" t="s">
        <v>28</v>
      </c>
      <c r="B2817" s="5" t="s">
        <v>697</v>
      </c>
      <c r="C2817" s="5">
        <v>2027</v>
      </c>
      <c r="D2817" s="5" t="s">
        <v>30</v>
      </c>
      <c r="E2817" t="s">
        <v>1719</v>
      </c>
      <c r="F2817" t="s">
        <v>230</v>
      </c>
      <c r="G2817" t="s">
        <v>89</v>
      </c>
      <c r="H2817" t="s">
        <v>1720</v>
      </c>
      <c r="I2817" t="s">
        <v>147</v>
      </c>
      <c r="J2817" t="s">
        <v>36</v>
      </c>
      <c r="K2817">
        <v>1390</v>
      </c>
      <c r="O2817" t="s">
        <v>37</v>
      </c>
      <c r="P2817" t="s">
        <v>38</v>
      </c>
      <c r="R2817">
        <f t="shared" si="130"/>
        <v>0</v>
      </c>
      <c r="S2817">
        <f>SUMIFS([1]Sheet1!$T:$T,[1]Sheet1!$I:$I,E2817,[1]Sheet1!$C:$C,A2817)</f>
        <v>0</v>
      </c>
      <c r="T2817">
        <f t="shared" si="131"/>
        <v>0</v>
      </c>
      <c r="U2817" s="9" t="s">
        <v>148</v>
      </c>
      <c r="V2817" t="s">
        <v>233</v>
      </c>
      <c r="W2817" t="s">
        <v>138</v>
      </c>
      <c r="X2817" t="s">
        <v>39</v>
      </c>
      <c r="Y2817" t="s">
        <v>40</v>
      </c>
      <c r="Z2817" t="s">
        <v>155</v>
      </c>
      <c r="AB2817" t="str">
        <f t="shared" si="132"/>
        <v>47519</v>
      </c>
    </row>
    <row r="2818" ht="14.25" spans="1:28">
      <c r="A2818" s="5" t="s">
        <v>28</v>
      </c>
      <c r="B2818" s="5" t="s">
        <v>697</v>
      </c>
      <c r="C2818" s="5">
        <v>2027</v>
      </c>
      <c r="D2818" s="5" t="s">
        <v>30</v>
      </c>
      <c r="E2818" t="s">
        <v>1719</v>
      </c>
      <c r="F2818" t="s">
        <v>230</v>
      </c>
      <c r="G2818" t="s">
        <v>89</v>
      </c>
      <c r="H2818" t="s">
        <v>1720</v>
      </c>
      <c r="I2818" t="s">
        <v>147</v>
      </c>
      <c r="J2818" t="s">
        <v>36</v>
      </c>
      <c r="K2818">
        <v>1390</v>
      </c>
      <c r="O2818" t="s">
        <v>37</v>
      </c>
      <c r="P2818" t="s">
        <v>42</v>
      </c>
      <c r="U2818" s="9" t="s">
        <v>148</v>
      </c>
      <c r="V2818" t="s">
        <v>233</v>
      </c>
      <c r="W2818" t="s">
        <v>138</v>
      </c>
      <c r="X2818" t="s">
        <v>39</v>
      </c>
      <c r="Y2818" t="s">
        <v>40</v>
      </c>
      <c r="Z2818" t="s">
        <v>155</v>
      </c>
      <c r="AB2818" t="str">
        <f t="shared" si="132"/>
        <v>47519</v>
      </c>
    </row>
    <row r="2819" ht="14.25" spans="1:28">
      <c r="A2819" s="5" t="s">
        <v>28</v>
      </c>
      <c r="B2819" s="5" t="s">
        <v>697</v>
      </c>
      <c r="C2819" s="5">
        <v>2027</v>
      </c>
      <c r="D2819" s="5" t="s">
        <v>30</v>
      </c>
      <c r="E2819" t="s">
        <v>1719</v>
      </c>
      <c r="F2819" t="s">
        <v>230</v>
      </c>
      <c r="G2819" t="s">
        <v>89</v>
      </c>
      <c r="H2819" t="s">
        <v>1720</v>
      </c>
      <c r="I2819" t="s">
        <v>147</v>
      </c>
      <c r="J2819" t="s">
        <v>36</v>
      </c>
      <c r="K2819">
        <v>1390</v>
      </c>
      <c r="O2819" t="s">
        <v>37</v>
      </c>
      <c r="P2819" t="s">
        <v>43</v>
      </c>
      <c r="U2819" s="9" t="s">
        <v>148</v>
      </c>
      <c r="V2819" t="s">
        <v>233</v>
      </c>
      <c r="W2819" t="s">
        <v>138</v>
      </c>
      <c r="X2819" t="s">
        <v>39</v>
      </c>
      <c r="Y2819" t="s">
        <v>40</v>
      </c>
      <c r="Z2819" t="s">
        <v>155</v>
      </c>
      <c r="AB2819" t="str">
        <f t="shared" si="132"/>
        <v>47519</v>
      </c>
    </row>
    <row r="2820" ht="14.25" spans="1:28">
      <c r="A2820" s="5" t="s">
        <v>28</v>
      </c>
      <c r="B2820" s="5" t="s">
        <v>697</v>
      </c>
      <c r="C2820" s="5">
        <v>2027</v>
      </c>
      <c r="D2820" s="5" t="s">
        <v>30</v>
      </c>
      <c r="E2820" t="s">
        <v>1719</v>
      </c>
      <c r="F2820" t="s">
        <v>230</v>
      </c>
      <c r="G2820" t="s">
        <v>89</v>
      </c>
      <c r="H2820" t="s">
        <v>1720</v>
      </c>
      <c r="I2820" t="s">
        <v>147</v>
      </c>
      <c r="J2820" t="s">
        <v>36</v>
      </c>
      <c r="K2820">
        <v>1390</v>
      </c>
      <c r="O2820" t="s">
        <v>37</v>
      </c>
      <c r="P2820" t="s">
        <v>44</v>
      </c>
      <c r="U2820" s="9" t="s">
        <v>148</v>
      </c>
      <c r="V2820" t="s">
        <v>233</v>
      </c>
      <c r="W2820" t="s">
        <v>138</v>
      </c>
      <c r="X2820" t="s">
        <v>39</v>
      </c>
      <c r="Y2820" t="s">
        <v>40</v>
      </c>
      <c r="Z2820" t="s">
        <v>155</v>
      </c>
      <c r="AB2820" t="str">
        <f t="shared" si="132"/>
        <v>47519</v>
      </c>
    </row>
    <row r="2821" ht="14.25" spans="1:28">
      <c r="A2821" s="5" t="s">
        <v>28</v>
      </c>
      <c r="B2821" s="5" t="s">
        <v>697</v>
      </c>
      <c r="C2821" s="5">
        <v>2027</v>
      </c>
      <c r="D2821" s="5" t="s">
        <v>30</v>
      </c>
      <c r="E2821" t="s">
        <v>1719</v>
      </c>
      <c r="F2821" t="s">
        <v>230</v>
      </c>
      <c r="G2821" t="s">
        <v>89</v>
      </c>
      <c r="H2821" t="s">
        <v>1720</v>
      </c>
      <c r="I2821" t="s">
        <v>147</v>
      </c>
      <c r="J2821" t="s">
        <v>36</v>
      </c>
      <c r="K2821">
        <v>1390</v>
      </c>
      <c r="O2821" t="s">
        <v>37</v>
      </c>
      <c r="P2821" t="s">
        <v>45</v>
      </c>
      <c r="U2821" s="9" t="s">
        <v>148</v>
      </c>
      <c r="V2821" t="s">
        <v>233</v>
      </c>
      <c r="W2821" t="s">
        <v>138</v>
      </c>
      <c r="X2821" t="s">
        <v>39</v>
      </c>
      <c r="Y2821" t="s">
        <v>40</v>
      </c>
      <c r="Z2821" t="s">
        <v>155</v>
      </c>
      <c r="AB2821" t="str">
        <f t="shared" si="132"/>
        <v>47519</v>
      </c>
    </row>
    <row r="2822" ht="14.25" spans="1:28">
      <c r="A2822" s="5" t="s">
        <v>28</v>
      </c>
      <c r="B2822" s="5" t="s">
        <v>697</v>
      </c>
      <c r="C2822" s="5">
        <v>2027</v>
      </c>
      <c r="D2822" s="5" t="s">
        <v>30</v>
      </c>
      <c r="E2822" t="s">
        <v>1719</v>
      </c>
      <c r="F2822" t="s">
        <v>230</v>
      </c>
      <c r="G2822" t="s">
        <v>89</v>
      </c>
      <c r="H2822" t="s">
        <v>1720</v>
      </c>
      <c r="I2822" t="s">
        <v>147</v>
      </c>
      <c r="J2822" t="s">
        <v>36</v>
      </c>
      <c r="K2822">
        <v>1390</v>
      </c>
      <c r="O2822" t="s">
        <v>37</v>
      </c>
      <c r="P2822" t="s">
        <v>46</v>
      </c>
      <c r="U2822" s="9" t="s">
        <v>148</v>
      </c>
      <c r="V2822" t="s">
        <v>233</v>
      </c>
      <c r="W2822" t="s">
        <v>138</v>
      </c>
      <c r="X2822" t="s">
        <v>39</v>
      </c>
      <c r="Y2822" t="s">
        <v>40</v>
      </c>
      <c r="Z2822" t="s">
        <v>155</v>
      </c>
      <c r="AB2822" t="str">
        <f t="shared" si="132"/>
        <v>47519</v>
      </c>
    </row>
    <row r="2823" ht="14.25" spans="1:28">
      <c r="A2823" s="5" t="s">
        <v>28</v>
      </c>
      <c r="B2823" s="5" t="s">
        <v>697</v>
      </c>
      <c r="C2823" s="5">
        <v>2027</v>
      </c>
      <c r="D2823" s="5" t="s">
        <v>30</v>
      </c>
      <c r="E2823" t="s">
        <v>229</v>
      </c>
      <c r="F2823" t="s">
        <v>230</v>
      </c>
      <c r="G2823" t="s">
        <v>231</v>
      </c>
      <c r="H2823" t="s">
        <v>232</v>
      </c>
      <c r="I2823" t="s">
        <v>147</v>
      </c>
      <c r="J2823" t="s">
        <v>36</v>
      </c>
      <c r="K2823">
        <v>1390</v>
      </c>
      <c r="O2823" t="s">
        <v>37</v>
      </c>
      <c r="P2823" t="s">
        <v>38</v>
      </c>
      <c r="R2823">
        <f t="shared" ref="R2818:R2881" si="133">SUMIFS(Q:Q,E:E,E2823)</f>
        <v>0</v>
      </c>
      <c r="S2823">
        <f>SUMIFS([1]Sheet1!$T:$T,[1]Sheet1!$I:$I,E2823,[1]Sheet1!$C:$C,A2823)</f>
        <v>40</v>
      </c>
      <c r="T2823">
        <f t="shared" ref="T2818:T2881" si="134">R2823-S2823</f>
        <v>-40</v>
      </c>
      <c r="U2823" s="9" t="s">
        <v>148</v>
      </c>
      <c r="V2823" t="s">
        <v>233</v>
      </c>
      <c r="W2823" t="s">
        <v>138</v>
      </c>
      <c r="X2823" t="s">
        <v>54</v>
      </c>
      <c r="Y2823" t="s">
        <v>40</v>
      </c>
      <c r="Z2823" t="s">
        <v>155</v>
      </c>
      <c r="AB2823" t="str">
        <f t="shared" si="132"/>
        <v>47519</v>
      </c>
    </row>
    <row r="2824" ht="14.25" spans="1:28">
      <c r="A2824" s="5" t="s">
        <v>28</v>
      </c>
      <c r="B2824" s="5" t="s">
        <v>697</v>
      </c>
      <c r="C2824" s="5">
        <v>2027</v>
      </c>
      <c r="D2824" s="5" t="s">
        <v>30</v>
      </c>
      <c r="E2824" t="s">
        <v>229</v>
      </c>
      <c r="F2824" t="s">
        <v>230</v>
      </c>
      <c r="G2824" t="s">
        <v>231</v>
      </c>
      <c r="H2824" t="s">
        <v>232</v>
      </c>
      <c r="I2824" t="s">
        <v>147</v>
      </c>
      <c r="J2824" t="s">
        <v>36</v>
      </c>
      <c r="K2824">
        <v>1390</v>
      </c>
      <c r="O2824" t="s">
        <v>37</v>
      </c>
      <c r="P2824" t="s">
        <v>42</v>
      </c>
      <c r="U2824" s="9" t="s">
        <v>148</v>
      </c>
      <c r="V2824" t="s">
        <v>233</v>
      </c>
      <c r="W2824" t="s">
        <v>138</v>
      </c>
      <c r="X2824" t="s">
        <v>54</v>
      </c>
      <c r="Y2824" t="s">
        <v>40</v>
      </c>
      <c r="Z2824" t="s">
        <v>155</v>
      </c>
      <c r="AB2824" t="str">
        <f t="shared" si="132"/>
        <v>47519</v>
      </c>
    </row>
    <row r="2825" ht="14.25" spans="1:28">
      <c r="A2825" s="5" t="s">
        <v>28</v>
      </c>
      <c r="B2825" s="5" t="s">
        <v>697</v>
      </c>
      <c r="C2825" s="5">
        <v>2027</v>
      </c>
      <c r="D2825" s="5" t="s">
        <v>30</v>
      </c>
      <c r="E2825" t="s">
        <v>229</v>
      </c>
      <c r="F2825" t="s">
        <v>230</v>
      </c>
      <c r="G2825" t="s">
        <v>231</v>
      </c>
      <c r="H2825" t="s">
        <v>232</v>
      </c>
      <c r="I2825" t="s">
        <v>147</v>
      </c>
      <c r="J2825" t="s">
        <v>36</v>
      </c>
      <c r="K2825">
        <v>1390</v>
      </c>
      <c r="O2825" t="s">
        <v>37</v>
      </c>
      <c r="P2825" t="s">
        <v>43</v>
      </c>
      <c r="U2825" s="9" t="s">
        <v>148</v>
      </c>
      <c r="V2825" t="s">
        <v>233</v>
      </c>
      <c r="W2825" t="s">
        <v>138</v>
      </c>
      <c r="X2825" t="s">
        <v>54</v>
      </c>
      <c r="Y2825" t="s">
        <v>40</v>
      </c>
      <c r="Z2825" t="s">
        <v>155</v>
      </c>
      <c r="AB2825" t="str">
        <f t="shared" si="132"/>
        <v>47519</v>
      </c>
    </row>
    <row r="2826" ht="14.25" spans="1:28">
      <c r="A2826" s="5" t="s">
        <v>28</v>
      </c>
      <c r="B2826" s="5" t="s">
        <v>697</v>
      </c>
      <c r="C2826" s="5">
        <v>2027</v>
      </c>
      <c r="D2826" s="5" t="s">
        <v>30</v>
      </c>
      <c r="E2826" t="s">
        <v>229</v>
      </c>
      <c r="F2826" t="s">
        <v>230</v>
      </c>
      <c r="G2826" t="s">
        <v>231</v>
      </c>
      <c r="H2826" t="s">
        <v>232</v>
      </c>
      <c r="I2826" t="s">
        <v>147</v>
      </c>
      <c r="J2826" t="s">
        <v>36</v>
      </c>
      <c r="K2826">
        <v>1390</v>
      </c>
      <c r="O2826" t="s">
        <v>37</v>
      </c>
      <c r="P2826" t="s">
        <v>44</v>
      </c>
      <c r="U2826" s="9" t="s">
        <v>148</v>
      </c>
      <c r="V2826" t="s">
        <v>233</v>
      </c>
      <c r="W2826" t="s">
        <v>138</v>
      </c>
      <c r="X2826" t="s">
        <v>54</v>
      </c>
      <c r="Y2826" t="s">
        <v>40</v>
      </c>
      <c r="Z2826" t="s">
        <v>155</v>
      </c>
      <c r="AB2826" t="str">
        <f t="shared" si="132"/>
        <v>47519</v>
      </c>
    </row>
    <row r="2827" ht="14.25" spans="1:28">
      <c r="A2827" s="5" t="s">
        <v>28</v>
      </c>
      <c r="B2827" s="5" t="s">
        <v>697</v>
      </c>
      <c r="C2827" s="5">
        <v>2027</v>
      </c>
      <c r="D2827" s="5" t="s">
        <v>30</v>
      </c>
      <c r="E2827" t="s">
        <v>229</v>
      </c>
      <c r="F2827" t="s">
        <v>230</v>
      </c>
      <c r="G2827" t="s">
        <v>231</v>
      </c>
      <c r="H2827" t="s">
        <v>232</v>
      </c>
      <c r="I2827" t="s">
        <v>147</v>
      </c>
      <c r="J2827" t="s">
        <v>36</v>
      </c>
      <c r="K2827">
        <v>1390</v>
      </c>
      <c r="O2827" t="s">
        <v>37</v>
      </c>
      <c r="P2827" t="s">
        <v>45</v>
      </c>
      <c r="U2827" s="9" t="s">
        <v>148</v>
      </c>
      <c r="V2827" t="s">
        <v>233</v>
      </c>
      <c r="W2827" t="s">
        <v>138</v>
      </c>
      <c r="X2827" t="s">
        <v>54</v>
      </c>
      <c r="Y2827" t="s">
        <v>40</v>
      </c>
      <c r="Z2827" t="s">
        <v>155</v>
      </c>
      <c r="AB2827" t="str">
        <f t="shared" si="132"/>
        <v>47519</v>
      </c>
    </row>
    <row r="2828" ht="14.25" spans="1:28">
      <c r="A2828" s="5" t="s">
        <v>28</v>
      </c>
      <c r="B2828" s="5" t="s">
        <v>697</v>
      </c>
      <c r="C2828" s="5">
        <v>2027</v>
      </c>
      <c r="D2828" s="5" t="s">
        <v>30</v>
      </c>
      <c r="E2828" t="s">
        <v>229</v>
      </c>
      <c r="F2828" t="s">
        <v>230</v>
      </c>
      <c r="G2828" t="s">
        <v>231</v>
      </c>
      <c r="H2828" t="s">
        <v>232</v>
      </c>
      <c r="I2828" t="s">
        <v>147</v>
      </c>
      <c r="J2828" t="s">
        <v>36</v>
      </c>
      <c r="K2828">
        <v>1390</v>
      </c>
      <c r="O2828" t="s">
        <v>37</v>
      </c>
      <c r="P2828" t="s">
        <v>46</v>
      </c>
      <c r="U2828" s="9" t="s">
        <v>148</v>
      </c>
      <c r="V2828" t="s">
        <v>233</v>
      </c>
      <c r="W2828" t="s">
        <v>138</v>
      </c>
      <c r="X2828" t="s">
        <v>54</v>
      </c>
      <c r="Y2828" t="s">
        <v>40</v>
      </c>
      <c r="Z2828" t="s">
        <v>155</v>
      </c>
      <c r="AB2828" t="str">
        <f t="shared" si="132"/>
        <v>47519</v>
      </c>
    </row>
    <row r="2829" ht="14.25" spans="1:28">
      <c r="A2829" s="5" t="s">
        <v>28</v>
      </c>
      <c r="B2829" s="5" t="s">
        <v>697</v>
      </c>
      <c r="C2829" s="5">
        <v>2027</v>
      </c>
      <c r="D2829" s="5" t="s">
        <v>30</v>
      </c>
      <c r="E2829" t="s">
        <v>1721</v>
      </c>
      <c r="F2829" t="s">
        <v>230</v>
      </c>
      <c r="G2829" t="s">
        <v>1722</v>
      </c>
      <c r="H2829" t="s">
        <v>1723</v>
      </c>
      <c r="I2829" t="s">
        <v>147</v>
      </c>
      <c r="J2829" t="s">
        <v>36</v>
      </c>
      <c r="K2829">
        <v>1390</v>
      </c>
      <c r="O2829" t="s">
        <v>37</v>
      </c>
      <c r="P2829" t="s">
        <v>38</v>
      </c>
      <c r="R2829">
        <f t="shared" si="133"/>
        <v>0</v>
      </c>
      <c r="S2829">
        <f>SUMIFS([1]Sheet1!$T:$T,[1]Sheet1!$I:$I,E2829,[1]Sheet1!$C:$C,A2829)</f>
        <v>40</v>
      </c>
      <c r="T2829">
        <f t="shared" si="134"/>
        <v>-40</v>
      </c>
      <c r="U2829" s="9" t="s">
        <v>148</v>
      </c>
      <c r="V2829" t="s">
        <v>233</v>
      </c>
      <c r="W2829" t="s">
        <v>138</v>
      </c>
      <c r="X2829" t="s">
        <v>1131</v>
      </c>
      <c r="Y2829" t="s">
        <v>40</v>
      </c>
      <c r="Z2829" t="s">
        <v>155</v>
      </c>
      <c r="AB2829" t="str">
        <f t="shared" si="132"/>
        <v>47519</v>
      </c>
    </row>
    <row r="2830" ht="14.25" spans="1:28">
      <c r="A2830" s="5" t="s">
        <v>28</v>
      </c>
      <c r="B2830" s="5" t="s">
        <v>697</v>
      </c>
      <c r="C2830" s="5">
        <v>2027</v>
      </c>
      <c r="D2830" s="5" t="s">
        <v>30</v>
      </c>
      <c r="E2830" t="s">
        <v>1721</v>
      </c>
      <c r="F2830" t="s">
        <v>230</v>
      </c>
      <c r="G2830" t="s">
        <v>1722</v>
      </c>
      <c r="H2830" t="s">
        <v>1723</v>
      </c>
      <c r="I2830" t="s">
        <v>147</v>
      </c>
      <c r="J2830" t="s">
        <v>36</v>
      </c>
      <c r="K2830">
        <v>1390</v>
      </c>
      <c r="O2830" t="s">
        <v>37</v>
      </c>
      <c r="P2830" t="s">
        <v>42</v>
      </c>
      <c r="U2830" s="9" t="s">
        <v>148</v>
      </c>
      <c r="V2830" t="s">
        <v>233</v>
      </c>
      <c r="W2830" t="s">
        <v>138</v>
      </c>
      <c r="X2830" t="s">
        <v>1131</v>
      </c>
      <c r="Y2830" t="s">
        <v>40</v>
      </c>
      <c r="Z2830" t="s">
        <v>155</v>
      </c>
      <c r="AB2830" t="str">
        <f t="shared" si="132"/>
        <v>47519</v>
      </c>
    </row>
    <row r="2831" ht="14.25" spans="1:28">
      <c r="A2831" s="5" t="s">
        <v>28</v>
      </c>
      <c r="B2831" s="5" t="s">
        <v>697</v>
      </c>
      <c r="C2831" s="5">
        <v>2027</v>
      </c>
      <c r="D2831" s="5" t="s">
        <v>30</v>
      </c>
      <c r="E2831" t="s">
        <v>1721</v>
      </c>
      <c r="F2831" t="s">
        <v>230</v>
      </c>
      <c r="G2831" t="s">
        <v>1722</v>
      </c>
      <c r="H2831" t="s">
        <v>1723</v>
      </c>
      <c r="I2831" t="s">
        <v>147</v>
      </c>
      <c r="J2831" t="s">
        <v>36</v>
      </c>
      <c r="K2831">
        <v>1390</v>
      </c>
      <c r="O2831" t="s">
        <v>37</v>
      </c>
      <c r="P2831" t="s">
        <v>43</v>
      </c>
      <c r="U2831" s="9" t="s">
        <v>148</v>
      </c>
      <c r="V2831" t="s">
        <v>233</v>
      </c>
      <c r="W2831" t="s">
        <v>138</v>
      </c>
      <c r="X2831" t="s">
        <v>1131</v>
      </c>
      <c r="Y2831" t="s">
        <v>40</v>
      </c>
      <c r="Z2831" t="s">
        <v>155</v>
      </c>
      <c r="AB2831" t="str">
        <f t="shared" si="132"/>
        <v>47519</v>
      </c>
    </row>
    <row r="2832" ht="14.25" spans="1:28">
      <c r="A2832" s="5" t="s">
        <v>28</v>
      </c>
      <c r="B2832" s="5" t="s">
        <v>697</v>
      </c>
      <c r="C2832" s="5">
        <v>2027</v>
      </c>
      <c r="D2832" s="5" t="s">
        <v>30</v>
      </c>
      <c r="E2832" t="s">
        <v>1721</v>
      </c>
      <c r="F2832" t="s">
        <v>230</v>
      </c>
      <c r="G2832" t="s">
        <v>1722</v>
      </c>
      <c r="H2832" t="s">
        <v>1723</v>
      </c>
      <c r="I2832" t="s">
        <v>147</v>
      </c>
      <c r="J2832" t="s">
        <v>36</v>
      </c>
      <c r="K2832">
        <v>1390</v>
      </c>
      <c r="O2832" t="s">
        <v>37</v>
      </c>
      <c r="P2832" t="s">
        <v>44</v>
      </c>
      <c r="U2832" s="9" t="s">
        <v>148</v>
      </c>
      <c r="V2832" t="s">
        <v>233</v>
      </c>
      <c r="W2832" t="s">
        <v>138</v>
      </c>
      <c r="X2832" t="s">
        <v>1131</v>
      </c>
      <c r="Y2832" t="s">
        <v>40</v>
      </c>
      <c r="Z2832" t="s">
        <v>155</v>
      </c>
      <c r="AB2832" t="str">
        <f t="shared" si="132"/>
        <v>47519</v>
      </c>
    </row>
    <row r="2833" ht="14.25" spans="1:28">
      <c r="A2833" s="5" t="s">
        <v>28</v>
      </c>
      <c r="B2833" s="5" t="s">
        <v>697</v>
      </c>
      <c r="C2833" s="5">
        <v>2027</v>
      </c>
      <c r="D2833" s="5" t="s">
        <v>30</v>
      </c>
      <c r="E2833" t="s">
        <v>1721</v>
      </c>
      <c r="F2833" t="s">
        <v>230</v>
      </c>
      <c r="G2833" t="s">
        <v>1722</v>
      </c>
      <c r="H2833" t="s">
        <v>1723</v>
      </c>
      <c r="I2833" t="s">
        <v>147</v>
      </c>
      <c r="J2833" t="s">
        <v>36</v>
      </c>
      <c r="K2833">
        <v>1390</v>
      </c>
      <c r="O2833" t="s">
        <v>37</v>
      </c>
      <c r="P2833" t="s">
        <v>45</v>
      </c>
      <c r="U2833" s="9" t="s">
        <v>148</v>
      </c>
      <c r="V2833" t="s">
        <v>233</v>
      </c>
      <c r="W2833" t="s">
        <v>138</v>
      </c>
      <c r="X2833" t="s">
        <v>1131</v>
      </c>
      <c r="Y2833" t="s">
        <v>40</v>
      </c>
      <c r="Z2833" t="s">
        <v>155</v>
      </c>
      <c r="AB2833" t="str">
        <f t="shared" si="132"/>
        <v>47519</v>
      </c>
    </row>
    <row r="2834" ht="14.25" spans="1:28">
      <c r="A2834" s="5" t="s">
        <v>28</v>
      </c>
      <c r="B2834" s="5" t="s">
        <v>697</v>
      </c>
      <c r="C2834" s="5">
        <v>2027</v>
      </c>
      <c r="D2834" s="5" t="s">
        <v>30</v>
      </c>
      <c r="E2834" t="s">
        <v>1721</v>
      </c>
      <c r="F2834" t="s">
        <v>230</v>
      </c>
      <c r="G2834" t="s">
        <v>1722</v>
      </c>
      <c r="H2834" t="s">
        <v>1723</v>
      </c>
      <c r="I2834" t="s">
        <v>147</v>
      </c>
      <c r="J2834" t="s">
        <v>36</v>
      </c>
      <c r="K2834">
        <v>1390</v>
      </c>
      <c r="O2834" t="s">
        <v>37</v>
      </c>
      <c r="P2834" t="s">
        <v>46</v>
      </c>
      <c r="U2834" s="9" t="s">
        <v>148</v>
      </c>
      <c r="V2834" t="s">
        <v>233</v>
      </c>
      <c r="W2834" t="s">
        <v>138</v>
      </c>
      <c r="X2834" t="s">
        <v>1131</v>
      </c>
      <c r="Y2834" t="s">
        <v>40</v>
      </c>
      <c r="Z2834" t="s">
        <v>155</v>
      </c>
      <c r="AB2834" t="str">
        <f t="shared" si="132"/>
        <v>47519</v>
      </c>
    </row>
    <row r="2835" ht="14.25" spans="1:28">
      <c r="A2835" s="5" t="s">
        <v>28</v>
      </c>
      <c r="B2835" s="5" t="s">
        <v>697</v>
      </c>
      <c r="C2835" s="5">
        <v>2027</v>
      </c>
      <c r="D2835" s="5" t="s">
        <v>30</v>
      </c>
      <c r="E2835" t="s">
        <v>1724</v>
      </c>
      <c r="F2835" t="s">
        <v>1725</v>
      </c>
      <c r="G2835" t="s">
        <v>33</v>
      </c>
      <c r="H2835" t="s">
        <v>1726</v>
      </c>
      <c r="I2835" t="s">
        <v>147</v>
      </c>
      <c r="J2835" t="s">
        <v>36</v>
      </c>
      <c r="K2835">
        <v>1390</v>
      </c>
      <c r="O2835" t="s">
        <v>37</v>
      </c>
      <c r="P2835" t="s">
        <v>38</v>
      </c>
      <c r="R2835">
        <f t="shared" si="133"/>
        <v>0</v>
      </c>
      <c r="S2835">
        <f>SUMIFS([1]Sheet1!$T:$T,[1]Sheet1!$I:$I,E2835,[1]Sheet1!$C:$C,A2835)</f>
        <v>100</v>
      </c>
      <c r="T2835">
        <f t="shared" si="134"/>
        <v>-100</v>
      </c>
      <c r="U2835" s="9" t="s">
        <v>148</v>
      </c>
      <c r="V2835" t="s">
        <v>233</v>
      </c>
      <c r="W2835" t="s">
        <v>138</v>
      </c>
      <c r="X2835" t="s">
        <v>39</v>
      </c>
      <c r="Y2835" t="s">
        <v>40</v>
      </c>
      <c r="Z2835" t="s">
        <v>155</v>
      </c>
      <c r="AB2835" t="str">
        <f t="shared" si="132"/>
        <v>47529</v>
      </c>
    </row>
    <row r="2836" ht="14.25" spans="1:28">
      <c r="A2836" s="5" t="s">
        <v>28</v>
      </c>
      <c r="B2836" s="5" t="s">
        <v>697</v>
      </c>
      <c r="C2836" s="5">
        <v>2027</v>
      </c>
      <c r="D2836" s="5" t="s">
        <v>30</v>
      </c>
      <c r="E2836" t="s">
        <v>1724</v>
      </c>
      <c r="F2836" t="s">
        <v>1725</v>
      </c>
      <c r="G2836" t="s">
        <v>33</v>
      </c>
      <c r="H2836" t="s">
        <v>1726</v>
      </c>
      <c r="I2836" t="s">
        <v>147</v>
      </c>
      <c r="J2836" t="s">
        <v>36</v>
      </c>
      <c r="K2836">
        <v>1390</v>
      </c>
      <c r="O2836" t="s">
        <v>37</v>
      </c>
      <c r="P2836" t="s">
        <v>42</v>
      </c>
      <c r="U2836" s="9" t="s">
        <v>148</v>
      </c>
      <c r="V2836" t="s">
        <v>233</v>
      </c>
      <c r="W2836" t="s">
        <v>138</v>
      </c>
      <c r="X2836" t="s">
        <v>39</v>
      </c>
      <c r="Y2836" t="s">
        <v>40</v>
      </c>
      <c r="Z2836" t="s">
        <v>155</v>
      </c>
      <c r="AB2836" t="str">
        <f t="shared" si="132"/>
        <v>47529</v>
      </c>
    </row>
    <row r="2837" ht="14.25" spans="1:28">
      <c r="A2837" s="5" t="s">
        <v>28</v>
      </c>
      <c r="B2837" s="5" t="s">
        <v>697</v>
      </c>
      <c r="C2837" s="5">
        <v>2027</v>
      </c>
      <c r="D2837" s="5" t="s">
        <v>30</v>
      </c>
      <c r="E2837" t="s">
        <v>1724</v>
      </c>
      <c r="F2837" t="s">
        <v>1725</v>
      </c>
      <c r="G2837" t="s">
        <v>33</v>
      </c>
      <c r="H2837" t="s">
        <v>1726</v>
      </c>
      <c r="I2837" t="s">
        <v>147</v>
      </c>
      <c r="J2837" t="s">
        <v>36</v>
      </c>
      <c r="K2837">
        <v>1390</v>
      </c>
      <c r="O2837" t="s">
        <v>37</v>
      </c>
      <c r="P2837" t="s">
        <v>43</v>
      </c>
      <c r="U2837" s="9" t="s">
        <v>148</v>
      </c>
      <c r="V2837" t="s">
        <v>233</v>
      </c>
      <c r="W2837" t="s">
        <v>138</v>
      </c>
      <c r="X2837" t="s">
        <v>39</v>
      </c>
      <c r="Y2837" t="s">
        <v>40</v>
      </c>
      <c r="Z2837" t="s">
        <v>155</v>
      </c>
      <c r="AB2837" t="str">
        <f t="shared" si="132"/>
        <v>47529</v>
      </c>
    </row>
    <row r="2838" ht="14.25" spans="1:28">
      <c r="A2838" s="5" t="s">
        <v>28</v>
      </c>
      <c r="B2838" s="5" t="s">
        <v>697</v>
      </c>
      <c r="C2838" s="5">
        <v>2027</v>
      </c>
      <c r="D2838" s="5" t="s">
        <v>30</v>
      </c>
      <c r="E2838" t="s">
        <v>1724</v>
      </c>
      <c r="F2838" t="s">
        <v>1725</v>
      </c>
      <c r="G2838" t="s">
        <v>33</v>
      </c>
      <c r="H2838" t="s">
        <v>1726</v>
      </c>
      <c r="I2838" t="s">
        <v>147</v>
      </c>
      <c r="J2838" t="s">
        <v>36</v>
      </c>
      <c r="K2838">
        <v>1390</v>
      </c>
      <c r="O2838" t="s">
        <v>37</v>
      </c>
      <c r="P2838" t="s">
        <v>44</v>
      </c>
      <c r="U2838" s="9" t="s">
        <v>148</v>
      </c>
      <c r="V2838" t="s">
        <v>233</v>
      </c>
      <c r="W2838" t="s">
        <v>138</v>
      </c>
      <c r="X2838" t="s">
        <v>39</v>
      </c>
      <c r="Y2838" t="s">
        <v>40</v>
      </c>
      <c r="Z2838" t="s">
        <v>155</v>
      </c>
      <c r="AB2838" t="str">
        <f t="shared" si="132"/>
        <v>47529</v>
      </c>
    </row>
    <row r="2839" ht="14.25" spans="1:28">
      <c r="A2839" s="5" t="s">
        <v>28</v>
      </c>
      <c r="B2839" s="5" t="s">
        <v>697</v>
      </c>
      <c r="C2839" s="5">
        <v>2027</v>
      </c>
      <c r="D2839" s="5" t="s">
        <v>30</v>
      </c>
      <c r="E2839" t="s">
        <v>1724</v>
      </c>
      <c r="F2839" t="s">
        <v>1725</v>
      </c>
      <c r="G2839" t="s">
        <v>33</v>
      </c>
      <c r="H2839" t="s">
        <v>1726</v>
      </c>
      <c r="I2839" t="s">
        <v>147</v>
      </c>
      <c r="J2839" t="s">
        <v>36</v>
      </c>
      <c r="K2839">
        <v>1390</v>
      </c>
      <c r="O2839" t="s">
        <v>37</v>
      </c>
      <c r="P2839" t="s">
        <v>45</v>
      </c>
      <c r="U2839" s="9" t="s">
        <v>148</v>
      </c>
      <c r="V2839" t="s">
        <v>233</v>
      </c>
      <c r="W2839" t="s">
        <v>138</v>
      </c>
      <c r="X2839" t="s">
        <v>39</v>
      </c>
      <c r="Y2839" t="s">
        <v>40</v>
      </c>
      <c r="Z2839" t="s">
        <v>155</v>
      </c>
      <c r="AB2839" t="str">
        <f t="shared" si="132"/>
        <v>47529</v>
      </c>
    </row>
    <row r="2840" ht="14.25" spans="1:28">
      <c r="A2840" s="5" t="s">
        <v>28</v>
      </c>
      <c r="B2840" s="5" t="s">
        <v>697</v>
      </c>
      <c r="C2840" s="5">
        <v>2027</v>
      </c>
      <c r="D2840" s="5" t="s">
        <v>30</v>
      </c>
      <c r="E2840" t="s">
        <v>1724</v>
      </c>
      <c r="F2840" t="s">
        <v>1725</v>
      </c>
      <c r="G2840" t="s">
        <v>33</v>
      </c>
      <c r="H2840" t="s">
        <v>1726</v>
      </c>
      <c r="I2840" t="s">
        <v>147</v>
      </c>
      <c r="J2840" t="s">
        <v>36</v>
      </c>
      <c r="K2840">
        <v>1390</v>
      </c>
      <c r="O2840" t="s">
        <v>37</v>
      </c>
      <c r="P2840" t="s">
        <v>46</v>
      </c>
      <c r="U2840" s="9" t="s">
        <v>148</v>
      </c>
      <c r="V2840" t="s">
        <v>233</v>
      </c>
      <c r="W2840" t="s">
        <v>138</v>
      </c>
      <c r="X2840" t="s">
        <v>39</v>
      </c>
      <c r="Y2840" t="s">
        <v>40</v>
      </c>
      <c r="Z2840" t="s">
        <v>155</v>
      </c>
      <c r="AB2840" t="str">
        <f t="shared" si="132"/>
        <v>47529</v>
      </c>
    </row>
    <row r="2841" ht="14.25" spans="1:28">
      <c r="A2841" s="5" t="s">
        <v>28</v>
      </c>
      <c r="B2841" s="5" t="s">
        <v>697</v>
      </c>
      <c r="C2841" s="5">
        <v>2027</v>
      </c>
      <c r="D2841" s="5" t="s">
        <v>30</v>
      </c>
      <c r="E2841" t="s">
        <v>1727</v>
      </c>
      <c r="F2841" t="s">
        <v>1725</v>
      </c>
      <c r="G2841" t="s">
        <v>48</v>
      </c>
      <c r="H2841" t="s">
        <v>1728</v>
      </c>
      <c r="I2841" t="s">
        <v>147</v>
      </c>
      <c r="J2841" t="s">
        <v>36</v>
      </c>
      <c r="K2841">
        <v>1390</v>
      </c>
      <c r="O2841" t="s">
        <v>37</v>
      </c>
      <c r="P2841" t="s">
        <v>38</v>
      </c>
      <c r="R2841">
        <f t="shared" si="133"/>
        <v>0</v>
      </c>
      <c r="S2841">
        <f>SUMIFS([1]Sheet1!$T:$T,[1]Sheet1!$I:$I,E2841,[1]Sheet1!$C:$C,A2841)</f>
        <v>150</v>
      </c>
      <c r="T2841">
        <f t="shared" si="134"/>
        <v>-150</v>
      </c>
      <c r="U2841" s="9" t="s">
        <v>148</v>
      </c>
      <c r="V2841" t="s">
        <v>233</v>
      </c>
      <c r="W2841" t="s">
        <v>138</v>
      </c>
      <c r="X2841" t="s">
        <v>50</v>
      </c>
      <c r="Y2841" t="s">
        <v>40</v>
      </c>
      <c r="Z2841" t="s">
        <v>155</v>
      </c>
      <c r="AB2841" t="str">
        <f t="shared" si="132"/>
        <v>47529</v>
      </c>
    </row>
    <row r="2842" ht="14.25" spans="1:28">
      <c r="A2842" s="5" t="s">
        <v>28</v>
      </c>
      <c r="B2842" s="5" t="s">
        <v>697</v>
      </c>
      <c r="C2842" s="5">
        <v>2027</v>
      </c>
      <c r="D2842" s="5" t="s">
        <v>30</v>
      </c>
      <c r="E2842" t="s">
        <v>1727</v>
      </c>
      <c r="F2842" t="s">
        <v>1725</v>
      </c>
      <c r="G2842" t="s">
        <v>48</v>
      </c>
      <c r="H2842" t="s">
        <v>1728</v>
      </c>
      <c r="I2842" t="s">
        <v>147</v>
      </c>
      <c r="J2842" t="s">
        <v>36</v>
      </c>
      <c r="K2842">
        <v>1390</v>
      </c>
      <c r="O2842" t="s">
        <v>37</v>
      </c>
      <c r="P2842" t="s">
        <v>42</v>
      </c>
      <c r="U2842" s="9" t="s">
        <v>148</v>
      </c>
      <c r="V2842" t="s">
        <v>233</v>
      </c>
      <c r="W2842" t="s">
        <v>138</v>
      </c>
      <c r="X2842" t="s">
        <v>50</v>
      </c>
      <c r="Y2842" t="s">
        <v>40</v>
      </c>
      <c r="Z2842" t="s">
        <v>155</v>
      </c>
      <c r="AB2842" t="str">
        <f t="shared" si="132"/>
        <v>47529</v>
      </c>
    </row>
    <row r="2843" ht="14.25" spans="1:28">
      <c r="A2843" s="5" t="s">
        <v>28</v>
      </c>
      <c r="B2843" s="5" t="s">
        <v>697</v>
      </c>
      <c r="C2843" s="5">
        <v>2027</v>
      </c>
      <c r="D2843" s="5" t="s">
        <v>30</v>
      </c>
      <c r="E2843" t="s">
        <v>1727</v>
      </c>
      <c r="F2843" t="s">
        <v>1725</v>
      </c>
      <c r="G2843" t="s">
        <v>48</v>
      </c>
      <c r="H2843" t="s">
        <v>1728</v>
      </c>
      <c r="I2843" t="s">
        <v>147</v>
      </c>
      <c r="J2843" t="s">
        <v>36</v>
      </c>
      <c r="K2843">
        <v>1390</v>
      </c>
      <c r="O2843" t="s">
        <v>37</v>
      </c>
      <c r="P2843" t="s">
        <v>43</v>
      </c>
      <c r="U2843" s="9" t="s">
        <v>148</v>
      </c>
      <c r="V2843" t="s">
        <v>233</v>
      </c>
      <c r="W2843" t="s">
        <v>138</v>
      </c>
      <c r="X2843" t="s">
        <v>50</v>
      </c>
      <c r="Y2843" t="s">
        <v>40</v>
      </c>
      <c r="Z2843" t="s">
        <v>155</v>
      </c>
      <c r="AB2843" t="str">
        <f t="shared" si="132"/>
        <v>47529</v>
      </c>
    </row>
    <row r="2844" ht="14.25" spans="1:28">
      <c r="A2844" s="5" t="s">
        <v>28</v>
      </c>
      <c r="B2844" s="5" t="s">
        <v>697</v>
      </c>
      <c r="C2844" s="5">
        <v>2027</v>
      </c>
      <c r="D2844" s="5" t="s">
        <v>30</v>
      </c>
      <c r="E2844" t="s">
        <v>1727</v>
      </c>
      <c r="F2844" t="s">
        <v>1725</v>
      </c>
      <c r="G2844" t="s">
        <v>48</v>
      </c>
      <c r="H2844" t="s">
        <v>1728</v>
      </c>
      <c r="I2844" t="s">
        <v>147</v>
      </c>
      <c r="J2844" t="s">
        <v>36</v>
      </c>
      <c r="K2844">
        <v>1390</v>
      </c>
      <c r="O2844" t="s">
        <v>37</v>
      </c>
      <c r="P2844" t="s">
        <v>44</v>
      </c>
      <c r="U2844" s="9" t="s">
        <v>148</v>
      </c>
      <c r="V2844" t="s">
        <v>233</v>
      </c>
      <c r="W2844" t="s">
        <v>138</v>
      </c>
      <c r="X2844" t="s">
        <v>50</v>
      </c>
      <c r="Y2844" t="s">
        <v>40</v>
      </c>
      <c r="Z2844" t="s">
        <v>155</v>
      </c>
      <c r="AB2844" t="str">
        <f t="shared" si="132"/>
        <v>47529</v>
      </c>
    </row>
    <row r="2845" ht="14.25" spans="1:28">
      <c r="A2845" s="5" t="s">
        <v>28</v>
      </c>
      <c r="B2845" s="5" t="s">
        <v>697</v>
      </c>
      <c r="C2845" s="5">
        <v>2027</v>
      </c>
      <c r="D2845" s="5" t="s">
        <v>30</v>
      </c>
      <c r="E2845" t="s">
        <v>1727</v>
      </c>
      <c r="F2845" t="s">
        <v>1725</v>
      </c>
      <c r="G2845" t="s">
        <v>48</v>
      </c>
      <c r="H2845" t="s">
        <v>1728</v>
      </c>
      <c r="I2845" t="s">
        <v>147</v>
      </c>
      <c r="J2845" t="s">
        <v>36</v>
      </c>
      <c r="K2845">
        <v>1390</v>
      </c>
      <c r="O2845" t="s">
        <v>37</v>
      </c>
      <c r="P2845" t="s">
        <v>45</v>
      </c>
      <c r="U2845" s="9" t="s">
        <v>148</v>
      </c>
      <c r="V2845" t="s">
        <v>233</v>
      </c>
      <c r="W2845" t="s">
        <v>138</v>
      </c>
      <c r="X2845" t="s">
        <v>50</v>
      </c>
      <c r="Y2845" t="s">
        <v>40</v>
      </c>
      <c r="Z2845" t="s">
        <v>155</v>
      </c>
      <c r="AB2845" t="str">
        <f t="shared" si="132"/>
        <v>47529</v>
      </c>
    </row>
    <row r="2846" ht="14.25" spans="1:28">
      <c r="A2846" s="5" t="s">
        <v>28</v>
      </c>
      <c r="B2846" s="5" t="s">
        <v>697</v>
      </c>
      <c r="C2846" s="5">
        <v>2027</v>
      </c>
      <c r="D2846" s="5" t="s">
        <v>30</v>
      </c>
      <c r="E2846" t="s">
        <v>1727</v>
      </c>
      <c r="F2846" t="s">
        <v>1725</v>
      </c>
      <c r="G2846" t="s">
        <v>48</v>
      </c>
      <c r="H2846" t="s">
        <v>1728</v>
      </c>
      <c r="I2846" t="s">
        <v>147</v>
      </c>
      <c r="J2846" t="s">
        <v>36</v>
      </c>
      <c r="K2846">
        <v>1390</v>
      </c>
      <c r="O2846" t="s">
        <v>37</v>
      </c>
      <c r="P2846" t="s">
        <v>46</v>
      </c>
      <c r="U2846" s="9" t="s">
        <v>148</v>
      </c>
      <c r="V2846" t="s">
        <v>233</v>
      </c>
      <c r="W2846" t="s">
        <v>138</v>
      </c>
      <c r="X2846" t="s">
        <v>50</v>
      </c>
      <c r="Y2846" t="s">
        <v>40</v>
      </c>
      <c r="Z2846" t="s">
        <v>155</v>
      </c>
      <c r="AB2846" t="str">
        <f t="shared" si="132"/>
        <v>47529</v>
      </c>
    </row>
    <row r="2847" ht="14.25" spans="1:28">
      <c r="A2847" s="5" t="s">
        <v>28</v>
      </c>
      <c r="B2847" s="5" t="s">
        <v>697</v>
      </c>
      <c r="C2847" s="5">
        <v>2027</v>
      </c>
      <c r="D2847" s="5" t="s">
        <v>30</v>
      </c>
      <c r="E2847" t="s">
        <v>1729</v>
      </c>
      <c r="F2847" t="s">
        <v>1725</v>
      </c>
      <c r="G2847" t="s">
        <v>240</v>
      </c>
      <c r="H2847" t="s">
        <v>1730</v>
      </c>
      <c r="I2847" t="s">
        <v>147</v>
      </c>
      <c r="J2847" t="s">
        <v>36</v>
      </c>
      <c r="K2847">
        <v>1390</v>
      </c>
      <c r="O2847" t="s">
        <v>37</v>
      </c>
      <c r="P2847" t="s">
        <v>38</v>
      </c>
      <c r="R2847">
        <f t="shared" si="133"/>
        <v>0</v>
      </c>
      <c r="S2847">
        <f>SUMIFS([1]Sheet1!$T:$T,[1]Sheet1!$I:$I,E2847,[1]Sheet1!$C:$C,A2847)</f>
        <v>30</v>
      </c>
      <c r="T2847">
        <f t="shared" si="134"/>
        <v>-30</v>
      </c>
      <c r="U2847" s="9" t="s">
        <v>148</v>
      </c>
      <c r="V2847" t="s">
        <v>233</v>
      </c>
      <c r="W2847" t="s">
        <v>138</v>
      </c>
      <c r="X2847" t="s">
        <v>243</v>
      </c>
      <c r="Y2847" t="s">
        <v>40</v>
      </c>
      <c r="Z2847" t="s">
        <v>155</v>
      </c>
      <c r="AB2847" t="str">
        <f t="shared" si="132"/>
        <v>47529</v>
      </c>
    </row>
    <row r="2848" ht="14.25" spans="1:28">
      <c r="A2848" s="5" t="s">
        <v>28</v>
      </c>
      <c r="B2848" s="5" t="s">
        <v>697</v>
      </c>
      <c r="C2848" s="5">
        <v>2027</v>
      </c>
      <c r="D2848" s="5" t="s">
        <v>30</v>
      </c>
      <c r="E2848" t="s">
        <v>1729</v>
      </c>
      <c r="F2848" t="s">
        <v>1725</v>
      </c>
      <c r="G2848" t="s">
        <v>240</v>
      </c>
      <c r="H2848" t="s">
        <v>1730</v>
      </c>
      <c r="I2848" t="s">
        <v>147</v>
      </c>
      <c r="J2848" t="s">
        <v>36</v>
      </c>
      <c r="K2848">
        <v>1390</v>
      </c>
      <c r="O2848" t="s">
        <v>37</v>
      </c>
      <c r="P2848" t="s">
        <v>42</v>
      </c>
      <c r="U2848" s="9" t="s">
        <v>148</v>
      </c>
      <c r="V2848" t="s">
        <v>233</v>
      </c>
      <c r="W2848" t="s">
        <v>138</v>
      </c>
      <c r="X2848" t="s">
        <v>243</v>
      </c>
      <c r="Y2848" t="s">
        <v>40</v>
      </c>
      <c r="Z2848" t="s">
        <v>155</v>
      </c>
      <c r="AB2848" t="str">
        <f t="shared" si="132"/>
        <v>47529</v>
      </c>
    </row>
    <row r="2849" ht="14.25" spans="1:28">
      <c r="A2849" s="5" t="s">
        <v>28</v>
      </c>
      <c r="B2849" s="5" t="s">
        <v>697</v>
      </c>
      <c r="C2849" s="5">
        <v>2027</v>
      </c>
      <c r="D2849" s="5" t="s">
        <v>30</v>
      </c>
      <c r="E2849" t="s">
        <v>1729</v>
      </c>
      <c r="F2849" t="s">
        <v>1725</v>
      </c>
      <c r="G2849" t="s">
        <v>240</v>
      </c>
      <c r="H2849" t="s">
        <v>1730</v>
      </c>
      <c r="I2849" t="s">
        <v>147</v>
      </c>
      <c r="J2849" t="s">
        <v>36</v>
      </c>
      <c r="K2849">
        <v>1390</v>
      </c>
      <c r="O2849" t="s">
        <v>37</v>
      </c>
      <c r="P2849" t="s">
        <v>43</v>
      </c>
      <c r="U2849" s="9" t="s">
        <v>148</v>
      </c>
      <c r="V2849" t="s">
        <v>233</v>
      </c>
      <c r="W2849" t="s">
        <v>138</v>
      </c>
      <c r="X2849" t="s">
        <v>243</v>
      </c>
      <c r="Y2849" t="s">
        <v>40</v>
      </c>
      <c r="Z2849" t="s">
        <v>155</v>
      </c>
      <c r="AB2849" t="str">
        <f t="shared" si="132"/>
        <v>47529</v>
      </c>
    </row>
    <row r="2850" ht="14.25" spans="1:28">
      <c r="A2850" s="5" t="s">
        <v>28</v>
      </c>
      <c r="B2850" s="5" t="s">
        <v>697</v>
      </c>
      <c r="C2850" s="5">
        <v>2027</v>
      </c>
      <c r="D2850" s="5" t="s">
        <v>30</v>
      </c>
      <c r="E2850" t="s">
        <v>1729</v>
      </c>
      <c r="F2850" t="s">
        <v>1725</v>
      </c>
      <c r="G2850" t="s">
        <v>240</v>
      </c>
      <c r="H2850" t="s">
        <v>1730</v>
      </c>
      <c r="I2850" t="s">
        <v>147</v>
      </c>
      <c r="J2850" t="s">
        <v>36</v>
      </c>
      <c r="K2850">
        <v>1390</v>
      </c>
      <c r="O2850" t="s">
        <v>37</v>
      </c>
      <c r="P2850" t="s">
        <v>44</v>
      </c>
      <c r="U2850" s="9" t="s">
        <v>148</v>
      </c>
      <c r="V2850" t="s">
        <v>233</v>
      </c>
      <c r="W2850" t="s">
        <v>138</v>
      </c>
      <c r="X2850" t="s">
        <v>243</v>
      </c>
      <c r="Y2850" t="s">
        <v>40</v>
      </c>
      <c r="Z2850" t="s">
        <v>155</v>
      </c>
      <c r="AB2850" t="str">
        <f t="shared" si="132"/>
        <v>47529</v>
      </c>
    </row>
    <row r="2851" ht="14.25" spans="1:28">
      <c r="A2851" s="5" t="s">
        <v>28</v>
      </c>
      <c r="B2851" s="5" t="s">
        <v>697</v>
      </c>
      <c r="C2851" s="5">
        <v>2027</v>
      </c>
      <c r="D2851" s="5" t="s">
        <v>30</v>
      </c>
      <c r="E2851" t="s">
        <v>1729</v>
      </c>
      <c r="F2851" t="s">
        <v>1725</v>
      </c>
      <c r="G2851" t="s">
        <v>240</v>
      </c>
      <c r="H2851" t="s">
        <v>1730</v>
      </c>
      <c r="I2851" t="s">
        <v>147</v>
      </c>
      <c r="J2851" t="s">
        <v>36</v>
      </c>
      <c r="K2851">
        <v>1390</v>
      </c>
      <c r="O2851" t="s">
        <v>37</v>
      </c>
      <c r="P2851" t="s">
        <v>45</v>
      </c>
      <c r="U2851" s="9" t="s">
        <v>148</v>
      </c>
      <c r="V2851" t="s">
        <v>233</v>
      </c>
      <c r="W2851" t="s">
        <v>138</v>
      </c>
      <c r="X2851" t="s">
        <v>243</v>
      </c>
      <c r="Y2851" t="s">
        <v>40</v>
      </c>
      <c r="Z2851" t="s">
        <v>155</v>
      </c>
      <c r="AB2851" t="str">
        <f t="shared" si="132"/>
        <v>47529</v>
      </c>
    </row>
    <row r="2852" ht="14.25" spans="1:28">
      <c r="A2852" s="5" t="s">
        <v>28</v>
      </c>
      <c r="B2852" s="5" t="s">
        <v>697</v>
      </c>
      <c r="C2852" s="5">
        <v>2027</v>
      </c>
      <c r="D2852" s="5" t="s">
        <v>30</v>
      </c>
      <c r="E2852" t="s">
        <v>1729</v>
      </c>
      <c r="F2852" t="s">
        <v>1725</v>
      </c>
      <c r="G2852" t="s">
        <v>240</v>
      </c>
      <c r="H2852" t="s">
        <v>1730</v>
      </c>
      <c r="I2852" t="s">
        <v>147</v>
      </c>
      <c r="J2852" t="s">
        <v>36</v>
      </c>
      <c r="K2852">
        <v>1390</v>
      </c>
      <c r="O2852" t="s">
        <v>37</v>
      </c>
      <c r="P2852" t="s">
        <v>46</v>
      </c>
      <c r="U2852" s="9" t="s">
        <v>148</v>
      </c>
      <c r="V2852" t="s">
        <v>233</v>
      </c>
      <c r="W2852" t="s">
        <v>138</v>
      </c>
      <c r="X2852" t="s">
        <v>243</v>
      </c>
      <c r="Y2852" t="s">
        <v>40</v>
      </c>
      <c r="Z2852" t="s">
        <v>155</v>
      </c>
      <c r="AB2852" t="str">
        <f t="shared" si="132"/>
        <v>47529</v>
      </c>
    </row>
    <row r="2853" ht="14.25" spans="1:28">
      <c r="A2853" s="5" t="s">
        <v>28</v>
      </c>
      <c r="B2853" s="5" t="s">
        <v>697</v>
      </c>
      <c r="C2853" s="5">
        <v>2027</v>
      </c>
      <c r="D2853" s="5" t="s">
        <v>30</v>
      </c>
      <c r="E2853" t="s">
        <v>1731</v>
      </c>
      <c r="F2853" t="s">
        <v>1725</v>
      </c>
      <c r="G2853" t="s">
        <v>1157</v>
      </c>
      <c r="H2853" t="s">
        <v>1732</v>
      </c>
      <c r="I2853" t="s">
        <v>147</v>
      </c>
      <c r="J2853" t="s">
        <v>36</v>
      </c>
      <c r="K2853">
        <v>1390</v>
      </c>
      <c r="O2853" t="s">
        <v>37</v>
      </c>
      <c r="P2853" t="s">
        <v>38</v>
      </c>
      <c r="R2853">
        <f t="shared" si="133"/>
        <v>0</v>
      </c>
      <c r="S2853">
        <f>SUMIFS([1]Sheet1!$T:$T,[1]Sheet1!$I:$I,E2853,[1]Sheet1!$C:$C,A2853)</f>
        <v>150</v>
      </c>
      <c r="T2853">
        <f t="shared" si="134"/>
        <v>-150</v>
      </c>
      <c r="U2853" s="9" t="s">
        <v>148</v>
      </c>
      <c r="V2853" t="s">
        <v>233</v>
      </c>
      <c r="W2853" t="s">
        <v>138</v>
      </c>
      <c r="X2853" t="s">
        <v>70</v>
      </c>
      <c r="Y2853" t="s">
        <v>40</v>
      </c>
      <c r="Z2853" t="s">
        <v>155</v>
      </c>
      <c r="AB2853" t="str">
        <f t="shared" si="132"/>
        <v>47529</v>
      </c>
    </row>
    <row r="2854" ht="14.25" spans="1:28">
      <c r="A2854" s="5" t="s">
        <v>28</v>
      </c>
      <c r="B2854" s="5" t="s">
        <v>697</v>
      </c>
      <c r="C2854" s="5">
        <v>2027</v>
      </c>
      <c r="D2854" s="5" t="s">
        <v>30</v>
      </c>
      <c r="E2854" t="s">
        <v>1731</v>
      </c>
      <c r="F2854" t="s">
        <v>1725</v>
      </c>
      <c r="G2854" t="s">
        <v>1157</v>
      </c>
      <c r="H2854" t="s">
        <v>1732</v>
      </c>
      <c r="I2854" t="s">
        <v>147</v>
      </c>
      <c r="J2854" t="s">
        <v>36</v>
      </c>
      <c r="K2854">
        <v>1390</v>
      </c>
      <c r="O2854" t="s">
        <v>37</v>
      </c>
      <c r="P2854" t="s">
        <v>42</v>
      </c>
      <c r="U2854" s="9" t="s">
        <v>148</v>
      </c>
      <c r="V2854" t="s">
        <v>233</v>
      </c>
      <c r="W2854" t="s">
        <v>138</v>
      </c>
      <c r="X2854" t="s">
        <v>70</v>
      </c>
      <c r="Y2854" t="s">
        <v>40</v>
      </c>
      <c r="Z2854" t="s">
        <v>155</v>
      </c>
      <c r="AB2854" t="str">
        <f t="shared" si="132"/>
        <v>47529</v>
      </c>
    </row>
    <row r="2855" ht="14.25" spans="1:28">
      <c r="A2855" s="5" t="s">
        <v>28</v>
      </c>
      <c r="B2855" s="5" t="s">
        <v>697</v>
      </c>
      <c r="C2855" s="5">
        <v>2027</v>
      </c>
      <c r="D2855" s="5" t="s">
        <v>30</v>
      </c>
      <c r="E2855" t="s">
        <v>1731</v>
      </c>
      <c r="F2855" t="s">
        <v>1725</v>
      </c>
      <c r="G2855" t="s">
        <v>1157</v>
      </c>
      <c r="H2855" t="s">
        <v>1732</v>
      </c>
      <c r="I2855" t="s">
        <v>147</v>
      </c>
      <c r="J2855" t="s">
        <v>36</v>
      </c>
      <c r="K2855">
        <v>1390</v>
      </c>
      <c r="O2855" t="s">
        <v>37</v>
      </c>
      <c r="P2855" t="s">
        <v>43</v>
      </c>
      <c r="U2855" s="9" t="s">
        <v>148</v>
      </c>
      <c r="V2855" t="s">
        <v>233</v>
      </c>
      <c r="W2855" t="s">
        <v>138</v>
      </c>
      <c r="X2855" t="s">
        <v>70</v>
      </c>
      <c r="Y2855" t="s">
        <v>40</v>
      </c>
      <c r="Z2855" t="s">
        <v>155</v>
      </c>
      <c r="AB2855" t="str">
        <f t="shared" si="132"/>
        <v>47529</v>
      </c>
    </row>
    <row r="2856" ht="14.25" spans="1:28">
      <c r="A2856" s="5" t="s">
        <v>28</v>
      </c>
      <c r="B2856" s="5" t="s">
        <v>697</v>
      </c>
      <c r="C2856" s="5">
        <v>2027</v>
      </c>
      <c r="D2856" s="5" t="s">
        <v>30</v>
      </c>
      <c r="E2856" t="s">
        <v>1731</v>
      </c>
      <c r="F2856" t="s">
        <v>1725</v>
      </c>
      <c r="G2856" t="s">
        <v>1157</v>
      </c>
      <c r="H2856" t="s">
        <v>1732</v>
      </c>
      <c r="I2856" t="s">
        <v>147</v>
      </c>
      <c r="J2856" t="s">
        <v>36</v>
      </c>
      <c r="K2856">
        <v>1390</v>
      </c>
      <c r="O2856" t="s">
        <v>37</v>
      </c>
      <c r="P2856" t="s">
        <v>44</v>
      </c>
      <c r="U2856" s="9" t="s">
        <v>148</v>
      </c>
      <c r="V2856" t="s">
        <v>233</v>
      </c>
      <c r="W2856" t="s">
        <v>138</v>
      </c>
      <c r="X2856" t="s">
        <v>70</v>
      </c>
      <c r="Y2856" t="s">
        <v>40</v>
      </c>
      <c r="Z2856" t="s">
        <v>155</v>
      </c>
      <c r="AB2856" t="str">
        <f t="shared" si="132"/>
        <v>47529</v>
      </c>
    </row>
    <row r="2857" ht="14.25" spans="1:28">
      <c r="A2857" s="5" t="s">
        <v>28</v>
      </c>
      <c r="B2857" s="5" t="s">
        <v>697</v>
      </c>
      <c r="C2857" s="5">
        <v>2027</v>
      </c>
      <c r="D2857" s="5" t="s">
        <v>30</v>
      </c>
      <c r="E2857" t="s">
        <v>1731</v>
      </c>
      <c r="F2857" t="s">
        <v>1725</v>
      </c>
      <c r="G2857" t="s">
        <v>1157</v>
      </c>
      <c r="H2857" t="s">
        <v>1732</v>
      </c>
      <c r="I2857" t="s">
        <v>147</v>
      </c>
      <c r="J2857" t="s">
        <v>36</v>
      </c>
      <c r="K2857">
        <v>1390</v>
      </c>
      <c r="O2857" t="s">
        <v>37</v>
      </c>
      <c r="P2857" t="s">
        <v>45</v>
      </c>
      <c r="U2857" s="9" t="s">
        <v>148</v>
      </c>
      <c r="V2857" t="s">
        <v>233</v>
      </c>
      <c r="W2857" t="s">
        <v>138</v>
      </c>
      <c r="X2857" t="s">
        <v>70</v>
      </c>
      <c r="Y2857" t="s">
        <v>40</v>
      </c>
      <c r="Z2857" t="s">
        <v>155</v>
      </c>
      <c r="AB2857" t="str">
        <f t="shared" si="132"/>
        <v>47529</v>
      </c>
    </row>
    <row r="2858" ht="14.25" spans="1:28">
      <c r="A2858" s="5" t="s">
        <v>28</v>
      </c>
      <c r="B2858" s="5" t="s">
        <v>697</v>
      </c>
      <c r="C2858" s="5">
        <v>2027</v>
      </c>
      <c r="D2858" s="5" t="s">
        <v>30</v>
      </c>
      <c r="E2858" t="s">
        <v>1731</v>
      </c>
      <c r="F2858" t="s">
        <v>1725</v>
      </c>
      <c r="G2858" t="s">
        <v>1157</v>
      </c>
      <c r="H2858" t="s">
        <v>1732</v>
      </c>
      <c r="I2858" t="s">
        <v>147</v>
      </c>
      <c r="J2858" t="s">
        <v>36</v>
      </c>
      <c r="K2858">
        <v>1390</v>
      </c>
      <c r="O2858" t="s">
        <v>37</v>
      </c>
      <c r="P2858" t="s">
        <v>46</v>
      </c>
      <c r="U2858" s="9" t="s">
        <v>148</v>
      </c>
      <c r="V2858" t="s">
        <v>233</v>
      </c>
      <c r="W2858" t="s">
        <v>138</v>
      </c>
      <c r="X2858" t="s">
        <v>70</v>
      </c>
      <c r="Y2858" t="s">
        <v>40</v>
      </c>
      <c r="Z2858" t="s">
        <v>155</v>
      </c>
      <c r="AB2858" t="str">
        <f t="shared" si="132"/>
        <v>47529</v>
      </c>
    </row>
    <row r="2859" ht="14.25" spans="1:28">
      <c r="A2859" s="5" t="s">
        <v>28</v>
      </c>
      <c r="B2859" s="5" t="s">
        <v>697</v>
      </c>
      <c r="C2859" s="5">
        <v>2027</v>
      </c>
      <c r="D2859" s="5" t="s">
        <v>30</v>
      </c>
      <c r="E2859" t="s">
        <v>1733</v>
      </c>
      <c r="F2859" t="s">
        <v>1725</v>
      </c>
      <c r="G2859" t="s">
        <v>1122</v>
      </c>
      <c r="H2859" t="s">
        <v>1734</v>
      </c>
      <c r="I2859" t="s">
        <v>147</v>
      </c>
      <c r="J2859" t="s">
        <v>36</v>
      </c>
      <c r="K2859">
        <v>1390</v>
      </c>
      <c r="O2859" t="s">
        <v>37</v>
      </c>
      <c r="P2859" t="s">
        <v>38</v>
      </c>
      <c r="R2859">
        <f t="shared" si="133"/>
        <v>0</v>
      </c>
      <c r="S2859">
        <f>SUMIFS([1]Sheet1!$T:$T,[1]Sheet1!$I:$I,E2859,[1]Sheet1!$C:$C,A2859)</f>
        <v>40</v>
      </c>
      <c r="T2859">
        <f t="shared" si="134"/>
        <v>-40</v>
      </c>
      <c r="U2859" s="9" t="s">
        <v>148</v>
      </c>
      <c r="V2859" t="s">
        <v>233</v>
      </c>
      <c r="W2859" t="s">
        <v>138</v>
      </c>
      <c r="X2859" t="s">
        <v>503</v>
      </c>
      <c r="Y2859" t="s">
        <v>40</v>
      </c>
      <c r="Z2859" t="s">
        <v>155</v>
      </c>
      <c r="AB2859" t="str">
        <f t="shared" si="132"/>
        <v>47529</v>
      </c>
    </row>
    <row r="2860" ht="14.25" spans="1:28">
      <c r="A2860" s="5" t="s">
        <v>28</v>
      </c>
      <c r="B2860" s="5" t="s">
        <v>697</v>
      </c>
      <c r="C2860" s="5">
        <v>2027</v>
      </c>
      <c r="D2860" s="5" t="s">
        <v>30</v>
      </c>
      <c r="E2860" t="s">
        <v>1733</v>
      </c>
      <c r="F2860" t="s">
        <v>1725</v>
      </c>
      <c r="G2860" t="s">
        <v>1122</v>
      </c>
      <c r="H2860" t="s">
        <v>1734</v>
      </c>
      <c r="I2860" t="s">
        <v>147</v>
      </c>
      <c r="J2860" t="s">
        <v>36</v>
      </c>
      <c r="K2860">
        <v>1390</v>
      </c>
      <c r="O2860" t="s">
        <v>37</v>
      </c>
      <c r="P2860" t="s">
        <v>42</v>
      </c>
      <c r="U2860" s="9" t="s">
        <v>148</v>
      </c>
      <c r="V2860" t="s">
        <v>233</v>
      </c>
      <c r="W2860" t="s">
        <v>138</v>
      </c>
      <c r="X2860" t="s">
        <v>503</v>
      </c>
      <c r="Y2860" t="s">
        <v>40</v>
      </c>
      <c r="Z2860" t="s">
        <v>155</v>
      </c>
      <c r="AB2860" t="str">
        <f t="shared" si="132"/>
        <v>47529</v>
      </c>
    </row>
    <row r="2861" ht="14.25" spans="1:28">
      <c r="A2861" s="5" t="s">
        <v>28</v>
      </c>
      <c r="B2861" s="5" t="s">
        <v>697</v>
      </c>
      <c r="C2861" s="5">
        <v>2027</v>
      </c>
      <c r="D2861" s="5" t="s">
        <v>30</v>
      </c>
      <c r="E2861" t="s">
        <v>1733</v>
      </c>
      <c r="F2861" t="s">
        <v>1725</v>
      </c>
      <c r="G2861" t="s">
        <v>1122</v>
      </c>
      <c r="H2861" t="s">
        <v>1734</v>
      </c>
      <c r="I2861" t="s">
        <v>147</v>
      </c>
      <c r="J2861" t="s">
        <v>36</v>
      </c>
      <c r="K2861">
        <v>1390</v>
      </c>
      <c r="O2861" t="s">
        <v>37</v>
      </c>
      <c r="P2861" t="s">
        <v>43</v>
      </c>
      <c r="U2861" s="9" t="s">
        <v>148</v>
      </c>
      <c r="V2861" t="s">
        <v>233</v>
      </c>
      <c r="W2861" t="s">
        <v>138</v>
      </c>
      <c r="X2861" t="s">
        <v>503</v>
      </c>
      <c r="Y2861" t="s">
        <v>40</v>
      </c>
      <c r="Z2861" t="s">
        <v>155</v>
      </c>
      <c r="AB2861" t="str">
        <f t="shared" si="132"/>
        <v>47529</v>
      </c>
    </row>
    <row r="2862" ht="14.25" spans="1:28">
      <c r="A2862" s="5" t="s">
        <v>28</v>
      </c>
      <c r="B2862" s="5" t="s">
        <v>697</v>
      </c>
      <c r="C2862" s="5">
        <v>2027</v>
      </c>
      <c r="D2862" s="5" t="s">
        <v>30</v>
      </c>
      <c r="E2862" t="s">
        <v>1733</v>
      </c>
      <c r="F2862" t="s">
        <v>1725</v>
      </c>
      <c r="G2862" t="s">
        <v>1122</v>
      </c>
      <c r="H2862" t="s">
        <v>1734</v>
      </c>
      <c r="I2862" t="s">
        <v>147</v>
      </c>
      <c r="J2862" t="s">
        <v>36</v>
      </c>
      <c r="K2862">
        <v>1390</v>
      </c>
      <c r="O2862" t="s">
        <v>37</v>
      </c>
      <c r="P2862" t="s">
        <v>44</v>
      </c>
      <c r="U2862" s="9" t="s">
        <v>148</v>
      </c>
      <c r="V2862" t="s">
        <v>233</v>
      </c>
      <c r="W2862" t="s">
        <v>138</v>
      </c>
      <c r="X2862" t="s">
        <v>503</v>
      </c>
      <c r="Y2862" t="s">
        <v>40</v>
      </c>
      <c r="Z2862" t="s">
        <v>155</v>
      </c>
      <c r="AB2862" t="str">
        <f t="shared" si="132"/>
        <v>47529</v>
      </c>
    </row>
    <row r="2863" ht="14.25" spans="1:28">
      <c r="A2863" s="5" t="s">
        <v>28</v>
      </c>
      <c r="B2863" s="5" t="s">
        <v>697</v>
      </c>
      <c r="C2863" s="5">
        <v>2027</v>
      </c>
      <c r="D2863" s="5" t="s">
        <v>30</v>
      </c>
      <c r="E2863" t="s">
        <v>1733</v>
      </c>
      <c r="F2863" t="s">
        <v>1725</v>
      </c>
      <c r="G2863" t="s">
        <v>1122</v>
      </c>
      <c r="H2863" t="s">
        <v>1734</v>
      </c>
      <c r="I2863" t="s">
        <v>147</v>
      </c>
      <c r="J2863" t="s">
        <v>36</v>
      </c>
      <c r="K2863">
        <v>1390</v>
      </c>
      <c r="O2863" t="s">
        <v>37</v>
      </c>
      <c r="P2863" t="s">
        <v>45</v>
      </c>
      <c r="U2863" s="9" t="s">
        <v>148</v>
      </c>
      <c r="V2863" t="s">
        <v>233</v>
      </c>
      <c r="W2863" t="s">
        <v>138</v>
      </c>
      <c r="X2863" t="s">
        <v>503</v>
      </c>
      <c r="Y2863" t="s">
        <v>40</v>
      </c>
      <c r="Z2863" t="s">
        <v>155</v>
      </c>
      <c r="AB2863" t="str">
        <f t="shared" si="132"/>
        <v>47529</v>
      </c>
    </row>
    <row r="2864" ht="14.25" spans="1:28">
      <c r="A2864" s="5" t="s">
        <v>28</v>
      </c>
      <c r="B2864" s="5" t="s">
        <v>697</v>
      </c>
      <c r="C2864" s="5">
        <v>2027</v>
      </c>
      <c r="D2864" s="5" t="s">
        <v>30</v>
      </c>
      <c r="E2864" t="s">
        <v>1733</v>
      </c>
      <c r="F2864" t="s">
        <v>1725</v>
      </c>
      <c r="G2864" t="s">
        <v>1122</v>
      </c>
      <c r="H2864" t="s">
        <v>1734</v>
      </c>
      <c r="I2864" t="s">
        <v>147</v>
      </c>
      <c r="J2864" t="s">
        <v>36</v>
      </c>
      <c r="K2864">
        <v>1390</v>
      </c>
      <c r="O2864" t="s">
        <v>37</v>
      </c>
      <c r="P2864" t="s">
        <v>46</v>
      </c>
      <c r="U2864" s="9" t="s">
        <v>148</v>
      </c>
      <c r="V2864" t="s">
        <v>233</v>
      </c>
      <c r="W2864" t="s">
        <v>138</v>
      </c>
      <c r="X2864" t="s">
        <v>503</v>
      </c>
      <c r="Y2864" t="s">
        <v>40</v>
      </c>
      <c r="Z2864" t="s">
        <v>155</v>
      </c>
      <c r="AB2864" t="str">
        <f t="shared" si="132"/>
        <v>47529</v>
      </c>
    </row>
    <row r="2865" ht="14.25" spans="1:28">
      <c r="A2865" s="5" t="s">
        <v>28</v>
      </c>
      <c r="B2865" s="5" t="s">
        <v>697</v>
      </c>
      <c r="C2865" s="5">
        <v>2027</v>
      </c>
      <c r="D2865" s="5" t="s">
        <v>30</v>
      </c>
      <c r="E2865" t="s">
        <v>1735</v>
      </c>
      <c r="F2865" t="s">
        <v>1725</v>
      </c>
      <c r="G2865" t="s">
        <v>60</v>
      </c>
      <c r="H2865" t="s">
        <v>1736</v>
      </c>
      <c r="I2865" t="s">
        <v>147</v>
      </c>
      <c r="J2865" t="s">
        <v>36</v>
      </c>
      <c r="K2865">
        <v>1390</v>
      </c>
      <c r="O2865" t="s">
        <v>37</v>
      </c>
      <c r="P2865" t="s">
        <v>38</v>
      </c>
      <c r="R2865">
        <f t="shared" si="133"/>
        <v>0</v>
      </c>
      <c r="S2865">
        <f>SUMIFS([1]Sheet1!$T:$T,[1]Sheet1!$I:$I,E2865,[1]Sheet1!$C:$C,A2865)</f>
        <v>200</v>
      </c>
      <c r="T2865">
        <f t="shared" si="134"/>
        <v>-200</v>
      </c>
      <c r="U2865" s="9" t="s">
        <v>148</v>
      </c>
      <c r="V2865" t="s">
        <v>233</v>
      </c>
      <c r="W2865" t="s">
        <v>138</v>
      </c>
      <c r="X2865" t="s">
        <v>62</v>
      </c>
      <c r="Y2865" t="s">
        <v>40</v>
      </c>
      <c r="Z2865" t="s">
        <v>155</v>
      </c>
      <c r="AB2865" t="str">
        <f t="shared" si="132"/>
        <v>47529</v>
      </c>
    </row>
    <row r="2866" ht="14.25" spans="1:28">
      <c r="A2866" s="5" t="s">
        <v>28</v>
      </c>
      <c r="B2866" s="5" t="s">
        <v>697</v>
      </c>
      <c r="C2866" s="5">
        <v>2027</v>
      </c>
      <c r="D2866" s="5" t="s">
        <v>30</v>
      </c>
      <c r="E2866" t="s">
        <v>1735</v>
      </c>
      <c r="F2866" t="s">
        <v>1725</v>
      </c>
      <c r="G2866" t="s">
        <v>60</v>
      </c>
      <c r="H2866" t="s">
        <v>1736</v>
      </c>
      <c r="I2866" t="s">
        <v>147</v>
      </c>
      <c r="J2866" t="s">
        <v>36</v>
      </c>
      <c r="K2866">
        <v>1390</v>
      </c>
      <c r="O2866" t="s">
        <v>37</v>
      </c>
      <c r="P2866" t="s">
        <v>42</v>
      </c>
      <c r="U2866" s="9" t="s">
        <v>148</v>
      </c>
      <c r="V2866" t="s">
        <v>233</v>
      </c>
      <c r="W2866" t="s">
        <v>138</v>
      </c>
      <c r="X2866" t="s">
        <v>62</v>
      </c>
      <c r="Y2866" t="s">
        <v>40</v>
      </c>
      <c r="Z2866" t="s">
        <v>155</v>
      </c>
      <c r="AB2866" t="str">
        <f t="shared" si="132"/>
        <v>47529</v>
      </c>
    </row>
    <row r="2867" ht="14.25" spans="1:28">
      <c r="A2867" s="5" t="s">
        <v>28</v>
      </c>
      <c r="B2867" s="5" t="s">
        <v>697</v>
      </c>
      <c r="C2867" s="5">
        <v>2027</v>
      </c>
      <c r="D2867" s="5" t="s">
        <v>30</v>
      </c>
      <c r="E2867" t="s">
        <v>1735</v>
      </c>
      <c r="F2867" t="s">
        <v>1725</v>
      </c>
      <c r="G2867" t="s">
        <v>60</v>
      </c>
      <c r="H2867" t="s">
        <v>1736</v>
      </c>
      <c r="I2867" t="s">
        <v>147</v>
      </c>
      <c r="J2867" t="s">
        <v>36</v>
      </c>
      <c r="K2867">
        <v>1390</v>
      </c>
      <c r="O2867" t="s">
        <v>37</v>
      </c>
      <c r="P2867" t="s">
        <v>43</v>
      </c>
      <c r="U2867" s="9" t="s">
        <v>148</v>
      </c>
      <c r="V2867" t="s">
        <v>233</v>
      </c>
      <c r="W2867" t="s">
        <v>138</v>
      </c>
      <c r="X2867" t="s">
        <v>62</v>
      </c>
      <c r="Y2867" t="s">
        <v>40</v>
      </c>
      <c r="Z2867" t="s">
        <v>155</v>
      </c>
      <c r="AB2867" t="str">
        <f t="shared" ref="AB2867:AB2930" si="135">MID(E2867,6,5)</f>
        <v>47529</v>
      </c>
    </row>
    <row r="2868" ht="14.25" spans="1:28">
      <c r="A2868" s="5" t="s">
        <v>28</v>
      </c>
      <c r="B2868" s="5" t="s">
        <v>697</v>
      </c>
      <c r="C2868" s="5">
        <v>2027</v>
      </c>
      <c r="D2868" s="5" t="s">
        <v>30</v>
      </c>
      <c r="E2868" t="s">
        <v>1735</v>
      </c>
      <c r="F2868" t="s">
        <v>1725</v>
      </c>
      <c r="G2868" t="s">
        <v>60</v>
      </c>
      <c r="H2868" t="s">
        <v>1736</v>
      </c>
      <c r="I2868" t="s">
        <v>147</v>
      </c>
      <c r="J2868" t="s">
        <v>36</v>
      </c>
      <c r="K2868">
        <v>1390</v>
      </c>
      <c r="O2868" t="s">
        <v>37</v>
      </c>
      <c r="P2868" t="s">
        <v>44</v>
      </c>
      <c r="U2868" s="9" t="s">
        <v>148</v>
      </c>
      <c r="V2868" t="s">
        <v>233</v>
      </c>
      <c r="W2868" t="s">
        <v>138</v>
      </c>
      <c r="X2868" t="s">
        <v>62</v>
      </c>
      <c r="Y2868" t="s">
        <v>40</v>
      </c>
      <c r="Z2868" t="s">
        <v>155</v>
      </c>
      <c r="AB2868" t="str">
        <f t="shared" si="135"/>
        <v>47529</v>
      </c>
    </row>
    <row r="2869" ht="14.25" spans="1:28">
      <c r="A2869" s="5" t="s">
        <v>28</v>
      </c>
      <c r="B2869" s="5" t="s">
        <v>697</v>
      </c>
      <c r="C2869" s="5">
        <v>2027</v>
      </c>
      <c r="D2869" s="5" t="s">
        <v>30</v>
      </c>
      <c r="E2869" t="s">
        <v>1735</v>
      </c>
      <c r="F2869" t="s">
        <v>1725</v>
      </c>
      <c r="G2869" t="s">
        <v>60</v>
      </c>
      <c r="H2869" t="s">
        <v>1736</v>
      </c>
      <c r="I2869" t="s">
        <v>147</v>
      </c>
      <c r="J2869" t="s">
        <v>36</v>
      </c>
      <c r="K2869">
        <v>1390</v>
      </c>
      <c r="O2869" t="s">
        <v>37</v>
      </c>
      <c r="P2869" t="s">
        <v>45</v>
      </c>
      <c r="U2869" s="9" t="s">
        <v>148</v>
      </c>
      <c r="V2869" t="s">
        <v>233</v>
      </c>
      <c r="W2869" t="s">
        <v>138</v>
      </c>
      <c r="X2869" t="s">
        <v>62</v>
      </c>
      <c r="Y2869" t="s">
        <v>40</v>
      </c>
      <c r="Z2869" t="s">
        <v>155</v>
      </c>
      <c r="AB2869" t="str">
        <f t="shared" si="135"/>
        <v>47529</v>
      </c>
    </row>
    <row r="2870" ht="14.25" spans="1:28">
      <c r="A2870" s="5" t="s">
        <v>28</v>
      </c>
      <c r="B2870" s="5" t="s">
        <v>697</v>
      </c>
      <c r="C2870" s="5">
        <v>2027</v>
      </c>
      <c r="D2870" s="5" t="s">
        <v>30</v>
      </c>
      <c r="E2870" t="s">
        <v>1735</v>
      </c>
      <c r="F2870" t="s">
        <v>1725</v>
      </c>
      <c r="G2870" t="s">
        <v>60</v>
      </c>
      <c r="H2870" t="s">
        <v>1736</v>
      </c>
      <c r="I2870" t="s">
        <v>147</v>
      </c>
      <c r="J2870" t="s">
        <v>36</v>
      </c>
      <c r="K2870">
        <v>1390</v>
      </c>
      <c r="O2870" t="s">
        <v>37</v>
      </c>
      <c r="P2870" t="s">
        <v>46</v>
      </c>
      <c r="U2870" s="9" t="s">
        <v>148</v>
      </c>
      <c r="V2870" t="s">
        <v>233</v>
      </c>
      <c r="W2870" t="s">
        <v>138</v>
      </c>
      <c r="X2870" t="s">
        <v>62</v>
      </c>
      <c r="Y2870" t="s">
        <v>40</v>
      </c>
      <c r="Z2870" t="s">
        <v>155</v>
      </c>
      <c r="AB2870" t="str">
        <f t="shared" si="135"/>
        <v>47529</v>
      </c>
    </row>
    <row r="2871" ht="14.25" spans="1:28">
      <c r="A2871" s="5" t="s">
        <v>28</v>
      </c>
      <c r="B2871" s="5" t="s">
        <v>697</v>
      </c>
      <c r="C2871" s="5">
        <v>2027</v>
      </c>
      <c r="D2871" s="5" t="s">
        <v>30</v>
      </c>
      <c r="E2871" t="s">
        <v>1737</v>
      </c>
      <c r="F2871" t="s">
        <v>1738</v>
      </c>
      <c r="G2871" t="s">
        <v>923</v>
      </c>
      <c r="H2871" t="s">
        <v>1739</v>
      </c>
      <c r="I2871" t="s">
        <v>147</v>
      </c>
      <c r="J2871" t="s">
        <v>36</v>
      </c>
      <c r="K2871">
        <v>1390</v>
      </c>
      <c r="O2871" t="s">
        <v>37</v>
      </c>
      <c r="P2871" t="s">
        <v>38</v>
      </c>
      <c r="R2871">
        <f t="shared" si="133"/>
        <v>0</v>
      </c>
      <c r="S2871">
        <f>SUMIFS([1]Sheet1!$T:$T,[1]Sheet1!$I:$I,E2871,[1]Sheet1!$C:$C,A2871)</f>
        <v>300</v>
      </c>
      <c r="T2871">
        <f t="shared" si="134"/>
        <v>-300</v>
      </c>
      <c r="U2871" s="9" t="s">
        <v>148</v>
      </c>
      <c r="V2871" t="s">
        <v>164</v>
      </c>
      <c r="W2871" t="s">
        <v>138</v>
      </c>
      <c r="X2871" t="s">
        <v>70</v>
      </c>
      <c r="Y2871" t="s">
        <v>1070</v>
      </c>
      <c r="Z2871" t="s">
        <v>155</v>
      </c>
      <c r="AA2871" t="s">
        <v>1071</v>
      </c>
      <c r="AB2871" t="str">
        <f t="shared" si="135"/>
        <v>47531</v>
      </c>
    </row>
    <row r="2872" ht="14.25" spans="1:28">
      <c r="A2872" s="5" t="s">
        <v>28</v>
      </c>
      <c r="B2872" s="5" t="s">
        <v>697</v>
      </c>
      <c r="C2872" s="5">
        <v>2027</v>
      </c>
      <c r="D2872" s="5" t="s">
        <v>30</v>
      </c>
      <c r="E2872" t="s">
        <v>1737</v>
      </c>
      <c r="F2872" t="s">
        <v>1738</v>
      </c>
      <c r="G2872" t="s">
        <v>923</v>
      </c>
      <c r="H2872" t="s">
        <v>1739</v>
      </c>
      <c r="I2872" t="s">
        <v>147</v>
      </c>
      <c r="J2872" t="s">
        <v>36</v>
      </c>
      <c r="K2872">
        <v>1390</v>
      </c>
      <c r="O2872" t="s">
        <v>37</v>
      </c>
      <c r="P2872" t="s">
        <v>42</v>
      </c>
      <c r="U2872" s="9" t="s">
        <v>148</v>
      </c>
      <c r="V2872" t="s">
        <v>164</v>
      </c>
      <c r="W2872" t="s">
        <v>138</v>
      </c>
      <c r="X2872" t="s">
        <v>70</v>
      </c>
      <c r="Y2872" t="s">
        <v>1070</v>
      </c>
      <c r="Z2872" t="s">
        <v>155</v>
      </c>
      <c r="AA2872" t="s">
        <v>1071</v>
      </c>
      <c r="AB2872" t="str">
        <f t="shared" si="135"/>
        <v>47531</v>
      </c>
    </row>
    <row r="2873" ht="14.25" spans="1:28">
      <c r="A2873" s="5" t="s">
        <v>28</v>
      </c>
      <c r="B2873" s="5" t="s">
        <v>697</v>
      </c>
      <c r="C2873" s="5">
        <v>2027</v>
      </c>
      <c r="D2873" s="5" t="s">
        <v>30</v>
      </c>
      <c r="E2873" t="s">
        <v>1737</v>
      </c>
      <c r="F2873" t="s">
        <v>1738</v>
      </c>
      <c r="G2873" t="s">
        <v>923</v>
      </c>
      <c r="H2873" t="s">
        <v>1739</v>
      </c>
      <c r="I2873" t="s">
        <v>147</v>
      </c>
      <c r="J2873" t="s">
        <v>36</v>
      </c>
      <c r="K2873">
        <v>1390</v>
      </c>
      <c r="O2873" t="s">
        <v>37</v>
      </c>
      <c r="P2873" t="s">
        <v>43</v>
      </c>
      <c r="U2873" s="9" t="s">
        <v>148</v>
      </c>
      <c r="V2873" t="s">
        <v>164</v>
      </c>
      <c r="W2873" t="s">
        <v>138</v>
      </c>
      <c r="X2873" t="s">
        <v>70</v>
      </c>
      <c r="Y2873" t="s">
        <v>1070</v>
      </c>
      <c r="Z2873" t="s">
        <v>155</v>
      </c>
      <c r="AA2873" t="s">
        <v>1071</v>
      </c>
      <c r="AB2873" t="str">
        <f t="shared" si="135"/>
        <v>47531</v>
      </c>
    </row>
    <row r="2874" ht="14.25" spans="1:28">
      <c r="A2874" s="5" t="s">
        <v>28</v>
      </c>
      <c r="B2874" s="5" t="s">
        <v>697</v>
      </c>
      <c r="C2874" s="5">
        <v>2027</v>
      </c>
      <c r="D2874" s="5" t="s">
        <v>30</v>
      </c>
      <c r="E2874" t="s">
        <v>1737</v>
      </c>
      <c r="F2874" t="s">
        <v>1738</v>
      </c>
      <c r="G2874" t="s">
        <v>923</v>
      </c>
      <c r="H2874" t="s">
        <v>1739</v>
      </c>
      <c r="I2874" t="s">
        <v>147</v>
      </c>
      <c r="J2874" t="s">
        <v>36</v>
      </c>
      <c r="K2874">
        <v>1390</v>
      </c>
      <c r="O2874" t="s">
        <v>37</v>
      </c>
      <c r="P2874" t="s">
        <v>44</v>
      </c>
      <c r="U2874" s="9" t="s">
        <v>148</v>
      </c>
      <c r="V2874" t="s">
        <v>164</v>
      </c>
      <c r="W2874" t="s">
        <v>138</v>
      </c>
      <c r="X2874" t="s">
        <v>70</v>
      </c>
      <c r="Y2874" t="s">
        <v>1070</v>
      </c>
      <c r="Z2874" t="s">
        <v>155</v>
      </c>
      <c r="AA2874" t="s">
        <v>1071</v>
      </c>
      <c r="AB2874" t="str">
        <f t="shared" si="135"/>
        <v>47531</v>
      </c>
    </row>
    <row r="2875" ht="14.25" spans="1:28">
      <c r="A2875" s="5" t="s">
        <v>28</v>
      </c>
      <c r="B2875" s="5" t="s">
        <v>697</v>
      </c>
      <c r="C2875" s="5">
        <v>2027</v>
      </c>
      <c r="D2875" s="5" t="s">
        <v>30</v>
      </c>
      <c r="E2875" t="s">
        <v>1737</v>
      </c>
      <c r="F2875" t="s">
        <v>1738</v>
      </c>
      <c r="G2875" t="s">
        <v>923</v>
      </c>
      <c r="H2875" t="s">
        <v>1739</v>
      </c>
      <c r="I2875" t="s">
        <v>147</v>
      </c>
      <c r="J2875" t="s">
        <v>36</v>
      </c>
      <c r="K2875">
        <v>1390</v>
      </c>
      <c r="O2875" t="s">
        <v>37</v>
      </c>
      <c r="P2875" t="s">
        <v>45</v>
      </c>
      <c r="U2875" s="9" t="s">
        <v>148</v>
      </c>
      <c r="V2875" t="s">
        <v>164</v>
      </c>
      <c r="W2875" t="s">
        <v>138</v>
      </c>
      <c r="X2875" t="s">
        <v>70</v>
      </c>
      <c r="Y2875" t="s">
        <v>1070</v>
      </c>
      <c r="Z2875" t="s">
        <v>155</v>
      </c>
      <c r="AA2875" t="s">
        <v>1071</v>
      </c>
      <c r="AB2875" t="str">
        <f t="shared" si="135"/>
        <v>47531</v>
      </c>
    </row>
    <row r="2876" ht="14.25" spans="1:28">
      <c r="A2876" s="5" t="s">
        <v>28</v>
      </c>
      <c r="B2876" s="5" t="s">
        <v>697</v>
      </c>
      <c r="C2876" s="5">
        <v>2027</v>
      </c>
      <c r="D2876" s="5" t="s">
        <v>30</v>
      </c>
      <c r="E2876" t="s">
        <v>1737</v>
      </c>
      <c r="F2876" t="s">
        <v>1738</v>
      </c>
      <c r="G2876" t="s">
        <v>923</v>
      </c>
      <c r="H2876" t="s">
        <v>1739</v>
      </c>
      <c r="I2876" t="s">
        <v>147</v>
      </c>
      <c r="J2876" t="s">
        <v>36</v>
      </c>
      <c r="K2876">
        <v>1390</v>
      </c>
      <c r="O2876" t="s">
        <v>37</v>
      </c>
      <c r="P2876" t="s">
        <v>46</v>
      </c>
      <c r="U2876" s="9" t="s">
        <v>148</v>
      </c>
      <c r="V2876" t="s">
        <v>164</v>
      </c>
      <c r="W2876" t="s">
        <v>138</v>
      </c>
      <c r="X2876" t="s">
        <v>70</v>
      </c>
      <c r="Y2876" t="s">
        <v>1070</v>
      </c>
      <c r="Z2876" t="s">
        <v>155</v>
      </c>
      <c r="AA2876" t="s">
        <v>1071</v>
      </c>
      <c r="AB2876" t="str">
        <f t="shared" si="135"/>
        <v>47531</v>
      </c>
    </row>
    <row r="2877" ht="14.25" spans="1:28">
      <c r="A2877" s="5" t="s">
        <v>28</v>
      </c>
      <c r="B2877" s="5" t="s">
        <v>697</v>
      </c>
      <c r="C2877" s="5">
        <v>2027</v>
      </c>
      <c r="D2877" s="5" t="s">
        <v>30</v>
      </c>
      <c r="E2877" t="s">
        <v>1740</v>
      </c>
      <c r="F2877" t="s">
        <v>1738</v>
      </c>
      <c r="G2877" t="s">
        <v>100</v>
      </c>
      <c r="H2877" t="s">
        <v>1741</v>
      </c>
      <c r="I2877" t="s">
        <v>147</v>
      </c>
      <c r="J2877" t="s">
        <v>36</v>
      </c>
      <c r="K2877">
        <v>1390</v>
      </c>
      <c r="O2877" t="s">
        <v>37</v>
      </c>
      <c r="P2877" t="s">
        <v>38</v>
      </c>
      <c r="R2877">
        <f t="shared" si="133"/>
        <v>0</v>
      </c>
      <c r="S2877">
        <f>SUMIFS([1]Sheet1!$T:$T,[1]Sheet1!$I:$I,E2877,[1]Sheet1!$C:$C,A2877)</f>
        <v>250</v>
      </c>
      <c r="T2877">
        <f t="shared" si="134"/>
        <v>-250</v>
      </c>
      <c r="U2877" s="9" t="s">
        <v>148</v>
      </c>
      <c r="V2877" t="s">
        <v>164</v>
      </c>
      <c r="W2877" t="s">
        <v>138</v>
      </c>
      <c r="X2877" t="s">
        <v>102</v>
      </c>
      <c r="Y2877" t="s">
        <v>1070</v>
      </c>
      <c r="Z2877" t="s">
        <v>155</v>
      </c>
      <c r="AA2877" t="s">
        <v>1071</v>
      </c>
      <c r="AB2877" t="str">
        <f t="shared" si="135"/>
        <v>47531</v>
      </c>
    </row>
    <row r="2878" ht="14.25" spans="1:28">
      <c r="A2878" s="5" t="s">
        <v>28</v>
      </c>
      <c r="B2878" s="5" t="s">
        <v>697</v>
      </c>
      <c r="C2878" s="5">
        <v>2027</v>
      </c>
      <c r="D2878" s="5" t="s">
        <v>30</v>
      </c>
      <c r="E2878" t="s">
        <v>1740</v>
      </c>
      <c r="F2878" t="s">
        <v>1738</v>
      </c>
      <c r="G2878" t="s">
        <v>100</v>
      </c>
      <c r="H2878" t="s">
        <v>1741</v>
      </c>
      <c r="I2878" t="s">
        <v>147</v>
      </c>
      <c r="J2878" t="s">
        <v>36</v>
      </c>
      <c r="K2878">
        <v>1390</v>
      </c>
      <c r="O2878" t="s">
        <v>37</v>
      </c>
      <c r="P2878" t="s">
        <v>42</v>
      </c>
      <c r="U2878" s="9" t="s">
        <v>148</v>
      </c>
      <c r="V2878" t="s">
        <v>164</v>
      </c>
      <c r="W2878" t="s">
        <v>138</v>
      </c>
      <c r="X2878" t="s">
        <v>102</v>
      </c>
      <c r="Y2878" t="s">
        <v>1070</v>
      </c>
      <c r="Z2878" t="s">
        <v>155</v>
      </c>
      <c r="AA2878" t="s">
        <v>1071</v>
      </c>
      <c r="AB2878" t="str">
        <f t="shared" si="135"/>
        <v>47531</v>
      </c>
    </row>
    <row r="2879" ht="14.25" spans="1:28">
      <c r="A2879" s="5" t="s">
        <v>28</v>
      </c>
      <c r="B2879" s="5" t="s">
        <v>697</v>
      </c>
      <c r="C2879" s="5">
        <v>2027</v>
      </c>
      <c r="D2879" s="5" t="s">
        <v>30</v>
      </c>
      <c r="E2879" t="s">
        <v>1740</v>
      </c>
      <c r="F2879" t="s">
        <v>1738</v>
      </c>
      <c r="G2879" t="s">
        <v>100</v>
      </c>
      <c r="H2879" t="s">
        <v>1741</v>
      </c>
      <c r="I2879" t="s">
        <v>147</v>
      </c>
      <c r="J2879" t="s">
        <v>36</v>
      </c>
      <c r="K2879">
        <v>1390</v>
      </c>
      <c r="O2879" t="s">
        <v>37</v>
      </c>
      <c r="P2879" t="s">
        <v>43</v>
      </c>
      <c r="U2879" s="9" t="s">
        <v>148</v>
      </c>
      <c r="V2879" t="s">
        <v>164</v>
      </c>
      <c r="W2879" t="s">
        <v>138</v>
      </c>
      <c r="X2879" t="s">
        <v>102</v>
      </c>
      <c r="Y2879" t="s">
        <v>1070</v>
      </c>
      <c r="Z2879" t="s">
        <v>155</v>
      </c>
      <c r="AA2879" t="s">
        <v>1071</v>
      </c>
      <c r="AB2879" t="str">
        <f t="shared" si="135"/>
        <v>47531</v>
      </c>
    </row>
    <row r="2880" ht="14.25" spans="1:28">
      <c r="A2880" s="5" t="s">
        <v>28</v>
      </c>
      <c r="B2880" s="5" t="s">
        <v>697</v>
      </c>
      <c r="C2880" s="5">
        <v>2027</v>
      </c>
      <c r="D2880" s="5" t="s">
        <v>30</v>
      </c>
      <c r="E2880" t="s">
        <v>1740</v>
      </c>
      <c r="F2880" t="s">
        <v>1738</v>
      </c>
      <c r="G2880" t="s">
        <v>100</v>
      </c>
      <c r="H2880" t="s">
        <v>1741</v>
      </c>
      <c r="I2880" t="s">
        <v>147</v>
      </c>
      <c r="J2880" t="s">
        <v>36</v>
      </c>
      <c r="K2880">
        <v>1390</v>
      </c>
      <c r="O2880" t="s">
        <v>37</v>
      </c>
      <c r="P2880" t="s">
        <v>44</v>
      </c>
      <c r="U2880" s="9" t="s">
        <v>148</v>
      </c>
      <c r="V2880" t="s">
        <v>164</v>
      </c>
      <c r="W2880" t="s">
        <v>138</v>
      </c>
      <c r="X2880" t="s">
        <v>102</v>
      </c>
      <c r="Y2880" t="s">
        <v>1070</v>
      </c>
      <c r="Z2880" t="s">
        <v>155</v>
      </c>
      <c r="AA2880" t="s">
        <v>1071</v>
      </c>
      <c r="AB2880" t="str">
        <f t="shared" si="135"/>
        <v>47531</v>
      </c>
    </row>
    <row r="2881" ht="14.25" spans="1:28">
      <c r="A2881" s="5" t="s">
        <v>28</v>
      </c>
      <c r="B2881" s="5" t="s">
        <v>697</v>
      </c>
      <c r="C2881" s="5">
        <v>2027</v>
      </c>
      <c r="D2881" s="5" t="s">
        <v>30</v>
      </c>
      <c r="E2881" t="s">
        <v>1740</v>
      </c>
      <c r="F2881" t="s">
        <v>1738</v>
      </c>
      <c r="G2881" t="s">
        <v>100</v>
      </c>
      <c r="H2881" t="s">
        <v>1741</v>
      </c>
      <c r="I2881" t="s">
        <v>147</v>
      </c>
      <c r="J2881" t="s">
        <v>36</v>
      </c>
      <c r="K2881">
        <v>1390</v>
      </c>
      <c r="O2881" t="s">
        <v>37</v>
      </c>
      <c r="P2881" t="s">
        <v>45</v>
      </c>
      <c r="U2881" s="9" t="s">
        <v>148</v>
      </c>
      <c r="V2881" t="s">
        <v>164</v>
      </c>
      <c r="W2881" t="s">
        <v>138</v>
      </c>
      <c r="X2881" t="s">
        <v>102</v>
      </c>
      <c r="Y2881" t="s">
        <v>1070</v>
      </c>
      <c r="Z2881" t="s">
        <v>155</v>
      </c>
      <c r="AA2881" t="s">
        <v>1071</v>
      </c>
      <c r="AB2881" t="str">
        <f t="shared" si="135"/>
        <v>47531</v>
      </c>
    </row>
    <row r="2882" ht="14.25" spans="1:28">
      <c r="A2882" s="5" t="s">
        <v>28</v>
      </c>
      <c r="B2882" s="5" t="s">
        <v>697</v>
      </c>
      <c r="C2882" s="5">
        <v>2027</v>
      </c>
      <c r="D2882" s="5" t="s">
        <v>30</v>
      </c>
      <c r="E2882" t="s">
        <v>1740</v>
      </c>
      <c r="F2882" t="s">
        <v>1738</v>
      </c>
      <c r="G2882" t="s">
        <v>100</v>
      </c>
      <c r="H2882" t="s">
        <v>1741</v>
      </c>
      <c r="I2882" t="s">
        <v>147</v>
      </c>
      <c r="J2882" t="s">
        <v>36</v>
      </c>
      <c r="K2882">
        <v>1390</v>
      </c>
      <c r="O2882" t="s">
        <v>37</v>
      </c>
      <c r="P2882" t="s">
        <v>46</v>
      </c>
      <c r="U2882" s="9" t="s">
        <v>148</v>
      </c>
      <c r="V2882" t="s">
        <v>164</v>
      </c>
      <c r="W2882" t="s">
        <v>138</v>
      </c>
      <c r="X2882" t="s">
        <v>102</v>
      </c>
      <c r="Y2882" t="s">
        <v>1070</v>
      </c>
      <c r="Z2882" t="s">
        <v>155</v>
      </c>
      <c r="AA2882" t="s">
        <v>1071</v>
      </c>
      <c r="AB2882" t="str">
        <f t="shared" si="135"/>
        <v>47531</v>
      </c>
    </row>
    <row r="2883" ht="14.25" spans="1:28">
      <c r="A2883" s="5" t="s">
        <v>28</v>
      </c>
      <c r="B2883" s="5" t="s">
        <v>697</v>
      </c>
      <c r="C2883" s="5">
        <v>2027</v>
      </c>
      <c r="D2883" s="5" t="s">
        <v>30</v>
      </c>
      <c r="E2883" t="s">
        <v>1742</v>
      </c>
      <c r="F2883" t="s">
        <v>1738</v>
      </c>
      <c r="G2883" t="s">
        <v>1075</v>
      </c>
      <c r="H2883" t="s">
        <v>1743</v>
      </c>
      <c r="I2883" t="s">
        <v>147</v>
      </c>
      <c r="J2883" t="s">
        <v>36</v>
      </c>
      <c r="K2883">
        <v>1390</v>
      </c>
      <c r="O2883" t="s">
        <v>37</v>
      </c>
      <c r="P2883" t="s">
        <v>38</v>
      </c>
      <c r="R2883">
        <f t="shared" ref="R2882:R2945" si="136">SUMIFS(Q:Q,E:E,E2883)</f>
        <v>0</v>
      </c>
      <c r="S2883">
        <f>SUMIFS([1]Sheet1!$T:$T,[1]Sheet1!$I:$I,E2883,[1]Sheet1!$C:$C,A2883)</f>
        <v>30</v>
      </c>
      <c r="T2883">
        <f t="shared" ref="T2882:T2945" si="137">R2883-S2883</f>
        <v>-30</v>
      </c>
      <c r="U2883" s="9" t="s">
        <v>148</v>
      </c>
      <c r="V2883" t="s">
        <v>164</v>
      </c>
      <c r="W2883" t="s">
        <v>138</v>
      </c>
      <c r="X2883" t="s">
        <v>1077</v>
      </c>
      <c r="Y2883" t="s">
        <v>1070</v>
      </c>
      <c r="Z2883" t="s">
        <v>155</v>
      </c>
      <c r="AA2883" t="s">
        <v>1071</v>
      </c>
      <c r="AB2883" t="str">
        <f t="shared" si="135"/>
        <v>47531</v>
      </c>
    </row>
    <row r="2884" ht="14.25" spans="1:28">
      <c r="A2884" s="5" t="s">
        <v>28</v>
      </c>
      <c r="B2884" s="5" t="s">
        <v>697</v>
      </c>
      <c r="C2884" s="5">
        <v>2027</v>
      </c>
      <c r="D2884" s="5" t="s">
        <v>30</v>
      </c>
      <c r="E2884" t="s">
        <v>1742</v>
      </c>
      <c r="F2884" t="s">
        <v>1738</v>
      </c>
      <c r="G2884" t="s">
        <v>1075</v>
      </c>
      <c r="H2884" t="s">
        <v>1743</v>
      </c>
      <c r="I2884" t="s">
        <v>147</v>
      </c>
      <c r="J2884" t="s">
        <v>36</v>
      </c>
      <c r="K2884">
        <v>1390</v>
      </c>
      <c r="O2884" t="s">
        <v>37</v>
      </c>
      <c r="P2884" t="s">
        <v>42</v>
      </c>
      <c r="U2884" s="9" t="s">
        <v>148</v>
      </c>
      <c r="V2884" t="s">
        <v>164</v>
      </c>
      <c r="W2884" t="s">
        <v>138</v>
      </c>
      <c r="X2884" t="s">
        <v>1077</v>
      </c>
      <c r="Y2884" t="s">
        <v>1070</v>
      </c>
      <c r="Z2884" t="s">
        <v>155</v>
      </c>
      <c r="AA2884" t="s">
        <v>1071</v>
      </c>
      <c r="AB2884" t="str">
        <f t="shared" si="135"/>
        <v>47531</v>
      </c>
    </row>
    <row r="2885" ht="14.25" spans="1:28">
      <c r="A2885" s="5" t="s">
        <v>28</v>
      </c>
      <c r="B2885" s="5" t="s">
        <v>697</v>
      </c>
      <c r="C2885" s="5">
        <v>2027</v>
      </c>
      <c r="D2885" s="5" t="s">
        <v>30</v>
      </c>
      <c r="E2885" t="s">
        <v>1742</v>
      </c>
      <c r="F2885" t="s">
        <v>1738</v>
      </c>
      <c r="G2885" t="s">
        <v>1075</v>
      </c>
      <c r="H2885" t="s">
        <v>1743</v>
      </c>
      <c r="I2885" t="s">
        <v>147</v>
      </c>
      <c r="J2885" t="s">
        <v>36</v>
      </c>
      <c r="K2885">
        <v>1390</v>
      </c>
      <c r="O2885" t="s">
        <v>37</v>
      </c>
      <c r="P2885" t="s">
        <v>43</v>
      </c>
      <c r="U2885" s="9" t="s">
        <v>148</v>
      </c>
      <c r="V2885" t="s">
        <v>164</v>
      </c>
      <c r="W2885" t="s">
        <v>138</v>
      </c>
      <c r="X2885" t="s">
        <v>1077</v>
      </c>
      <c r="Y2885" t="s">
        <v>1070</v>
      </c>
      <c r="Z2885" t="s">
        <v>155</v>
      </c>
      <c r="AA2885" t="s">
        <v>1071</v>
      </c>
      <c r="AB2885" t="str">
        <f t="shared" si="135"/>
        <v>47531</v>
      </c>
    </row>
    <row r="2886" ht="14.25" spans="1:28">
      <c r="A2886" s="5" t="s">
        <v>28</v>
      </c>
      <c r="B2886" s="5" t="s">
        <v>697</v>
      </c>
      <c r="C2886" s="5">
        <v>2027</v>
      </c>
      <c r="D2886" s="5" t="s">
        <v>30</v>
      </c>
      <c r="E2886" t="s">
        <v>1742</v>
      </c>
      <c r="F2886" t="s">
        <v>1738</v>
      </c>
      <c r="G2886" t="s">
        <v>1075</v>
      </c>
      <c r="H2886" t="s">
        <v>1743</v>
      </c>
      <c r="I2886" t="s">
        <v>147</v>
      </c>
      <c r="J2886" t="s">
        <v>36</v>
      </c>
      <c r="K2886">
        <v>1390</v>
      </c>
      <c r="O2886" t="s">
        <v>37</v>
      </c>
      <c r="P2886" t="s">
        <v>44</v>
      </c>
      <c r="U2886" s="9" t="s">
        <v>148</v>
      </c>
      <c r="V2886" t="s">
        <v>164</v>
      </c>
      <c r="W2886" t="s">
        <v>138</v>
      </c>
      <c r="X2886" t="s">
        <v>1077</v>
      </c>
      <c r="Y2886" t="s">
        <v>1070</v>
      </c>
      <c r="Z2886" t="s">
        <v>155</v>
      </c>
      <c r="AA2886" t="s">
        <v>1071</v>
      </c>
      <c r="AB2886" t="str">
        <f t="shared" si="135"/>
        <v>47531</v>
      </c>
    </row>
    <row r="2887" ht="14.25" spans="1:28">
      <c r="A2887" s="5" t="s">
        <v>28</v>
      </c>
      <c r="B2887" s="5" t="s">
        <v>697</v>
      </c>
      <c r="C2887" s="5">
        <v>2027</v>
      </c>
      <c r="D2887" s="5" t="s">
        <v>30</v>
      </c>
      <c r="E2887" t="s">
        <v>1742</v>
      </c>
      <c r="F2887" t="s">
        <v>1738</v>
      </c>
      <c r="G2887" t="s">
        <v>1075</v>
      </c>
      <c r="H2887" t="s">
        <v>1743</v>
      </c>
      <c r="I2887" t="s">
        <v>147</v>
      </c>
      <c r="J2887" t="s">
        <v>36</v>
      </c>
      <c r="K2887">
        <v>1390</v>
      </c>
      <c r="O2887" t="s">
        <v>37</v>
      </c>
      <c r="P2887" t="s">
        <v>45</v>
      </c>
      <c r="U2887" s="9" t="s">
        <v>148</v>
      </c>
      <c r="V2887" t="s">
        <v>164</v>
      </c>
      <c r="W2887" t="s">
        <v>138</v>
      </c>
      <c r="X2887" t="s">
        <v>1077</v>
      </c>
      <c r="Y2887" t="s">
        <v>1070</v>
      </c>
      <c r="Z2887" t="s">
        <v>155</v>
      </c>
      <c r="AA2887" t="s">
        <v>1071</v>
      </c>
      <c r="AB2887" t="str">
        <f t="shared" si="135"/>
        <v>47531</v>
      </c>
    </row>
    <row r="2888" ht="14.25" spans="1:28">
      <c r="A2888" s="5" t="s">
        <v>28</v>
      </c>
      <c r="B2888" s="5" t="s">
        <v>697</v>
      </c>
      <c r="C2888" s="5">
        <v>2027</v>
      </c>
      <c r="D2888" s="5" t="s">
        <v>30</v>
      </c>
      <c r="E2888" t="s">
        <v>1742</v>
      </c>
      <c r="F2888" t="s">
        <v>1738</v>
      </c>
      <c r="G2888" t="s">
        <v>1075</v>
      </c>
      <c r="H2888" t="s">
        <v>1743</v>
      </c>
      <c r="I2888" t="s">
        <v>147</v>
      </c>
      <c r="J2888" t="s">
        <v>36</v>
      </c>
      <c r="K2888">
        <v>1390</v>
      </c>
      <c r="O2888" t="s">
        <v>37</v>
      </c>
      <c r="P2888" t="s">
        <v>46</v>
      </c>
      <c r="U2888" s="9" t="s">
        <v>148</v>
      </c>
      <c r="V2888" t="s">
        <v>164</v>
      </c>
      <c r="W2888" t="s">
        <v>138</v>
      </c>
      <c r="X2888" t="s">
        <v>1077</v>
      </c>
      <c r="Y2888" t="s">
        <v>1070</v>
      </c>
      <c r="Z2888" t="s">
        <v>155</v>
      </c>
      <c r="AA2888" t="s">
        <v>1071</v>
      </c>
      <c r="AB2888" t="str">
        <f t="shared" si="135"/>
        <v>47531</v>
      </c>
    </row>
    <row r="2889" ht="14.25" spans="1:28">
      <c r="A2889" s="5" t="s">
        <v>28</v>
      </c>
      <c r="B2889" s="5" t="s">
        <v>697</v>
      </c>
      <c r="C2889" s="5">
        <v>2027</v>
      </c>
      <c r="D2889" s="5" t="s">
        <v>30</v>
      </c>
      <c r="E2889" t="s">
        <v>1744</v>
      </c>
      <c r="F2889" t="s">
        <v>1745</v>
      </c>
      <c r="G2889" t="s">
        <v>182</v>
      </c>
      <c r="H2889" t="s">
        <v>1746</v>
      </c>
      <c r="I2889" t="s">
        <v>147</v>
      </c>
      <c r="J2889" t="s">
        <v>36</v>
      </c>
      <c r="K2889">
        <v>1390</v>
      </c>
      <c r="O2889" t="s">
        <v>37</v>
      </c>
      <c r="P2889" t="s">
        <v>38</v>
      </c>
      <c r="R2889">
        <f t="shared" si="136"/>
        <v>0</v>
      </c>
      <c r="S2889">
        <f>SUMIFS([1]Sheet1!$T:$T,[1]Sheet1!$I:$I,E2889,[1]Sheet1!$C:$C,A2889)</f>
        <v>0</v>
      </c>
      <c r="T2889">
        <f t="shared" si="137"/>
        <v>0</v>
      </c>
      <c r="U2889" s="9" t="s">
        <v>148</v>
      </c>
      <c r="V2889" t="s">
        <v>164</v>
      </c>
      <c r="W2889" t="s">
        <v>138</v>
      </c>
      <c r="X2889" t="s">
        <v>102</v>
      </c>
      <c r="Y2889" t="s">
        <v>165</v>
      </c>
      <c r="Z2889" t="s">
        <v>155</v>
      </c>
      <c r="AB2889" t="str">
        <f t="shared" si="135"/>
        <v>47532</v>
      </c>
    </row>
    <row r="2890" ht="14.25" spans="1:28">
      <c r="A2890" s="5" t="s">
        <v>28</v>
      </c>
      <c r="B2890" s="5" t="s">
        <v>697</v>
      </c>
      <c r="C2890" s="5">
        <v>2027</v>
      </c>
      <c r="D2890" s="5" t="s">
        <v>30</v>
      </c>
      <c r="E2890" t="s">
        <v>1744</v>
      </c>
      <c r="F2890" t="s">
        <v>1745</v>
      </c>
      <c r="G2890" t="s">
        <v>182</v>
      </c>
      <c r="H2890" t="s">
        <v>1746</v>
      </c>
      <c r="I2890" t="s">
        <v>147</v>
      </c>
      <c r="J2890" t="s">
        <v>36</v>
      </c>
      <c r="K2890">
        <v>1390</v>
      </c>
      <c r="O2890" t="s">
        <v>37</v>
      </c>
      <c r="P2890" t="s">
        <v>42</v>
      </c>
      <c r="U2890" s="9" t="s">
        <v>148</v>
      </c>
      <c r="V2890" t="s">
        <v>164</v>
      </c>
      <c r="W2890" t="s">
        <v>138</v>
      </c>
      <c r="X2890" t="s">
        <v>102</v>
      </c>
      <c r="Y2890" t="s">
        <v>165</v>
      </c>
      <c r="Z2890" t="s">
        <v>155</v>
      </c>
      <c r="AB2890" t="str">
        <f t="shared" si="135"/>
        <v>47532</v>
      </c>
    </row>
    <row r="2891" ht="14.25" spans="1:28">
      <c r="A2891" s="5" t="s">
        <v>28</v>
      </c>
      <c r="B2891" s="5" t="s">
        <v>697</v>
      </c>
      <c r="C2891" s="5">
        <v>2027</v>
      </c>
      <c r="D2891" s="5" t="s">
        <v>30</v>
      </c>
      <c r="E2891" t="s">
        <v>1744</v>
      </c>
      <c r="F2891" t="s">
        <v>1745</v>
      </c>
      <c r="G2891" t="s">
        <v>182</v>
      </c>
      <c r="H2891" t="s">
        <v>1746</v>
      </c>
      <c r="I2891" t="s">
        <v>147</v>
      </c>
      <c r="J2891" t="s">
        <v>36</v>
      </c>
      <c r="K2891">
        <v>1390</v>
      </c>
      <c r="O2891" t="s">
        <v>37</v>
      </c>
      <c r="P2891" t="s">
        <v>43</v>
      </c>
      <c r="U2891" s="9" t="s">
        <v>148</v>
      </c>
      <c r="V2891" t="s">
        <v>164</v>
      </c>
      <c r="W2891" t="s">
        <v>138</v>
      </c>
      <c r="X2891" t="s">
        <v>102</v>
      </c>
      <c r="Y2891" t="s">
        <v>165</v>
      </c>
      <c r="Z2891" t="s">
        <v>155</v>
      </c>
      <c r="AB2891" t="str">
        <f t="shared" si="135"/>
        <v>47532</v>
      </c>
    </row>
    <row r="2892" ht="14.25" spans="1:28">
      <c r="A2892" s="5" t="s">
        <v>28</v>
      </c>
      <c r="B2892" s="5" t="s">
        <v>697</v>
      </c>
      <c r="C2892" s="5">
        <v>2027</v>
      </c>
      <c r="D2892" s="5" t="s">
        <v>30</v>
      </c>
      <c r="E2892" t="s">
        <v>1744</v>
      </c>
      <c r="F2892" t="s">
        <v>1745</v>
      </c>
      <c r="G2892" t="s">
        <v>182</v>
      </c>
      <c r="H2892" t="s">
        <v>1746</v>
      </c>
      <c r="I2892" t="s">
        <v>147</v>
      </c>
      <c r="J2892" t="s">
        <v>36</v>
      </c>
      <c r="K2892">
        <v>1390</v>
      </c>
      <c r="O2892" t="s">
        <v>37</v>
      </c>
      <c r="P2892" t="s">
        <v>44</v>
      </c>
      <c r="U2892" s="9" t="s">
        <v>148</v>
      </c>
      <c r="V2892" t="s">
        <v>164</v>
      </c>
      <c r="W2892" t="s">
        <v>138</v>
      </c>
      <c r="X2892" t="s">
        <v>102</v>
      </c>
      <c r="Y2892" t="s">
        <v>165</v>
      </c>
      <c r="Z2892" t="s">
        <v>155</v>
      </c>
      <c r="AB2892" t="str">
        <f t="shared" si="135"/>
        <v>47532</v>
      </c>
    </row>
    <row r="2893" ht="14.25" spans="1:28">
      <c r="A2893" s="5" t="s">
        <v>28</v>
      </c>
      <c r="B2893" s="5" t="s">
        <v>697</v>
      </c>
      <c r="C2893" s="5">
        <v>2027</v>
      </c>
      <c r="D2893" s="5" t="s">
        <v>30</v>
      </c>
      <c r="E2893" t="s">
        <v>1744</v>
      </c>
      <c r="F2893" t="s">
        <v>1745</v>
      </c>
      <c r="G2893" t="s">
        <v>182</v>
      </c>
      <c r="H2893" t="s">
        <v>1746</v>
      </c>
      <c r="I2893" t="s">
        <v>147</v>
      </c>
      <c r="J2893" t="s">
        <v>36</v>
      </c>
      <c r="K2893">
        <v>1390</v>
      </c>
      <c r="O2893" t="s">
        <v>37</v>
      </c>
      <c r="P2893" t="s">
        <v>45</v>
      </c>
      <c r="U2893" s="9" t="s">
        <v>148</v>
      </c>
      <c r="V2893" t="s">
        <v>164</v>
      </c>
      <c r="W2893" t="s">
        <v>138</v>
      </c>
      <c r="X2893" t="s">
        <v>102</v>
      </c>
      <c r="Y2893" t="s">
        <v>165</v>
      </c>
      <c r="Z2893" t="s">
        <v>155</v>
      </c>
      <c r="AB2893" t="str">
        <f t="shared" si="135"/>
        <v>47532</v>
      </c>
    </row>
    <row r="2894" ht="14.25" spans="1:28">
      <c r="A2894" s="5" t="s">
        <v>28</v>
      </c>
      <c r="B2894" s="5" t="s">
        <v>697</v>
      </c>
      <c r="C2894" s="5">
        <v>2027</v>
      </c>
      <c r="D2894" s="5" t="s">
        <v>30</v>
      </c>
      <c r="E2894" t="s">
        <v>1744</v>
      </c>
      <c r="F2894" t="s">
        <v>1745</v>
      </c>
      <c r="G2894" t="s">
        <v>182</v>
      </c>
      <c r="H2894" t="s">
        <v>1746</v>
      </c>
      <c r="I2894" t="s">
        <v>147</v>
      </c>
      <c r="J2894" t="s">
        <v>36</v>
      </c>
      <c r="K2894">
        <v>1390</v>
      </c>
      <c r="O2894" t="s">
        <v>37</v>
      </c>
      <c r="P2894" t="s">
        <v>46</v>
      </c>
      <c r="U2894" s="9" t="s">
        <v>148</v>
      </c>
      <c r="V2894" t="s">
        <v>164</v>
      </c>
      <c r="W2894" t="s">
        <v>138</v>
      </c>
      <c r="X2894" t="s">
        <v>102</v>
      </c>
      <c r="Y2894" t="s">
        <v>165</v>
      </c>
      <c r="Z2894" t="s">
        <v>155</v>
      </c>
      <c r="AB2894" t="str">
        <f t="shared" si="135"/>
        <v>47532</v>
      </c>
    </row>
    <row r="2895" ht="14.25" spans="1:28">
      <c r="A2895" s="5" t="s">
        <v>28</v>
      </c>
      <c r="B2895" s="5" t="s">
        <v>697</v>
      </c>
      <c r="C2895" s="5">
        <v>2027</v>
      </c>
      <c r="D2895" s="5" t="s">
        <v>30</v>
      </c>
      <c r="E2895" t="s">
        <v>1747</v>
      </c>
      <c r="F2895" t="s">
        <v>1745</v>
      </c>
      <c r="G2895" t="s">
        <v>926</v>
      </c>
      <c r="H2895" t="s">
        <v>1748</v>
      </c>
      <c r="I2895" t="s">
        <v>147</v>
      </c>
      <c r="J2895" t="s">
        <v>36</v>
      </c>
      <c r="K2895">
        <v>1390</v>
      </c>
      <c r="O2895" t="s">
        <v>37</v>
      </c>
      <c r="P2895" t="s">
        <v>38</v>
      </c>
      <c r="R2895">
        <f t="shared" si="136"/>
        <v>0</v>
      </c>
      <c r="S2895">
        <f>SUMIFS([1]Sheet1!$T:$T,[1]Sheet1!$I:$I,E2895,[1]Sheet1!$C:$C,A2895)</f>
        <v>0</v>
      </c>
      <c r="T2895">
        <f t="shared" si="137"/>
        <v>0</v>
      </c>
      <c r="U2895" s="9" t="s">
        <v>148</v>
      </c>
      <c r="V2895" t="s">
        <v>164</v>
      </c>
      <c r="W2895" t="s">
        <v>138</v>
      </c>
      <c r="X2895" t="s">
        <v>94</v>
      </c>
      <c r="Y2895" t="s">
        <v>165</v>
      </c>
      <c r="Z2895" t="s">
        <v>155</v>
      </c>
      <c r="AB2895" t="str">
        <f t="shared" si="135"/>
        <v>47532</v>
      </c>
    </row>
    <row r="2896" ht="14.25" spans="1:28">
      <c r="A2896" s="5" t="s">
        <v>28</v>
      </c>
      <c r="B2896" s="5" t="s">
        <v>697</v>
      </c>
      <c r="C2896" s="5">
        <v>2027</v>
      </c>
      <c r="D2896" s="5" t="s">
        <v>30</v>
      </c>
      <c r="E2896" t="s">
        <v>1747</v>
      </c>
      <c r="F2896" t="s">
        <v>1745</v>
      </c>
      <c r="G2896" t="s">
        <v>926</v>
      </c>
      <c r="H2896" t="s">
        <v>1748</v>
      </c>
      <c r="I2896" t="s">
        <v>147</v>
      </c>
      <c r="J2896" t="s">
        <v>36</v>
      </c>
      <c r="K2896">
        <v>1390</v>
      </c>
      <c r="O2896" t="s">
        <v>37</v>
      </c>
      <c r="P2896" t="s">
        <v>42</v>
      </c>
      <c r="U2896" s="9" t="s">
        <v>148</v>
      </c>
      <c r="V2896" t="s">
        <v>164</v>
      </c>
      <c r="W2896" t="s">
        <v>138</v>
      </c>
      <c r="X2896" t="s">
        <v>94</v>
      </c>
      <c r="Y2896" t="s">
        <v>165</v>
      </c>
      <c r="Z2896" t="s">
        <v>155</v>
      </c>
      <c r="AB2896" t="str">
        <f t="shared" si="135"/>
        <v>47532</v>
      </c>
    </row>
    <row r="2897" ht="14.25" spans="1:28">
      <c r="A2897" s="5" t="s">
        <v>28</v>
      </c>
      <c r="B2897" s="5" t="s">
        <v>697</v>
      </c>
      <c r="C2897" s="5">
        <v>2027</v>
      </c>
      <c r="D2897" s="5" t="s">
        <v>30</v>
      </c>
      <c r="E2897" t="s">
        <v>1747</v>
      </c>
      <c r="F2897" t="s">
        <v>1745</v>
      </c>
      <c r="G2897" t="s">
        <v>926</v>
      </c>
      <c r="H2897" t="s">
        <v>1748</v>
      </c>
      <c r="I2897" t="s">
        <v>147</v>
      </c>
      <c r="J2897" t="s">
        <v>36</v>
      </c>
      <c r="K2897">
        <v>1390</v>
      </c>
      <c r="O2897" t="s">
        <v>37</v>
      </c>
      <c r="P2897" t="s">
        <v>43</v>
      </c>
      <c r="U2897" s="9" t="s">
        <v>148</v>
      </c>
      <c r="V2897" t="s">
        <v>164</v>
      </c>
      <c r="W2897" t="s">
        <v>138</v>
      </c>
      <c r="X2897" t="s">
        <v>94</v>
      </c>
      <c r="Y2897" t="s">
        <v>165</v>
      </c>
      <c r="Z2897" t="s">
        <v>155</v>
      </c>
      <c r="AB2897" t="str">
        <f t="shared" si="135"/>
        <v>47532</v>
      </c>
    </row>
    <row r="2898" ht="14.25" spans="1:28">
      <c r="A2898" s="5" t="s">
        <v>28</v>
      </c>
      <c r="B2898" s="5" t="s">
        <v>697</v>
      </c>
      <c r="C2898" s="5">
        <v>2027</v>
      </c>
      <c r="D2898" s="5" t="s">
        <v>30</v>
      </c>
      <c r="E2898" t="s">
        <v>1747</v>
      </c>
      <c r="F2898" t="s">
        <v>1745</v>
      </c>
      <c r="G2898" t="s">
        <v>926</v>
      </c>
      <c r="H2898" t="s">
        <v>1748</v>
      </c>
      <c r="I2898" t="s">
        <v>147</v>
      </c>
      <c r="J2898" t="s">
        <v>36</v>
      </c>
      <c r="K2898">
        <v>1390</v>
      </c>
      <c r="O2898" t="s">
        <v>37</v>
      </c>
      <c r="P2898" t="s">
        <v>44</v>
      </c>
      <c r="U2898" s="9" t="s">
        <v>148</v>
      </c>
      <c r="V2898" t="s">
        <v>164</v>
      </c>
      <c r="W2898" t="s">
        <v>138</v>
      </c>
      <c r="X2898" t="s">
        <v>94</v>
      </c>
      <c r="Y2898" t="s">
        <v>165</v>
      </c>
      <c r="Z2898" t="s">
        <v>155</v>
      </c>
      <c r="AB2898" t="str">
        <f t="shared" si="135"/>
        <v>47532</v>
      </c>
    </row>
    <row r="2899" ht="14.25" spans="1:28">
      <c r="A2899" s="5" t="s">
        <v>28</v>
      </c>
      <c r="B2899" s="5" t="s">
        <v>697</v>
      </c>
      <c r="C2899" s="5">
        <v>2027</v>
      </c>
      <c r="D2899" s="5" t="s">
        <v>30</v>
      </c>
      <c r="E2899" t="s">
        <v>1747</v>
      </c>
      <c r="F2899" t="s">
        <v>1745</v>
      </c>
      <c r="G2899" t="s">
        <v>926</v>
      </c>
      <c r="H2899" t="s">
        <v>1748</v>
      </c>
      <c r="I2899" t="s">
        <v>147</v>
      </c>
      <c r="J2899" t="s">
        <v>36</v>
      </c>
      <c r="K2899">
        <v>1390</v>
      </c>
      <c r="O2899" t="s">
        <v>37</v>
      </c>
      <c r="P2899" t="s">
        <v>45</v>
      </c>
      <c r="U2899" s="9" t="s">
        <v>148</v>
      </c>
      <c r="V2899" t="s">
        <v>164</v>
      </c>
      <c r="W2899" t="s">
        <v>138</v>
      </c>
      <c r="X2899" t="s">
        <v>94</v>
      </c>
      <c r="Y2899" t="s">
        <v>165</v>
      </c>
      <c r="Z2899" t="s">
        <v>155</v>
      </c>
      <c r="AB2899" t="str">
        <f t="shared" si="135"/>
        <v>47532</v>
      </c>
    </row>
    <row r="2900" ht="14.25" spans="1:28">
      <c r="A2900" s="5" t="s">
        <v>28</v>
      </c>
      <c r="B2900" s="5" t="s">
        <v>697</v>
      </c>
      <c r="C2900" s="5">
        <v>2027</v>
      </c>
      <c r="D2900" s="5" t="s">
        <v>30</v>
      </c>
      <c r="E2900" t="s">
        <v>1747</v>
      </c>
      <c r="F2900" t="s">
        <v>1745</v>
      </c>
      <c r="G2900" t="s">
        <v>926</v>
      </c>
      <c r="H2900" t="s">
        <v>1748</v>
      </c>
      <c r="I2900" t="s">
        <v>147</v>
      </c>
      <c r="J2900" t="s">
        <v>36</v>
      </c>
      <c r="K2900">
        <v>1390</v>
      </c>
      <c r="O2900" t="s">
        <v>37</v>
      </c>
      <c r="P2900" t="s">
        <v>46</v>
      </c>
      <c r="U2900" s="9" t="s">
        <v>148</v>
      </c>
      <c r="V2900" t="s">
        <v>164</v>
      </c>
      <c r="W2900" t="s">
        <v>138</v>
      </c>
      <c r="X2900" t="s">
        <v>94</v>
      </c>
      <c r="Y2900" t="s">
        <v>165</v>
      </c>
      <c r="Z2900" t="s">
        <v>155</v>
      </c>
      <c r="AB2900" t="str">
        <f t="shared" si="135"/>
        <v>47532</v>
      </c>
    </row>
    <row r="2901" ht="14.25" spans="1:28">
      <c r="A2901" s="5" t="s">
        <v>28</v>
      </c>
      <c r="B2901" s="5" t="s">
        <v>697</v>
      </c>
      <c r="C2901" s="5">
        <v>2027</v>
      </c>
      <c r="D2901" s="5" t="s">
        <v>30</v>
      </c>
      <c r="E2901" t="s">
        <v>1749</v>
      </c>
      <c r="F2901" t="s">
        <v>1745</v>
      </c>
      <c r="G2901" t="s">
        <v>1129</v>
      </c>
      <c r="H2901" t="s">
        <v>1750</v>
      </c>
      <c r="I2901" t="s">
        <v>112</v>
      </c>
      <c r="J2901" t="s">
        <v>36</v>
      </c>
      <c r="K2901">
        <v>1390</v>
      </c>
      <c r="O2901" t="s">
        <v>37</v>
      </c>
      <c r="P2901" t="s">
        <v>38</v>
      </c>
      <c r="R2901">
        <f t="shared" si="136"/>
        <v>0</v>
      </c>
      <c r="S2901">
        <f>SUMIFS([1]Sheet1!$T:$T,[1]Sheet1!$I:$I,E2901,[1]Sheet1!$C:$C,A2901)</f>
        <v>0</v>
      </c>
      <c r="T2901">
        <f t="shared" si="137"/>
        <v>0</v>
      </c>
      <c r="U2901" s="9" t="s">
        <v>148</v>
      </c>
      <c r="V2901" t="s">
        <v>164</v>
      </c>
      <c r="W2901" t="s">
        <v>138</v>
      </c>
      <c r="X2901" t="s">
        <v>1131</v>
      </c>
      <c r="Y2901" t="s">
        <v>165</v>
      </c>
      <c r="Z2901" t="s">
        <v>41</v>
      </c>
      <c r="AB2901" t="str">
        <f t="shared" si="135"/>
        <v>47532</v>
      </c>
    </row>
    <row r="2902" ht="14.25" spans="1:28">
      <c r="A2902" s="5" t="s">
        <v>28</v>
      </c>
      <c r="B2902" s="5" t="s">
        <v>697</v>
      </c>
      <c r="C2902" s="5">
        <v>2027</v>
      </c>
      <c r="D2902" s="5" t="s">
        <v>30</v>
      </c>
      <c r="E2902" t="s">
        <v>1749</v>
      </c>
      <c r="F2902" t="s">
        <v>1745</v>
      </c>
      <c r="G2902" t="s">
        <v>1129</v>
      </c>
      <c r="H2902" t="s">
        <v>1750</v>
      </c>
      <c r="I2902" t="s">
        <v>112</v>
      </c>
      <c r="J2902" t="s">
        <v>36</v>
      </c>
      <c r="K2902">
        <v>1390</v>
      </c>
      <c r="O2902" t="s">
        <v>37</v>
      </c>
      <c r="P2902" t="s">
        <v>42</v>
      </c>
      <c r="U2902" s="9" t="s">
        <v>148</v>
      </c>
      <c r="V2902" t="s">
        <v>164</v>
      </c>
      <c r="W2902" t="s">
        <v>138</v>
      </c>
      <c r="X2902" t="s">
        <v>1131</v>
      </c>
      <c r="Y2902" t="s">
        <v>165</v>
      </c>
      <c r="Z2902" t="s">
        <v>41</v>
      </c>
      <c r="AB2902" t="str">
        <f t="shared" si="135"/>
        <v>47532</v>
      </c>
    </row>
    <row r="2903" ht="14.25" spans="1:28">
      <c r="A2903" s="5" t="s">
        <v>28</v>
      </c>
      <c r="B2903" s="5" t="s">
        <v>697</v>
      </c>
      <c r="C2903" s="5">
        <v>2027</v>
      </c>
      <c r="D2903" s="5" t="s">
        <v>30</v>
      </c>
      <c r="E2903" t="s">
        <v>1749</v>
      </c>
      <c r="F2903" t="s">
        <v>1745</v>
      </c>
      <c r="G2903" t="s">
        <v>1129</v>
      </c>
      <c r="H2903" t="s">
        <v>1750</v>
      </c>
      <c r="I2903" t="s">
        <v>112</v>
      </c>
      <c r="J2903" t="s">
        <v>36</v>
      </c>
      <c r="K2903">
        <v>1390</v>
      </c>
      <c r="O2903" t="s">
        <v>37</v>
      </c>
      <c r="P2903" t="s">
        <v>43</v>
      </c>
      <c r="U2903" s="9" t="s">
        <v>148</v>
      </c>
      <c r="V2903" t="s">
        <v>164</v>
      </c>
      <c r="W2903" t="s">
        <v>138</v>
      </c>
      <c r="X2903" t="s">
        <v>1131</v>
      </c>
      <c r="Y2903" t="s">
        <v>165</v>
      </c>
      <c r="Z2903" t="s">
        <v>41</v>
      </c>
      <c r="AB2903" t="str">
        <f t="shared" si="135"/>
        <v>47532</v>
      </c>
    </row>
    <row r="2904" ht="14.25" spans="1:28">
      <c r="A2904" s="5" t="s">
        <v>28</v>
      </c>
      <c r="B2904" s="5" t="s">
        <v>697</v>
      </c>
      <c r="C2904" s="5">
        <v>2027</v>
      </c>
      <c r="D2904" s="5" t="s">
        <v>30</v>
      </c>
      <c r="E2904" t="s">
        <v>1749</v>
      </c>
      <c r="F2904" t="s">
        <v>1745</v>
      </c>
      <c r="G2904" t="s">
        <v>1129</v>
      </c>
      <c r="H2904" t="s">
        <v>1750</v>
      </c>
      <c r="I2904" t="s">
        <v>112</v>
      </c>
      <c r="J2904" t="s">
        <v>36</v>
      </c>
      <c r="K2904">
        <v>1390</v>
      </c>
      <c r="O2904" t="s">
        <v>37</v>
      </c>
      <c r="P2904" t="s">
        <v>44</v>
      </c>
      <c r="U2904" s="9" t="s">
        <v>148</v>
      </c>
      <c r="V2904" t="s">
        <v>164</v>
      </c>
      <c r="W2904" t="s">
        <v>138</v>
      </c>
      <c r="X2904" t="s">
        <v>1131</v>
      </c>
      <c r="Y2904" t="s">
        <v>165</v>
      </c>
      <c r="Z2904" t="s">
        <v>41</v>
      </c>
      <c r="AB2904" t="str">
        <f t="shared" si="135"/>
        <v>47532</v>
      </c>
    </row>
    <row r="2905" ht="14.25" spans="1:28">
      <c r="A2905" s="5" t="s">
        <v>28</v>
      </c>
      <c r="B2905" s="5" t="s">
        <v>697</v>
      </c>
      <c r="C2905" s="5">
        <v>2027</v>
      </c>
      <c r="D2905" s="5" t="s">
        <v>30</v>
      </c>
      <c r="E2905" t="s">
        <v>1749</v>
      </c>
      <c r="F2905" t="s">
        <v>1745</v>
      </c>
      <c r="G2905" t="s">
        <v>1129</v>
      </c>
      <c r="H2905" t="s">
        <v>1750</v>
      </c>
      <c r="I2905" t="s">
        <v>112</v>
      </c>
      <c r="J2905" t="s">
        <v>36</v>
      </c>
      <c r="K2905">
        <v>1390</v>
      </c>
      <c r="O2905" t="s">
        <v>37</v>
      </c>
      <c r="P2905" t="s">
        <v>45</v>
      </c>
      <c r="U2905" s="9" t="s">
        <v>148</v>
      </c>
      <c r="V2905" t="s">
        <v>164</v>
      </c>
      <c r="W2905" t="s">
        <v>138</v>
      </c>
      <c r="X2905" t="s">
        <v>1131</v>
      </c>
      <c r="Y2905" t="s">
        <v>165</v>
      </c>
      <c r="Z2905" t="s">
        <v>41</v>
      </c>
      <c r="AB2905" t="str">
        <f t="shared" si="135"/>
        <v>47532</v>
      </c>
    </row>
    <row r="2906" ht="14.25" spans="1:28">
      <c r="A2906" s="5" t="s">
        <v>28</v>
      </c>
      <c r="B2906" s="5" t="s">
        <v>697</v>
      </c>
      <c r="C2906" s="5">
        <v>2027</v>
      </c>
      <c r="D2906" s="5" t="s">
        <v>30</v>
      </c>
      <c r="E2906" t="s">
        <v>1749</v>
      </c>
      <c r="F2906" t="s">
        <v>1745</v>
      </c>
      <c r="G2906" t="s">
        <v>1129</v>
      </c>
      <c r="H2906" t="s">
        <v>1750</v>
      </c>
      <c r="I2906" t="s">
        <v>112</v>
      </c>
      <c r="J2906" t="s">
        <v>36</v>
      </c>
      <c r="K2906">
        <v>1390</v>
      </c>
      <c r="O2906" t="s">
        <v>37</v>
      </c>
      <c r="P2906" t="s">
        <v>46</v>
      </c>
      <c r="U2906" s="9" t="s">
        <v>148</v>
      </c>
      <c r="V2906" t="s">
        <v>164</v>
      </c>
      <c r="W2906" t="s">
        <v>138</v>
      </c>
      <c r="X2906" t="s">
        <v>1131</v>
      </c>
      <c r="Y2906" t="s">
        <v>165</v>
      </c>
      <c r="Z2906" t="s">
        <v>41</v>
      </c>
      <c r="AB2906" t="str">
        <f t="shared" si="135"/>
        <v>47532</v>
      </c>
    </row>
    <row r="2907" ht="14.25" spans="1:28">
      <c r="A2907" s="5" t="s">
        <v>28</v>
      </c>
      <c r="B2907" s="5" t="s">
        <v>697</v>
      </c>
      <c r="C2907" s="5">
        <v>2027</v>
      </c>
      <c r="D2907" s="5" t="s">
        <v>30</v>
      </c>
      <c r="E2907" t="s">
        <v>1751</v>
      </c>
      <c r="F2907" t="s">
        <v>1752</v>
      </c>
      <c r="G2907" t="s">
        <v>221</v>
      </c>
      <c r="H2907" t="s">
        <v>1753</v>
      </c>
      <c r="I2907" t="s">
        <v>119</v>
      </c>
      <c r="J2907" t="s">
        <v>36</v>
      </c>
      <c r="K2907">
        <v>1390</v>
      </c>
      <c r="O2907" t="s">
        <v>37</v>
      </c>
      <c r="P2907" t="s">
        <v>38</v>
      </c>
      <c r="R2907">
        <f t="shared" si="136"/>
        <v>0</v>
      </c>
      <c r="S2907">
        <f>SUMIFS([1]Sheet1!$T:$T,[1]Sheet1!$I:$I,E2907,[1]Sheet1!$C:$C,A2907)</f>
        <v>100</v>
      </c>
      <c r="T2907">
        <f t="shared" si="137"/>
        <v>-100</v>
      </c>
      <c r="U2907" s="9" t="s">
        <v>148</v>
      </c>
      <c r="V2907" t="s">
        <v>164</v>
      </c>
      <c r="W2907" t="s">
        <v>138</v>
      </c>
      <c r="X2907" t="s">
        <v>70</v>
      </c>
      <c r="Y2907" t="s">
        <v>1754</v>
      </c>
      <c r="Z2907" t="s">
        <v>155</v>
      </c>
      <c r="AB2907" t="str">
        <f t="shared" si="135"/>
        <v>47533</v>
      </c>
    </row>
    <row r="2908" ht="14.25" spans="1:28">
      <c r="A2908" s="5" t="s">
        <v>28</v>
      </c>
      <c r="B2908" s="5" t="s">
        <v>697</v>
      </c>
      <c r="C2908" s="5">
        <v>2027</v>
      </c>
      <c r="D2908" s="5" t="s">
        <v>30</v>
      </c>
      <c r="E2908" t="s">
        <v>1751</v>
      </c>
      <c r="F2908" t="s">
        <v>1752</v>
      </c>
      <c r="G2908" t="s">
        <v>221</v>
      </c>
      <c r="H2908" t="s">
        <v>1753</v>
      </c>
      <c r="I2908" t="s">
        <v>119</v>
      </c>
      <c r="J2908" t="s">
        <v>36</v>
      </c>
      <c r="K2908">
        <v>1390</v>
      </c>
      <c r="O2908" t="s">
        <v>37</v>
      </c>
      <c r="P2908" t="s">
        <v>42</v>
      </c>
      <c r="U2908" s="9" t="s">
        <v>148</v>
      </c>
      <c r="V2908" t="s">
        <v>164</v>
      </c>
      <c r="W2908" t="s">
        <v>138</v>
      </c>
      <c r="X2908" t="s">
        <v>70</v>
      </c>
      <c r="Y2908" t="s">
        <v>1754</v>
      </c>
      <c r="Z2908" t="s">
        <v>155</v>
      </c>
      <c r="AB2908" t="str">
        <f t="shared" si="135"/>
        <v>47533</v>
      </c>
    </row>
    <row r="2909" ht="14.25" spans="1:28">
      <c r="A2909" s="5" t="s">
        <v>28</v>
      </c>
      <c r="B2909" s="5" t="s">
        <v>697</v>
      </c>
      <c r="C2909" s="5">
        <v>2027</v>
      </c>
      <c r="D2909" s="5" t="s">
        <v>30</v>
      </c>
      <c r="E2909" t="s">
        <v>1751</v>
      </c>
      <c r="F2909" t="s">
        <v>1752</v>
      </c>
      <c r="G2909" t="s">
        <v>221</v>
      </c>
      <c r="H2909" t="s">
        <v>1753</v>
      </c>
      <c r="I2909" t="s">
        <v>119</v>
      </c>
      <c r="J2909" t="s">
        <v>36</v>
      </c>
      <c r="K2909">
        <v>1390</v>
      </c>
      <c r="O2909" t="s">
        <v>37</v>
      </c>
      <c r="P2909" t="s">
        <v>43</v>
      </c>
      <c r="U2909" s="9" t="s">
        <v>148</v>
      </c>
      <c r="V2909" t="s">
        <v>164</v>
      </c>
      <c r="W2909" t="s">
        <v>138</v>
      </c>
      <c r="X2909" t="s">
        <v>70</v>
      </c>
      <c r="Y2909" t="s">
        <v>1754</v>
      </c>
      <c r="Z2909" t="s">
        <v>155</v>
      </c>
      <c r="AB2909" t="str">
        <f t="shared" si="135"/>
        <v>47533</v>
      </c>
    </row>
    <row r="2910" ht="14.25" spans="1:28">
      <c r="A2910" s="5" t="s">
        <v>28</v>
      </c>
      <c r="B2910" s="5" t="s">
        <v>697</v>
      </c>
      <c r="C2910" s="5">
        <v>2027</v>
      </c>
      <c r="D2910" s="5" t="s">
        <v>30</v>
      </c>
      <c r="E2910" t="s">
        <v>1751</v>
      </c>
      <c r="F2910" t="s">
        <v>1752</v>
      </c>
      <c r="G2910" t="s">
        <v>221</v>
      </c>
      <c r="H2910" t="s">
        <v>1753</v>
      </c>
      <c r="I2910" t="s">
        <v>119</v>
      </c>
      <c r="J2910" t="s">
        <v>36</v>
      </c>
      <c r="K2910">
        <v>1390</v>
      </c>
      <c r="O2910" t="s">
        <v>37</v>
      </c>
      <c r="P2910" t="s">
        <v>44</v>
      </c>
      <c r="U2910" s="9" t="s">
        <v>148</v>
      </c>
      <c r="V2910" t="s">
        <v>164</v>
      </c>
      <c r="W2910" t="s">
        <v>138</v>
      </c>
      <c r="X2910" t="s">
        <v>70</v>
      </c>
      <c r="Y2910" t="s">
        <v>1754</v>
      </c>
      <c r="Z2910" t="s">
        <v>155</v>
      </c>
      <c r="AB2910" t="str">
        <f t="shared" si="135"/>
        <v>47533</v>
      </c>
    </row>
    <row r="2911" ht="14.25" spans="1:28">
      <c r="A2911" s="5" t="s">
        <v>28</v>
      </c>
      <c r="B2911" s="5" t="s">
        <v>697</v>
      </c>
      <c r="C2911" s="5">
        <v>2027</v>
      </c>
      <c r="D2911" s="5" t="s">
        <v>30</v>
      </c>
      <c r="E2911" t="s">
        <v>1751</v>
      </c>
      <c r="F2911" t="s">
        <v>1752</v>
      </c>
      <c r="G2911" t="s">
        <v>221</v>
      </c>
      <c r="H2911" t="s">
        <v>1753</v>
      </c>
      <c r="I2911" t="s">
        <v>119</v>
      </c>
      <c r="J2911" t="s">
        <v>36</v>
      </c>
      <c r="K2911">
        <v>1390</v>
      </c>
      <c r="O2911" t="s">
        <v>37</v>
      </c>
      <c r="P2911" t="s">
        <v>45</v>
      </c>
      <c r="U2911" s="9" t="s">
        <v>148</v>
      </c>
      <c r="V2911" t="s">
        <v>164</v>
      </c>
      <c r="W2911" t="s">
        <v>138</v>
      </c>
      <c r="X2911" t="s">
        <v>70</v>
      </c>
      <c r="Y2911" t="s">
        <v>1754</v>
      </c>
      <c r="Z2911" t="s">
        <v>155</v>
      </c>
      <c r="AB2911" t="str">
        <f t="shared" si="135"/>
        <v>47533</v>
      </c>
    </row>
    <row r="2912" ht="14.25" spans="1:28">
      <c r="A2912" s="5" t="s">
        <v>28</v>
      </c>
      <c r="B2912" s="5" t="s">
        <v>697</v>
      </c>
      <c r="C2912" s="5">
        <v>2027</v>
      </c>
      <c r="D2912" s="5" t="s">
        <v>30</v>
      </c>
      <c r="E2912" t="s">
        <v>1751</v>
      </c>
      <c r="F2912" t="s">
        <v>1752</v>
      </c>
      <c r="G2912" t="s">
        <v>221</v>
      </c>
      <c r="H2912" t="s">
        <v>1753</v>
      </c>
      <c r="I2912" t="s">
        <v>119</v>
      </c>
      <c r="J2912" t="s">
        <v>36</v>
      </c>
      <c r="K2912">
        <v>1390</v>
      </c>
      <c r="O2912" t="s">
        <v>37</v>
      </c>
      <c r="P2912" t="s">
        <v>46</v>
      </c>
      <c r="U2912" s="9" t="s">
        <v>148</v>
      </c>
      <c r="V2912" t="s">
        <v>164</v>
      </c>
      <c r="W2912" t="s">
        <v>138</v>
      </c>
      <c r="X2912" t="s">
        <v>70</v>
      </c>
      <c r="Y2912" t="s">
        <v>1754</v>
      </c>
      <c r="Z2912" t="s">
        <v>155</v>
      </c>
      <c r="AB2912" t="str">
        <f t="shared" si="135"/>
        <v>47533</v>
      </c>
    </row>
    <row r="2913" ht="14.25" spans="1:28">
      <c r="A2913" s="5" t="s">
        <v>28</v>
      </c>
      <c r="B2913" s="5" t="s">
        <v>697</v>
      </c>
      <c r="C2913" s="5">
        <v>2027</v>
      </c>
      <c r="D2913" s="5" t="s">
        <v>30</v>
      </c>
      <c r="E2913" t="s">
        <v>1755</v>
      </c>
      <c r="F2913" t="s">
        <v>1752</v>
      </c>
      <c r="G2913" t="s">
        <v>100</v>
      </c>
      <c r="H2913" t="s">
        <v>1756</v>
      </c>
      <c r="I2913" t="s">
        <v>119</v>
      </c>
      <c r="J2913" t="s">
        <v>36</v>
      </c>
      <c r="K2913">
        <v>1390</v>
      </c>
      <c r="O2913" t="s">
        <v>37</v>
      </c>
      <c r="P2913" t="s">
        <v>38</v>
      </c>
      <c r="R2913">
        <f t="shared" si="136"/>
        <v>0</v>
      </c>
      <c r="S2913">
        <f>SUMIFS([1]Sheet1!$T:$T,[1]Sheet1!$I:$I,E2913,[1]Sheet1!$C:$C,A2913)</f>
        <v>150</v>
      </c>
      <c r="T2913">
        <f t="shared" si="137"/>
        <v>-150</v>
      </c>
      <c r="U2913" s="9" t="s">
        <v>148</v>
      </c>
      <c r="V2913" t="s">
        <v>164</v>
      </c>
      <c r="W2913" t="s">
        <v>138</v>
      </c>
      <c r="X2913" t="s">
        <v>102</v>
      </c>
      <c r="Y2913" t="s">
        <v>1754</v>
      </c>
      <c r="Z2913" t="s">
        <v>155</v>
      </c>
      <c r="AB2913" t="str">
        <f t="shared" si="135"/>
        <v>47533</v>
      </c>
    </row>
    <row r="2914" ht="14.25" spans="1:28">
      <c r="A2914" s="5" t="s">
        <v>28</v>
      </c>
      <c r="B2914" s="5" t="s">
        <v>697</v>
      </c>
      <c r="C2914" s="5">
        <v>2027</v>
      </c>
      <c r="D2914" s="5" t="s">
        <v>30</v>
      </c>
      <c r="E2914" t="s">
        <v>1755</v>
      </c>
      <c r="F2914" t="s">
        <v>1752</v>
      </c>
      <c r="G2914" t="s">
        <v>100</v>
      </c>
      <c r="H2914" t="s">
        <v>1756</v>
      </c>
      <c r="I2914" t="s">
        <v>119</v>
      </c>
      <c r="J2914" t="s">
        <v>36</v>
      </c>
      <c r="K2914">
        <v>1390</v>
      </c>
      <c r="O2914" t="s">
        <v>37</v>
      </c>
      <c r="P2914" t="s">
        <v>42</v>
      </c>
      <c r="U2914" s="9" t="s">
        <v>148</v>
      </c>
      <c r="V2914" t="s">
        <v>164</v>
      </c>
      <c r="W2914" t="s">
        <v>138</v>
      </c>
      <c r="X2914" t="s">
        <v>102</v>
      </c>
      <c r="Y2914" t="s">
        <v>1754</v>
      </c>
      <c r="Z2914" t="s">
        <v>155</v>
      </c>
      <c r="AB2914" t="str">
        <f t="shared" si="135"/>
        <v>47533</v>
      </c>
    </row>
    <row r="2915" ht="14.25" spans="1:28">
      <c r="A2915" s="5" t="s">
        <v>28</v>
      </c>
      <c r="B2915" s="5" t="s">
        <v>697</v>
      </c>
      <c r="C2915" s="5">
        <v>2027</v>
      </c>
      <c r="D2915" s="5" t="s">
        <v>30</v>
      </c>
      <c r="E2915" t="s">
        <v>1755</v>
      </c>
      <c r="F2915" t="s">
        <v>1752</v>
      </c>
      <c r="G2915" t="s">
        <v>100</v>
      </c>
      <c r="H2915" t="s">
        <v>1756</v>
      </c>
      <c r="I2915" t="s">
        <v>119</v>
      </c>
      <c r="J2915" t="s">
        <v>36</v>
      </c>
      <c r="K2915">
        <v>1390</v>
      </c>
      <c r="O2915" t="s">
        <v>37</v>
      </c>
      <c r="P2915" t="s">
        <v>43</v>
      </c>
      <c r="U2915" s="9" t="s">
        <v>148</v>
      </c>
      <c r="V2915" t="s">
        <v>164</v>
      </c>
      <c r="W2915" t="s">
        <v>138</v>
      </c>
      <c r="X2915" t="s">
        <v>102</v>
      </c>
      <c r="Y2915" t="s">
        <v>1754</v>
      </c>
      <c r="Z2915" t="s">
        <v>155</v>
      </c>
      <c r="AB2915" t="str">
        <f t="shared" si="135"/>
        <v>47533</v>
      </c>
    </row>
    <row r="2916" ht="14.25" spans="1:28">
      <c r="A2916" s="5" t="s">
        <v>28</v>
      </c>
      <c r="B2916" s="5" t="s">
        <v>697</v>
      </c>
      <c r="C2916" s="5">
        <v>2027</v>
      </c>
      <c r="D2916" s="5" t="s">
        <v>30</v>
      </c>
      <c r="E2916" t="s">
        <v>1755</v>
      </c>
      <c r="F2916" t="s">
        <v>1752</v>
      </c>
      <c r="G2916" t="s">
        <v>100</v>
      </c>
      <c r="H2916" t="s">
        <v>1756</v>
      </c>
      <c r="I2916" t="s">
        <v>119</v>
      </c>
      <c r="J2916" t="s">
        <v>36</v>
      </c>
      <c r="K2916">
        <v>1390</v>
      </c>
      <c r="O2916" t="s">
        <v>37</v>
      </c>
      <c r="P2916" t="s">
        <v>44</v>
      </c>
      <c r="U2916" s="9" t="s">
        <v>148</v>
      </c>
      <c r="V2916" t="s">
        <v>164</v>
      </c>
      <c r="W2916" t="s">
        <v>138</v>
      </c>
      <c r="X2916" t="s">
        <v>102</v>
      </c>
      <c r="Y2916" t="s">
        <v>1754</v>
      </c>
      <c r="Z2916" t="s">
        <v>155</v>
      </c>
      <c r="AB2916" t="str">
        <f t="shared" si="135"/>
        <v>47533</v>
      </c>
    </row>
    <row r="2917" ht="14.25" spans="1:28">
      <c r="A2917" s="5" t="s">
        <v>28</v>
      </c>
      <c r="B2917" s="5" t="s">
        <v>697</v>
      </c>
      <c r="C2917" s="5">
        <v>2027</v>
      </c>
      <c r="D2917" s="5" t="s">
        <v>30</v>
      </c>
      <c r="E2917" t="s">
        <v>1755</v>
      </c>
      <c r="F2917" t="s">
        <v>1752</v>
      </c>
      <c r="G2917" t="s">
        <v>100</v>
      </c>
      <c r="H2917" t="s">
        <v>1756</v>
      </c>
      <c r="I2917" t="s">
        <v>119</v>
      </c>
      <c r="J2917" t="s">
        <v>36</v>
      </c>
      <c r="K2917">
        <v>1390</v>
      </c>
      <c r="O2917" t="s">
        <v>37</v>
      </c>
      <c r="P2917" t="s">
        <v>45</v>
      </c>
      <c r="U2917" s="9" t="s">
        <v>148</v>
      </c>
      <c r="V2917" t="s">
        <v>164</v>
      </c>
      <c r="W2917" t="s">
        <v>138</v>
      </c>
      <c r="X2917" t="s">
        <v>102</v>
      </c>
      <c r="Y2917" t="s">
        <v>1754</v>
      </c>
      <c r="Z2917" t="s">
        <v>155</v>
      </c>
      <c r="AB2917" t="str">
        <f t="shared" si="135"/>
        <v>47533</v>
      </c>
    </row>
    <row r="2918" ht="14.25" spans="1:28">
      <c r="A2918" s="5" t="s">
        <v>28</v>
      </c>
      <c r="B2918" s="5" t="s">
        <v>697</v>
      </c>
      <c r="C2918" s="5">
        <v>2027</v>
      </c>
      <c r="D2918" s="5" t="s">
        <v>30</v>
      </c>
      <c r="E2918" t="s">
        <v>1755</v>
      </c>
      <c r="F2918" t="s">
        <v>1752</v>
      </c>
      <c r="G2918" t="s">
        <v>100</v>
      </c>
      <c r="H2918" t="s">
        <v>1756</v>
      </c>
      <c r="I2918" t="s">
        <v>119</v>
      </c>
      <c r="J2918" t="s">
        <v>36</v>
      </c>
      <c r="K2918">
        <v>1390</v>
      </c>
      <c r="O2918" t="s">
        <v>37</v>
      </c>
      <c r="P2918" t="s">
        <v>46</v>
      </c>
      <c r="U2918" s="9" t="s">
        <v>148</v>
      </c>
      <c r="V2918" t="s">
        <v>164</v>
      </c>
      <c r="W2918" t="s">
        <v>138</v>
      </c>
      <c r="X2918" t="s">
        <v>102</v>
      </c>
      <c r="Y2918" t="s">
        <v>1754</v>
      </c>
      <c r="Z2918" t="s">
        <v>155</v>
      </c>
      <c r="AB2918" t="str">
        <f t="shared" si="135"/>
        <v>47533</v>
      </c>
    </row>
    <row r="2919" ht="14.25" spans="1:28">
      <c r="A2919" s="5" t="s">
        <v>28</v>
      </c>
      <c r="B2919" s="5" t="s">
        <v>697</v>
      </c>
      <c r="C2919" s="5">
        <v>2027</v>
      </c>
      <c r="D2919" s="5" t="s">
        <v>30</v>
      </c>
      <c r="E2919" t="s">
        <v>1757</v>
      </c>
      <c r="F2919" t="s">
        <v>1752</v>
      </c>
      <c r="G2919" t="s">
        <v>1110</v>
      </c>
      <c r="H2919" t="s">
        <v>1758</v>
      </c>
      <c r="I2919" t="s">
        <v>119</v>
      </c>
      <c r="J2919" t="s">
        <v>36</v>
      </c>
      <c r="K2919">
        <v>1390</v>
      </c>
      <c r="O2919" t="s">
        <v>37</v>
      </c>
      <c r="P2919" t="s">
        <v>38</v>
      </c>
      <c r="R2919">
        <f t="shared" si="136"/>
        <v>0</v>
      </c>
      <c r="S2919">
        <f>SUMIFS([1]Sheet1!$T:$T,[1]Sheet1!$I:$I,E2919,[1]Sheet1!$C:$C,A2919)</f>
        <v>20</v>
      </c>
      <c r="T2919">
        <f t="shared" si="137"/>
        <v>-20</v>
      </c>
      <c r="U2919" s="9" t="s">
        <v>148</v>
      </c>
      <c r="V2919" t="s">
        <v>164</v>
      </c>
      <c r="W2919" t="s">
        <v>138</v>
      </c>
      <c r="X2919" t="s">
        <v>54</v>
      </c>
      <c r="Y2919" t="s">
        <v>1754</v>
      </c>
      <c r="Z2919" t="s">
        <v>155</v>
      </c>
      <c r="AB2919" t="str">
        <f t="shared" si="135"/>
        <v>47533</v>
      </c>
    </row>
    <row r="2920" ht="14.25" spans="1:28">
      <c r="A2920" s="5" t="s">
        <v>28</v>
      </c>
      <c r="B2920" s="5" t="s">
        <v>697</v>
      </c>
      <c r="C2920" s="5">
        <v>2027</v>
      </c>
      <c r="D2920" s="5" t="s">
        <v>30</v>
      </c>
      <c r="E2920" t="s">
        <v>1757</v>
      </c>
      <c r="F2920" t="s">
        <v>1752</v>
      </c>
      <c r="G2920" t="s">
        <v>1110</v>
      </c>
      <c r="H2920" t="s">
        <v>1758</v>
      </c>
      <c r="I2920" t="s">
        <v>119</v>
      </c>
      <c r="J2920" t="s">
        <v>36</v>
      </c>
      <c r="K2920">
        <v>1390</v>
      </c>
      <c r="O2920" t="s">
        <v>37</v>
      </c>
      <c r="P2920" t="s">
        <v>42</v>
      </c>
      <c r="U2920" s="9" t="s">
        <v>148</v>
      </c>
      <c r="V2920" t="s">
        <v>164</v>
      </c>
      <c r="W2920" t="s">
        <v>138</v>
      </c>
      <c r="X2920" t="s">
        <v>54</v>
      </c>
      <c r="Y2920" t="s">
        <v>1754</v>
      </c>
      <c r="Z2920" t="s">
        <v>155</v>
      </c>
      <c r="AB2920" t="str">
        <f t="shared" si="135"/>
        <v>47533</v>
      </c>
    </row>
    <row r="2921" ht="14.25" spans="1:28">
      <c r="A2921" s="5" t="s">
        <v>28</v>
      </c>
      <c r="B2921" s="5" t="s">
        <v>697</v>
      </c>
      <c r="C2921" s="5">
        <v>2027</v>
      </c>
      <c r="D2921" s="5" t="s">
        <v>30</v>
      </c>
      <c r="E2921" t="s">
        <v>1757</v>
      </c>
      <c r="F2921" t="s">
        <v>1752</v>
      </c>
      <c r="G2921" t="s">
        <v>1110</v>
      </c>
      <c r="H2921" t="s">
        <v>1758</v>
      </c>
      <c r="I2921" t="s">
        <v>119</v>
      </c>
      <c r="J2921" t="s">
        <v>36</v>
      </c>
      <c r="K2921">
        <v>1390</v>
      </c>
      <c r="O2921" t="s">
        <v>37</v>
      </c>
      <c r="P2921" t="s">
        <v>43</v>
      </c>
      <c r="U2921" s="9" t="s">
        <v>148</v>
      </c>
      <c r="V2921" t="s">
        <v>164</v>
      </c>
      <c r="W2921" t="s">
        <v>138</v>
      </c>
      <c r="X2921" t="s">
        <v>54</v>
      </c>
      <c r="Y2921" t="s">
        <v>1754</v>
      </c>
      <c r="Z2921" t="s">
        <v>155</v>
      </c>
      <c r="AB2921" t="str">
        <f t="shared" si="135"/>
        <v>47533</v>
      </c>
    </row>
    <row r="2922" ht="14.25" spans="1:28">
      <c r="A2922" s="5" t="s">
        <v>28</v>
      </c>
      <c r="B2922" s="5" t="s">
        <v>697</v>
      </c>
      <c r="C2922" s="5">
        <v>2027</v>
      </c>
      <c r="D2922" s="5" t="s">
        <v>30</v>
      </c>
      <c r="E2922" t="s">
        <v>1757</v>
      </c>
      <c r="F2922" t="s">
        <v>1752</v>
      </c>
      <c r="G2922" t="s">
        <v>1110</v>
      </c>
      <c r="H2922" t="s">
        <v>1758</v>
      </c>
      <c r="I2922" t="s">
        <v>119</v>
      </c>
      <c r="J2922" t="s">
        <v>36</v>
      </c>
      <c r="K2922">
        <v>1390</v>
      </c>
      <c r="O2922" t="s">
        <v>37</v>
      </c>
      <c r="P2922" t="s">
        <v>44</v>
      </c>
      <c r="U2922" s="9" t="s">
        <v>148</v>
      </c>
      <c r="V2922" t="s">
        <v>164</v>
      </c>
      <c r="W2922" t="s">
        <v>138</v>
      </c>
      <c r="X2922" t="s">
        <v>54</v>
      </c>
      <c r="Y2922" t="s">
        <v>1754</v>
      </c>
      <c r="Z2922" t="s">
        <v>155</v>
      </c>
      <c r="AB2922" t="str">
        <f t="shared" si="135"/>
        <v>47533</v>
      </c>
    </row>
    <row r="2923" ht="14.25" spans="1:28">
      <c r="A2923" s="5" t="s">
        <v>28</v>
      </c>
      <c r="B2923" s="5" t="s">
        <v>697</v>
      </c>
      <c r="C2923" s="5">
        <v>2027</v>
      </c>
      <c r="D2923" s="5" t="s">
        <v>30</v>
      </c>
      <c r="E2923" t="s">
        <v>1757</v>
      </c>
      <c r="F2923" t="s">
        <v>1752</v>
      </c>
      <c r="G2923" t="s">
        <v>1110</v>
      </c>
      <c r="H2923" t="s">
        <v>1758</v>
      </c>
      <c r="I2923" t="s">
        <v>119</v>
      </c>
      <c r="J2923" t="s">
        <v>36</v>
      </c>
      <c r="K2923">
        <v>1390</v>
      </c>
      <c r="O2923" t="s">
        <v>37</v>
      </c>
      <c r="P2923" t="s">
        <v>45</v>
      </c>
      <c r="U2923" s="9" t="s">
        <v>148</v>
      </c>
      <c r="V2923" t="s">
        <v>164</v>
      </c>
      <c r="W2923" t="s">
        <v>138</v>
      </c>
      <c r="X2923" t="s">
        <v>54</v>
      </c>
      <c r="Y2923" t="s">
        <v>1754</v>
      </c>
      <c r="Z2923" t="s">
        <v>155</v>
      </c>
      <c r="AB2923" t="str">
        <f t="shared" si="135"/>
        <v>47533</v>
      </c>
    </row>
    <row r="2924" ht="14.25" spans="1:28">
      <c r="A2924" s="5" t="s">
        <v>28</v>
      </c>
      <c r="B2924" s="5" t="s">
        <v>697</v>
      </c>
      <c r="C2924" s="5">
        <v>2027</v>
      </c>
      <c r="D2924" s="5" t="s">
        <v>30</v>
      </c>
      <c r="E2924" t="s">
        <v>1757</v>
      </c>
      <c r="F2924" t="s">
        <v>1752</v>
      </c>
      <c r="G2924" t="s">
        <v>1110</v>
      </c>
      <c r="H2924" t="s">
        <v>1758</v>
      </c>
      <c r="I2924" t="s">
        <v>119</v>
      </c>
      <c r="J2924" t="s">
        <v>36</v>
      </c>
      <c r="K2924">
        <v>1390</v>
      </c>
      <c r="O2924" t="s">
        <v>37</v>
      </c>
      <c r="P2924" t="s">
        <v>46</v>
      </c>
      <c r="U2924" s="9" t="s">
        <v>148</v>
      </c>
      <c r="V2924" t="s">
        <v>164</v>
      </c>
      <c r="W2924" t="s">
        <v>138</v>
      </c>
      <c r="X2924" t="s">
        <v>54</v>
      </c>
      <c r="Y2924" t="s">
        <v>1754</v>
      </c>
      <c r="Z2924" t="s">
        <v>155</v>
      </c>
      <c r="AB2924" t="str">
        <f t="shared" si="135"/>
        <v>47533</v>
      </c>
    </row>
    <row r="2925" ht="14.25" spans="1:28">
      <c r="A2925" s="5" t="s">
        <v>28</v>
      </c>
      <c r="B2925" s="5" t="s">
        <v>697</v>
      </c>
      <c r="C2925" s="5">
        <v>2027</v>
      </c>
      <c r="D2925" s="5" t="s">
        <v>30</v>
      </c>
      <c r="E2925" t="s">
        <v>1759</v>
      </c>
      <c r="F2925" t="s">
        <v>1752</v>
      </c>
      <c r="G2925" t="s">
        <v>1542</v>
      </c>
      <c r="H2925" t="s">
        <v>1760</v>
      </c>
      <c r="I2925" t="s">
        <v>119</v>
      </c>
      <c r="J2925" t="s">
        <v>36</v>
      </c>
      <c r="K2925">
        <v>1390</v>
      </c>
      <c r="O2925" t="s">
        <v>37</v>
      </c>
      <c r="P2925" t="s">
        <v>38</v>
      </c>
      <c r="R2925">
        <f t="shared" si="136"/>
        <v>0</v>
      </c>
      <c r="S2925">
        <f>SUMIFS([1]Sheet1!$T:$T,[1]Sheet1!$I:$I,E2925,[1]Sheet1!$C:$C,A2925)</f>
        <v>20</v>
      </c>
      <c r="T2925">
        <f t="shared" si="137"/>
        <v>-20</v>
      </c>
      <c r="U2925" s="9" t="s">
        <v>148</v>
      </c>
      <c r="V2925" t="s">
        <v>164</v>
      </c>
      <c r="W2925" t="s">
        <v>138</v>
      </c>
      <c r="X2925" t="s">
        <v>503</v>
      </c>
      <c r="Y2925" t="s">
        <v>1754</v>
      </c>
      <c r="Z2925" t="s">
        <v>155</v>
      </c>
      <c r="AB2925" t="str">
        <f t="shared" si="135"/>
        <v>47533</v>
      </c>
    </row>
    <row r="2926" ht="14.25" spans="1:28">
      <c r="A2926" s="5" t="s">
        <v>28</v>
      </c>
      <c r="B2926" s="5" t="s">
        <v>697</v>
      </c>
      <c r="C2926" s="5">
        <v>2027</v>
      </c>
      <c r="D2926" s="5" t="s">
        <v>30</v>
      </c>
      <c r="E2926" t="s">
        <v>1759</v>
      </c>
      <c r="F2926" t="s">
        <v>1752</v>
      </c>
      <c r="G2926" t="s">
        <v>1542</v>
      </c>
      <c r="H2926" t="s">
        <v>1760</v>
      </c>
      <c r="I2926" t="s">
        <v>119</v>
      </c>
      <c r="J2926" t="s">
        <v>36</v>
      </c>
      <c r="K2926">
        <v>1390</v>
      </c>
      <c r="O2926" t="s">
        <v>37</v>
      </c>
      <c r="P2926" t="s">
        <v>42</v>
      </c>
      <c r="U2926" s="9" t="s">
        <v>148</v>
      </c>
      <c r="V2926" t="s">
        <v>164</v>
      </c>
      <c r="W2926" t="s">
        <v>138</v>
      </c>
      <c r="X2926" t="s">
        <v>503</v>
      </c>
      <c r="Y2926" t="s">
        <v>1754</v>
      </c>
      <c r="Z2926" t="s">
        <v>155</v>
      </c>
      <c r="AB2926" t="str">
        <f t="shared" si="135"/>
        <v>47533</v>
      </c>
    </row>
    <row r="2927" ht="14.25" spans="1:28">
      <c r="A2927" s="5" t="s">
        <v>28</v>
      </c>
      <c r="B2927" s="5" t="s">
        <v>697</v>
      </c>
      <c r="C2927" s="5">
        <v>2027</v>
      </c>
      <c r="D2927" s="5" t="s">
        <v>30</v>
      </c>
      <c r="E2927" t="s">
        <v>1759</v>
      </c>
      <c r="F2927" t="s">
        <v>1752</v>
      </c>
      <c r="G2927" t="s">
        <v>1542</v>
      </c>
      <c r="H2927" t="s">
        <v>1760</v>
      </c>
      <c r="I2927" t="s">
        <v>119</v>
      </c>
      <c r="J2927" t="s">
        <v>36</v>
      </c>
      <c r="K2927">
        <v>1390</v>
      </c>
      <c r="O2927" t="s">
        <v>37</v>
      </c>
      <c r="P2927" t="s">
        <v>43</v>
      </c>
      <c r="U2927" s="9" t="s">
        <v>148</v>
      </c>
      <c r="V2927" t="s">
        <v>164</v>
      </c>
      <c r="W2927" t="s">
        <v>138</v>
      </c>
      <c r="X2927" t="s">
        <v>503</v>
      </c>
      <c r="Y2927" t="s">
        <v>1754</v>
      </c>
      <c r="Z2927" t="s">
        <v>155</v>
      </c>
      <c r="AB2927" t="str">
        <f t="shared" si="135"/>
        <v>47533</v>
      </c>
    </row>
    <row r="2928" ht="14.25" spans="1:28">
      <c r="A2928" s="5" t="s">
        <v>28</v>
      </c>
      <c r="B2928" s="5" t="s">
        <v>697</v>
      </c>
      <c r="C2928" s="5">
        <v>2027</v>
      </c>
      <c r="D2928" s="5" t="s">
        <v>30</v>
      </c>
      <c r="E2928" t="s">
        <v>1759</v>
      </c>
      <c r="F2928" t="s">
        <v>1752</v>
      </c>
      <c r="G2928" t="s">
        <v>1542</v>
      </c>
      <c r="H2928" t="s">
        <v>1760</v>
      </c>
      <c r="I2928" t="s">
        <v>119</v>
      </c>
      <c r="J2928" t="s">
        <v>36</v>
      </c>
      <c r="K2928">
        <v>1390</v>
      </c>
      <c r="O2928" t="s">
        <v>37</v>
      </c>
      <c r="P2928" t="s">
        <v>44</v>
      </c>
      <c r="U2928" s="9" t="s">
        <v>148</v>
      </c>
      <c r="V2928" t="s">
        <v>164</v>
      </c>
      <c r="W2928" t="s">
        <v>138</v>
      </c>
      <c r="X2928" t="s">
        <v>503</v>
      </c>
      <c r="Y2928" t="s">
        <v>1754</v>
      </c>
      <c r="Z2928" t="s">
        <v>155</v>
      </c>
      <c r="AB2928" t="str">
        <f t="shared" si="135"/>
        <v>47533</v>
      </c>
    </row>
    <row r="2929" ht="14.25" spans="1:28">
      <c r="A2929" s="5" t="s">
        <v>28</v>
      </c>
      <c r="B2929" s="5" t="s">
        <v>697</v>
      </c>
      <c r="C2929" s="5">
        <v>2027</v>
      </c>
      <c r="D2929" s="5" t="s">
        <v>30</v>
      </c>
      <c r="E2929" t="s">
        <v>1759</v>
      </c>
      <c r="F2929" t="s">
        <v>1752</v>
      </c>
      <c r="G2929" t="s">
        <v>1542</v>
      </c>
      <c r="H2929" t="s">
        <v>1760</v>
      </c>
      <c r="I2929" t="s">
        <v>119</v>
      </c>
      <c r="J2929" t="s">
        <v>36</v>
      </c>
      <c r="K2929">
        <v>1390</v>
      </c>
      <c r="O2929" t="s">
        <v>37</v>
      </c>
      <c r="P2929" t="s">
        <v>45</v>
      </c>
      <c r="U2929" s="9" t="s">
        <v>148</v>
      </c>
      <c r="V2929" t="s">
        <v>164</v>
      </c>
      <c r="W2929" t="s">
        <v>138</v>
      </c>
      <c r="X2929" t="s">
        <v>503</v>
      </c>
      <c r="Y2929" t="s">
        <v>1754</v>
      </c>
      <c r="Z2929" t="s">
        <v>155</v>
      </c>
      <c r="AB2929" t="str">
        <f t="shared" si="135"/>
        <v>47533</v>
      </c>
    </row>
    <row r="2930" ht="14.25" spans="1:28">
      <c r="A2930" s="5" t="s">
        <v>28</v>
      </c>
      <c r="B2930" s="5" t="s">
        <v>697</v>
      </c>
      <c r="C2930" s="5">
        <v>2027</v>
      </c>
      <c r="D2930" s="5" t="s">
        <v>30</v>
      </c>
      <c r="E2930" t="s">
        <v>1759</v>
      </c>
      <c r="F2930" t="s">
        <v>1752</v>
      </c>
      <c r="G2930" t="s">
        <v>1542</v>
      </c>
      <c r="H2930" t="s">
        <v>1760</v>
      </c>
      <c r="I2930" t="s">
        <v>119</v>
      </c>
      <c r="J2930" t="s">
        <v>36</v>
      </c>
      <c r="K2930">
        <v>1390</v>
      </c>
      <c r="O2930" t="s">
        <v>37</v>
      </c>
      <c r="P2930" t="s">
        <v>46</v>
      </c>
      <c r="U2930" s="9" t="s">
        <v>148</v>
      </c>
      <c r="V2930" t="s">
        <v>164</v>
      </c>
      <c r="W2930" t="s">
        <v>138</v>
      </c>
      <c r="X2930" t="s">
        <v>503</v>
      </c>
      <c r="Y2930" t="s">
        <v>1754</v>
      </c>
      <c r="Z2930" t="s">
        <v>155</v>
      </c>
      <c r="AB2930" t="str">
        <f t="shared" si="135"/>
        <v>47533</v>
      </c>
    </row>
    <row r="2931" ht="14.25" spans="1:28">
      <c r="A2931" s="5" t="s">
        <v>28</v>
      </c>
      <c r="B2931" s="5" t="s">
        <v>697</v>
      </c>
      <c r="C2931" s="5">
        <v>2027</v>
      </c>
      <c r="D2931" s="5" t="s">
        <v>30</v>
      </c>
      <c r="E2931" t="s">
        <v>1761</v>
      </c>
      <c r="F2931" t="s">
        <v>1752</v>
      </c>
      <c r="G2931" t="s">
        <v>254</v>
      </c>
      <c r="H2931" t="s">
        <v>1762</v>
      </c>
      <c r="I2931" t="s">
        <v>119</v>
      </c>
      <c r="J2931" t="s">
        <v>36</v>
      </c>
      <c r="K2931">
        <v>1390</v>
      </c>
      <c r="O2931" t="s">
        <v>37</v>
      </c>
      <c r="P2931" t="s">
        <v>38</v>
      </c>
      <c r="R2931">
        <f t="shared" si="136"/>
        <v>0</v>
      </c>
      <c r="S2931">
        <f>SUMIFS([1]Sheet1!$T:$T,[1]Sheet1!$I:$I,E2931,[1]Sheet1!$C:$C,A2931)</f>
        <v>200</v>
      </c>
      <c r="T2931">
        <f t="shared" si="137"/>
        <v>-200</v>
      </c>
      <c r="U2931" s="9" t="s">
        <v>148</v>
      </c>
      <c r="V2931" t="s">
        <v>164</v>
      </c>
      <c r="W2931" t="s">
        <v>138</v>
      </c>
      <c r="X2931" t="s">
        <v>86</v>
      </c>
      <c r="Y2931" t="s">
        <v>1754</v>
      </c>
      <c r="Z2931" t="s">
        <v>155</v>
      </c>
      <c r="AB2931" t="str">
        <f t="shared" ref="AB2931:AB2994" si="138">MID(E2931,6,5)</f>
        <v>47533</v>
      </c>
    </row>
    <row r="2932" ht="14.25" spans="1:28">
      <c r="A2932" s="5" t="s">
        <v>28</v>
      </c>
      <c r="B2932" s="5" t="s">
        <v>697</v>
      </c>
      <c r="C2932" s="5">
        <v>2027</v>
      </c>
      <c r="D2932" s="5" t="s">
        <v>30</v>
      </c>
      <c r="E2932" t="s">
        <v>1761</v>
      </c>
      <c r="F2932" t="s">
        <v>1752</v>
      </c>
      <c r="G2932" t="s">
        <v>254</v>
      </c>
      <c r="H2932" t="s">
        <v>1762</v>
      </c>
      <c r="I2932" t="s">
        <v>119</v>
      </c>
      <c r="J2932" t="s">
        <v>36</v>
      </c>
      <c r="K2932">
        <v>1390</v>
      </c>
      <c r="O2932" t="s">
        <v>37</v>
      </c>
      <c r="P2932" t="s">
        <v>42</v>
      </c>
      <c r="U2932" s="9" t="s">
        <v>148</v>
      </c>
      <c r="V2932" t="s">
        <v>164</v>
      </c>
      <c r="W2932" t="s">
        <v>138</v>
      </c>
      <c r="X2932" t="s">
        <v>86</v>
      </c>
      <c r="Y2932" t="s">
        <v>1754</v>
      </c>
      <c r="Z2932" t="s">
        <v>155</v>
      </c>
      <c r="AB2932" t="str">
        <f t="shared" si="138"/>
        <v>47533</v>
      </c>
    </row>
    <row r="2933" ht="14.25" spans="1:28">
      <c r="A2933" s="5" t="s">
        <v>28</v>
      </c>
      <c r="B2933" s="5" t="s">
        <v>697</v>
      </c>
      <c r="C2933" s="5">
        <v>2027</v>
      </c>
      <c r="D2933" s="5" t="s">
        <v>30</v>
      </c>
      <c r="E2933" t="s">
        <v>1761</v>
      </c>
      <c r="F2933" t="s">
        <v>1752</v>
      </c>
      <c r="G2933" t="s">
        <v>254</v>
      </c>
      <c r="H2933" t="s">
        <v>1762</v>
      </c>
      <c r="I2933" t="s">
        <v>119</v>
      </c>
      <c r="J2933" t="s">
        <v>36</v>
      </c>
      <c r="K2933">
        <v>1390</v>
      </c>
      <c r="O2933" t="s">
        <v>37</v>
      </c>
      <c r="P2933" t="s">
        <v>43</v>
      </c>
      <c r="U2933" s="9" t="s">
        <v>148</v>
      </c>
      <c r="V2933" t="s">
        <v>164</v>
      </c>
      <c r="W2933" t="s">
        <v>138</v>
      </c>
      <c r="X2933" t="s">
        <v>86</v>
      </c>
      <c r="Y2933" t="s">
        <v>1754</v>
      </c>
      <c r="Z2933" t="s">
        <v>155</v>
      </c>
      <c r="AB2933" t="str">
        <f t="shared" si="138"/>
        <v>47533</v>
      </c>
    </row>
    <row r="2934" ht="14.25" spans="1:28">
      <c r="A2934" s="5" t="s">
        <v>28</v>
      </c>
      <c r="B2934" s="5" t="s">
        <v>697</v>
      </c>
      <c r="C2934" s="5">
        <v>2027</v>
      </c>
      <c r="D2934" s="5" t="s">
        <v>30</v>
      </c>
      <c r="E2934" t="s">
        <v>1761</v>
      </c>
      <c r="F2934" t="s">
        <v>1752</v>
      </c>
      <c r="G2934" t="s">
        <v>254</v>
      </c>
      <c r="H2934" t="s">
        <v>1762</v>
      </c>
      <c r="I2934" t="s">
        <v>119</v>
      </c>
      <c r="J2934" t="s">
        <v>36</v>
      </c>
      <c r="K2934">
        <v>1390</v>
      </c>
      <c r="O2934" t="s">
        <v>37</v>
      </c>
      <c r="P2934" t="s">
        <v>44</v>
      </c>
      <c r="U2934" s="9" t="s">
        <v>148</v>
      </c>
      <c r="V2934" t="s">
        <v>164</v>
      </c>
      <c r="W2934" t="s">
        <v>138</v>
      </c>
      <c r="X2934" t="s">
        <v>86</v>
      </c>
      <c r="Y2934" t="s">
        <v>1754</v>
      </c>
      <c r="Z2934" t="s">
        <v>155</v>
      </c>
      <c r="AB2934" t="str">
        <f t="shared" si="138"/>
        <v>47533</v>
      </c>
    </row>
    <row r="2935" ht="14.25" spans="1:28">
      <c r="A2935" s="5" t="s">
        <v>28</v>
      </c>
      <c r="B2935" s="5" t="s">
        <v>697</v>
      </c>
      <c r="C2935" s="5">
        <v>2027</v>
      </c>
      <c r="D2935" s="5" t="s">
        <v>30</v>
      </c>
      <c r="E2935" t="s">
        <v>1761</v>
      </c>
      <c r="F2935" t="s">
        <v>1752</v>
      </c>
      <c r="G2935" t="s">
        <v>254</v>
      </c>
      <c r="H2935" t="s">
        <v>1762</v>
      </c>
      <c r="I2935" t="s">
        <v>119</v>
      </c>
      <c r="J2935" t="s">
        <v>36</v>
      </c>
      <c r="K2935">
        <v>1390</v>
      </c>
      <c r="O2935" t="s">
        <v>37</v>
      </c>
      <c r="P2935" t="s">
        <v>45</v>
      </c>
      <c r="U2935" s="9" t="s">
        <v>148</v>
      </c>
      <c r="V2935" t="s">
        <v>164</v>
      </c>
      <c r="W2935" t="s">
        <v>138</v>
      </c>
      <c r="X2935" t="s">
        <v>86</v>
      </c>
      <c r="Y2935" t="s">
        <v>1754</v>
      </c>
      <c r="Z2935" t="s">
        <v>155</v>
      </c>
      <c r="AB2935" t="str">
        <f t="shared" si="138"/>
        <v>47533</v>
      </c>
    </row>
    <row r="2936" ht="14.25" spans="1:28">
      <c r="A2936" s="5" t="s">
        <v>28</v>
      </c>
      <c r="B2936" s="5" t="s">
        <v>697</v>
      </c>
      <c r="C2936" s="5">
        <v>2027</v>
      </c>
      <c r="D2936" s="5" t="s">
        <v>30</v>
      </c>
      <c r="E2936" t="s">
        <v>1761</v>
      </c>
      <c r="F2936" t="s">
        <v>1752</v>
      </c>
      <c r="G2936" t="s">
        <v>254</v>
      </c>
      <c r="H2936" t="s">
        <v>1762</v>
      </c>
      <c r="I2936" t="s">
        <v>119</v>
      </c>
      <c r="J2936" t="s">
        <v>36</v>
      </c>
      <c r="K2936">
        <v>1390</v>
      </c>
      <c r="O2936" t="s">
        <v>37</v>
      </c>
      <c r="P2936" t="s">
        <v>46</v>
      </c>
      <c r="U2936" s="9" t="s">
        <v>148</v>
      </c>
      <c r="V2936" t="s">
        <v>164</v>
      </c>
      <c r="W2936" t="s">
        <v>138</v>
      </c>
      <c r="X2936" t="s">
        <v>86</v>
      </c>
      <c r="Y2936" t="s">
        <v>1754</v>
      </c>
      <c r="Z2936" t="s">
        <v>155</v>
      </c>
      <c r="AB2936" t="str">
        <f t="shared" si="138"/>
        <v>47533</v>
      </c>
    </row>
    <row r="2937" ht="14.25" spans="1:28">
      <c r="A2937" s="5" t="s">
        <v>28</v>
      </c>
      <c r="B2937" s="5" t="s">
        <v>697</v>
      </c>
      <c r="C2937" s="5">
        <v>2027</v>
      </c>
      <c r="D2937" s="5" t="s">
        <v>30</v>
      </c>
      <c r="E2937" t="s">
        <v>1763</v>
      </c>
      <c r="F2937" t="s">
        <v>1764</v>
      </c>
      <c r="G2937" t="s">
        <v>89</v>
      </c>
      <c r="H2937" t="s">
        <v>1765</v>
      </c>
      <c r="I2937" t="s">
        <v>147</v>
      </c>
      <c r="J2937" t="s">
        <v>36</v>
      </c>
      <c r="K2937">
        <v>1190</v>
      </c>
      <c r="O2937" t="s">
        <v>37</v>
      </c>
      <c r="P2937" t="s">
        <v>38</v>
      </c>
      <c r="R2937">
        <f t="shared" si="136"/>
        <v>0</v>
      </c>
      <c r="S2937">
        <f>SUMIFS([1]Sheet1!$T:$T,[1]Sheet1!$I:$I,E2937,[1]Sheet1!$C:$C,A2937)</f>
        <v>40</v>
      </c>
      <c r="T2937">
        <f t="shared" si="137"/>
        <v>-40</v>
      </c>
      <c r="U2937" s="9" t="s">
        <v>148</v>
      </c>
      <c r="V2937" t="s">
        <v>184</v>
      </c>
      <c r="W2937" t="s">
        <v>138</v>
      </c>
      <c r="X2937" t="s">
        <v>39</v>
      </c>
      <c r="Y2937" t="s">
        <v>1766</v>
      </c>
      <c r="Z2937" t="s">
        <v>155</v>
      </c>
      <c r="AB2937" t="str">
        <f t="shared" si="138"/>
        <v>47534</v>
      </c>
    </row>
    <row r="2938" ht="14.25" spans="1:28">
      <c r="A2938" s="5" t="s">
        <v>28</v>
      </c>
      <c r="B2938" s="5" t="s">
        <v>697</v>
      </c>
      <c r="C2938" s="5">
        <v>2027</v>
      </c>
      <c r="D2938" s="5" t="s">
        <v>30</v>
      </c>
      <c r="E2938" t="s">
        <v>1763</v>
      </c>
      <c r="F2938" t="s">
        <v>1764</v>
      </c>
      <c r="G2938" t="s">
        <v>89</v>
      </c>
      <c r="H2938" t="s">
        <v>1765</v>
      </c>
      <c r="I2938" t="s">
        <v>147</v>
      </c>
      <c r="J2938" t="s">
        <v>36</v>
      </c>
      <c r="K2938">
        <v>1190</v>
      </c>
      <c r="O2938" t="s">
        <v>37</v>
      </c>
      <c r="P2938" t="s">
        <v>42</v>
      </c>
      <c r="U2938" s="9" t="s">
        <v>148</v>
      </c>
      <c r="V2938" t="s">
        <v>184</v>
      </c>
      <c r="W2938" t="s">
        <v>138</v>
      </c>
      <c r="X2938" t="s">
        <v>39</v>
      </c>
      <c r="Y2938" t="s">
        <v>1766</v>
      </c>
      <c r="Z2938" t="s">
        <v>155</v>
      </c>
      <c r="AB2938" t="str">
        <f t="shared" si="138"/>
        <v>47534</v>
      </c>
    </row>
    <row r="2939" ht="14.25" spans="1:28">
      <c r="A2939" s="5" t="s">
        <v>28</v>
      </c>
      <c r="B2939" s="5" t="s">
        <v>697</v>
      </c>
      <c r="C2939" s="5">
        <v>2027</v>
      </c>
      <c r="D2939" s="5" t="s">
        <v>30</v>
      </c>
      <c r="E2939" t="s">
        <v>1763</v>
      </c>
      <c r="F2939" t="s">
        <v>1764</v>
      </c>
      <c r="G2939" t="s">
        <v>89</v>
      </c>
      <c r="H2939" t="s">
        <v>1765</v>
      </c>
      <c r="I2939" t="s">
        <v>147</v>
      </c>
      <c r="J2939" t="s">
        <v>36</v>
      </c>
      <c r="K2939">
        <v>1190</v>
      </c>
      <c r="O2939" t="s">
        <v>37</v>
      </c>
      <c r="P2939" t="s">
        <v>43</v>
      </c>
      <c r="U2939" s="9" t="s">
        <v>148</v>
      </c>
      <c r="V2939" t="s">
        <v>184</v>
      </c>
      <c r="W2939" t="s">
        <v>138</v>
      </c>
      <c r="X2939" t="s">
        <v>39</v>
      </c>
      <c r="Y2939" t="s">
        <v>1766</v>
      </c>
      <c r="Z2939" t="s">
        <v>155</v>
      </c>
      <c r="AB2939" t="str">
        <f t="shared" si="138"/>
        <v>47534</v>
      </c>
    </row>
    <row r="2940" ht="14.25" spans="1:28">
      <c r="A2940" s="5" t="s">
        <v>28</v>
      </c>
      <c r="B2940" s="5" t="s">
        <v>697</v>
      </c>
      <c r="C2940" s="5">
        <v>2027</v>
      </c>
      <c r="D2940" s="5" t="s">
        <v>30</v>
      </c>
      <c r="E2940" t="s">
        <v>1763</v>
      </c>
      <c r="F2940" t="s">
        <v>1764</v>
      </c>
      <c r="G2940" t="s">
        <v>89</v>
      </c>
      <c r="H2940" t="s">
        <v>1765</v>
      </c>
      <c r="I2940" t="s">
        <v>147</v>
      </c>
      <c r="J2940" t="s">
        <v>36</v>
      </c>
      <c r="K2940">
        <v>1190</v>
      </c>
      <c r="O2940" t="s">
        <v>37</v>
      </c>
      <c r="P2940" t="s">
        <v>44</v>
      </c>
      <c r="U2940" s="9" t="s">
        <v>148</v>
      </c>
      <c r="V2940" t="s">
        <v>184</v>
      </c>
      <c r="W2940" t="s">
        <v>138</v>
      </c>
      <c r="X2940" t="s">
        <v>39</v>
      </c>
      <c r="Y2940" t="s">
        <v>1766</v>
      </c>
      <c r="Z2940" t="s">
        <v>155</v>
      </c>
      <c r="AB2940" t="str">
        <f t="shared" si="138"/>
        <v>47534</v>
      </c>
    </row>
    <row r="2941" ht="14.25" spans="1:28">
      <c r="A2941" s="5" t="s">
        <v>28</v>
      </c>
      <c r="B2941" s="5" t="s">
        <v>697</v>
      </c>
      <c r="C2941" s="5">
        <v>2027</v>
      </c>
      <c r="D2941" s="5" t="s">
        <v>30</v>
      </c>
      <c r="E2941" t="s">
        <v>1763</v>
      </c>
      <c r="F2941" t="s">
        <v>1764</v>
      </c>
      <c r="G2941" t="s">
        <v>89</v>
      </c>
      <c r="H2941" t="s">
        <v>1765</v>
      </c>
      <c r="I2941" t="s">
        <v>147</v>
      </c>
      <c r="J2941" t="s">
        <v>36</v>
      </c>
      <c r="K2941">
        <v>1190</v>
      </c>
      <c r="O2941" t="s">
        <v>37</v>
      </c>
      <c r="P2941" t="s">
        <v>45</v>
      </c>
      <c r="U2941" s="9" t="s">
        <v>148</v>
      </c>
      <c r="V2941" t="s">
        <v>184</v>
      </c>
      <c r="W2941" t="s">
        <v>138</v>
      </c>
      <c r="X2941" t="s">
        <v>39</v>
      </c>
      <c r="Y2941" t="s">
        <v>1766</v>
      </c>
      <c r="Z2941" t="s">
        <v>155</v>
      </c>
      <c r="AB2941" t="str">
        <f t="shared" si="138"/>
        <v>47534</v>
      </c>
    </row>
    <row r="2942" ht="14.25" spans="1:28">
      <c r="A2942" s="5" t="s">
        <v>28</v>
      </c>
      <c r="B2942" s="5" t="s">
        <v>697</v>
      </c>
      <c r="C2942" s="5">
        <v>2027</v>
      </c>
      <c r="D2942" s="5" t="s">
        <v>30</v>
      </c>
      <c r="E2942" t="s">
        <v>1763</v>
      </c>
      <c r="F2942" t="s">
        <v>1764</v>
      </c>
      <c r="G2942" t="s">
        <v>89</v>
      </c>
      <c r="H2942" t="s">
        <v>1765</v>
      </c>
      <c r="I2942" t="s">
        <v>147</v>
      </c>
      <c r="J2942" t="s">
        <v>36</v>
      </c>
      <c r="K2942">
        <v>1190</v>
      </c>
      <c r="O2942" t="s">
        <v>37</v>
      </c>
      <c r="P2942" t="s">
        <v>46</v>
      </c>
      <c r="U2942" s="9" t="s">
        <v>148</v>
      </c>
      <c r="V2942" t="s">
        <v>184</v>
      </c>
      <c r="W2942" t="s">
        <v>138</v>
      </c>
      <c r="X2942" t="s">
        <v>39</v>
      </c>
      <c r="Y2942" t="s">
        <v>1766</v>
      </c>
      <c r="Z2942" t="s">
        <v>155</v>
      </c>
      <c r="AB2942" t="str">
        <f t="shared" si="138"/>
        <v>47534</v>
      </c>
    </row>
    <row r="2943" ht="14.25" spans="1:28">
      <c r="A2943" s="5" t="s">
        <v>28</v>
      </c>
      <c r="B2943" s="5" t="s">
        <v>697</v>
      </c>
      <c r="C2943" s="5">
        <v>2027</v>
      </c>
      <c r="D2943" s="5" t="s">
        <v>30</v>
      </c>
      <c r="E2943" t="s">
        <v>1767</v>
      </c>
      <c r="F2943" t="s">
        <v>1764</v>
      </c>
      <c r="G2943" t="s">
        <v>1448</v>
      </c>
      <c r="H2943" t="s">
        <v>1768</v>
      </c>
      <c r="I2943" t="s">
        <v>147</v>
      </c>
      <c r="J2943" t="s">
        <v>36</v>
      </c>
      <c r="K2943">
        <v>1190</v>
      </c>
      <c r="O2943" t="s">
        <v>37</v>
      </c>
      <c r="P2943" t="s">
        <v>38</v>
      </c>
      <c r="R2943">
        <f t="shared" si="136"/>
        <v>0</v>
      </c>
      <c r="S2943">
        <f>SUMIFS([1]Sheet1!$T:$T,[1]Sheet1!$I:$I,E2943,[1]Sheet1!$C:$C,A2943)</f>
        <v>20</v>
      </c>
      <c r="T2943">
        <f t="shared" si="137"/>
        <v>-20</v>
      </c>
      <c r="U2943" s="9" t="s">
        <v>148</v>
      </c>
      <c r="V2943" t="s">
        <v>184</v>
      </c>
      <c r="W2943" t="s">
        <v>138</v>
      </c>
      <c r="X2943" t="s">
        <v>70</v>
      </c>
      <c r="Y2943" t="s">
        <v>1766</v>
      </c>
      <c r="Z2943" t="s">
        <v>155</v>
      </c>
      <c r="AB2943" t="str">
        <f t="shared" si="138"/>
        <v>47534</v>
      </c>
    </row>
    <row r="2944" ht="14.25" spans="1:28">
      <c r="A2944" s="5" t="s">
        <v>28</v>
      </c>
      <c r="B2944" s="5" t="s">
        <v>697</v>
      </c>
      <c r="C2944" s="5">
        <v>2027</v>
      </c>
      <c r="D2944" s="5" t="s">
        <v>30</v>
      </c>
      <c r="E2944" t="s">
        <v>1767</v>
      </c>
      <c r="F2944" t="s">
        <v>1764</v>
      </c>
      <c r="G2944" t="s">
        <v>1448</v>
      </c>
      <c r="H2944" t="s">
        <v>1768</v>
      </c>
      <c r="I2944" t="s">
        <v>147</v>
      </c>
      <c r="J2944" t="s">
        <v>36</v>
      </c>
      <c r="K2944">
        <v>1190</v>
      </c>
      <c r="O2944" t="s">
        <v>37</v>
      </c>
      <c r="P2944" t="s">
        <v>42</v>
      </c>
      <c r="U2944" s="9" t="s">
        <v>148</v>
      </c>
      <c r="V2944" t="s">
        <v>184</v>
      </c>
      <c r="W2944" t="s">
        <v>138</v>
      </c>
      <c r="X2944" t="s">
        <v>70</v>
      </c>
      <c r="Y2944" t="s">
        <v>1766</v>
      </c>
      <c r="Z2944" t="s">
        <v>155</v>
      </c>
      <c r="AB2944" t="str">
        <f t="shared" si="138"/>
        <v>47534</v>
      </c>
    </row>
    <row r="2945" ht="14.25" spans="1:28">
      <c r="A2945" s="5" t="s">
        <v>28</v>
      </c>
      <c r="B2945" s="5" t="s">
        <v>697</v>
      </c>
      <c r="C2945" s="5">
        <v>2027</v>
      </c>
      <c r="D2945" s="5" t="s">
        <v>30</v>
      </c>
      <c r="E2945" t="s">
        <v>1767</v>
      </c>
      <c r="F2945" t="s">
        <v>1764</v>
      </c>
      <c r="G2945" t="s">
        <v>1448</v>
      </c>
      <c r="H2945" t="s">
        <v>1768</v>
      </c>
      <c r="I2945" t="s">
        <v>147</v>
      </c>
      <c r="J2945" t="s">
        <v>36</v>
      </c>
      <c r="K2945">
        <v>1190</v>
      </c>
      <c r="O2945" t="s">
        <v>37</v>
      </c>
      <c r="P2945" t="s">
        <v>43</v>
      </c>
      <c r="U2945" s="9" t="s">
        <v>148</v>
      </c>
      <c r="V2945" t="s">
        <v>184</v>
      </c>
      <c r="W2945" t="s">
        <v>138</v>
      </c>
      <c r="X2945" t="s">
        <v>70</v>
      </c>
      <c r="Y2945" t="s">
        <v>1766</v>
      </c>
      <c r="Z2945" t="s">
        <v>155</v>
      </c>
      <c r="AB2945" t="str">
        <f t="shared" si="138"/>
        <v>47534</v>
      </c>
    </row>
    <row r="2946" ht="14.25" spans="1:28">
      <c r="A2946" s="5" t="s">
        <v>28</v>
      </c>
      <c r="B2946" s="5" t="s">
        <v>697</v>
      </c>
      <c r="C2946" s="5">
        <v>2027</v>
      </c>
      <c r="D2946" s="5" t="s">
        <v>30</v>
      </c>
      <c r="E2946" t="s">
        <v>1767</v>
      </c>
      <c r="F2946" t="s">
        <v>1764</v>
      </c>
      <c r="G2946" t="s">
        <v>1448</v>
      </c>
      <c r="H2946" t="s">
        <v>1768</v>
      </c>
      <c r="I2946" t="s">
        <v>147</v>
      </c>
      <c r="J2946" t="s">
        <v>36</v>
      </c>
      <c r="K2946">
        <v>1190</v>
      </c>
      <c r="O2946" t="s">
        <v>37</v>
      </c>
      <c r="P2946" t="s">
        <v>44</v>
      </c>
      <c r="U2946" s="9" t="s">
        <v>148</v>
      </c>
      <c r="V2946" t="s">
        <v>184</v>
      </c>
      <c r="W2946" t="s">
        <v>138</v>
      </c>
      <c r="X2946" t="s">
        <v>70</v>
      </c>
      <c r="Y2946" t="s">
        <v>1766</v>
      </c>
      <c r="Z2946" t="s">
        <v>155</v>
      </c>
      <c r="AB2946" t="str">
        <f t="shared" si="138"/>
        <v>47534</v>
      </c>
    </row>
    <row r="2947" ht="14.25" spans="1:28">
      <c r="A2947" s="5" t="s">
        <v>28</v>
      </c>
      <c r="B2947" s="5" t="s">
        <v>697</v>
      </c>
      <c r="C2947" s="5">
        <v>2027</v>
      </c>
      <c r="D2947" s="5" t="s">
        <v>30</v>
      </c>
      <c r="E2947" t="s">
        <v>1767</v>
      </c>
      <c r="F2947" t="s">
        <v>1764</v>
      </c>
      <c r="G2947" t="s">
        <v>1448</v>
      </c>
      <c r="H2947" t="s">
        <v>1768</v>
      </c>
      <c r="I2947" t="s">
        <v>147</v>
      </c>
      <c r="J2947" t="s">
        <v>36</v>
      </c>
      <c r="K2947">
        <v>1190</v>
      </c>
      <c r="O2947" t="s">
        <v>37</v>
      </c>
      <c r="P2947" t="s">
        <v>45</v>
      </c>
      <c r="U2947" s="9" t="s">
        <v>148</v>
      </c>
      <c r="V2947" t="s">
        <v>184</v>
      </c>
      <c r="W2947" t="s">
        <v>138</v>
      </c>
      <c r="X2947" t="s">
        <v>70</v>
      </c>
      <c r="Y2947" t="s">
        <v>1766</v>
      </c>
      <c r="Z2947" t="s">
        <v>155</v>
      </c>
      <c r="AB2947" t="str">
        <f t="shared" si="138"/>
        <v>47534</v>
      </c>
    </row>
    <row r="2948" ht="14.25" spans="1:28">
      <c r="A2948" s="5" t="s">
        <v>28</v>
      </c>
      <c r="B2948" s="5" t="s">
        <v>697</v>
      </c>
      <c r="C2948" s="5">
        <v>2027</v>
      </c>
      <c r="D2948" s="5" t="s">
        <v>30</v>
      </c>
      <c r="E2948" t="s">
        <v>1767</v>
      </c>
      <c r="F2948" t="s">
        <v>1764</v>
      </c>
      <c r="G2948" t="s">
        <v>1448</v>
      </c>
      <c r="H2948" t="s">
        <v>1768</v>
      </c>
      <c r="I2948" t="s">
        <v>147</v>
      </c>
      <c r="J2948" t="s">
        <v>36</v>
      </c>
      <c r="K2948">
        <v>1190</v>
      </c>
      <c r="O2948" t="s">
        <v>37</v>
      </c>
      <c r="P2948" t="s">
        <v>46</v>
      </c>
      <c r="U2948" s="9" t="s">
        <v>148</v>
      </c>
      <c r="V2948" t="s">
        <v>184</v>
      </c>
      <c r="W2948" t="s">
        <v>138</v>
      </c>
      <c r="X2948" t="s">
        <v>70</v>
      </c>
      <c r="Y2948" t="s">
        <v>1766</v>
      </c>
      <c r="Z2948" t="s">
        <v>155</v>
      </c>
      <c r="AB2948" t="str">
        <f t="shared" si="138"/>
        <v>47534</v>
      </c>
    </row>
    <row r="2949" ht="14.25" spans="1:28">
      <c r="A2949" s="5" t="s">
        <v>28</v>
      </c>
      <c r="B2949" s="5" t="s">
        <v>697</v>
      </c>
      <c r="C2949" s="5">
        <v>2027</v>
      </c>
      <c r="D2949" s="5" t="s">
        <v>30</v>
      </c>
      <c r="E2949" t="s">
        <v>1769</v>
      </c>
      <c r="F2949" t="s">
        <v>1764</v>
      </c>
      <c r="G2949" t="s">
        <v>117</v>
      </c>
      <c r="H2949" t="s">
        <v>1770</v>
      </c>
      <c r="I2949" t="s">
        <v>147</v>
      </c>
      <c r="J2949" t="s">
        <v>36</v>
      </c>
      <c r="K2949">
        <v>1190</v>
      </c>
      <c r="O2949" t="s">
        <v>37</v>
      </c>
      <c r="P2949" t="s">
        <v>38</v>
      </c>
      <c r="R2949">
        <f t="shared" ref="R2946:R3009" si="139">SUMIFS(Q:Q,E:E,E2949)</f>
        <v>0</v>
      </c>
      <c r="S2949">
        <f>SUMIFS([1]Sheet1!$T:$T,[1]Sheet1!$I:$I,E2949,[1]Sheet1!$C:$C,A2949)</f>
        <v>0</v>
      </c>
      <c r="T2949">
        <f t="shared" ref="T2946:T3009" si="140">R2949-S2949</f>
        <v>0</v>
      </c>
      <c r="U2949" s="9" t="s">
        <v>148</v>
      </c>
      <c r="V2949" t="s">
        <v>184</v>
      </c>
      <c r="W2949" t="s">
        <v>138</v>
      </c>
      <c r="X2949" t="s">
        <v>122</v>
      </c>
      <c r="Y2949" t="s">
        <v>1766</v>
      </c>
      <c r="Z2949" t="s">
        <v>155</v>
      </c>
      <c r="AB2949" t="str">
        <f t="shared" si="138"/>
        <v>47534</v>
      </c>
    </row>
    <row r="2950" ht="14.25" spans="1:28">
      <c r="A2950" s="5" t="s">
        <v>28</v>
      </c>
      <c r="B2950" s="5" t="s">
        <v>697</v>
      </c>
      <c r="C2950" s="5">
        <v>2027</v>
      </c>
      <c r="D2950" s="5" t="s">
        <v>30</v>
      </c>
      <c r="E2950" t="s">
        <v>1769</v>
      </c>
      <c r="F2950" t="s">
        <v>1764</v>
      </c>
      <c r="G2950" t="s">
        <v>117</v>
      </c>
      <c r="H2950" t="s">
        <v>1770</v>
      </c>
      <c r="I2950" t="s">
        <v>147</v>
      </c>
      <c r="J2950" t="s">
        <v>36</v>
      </c>
      <c r="K2950">
        <v>1190</v>
      </c>
      <c r="O2950" t="s">
        <v>37</v>
      </c>
      <c r="P2950" t="s">
        <v>42</v>
      </c>
      <c r="U2950" s="9" t="s">
        <v>148</v>
      </c>
      <c r="V2950" t="s">
        <v>184</v>
      </c>
      <c r="W2950" t="s">
        <v>138</v>
      </c>
      <c r="X2950" t="s">
        <v>122</v>
      </c>
      <c r="Y2950" t="s">
        <v>1766</v>
      </c>
      <c r="Z2950" t="s">
        <v>155</v>
      </c>
      <c r="AB2950" t="str">
        <f t="shared" si="138"/>
        <v>47534</v>
      </c>
    </row>
    <row r="2951" ht="14.25" spans="1:28">
      <c r="A2951" s="5" t="s">
        <v>28</v>
      </c>
      <c r="B2951" s="5" t="s">
        <v>697</v>
      </c>
      <c r="C2951" s="5">
        <v>2027</v>
      </c>
      <c r="D2951" s="5" t="s">
        <v>30</v>
      </c>
      <c r="E2951" t="s">
        <v>1769</v>
      </c>
      <c r="F2951" t="s">
        <v>1764</v>
      </c>
      <c r="G2951" t="s">
        <v>117</v>
      </c>
      <c r="H2951" t="s">
        <v>1770</v>
      </c>
      <c r="I2951" t="s">
        <v>147</v>
      </c>
      <c r="J2951" t="s">
        <v>36</v>
      </c>
      <c r="K2951">
        <v>1190</v>
      </c>
      <c r="O2951" t="s">
        <v>37</v>
      </c>
      <c r="P2951" t="s">
        <v>43</v>
      </c>
      <c r="U2951" s="9" t="s">
        <v>148</v>
      </c>
      <c r="V2951" t="s">
        <v>184</v>
      </c>
      <c r="W2951" t="s">
        <v>138</v>
      </c>
      <c r="X2951" t="s">
        <v>122</v>
      </c>
      <c r="Y2951" t="s">
        <v>1766</v>
      </c>
      <c r="Z2951" t="s">
        <v>155</v>
      </c>
      <c r="AB2951" t="str">
        <f t="shared" si="138"/>
        <v>47534</v>
      </c>
    </row>
    <row r="2952" ht="14.25" spans="1:28">
      <c r="A2952" s="5" t="s">
        <v>28</v>
      </c>
      <c r="B2952" s="5" t="s">
        <v>697</v>
      </c>
      <c r="C2952" s="5">
        <v>2027</v>
      </c>
      <c r="D2952" s="5" t="s">
        <v>30</v>
      </c>
      <c r="E2952" t="s">
        <v>1769</v>
      </c>
      <c r="F2952" t="s">
        <v>1764</v>
      </c>
      <c r="G2952" t="s">
        <v>117</v>
      </c>
      <c r="H2952" t="s">
        <v>1770</v>
      </c>
      <c r="I2952" t="s">
        <v>147</v>
      </c>
      <c r="J2952" t="s">
        <v>36</v>
      </c>
      <c r="K2952">
        <v>1190</v>
      </c>
      <c r="O2952" t="s">
        <v>37</v>
      </c>
      <c r="P2952" t="s">
        <v>44</v>
      </c>
      <c r="U2952" s="9" t="s">
        <v>148</v>
      </c>
      <c r="V2952" t="s">
        <v>184</v>
      </c>
      <c r="W2952" t="s">
        <v>138</v>
      </c>
      <c r="X2952" t="s">
        <v>122</v>
      </c>
      <c r="Y2952" t="s">
        <v>1766</v>
      </c>
      <c r="Z2952" t="s">
        <v>155</v>
      </c>
      <c r="AB2952" t="str">
        <f t="shared" si="138"/>
        <v>47534</v>
      </c>
    </row>
    <row r="2953" ht="14.25" spans="1:28">
      <c r="A2953" s="5" t="s">
        <v>28</v>
      </c>
      <c r="B2953" s="5" t="s">
        <v>697</v>
      </c>
      <c r="C2953" s="5">
        <v>2027</v>
      </c>
      <c r="D2953" s="5" t="s">
        <v>30</v>
      </c>
      <c r="E2953" t="s">
        <v>1769</v>
      </c>
      <c r="F2953" t="s">
        <v>1764</v>
      </c>
      <c r="G2953" t="s">
        <v>117</v>
      </c>
      <c r="H2953" t="s">
        <v>1770</v>
      </c>
      <c r="I2953" t="s">
        <v>147</v>
      </c>
      <c r="J2953" t="s">
        <v>36</v>
      </c>
      <c r="K2953">
        <v>1190</v>
      </c>
      <c r="O2953" t="s">
        <v>37</v>
      </c>
      <c r="P2953" t="s">
        <v>45</v>
      </c>
      <c r="U2953" s="9" t="s">
        <v>148</v>
      </c>
      <c r="V2953" t="s">
        <v>184</v>
      </c>
      <c r="W2953" t="s">
        <v>138</v>
      </c>
      <c r="X2953" t="s">
        <v>122</v>
      </c>
      <c r="Y2953" t="s">
        <v>1766</v>
      </c>
      <c r="Z2953" t="s">
        <v>155</v>
      </c>
      <c r="AB2953" t="str">
        <f t="shared" si="138"/>
        <v>47534</v>
      </c>
    </row>
    <row r="2954" ht="14.25" spans="1:28">
      <c r="A2954" s="5" t="s">
        <v>28</v>
      </c>
      <c r="B2954" s="5" t="s">
        <v>697</v>
      </c>
      <c r="C2954" s="5">
        <v>2027</v>
      </c>
      <c r="D2954" s="5" t="s">
        <v>30</v>
      </c>
      <c r="E2954" t="s">
        <v>1769</v>
      </c>
      <c r="F2954" t="s">
        <v>1764</v>
      </c>
      <c r="G2954" t="s">
        <v>117</v>
      </c>
      <c r="H2954" t="s">
        <v>1770</v>
      </c>
      <c r="I2954" t="s">
        <v>147</v>
      </c>
      <c r="J2954" t="s">
        <v>36</v>
      </c>
      <c r="K2954">
        <v>1190</v>
      </c>
      <c r="O2954" t="s">
        <v>37</v>
      </c>
      <c r="P2954" t="s">
        <v>46</v>
      </c>
      <c r="U2954" s="9" t="s">
        <v>148</v>
      </c>
      <c r="V2954" t="s">
        <v>184</v>
      </c>
      <c r="W2954" t="s">
        <v>138</v>
      </c>
      <c r="X2954" t="s">
        <v>122</v>
      </c>
      <c r="Y2954" t="s">
        <v>1766</v>
      </c>
      <c r="Z2954" t="s">
        <v>155</v>
      </c>
      <c r="AB2954" t="str">
        <f t="shared" si="138"/>
        <v>47534</v>
      </c>
    </row>
    <row r="2955" ht="14.25" spans="1:28">
      <c r="A2955" s="5" t="s">
        <v>28</v>
      </c>
      <c r="B2955" s="5" t="s">
        <v>697</v>
      </c>
      <c r="C2955" s="5">
        <v>2027</v>
      </c>
      <c r="D2955" s="5" t="s">
        <v>30</v>
      </c>
      <c r="E2955" t="s">
        <v>1771</v>
      </c>
      <c r="F2955" t="s">
        <v>1764</v>
      </c>
      <c r="G2955" t="s">
        <v>1772</v>
      </c>
      <c r="H2955" t="s">
        <v>1773</v>
      </c>
      <c r="I2955" t="s">
        <v>147</v>
      </c>
      <c r="J2955" t="s">
        <v>36</v>
      </c>
      <c r="K2955">
        <v>1190</v>
      </c>
      <c r="O2955" t="s">
        <v>37</v>
      </c>
      <c r="P2955" t="s">
        <v>38</v>
      </c>
      <c r="R2955">
        <f t="shared" si="139"/>
        <v>0</v>
      </c>
      <c r="S2955">
        <f>SUMIFS([1]Sheet1!$T:$T,[1]Sheet1!$I:$I,E2955,[1]Sheet1!$C:$C,A2955)</f>
        <v>0</v>
      </c>
      <c r="T2955">
        <f t="shared" si="140"/>
        <v>0</v>
      </c>
      <c r="U2955" s="9" t="s">
        <v>148</v>
      </c>
      <c r="V2955" t="s">
        <v>184</v>
      </c>
      <c r="W2955" t="s">
        <v>138</v>
      </c>
      <c r="X2955" t="s">
        <v>86</v>
      </c>
      <c r="Y2955" t="s">
        <v>1766</v>
      </c>
      <c r="Z2955" t="s">
        <v>155</v>
      </c>
      <c r="AB2955" t="str">
        <f t="shared" si="138"/>
        <v>47534</v>
      </c>
    </row>
    <row r="2956" ht="14.25" spans="1:28">
      <c r="A2956" s="5" t="s">
        <v>28</v>
      </c>
      <c r="B2956" s="5" t="s">
        <v>697</v>
      </c>
      <c r="C2956" s="5">
        <v>2027</v>
      </c>
      <c r="D2956" s="5" t="s">
        <v>30</v>
      </c>
      <c r="E2956" t="s">
        <v>1771</v>
      </c>
      <c r="F2956" t="s">
        <v>1764</v>
      </c>
      <c r="G2956" t="s">
        <v>1772</v>
      </c>
      <c r="H2956" t="s">
        <v>1773</v>
      </c>
      <c r="I2956" t="s">
        <v>147</v>
      </c>
      <c r="J2956" t="s">
        <v>36</v>
      </c>
      <c r="K2956">
        <v>1190</v>
      </c>
      <c r="O2956" t="s">
        <v>37</v>
      </c>
      <c r="P2956" t="s">
        <v>42</v>
      </c>
      <c r="U2956" s="9" t="s">
        <v>148</v>
      </c>
      <c r="V2956" t="s">
        <v>184</v>
      </c>
      <c r="W2956" t="s">
        <v>138</v>
      </c>
      <c r="X2956" t="s">
        <v>86</v>
      </c>
      <c r="Y2956" t="s">
        <v>1766</v>
      </c>
      <c r="Z2956" t="s">
        <v>155</v>
      </c>
      <c r="AB2956" t="str">
        <f t="shared" si="138"/>
        <v>47534</v>
      </c>
    </row>
    <row r="2957" ht="14.25" spans="1:28">
      <c r="A2957" s="5" t="s">
        <v>28</v>
      </c>
      <c r="B2957" s="5" t="s">
        <v>697</v>
      </c>
      <c r="C2957" s="5">
        <v>2027</v>
      </c>
      <c r="D2957" s="5" t="s">
        <v>30</v>
      </c>
      <c r="E2957" t="s">
        <v>1771</v>
      </c>
      <c r="F2957" t="s">
        <v>1764</v>
      </c>
      <c r="G2957" t="s">
        <v>1772</v>
      </c>
      <c r="H2957" t="s">
        <v>1773</v>
      </c>
      <c r="I2957" t="s">
        <v>147</v>
      </c>
      <c r="J2957" t="s">
        <v>36</v>
      </c>
      <c r="K2957">
        <v>1190</v>
      </c>
      <c r="O2957" t="s">
        <v>37</v>
      </c>
      <c r="P2957" t="s">
        <v>43</v>
      </c>
      <c r="U2957" s="9" t="s">
        <v>148</v>
      </c>
      <c r="V2957" t="s">
        <v>184</v>
      </c>
      <c r="W2957" t="s">
        <v>138</v>
      </c>
      <c r="X2957" t="s">
        <v>86</v>
      </c>
      <c r="Y2957" t="s">
        <v>1766</v>
      </c>
      <c r="Z2957" t="s">
        <v>155</v>
      </c>
      <c r="AB2957" t="str">
        <f t="shared" si="138"/>
        <v>47534</v>
      </c>
    </row>
    <row r="2958" ht="14.25" spans="1:28">
      <c r="A2958" s="5" t="s">
        <v>28</v>
      </c>
      <c r="B2958" s="5" t="s">
        <v>697</v>
      </c>
      <c r="C2958" s="5">
        <v>2027</v>
      </c>
      <c r="D2958" s="5" t="s">
        <v>30</v>
      </c>
      <c r="E2958" t="s">
        <v>1771</v>
      </c>
      <c r="F2958" t="s">
        <v>1764</v>
      </c>
      <c r="G2958" t="s">
        <v>1772</v>
      </c>
      <c r="H2958" t="s">
        <v>1773</v>
      </c>
      <c r="I2958" t="s">
        <v>147</v>
      </c>
      <c r="J2958" t="s">
        <v>36</v>
      </c>
      <c r="K2958">
        <v>1190</v>
      </c>
      <c r="O2958" t="s">
        <v>37</v>
      </c>
      <c r="P2958" t="s">
        <v>44</v>
      </c>
      <c r="U2958" s="9" t="s">
        <v>148</v>
      </c>
      <c r="V2958" t="s">
        <v>184</v>
      </c>
      <c r="W2958" t="s">
        <v>138</v>
      </c>
      <c r="X2958" t="s">
        <v>86</v>
      </c>
      <c r="Y2958" t="s">
        <v>1766</v>
      </c>
      <c r="Z2958" t="s">
        <v>155</v>
      </c>
      <c r="AB2958" t="str">
        <f t="shared" si="138"/>
        <v>47534</v>
      </c>
    </row>
    <row r="2959" ht="14.25" spans="1:28">
      <c r="A2959" s="5" t="s">
        <v>28</v>
      </c>
      <c r="B2959" s="5" t="s">
        <v>697</v>
      </c>
      <c r="C2959" s="5">
        <v>2027</v>
      </c>
      <c r="D2959" s="5" t="s">
        <v>30</v>
      </c>
      <c r="E2959" t="s">
        <v>1771</v>
      </c>
      <c r="F2959" t="s">
        <v>1764</v>
      </c>
      <c r="G2959" t="s">
        <v>1772</v>
      </c>
      <c r="H2959" t="s">
        <v>1773</v>
      </c>
      <c r="I2959" t="s">
        <v>147</v>
      </c>
      <c r="J2959" t="s">
        <v>36</v>
      </c>
      <c r="K2959">
        <v>1190</v>
      </c>
      <c r="O2959" t="s">
        <v>37</v>
      </c>
      <c r="P2959" t="s">
        <v>45</v>
      </c>
      <c r="U2959" s="9" t="s">
        <v>148</v>
      </c>
      <c r="V2959" t="s">
        <v>184</v>
      </c>
      <c r="W2959" t="s">
        <v>138</v>
      </c>
      <c r="X2959" t="s">
        <v>86</v>
      </c>
      <c r="Y2959" t="s">
        <v>1766</v>
      </c>
      <c r="Z2959" t="s">
        <v>155</v>
      </c>
      <c r="AB2959" t="str">
        <f t="shared" si="138"/>
        <v>47534</v>
      </c>
    </row>
    <row r="2960" ht="14.25" spans="1:28">
      <c r="A2960" s="5" t="s">
        <v>28</v>
      </c>
      <c r="B2960" s="5" t="s">
        <v>697</v>
      </c>
      <c r="C2960" s="5">
        <v>2027</v>
      </c>
      <c r="D2960" s="5" t="s">
        <v>30</v>
      </c>
      <c r="E2960" t="s">
        <v>1771</v>
      </c>
      <c r="F2960" t="s">
        <v>1764</v>
      </c>
      <c r="G2960" t="s">
        <v>1772</v>
      </c>
      <c r="H2960" t="s">
        <v>1773</v>
      </c>
      <c r="I2960" t="s">
        <v>147</v>
      </c>
      <c r="J2960" t="s">
        <v>36</v>
      </c>
      <c r="K2960">
        <v>1190</v>
      </c>
      <c r="O2960" t="s">
        <v>37</v>
      </c>
      <c r="P2960" t="s">
        <v>46</v>
      </c>
      <c r="U2960" s="9" t="s">
        <v>148</v>
      </c>
      <c r="V2960" t="s">
        <v>184</v>
      </c>
      <c r="W2960" t="s">
        <v>138</v>
      </c>
      <c r="X2960" t="s">
        <v>86</v>
      </c>
      <c r="Y2960" t="s">
        <v>1766</v>
      </c>
      <c r="Z2960" t="s">
        <v>155</v>
      </c>
      <c r="AB2960" t="str">
        <f t="shared" si="138"/>
        <v>47534</v>
      </c>
    </row>
    <row r="2961" ht="14.25" spans="1:28">
      <c r="A2961" s="5" t="s">
        <v>28</v>
      </c>
      <c r="B2961" s="5" t="s">
        <v>697</v>
      </c>
      <c r="C2961" s="5">
        <v>2027</v>
      </c>
      <c r="D2961" s="5" t="s">
        <v>30</v>
      </c>
      <c r="E2961" t="s">
        <v>1774</v>
      </c>
      <c r="F2961" t="s">
        <v>1775</v>
      </c>
      <c r="G2961" t="s">
        <v>1776</v>
      </c>
      <c r="H2961" t="s">
        <v>1777</v>
      </c>
      <c r="I2961" t="s">
        <v>147</v>
      </c>
      <c r="J2961" t="s">
        <v>36</v>
      </c>
      <c r="K2961">
        <v>1390</v>
      </c>
      <c r="O2961" t="s">
        <v>37</v>
      </c>
      <c r="P2961" t="s">
        <v>38</v>
      </c>
      <c r="R2961">
        <f t="shared" si="139"/>
        <v>0</v>
      </c>
      <c r="S2961">
        <f>SUMIFS([1]Sheet1!$T:$T,[1]Sheet1!$I:$I,E2961,[1]Sheet1!$C:$C,A2961)</f>
        <v>80</v>
      </c>
      <c r="T2961">
        <f t="shared" si="140"/>
        <v>-80</v>
      </c>
      <c r="U2961" s="9" t="s">
        <v>148</v>
      </c>
      <c r="V2961" t="s">
        <v>164</v>
      </c>
      <c r="W2961" t="s">
        <v>138</v>
      </c>
      <c r="X2961" t="s">
        <v>102</v>
      </c>
      <c r="Y2961" t="s">
        <v>1766</v>
      </c>
      <c r="Z2961" t="s">
        <v>155</v>
      </c>
      <c r="AB2961" t="str">
        <f t="shared" si="138"/>
        <v>47535</v>
      </c>
    </row>
    <row r="2962" ht="14.25" spans="1:28">
      <c r="A2962" s="5" t="s">
        <v>28</v>
      </c>
      <c r="B2962" s="5" t="s">
        <v>697</v>
      </c>
      <c r="C2962" s="5">
        <v>2027</v>
      </c>
      <c r="D2962" s="5" t="s">
        <v>30</v>
      </c>
      <c r="E2962" t="s">
        <v>1774</v>
      </c>
      <c r="F2962" t="s">
        <v>1775</v>
      </c>
      <c r="G2962" t="s">
        <v>1776</v>
      </c>
      <c r="H2962" t="s">
        <v>1777</v>
      </c>
      <c r="I2962" t="s">
        <v>147</v>
      </c>
      <c r="J2962" t="s">
        <v>36</v>
      </c>
      <c r="K2962">
        <v>1390</v>
      </c>
      <c r="O2962" t="s">
        <v>37</v>
      </c>
      <c r="P2962" t="s">
        <v>42</v>
      </c>
      <c r="U2962" s="9" t="s">
        <v>148</v>
      </c>
      <c r="V2962" t="s">
        <v>164</v>
      </c>
      <c r="W2962" t="s">
        <v>138</v>
      </c>
      <c r="X2962" t="s">
        <v>102</v>
      </c>
      <c r="Y2962" t="s">
        <v>1766</v>
      </c>
      <c r="Z2962" t="s">
        <v>155</v>
      </c>
      <c r="AB2962" t="str">
        <f t="shared" si="138"/>
        <v>47535</v>
      </c>
    </row>
    <row r="2963" ht="14.25" spans="1:28">
      <c r="A2963" s="5" t="s">
        <v>28</v>
      </c>
      <c r="B2963" s="5" t="s">
        <v>697</v>
      </c>
      <c r="C2963" s="5">
        <v>2027</v>
      </c>
      <c r="D2963" s="5" t="s">
        <v>30</v>
      </c>
      <c r="E2963" t="s">
        <v>1774</v>
      </c>
      <c r="F2963" t="s">
        <v>1775</v>
      </c>
      <c r="G2963" t="s">
        <v>1776</v>
      </c>
      <c r="H2963" t="s">
        <v>1777</v>
      </c>
      <c r="I2963" t="s">
        <v>147</v>
      </c>
      <c r="J2963" t="s">
        <v>36</v>
      </c>
      <c r="K2963">
        <v>1390</v>
      </c>
      <c r="O2963" t="s">
        <v>37</v>
      </c>
      <c r="P2963" t="s">
        <v>43</v>
      </c>
      <c r="U2963" s="9" t="s">
        <v>148</v>
      </c>
      <c r="V2963" t="s">
        <v>164</v>
      </c>
      <c r="W2963" t="s">
        <v>138</v>
      </c>
      <c r="X2963" t="s">
        <v>102</v>
      </c>
      <c r="Y2963" t="s">
        <v>1766</v>
      </c>
      <c r="Z2963" t="s">
        <v>155</v>
      </c>
      <c r="AB2963" t="str">
        <f t="shared" si="138"/>
        <v>47535</v>
      </c>
    </row>
    <row r="2964" ht="14.25" spans="1:28">
      <c r="A2964" s="5" t="s">
        <v>28</v>
      </c>
      <c r="B2964" s="5" t="s">
        <v>697</v>
      </c>
      <c r="C2964" s="5">
        <v>2027</v>
      </c>
      <c r="D2964" s="5" t="s">
        <v>30</v>
      </c>
      <c r="E2964" t="s">
        <v>1774</v>
      </c>
      <c r="F2964" t="s">
        <v>1775</v>
      </c>
      <c r="G2964" t="s">
        <v>1776</v>
      </c>
      <c r="H2964" t="s">
        <v>1777</v>
      </c>
      <c r="I2964" t="s">
        <v>147</v>
      </c>
      <c r="J2964" t="s">
        <v>36</v>
      </c>
      <c r="K2964">
        <v>1390</v>
      </c>
      <c r="O2964" t="s">
        <v>37</v>
      </c>
      <c r="P2964" t="s">
        <v>44</v>
      </c>
      <c r="U2964" s="9" t="s">
        <v>148</v>
      </c>
      <c r="V2964" t="s">
        <v>164</v>
      </c>
      <c r="W2964" t="s">
        <v>138</v>
      </c>
      <c r="X2964" t="s">
        <v>102</v>
      </c>
      <c r="Y2964" t="s">
        <v>1766</v>
      </c>
      <c r="Z2964" t="s">
        <v>155</v>
      </c>
      <c r="AB2964" t="str">
        <f t="shared" si="138"/>
        <v>47535</v>
      </c>
    </row>
    <row r="2965" ht="14.25" spans="1:28">
      <c r="A2965" s="5" t="s">
        <v>28</v>
      </c>
      <c r="B2965" s="5" t="s">
        <v>697</v>
      </c>
      <c r="C2965" s="5">
        <v>2027</v>
      </c>
      <c r="D2965" s="5" t="s">
        <v>30</v>
      </c>
      <c r="E2965" t="s">
        <v>1774</v>
      </c>
      <c r="F2965" t="s">
        <v>1775</v>
      </c>
      <c r="G2965" t="s">
        <v>1776</v>
      </c>
      <c r="H2965" t="s">
        <v>1777</v>
      </c>
      <c r="I2965" t="s">
        <v>147</v>
      </c>
      <c r="J2965" t="s">
        <v>36</v>
      </c>
      <c r="K2965">
        <v>1390</v>
      </c>
      <c r="O2965" t="s">
        <v>37</v>
      </c>
      <c r="P2965" t="s">
        <v>45</v>
      </c>
      <c r="U2965" s="9" t="s">
        <v>148</v>
      </c>
      <c r="V2965" t="s">
        <v>164</v>
      </c>
      <c r="W2965" t="s">
        <v>138</v>
      </c>
      <c r="X2965" t="s">
        <v>102</v>
      </c>
      <c r="Y2965" t="s">
        <v>1766</v>
      </c>
      <c r="Z2965" t="s">
        <v>155</v>
      </c>
      <c r="AB2965" t="str">
        <f t="shared" si="138"/>
        <v>47535</v>
      </c>
    </row>
    <row r="2966" ht="14.25" spans="1:28">
      <c r="A2966" s="5" t="s">
        <v>28</v>
      </c>
      <c r="B2966" s="5" t="s">
        <v>697</v>
      </c>
      <c r="C2966" s="5">
        <v>2027</v>
      </c>
      <c r="D2966" s="5" t="s">
        <v>30</v>
      </c>
      <c r="E2966" t="s">
        <v>1774</v>
      </c>
      <c r="F2966" t="s">
        <v>1775</v>
      </c>
      <c r="G2966" t="s">
        <v>1776</v>
      </c>
      <c r="H2966" t="s">
        <v>1777</v>
      </c>
      <c r="I2966" t="s">
        <v>147</v>
      </c>
      <c r="J2966" t="s">
        <v>36</v>
      </c>
      <c r="K2966">
        <v>1390</v>
      </c>
      <c r="O2966" t="s">
        <v>37</v>
      </c>
      <c r="P2966" t="s">
        <v>46</v>
      </c>
      <c r="U2966" s="9" t="s">
        <v>148</v>
      </c>
      <c r="V2966" t="s">
        <v>164</v>
      </c>
      <c r="W2966" t="s">
        <v>138</v>
      </c>
      <c r="X2966" t="s">
        <v>102</v>
      </c>
      <c r="Y2966" t="s">
        <v>1766</v>
      </c>
      <c r="Z2966" t="s">
        <v>155</v>
      </c>
      <c r="AB2966" t="str">
        <f t="shared" si="138"/>
        <v>47535</v>
      </c>
    </row>
    <row r="2967" ht="14.25" spans="1:28">
      <c r="A2967" s="5" t="s">
        <v>28</v>
      </c>
      <c r="B2967" s="5" t="s">
        <v>697</v>
      </c>
      <c r="C2967" s="5">
        <v>2027</v>
      </c>
      <c r="D2967" s="5" t="s">
        <v>30</v>
      </c>
      <c r="E2967" t="s">
        <v>1778</v>
      </c>
      <c r="F2967" t="s">
        <v>1775</v>
      </c>
      <c r="G2967" t="s">
        <v>1772</v>
      </c>
      <c r="H2967" t="s">
        <v>1779</v>
      </c>
      <c r="I2967" t="s">
        <v>147</v>
      </c>
      <c r="J2967" t="s">
        <v>36</v>
      </c>
      <c r="K2967">
        <v>1390</v>
      </c>
      <c r="O2967" t="s">
        <v>37</v>
      </c>
      <c r="P2967" t="s">
        <v>38</v>
      </c>
      <c r="R2967">
        <f t="shared" si="139"/>
        <v>0</v>
      </c>
      <c r="S2967">
        <f>SUMIFS([1]Sheet1!$T:$T,[1]Sheet1!$I:$I,E2967,[1]Sheet1!$C:$C,A2967)</f>
        <v>200</v>
      </c>
      <c r="T2967">
        <f t="shared" si="140"/>
        <v>-200</v>
      </c>
      <c r="U2967" s="9" t="s">
        <v>148</v>
      </c>
      <c r="V2967" t="s">
        <v>164</v>
      </c>
      <c r="W2967" t="s">
        <v>138</v>
      </c>
      <c r="X2967" t="s">
        <v>86</v>
      </c>
      <c r="Y2967" t="s">
        <v>1766</v>
      </c>
      <c r="Z2967" t="s">
        <v>155</v>
      </c>
      <c r="AB2967" t="str">
        <f t="shared" si="138"/>
        <v>47535</v>
      </c>
    </row>
    <row r="2968" ht="14.25" spans="1:28">
      <c r="A2968" s="5" t="s">
        <v>28</v>
      </c>
      <c r="B2968" s="5" t="s">
        <v>697</v>
      </c>
      <c r="C2968" s="5">
        <v>2027</v>
      </c>
      <c r="D2968" s="5" t="s">
        <v>30</v>
      </c>
      <c r="E2968" t="s">
        <v>1778</v>
      </c>
      <c r="F2968" t="s">
        <v>1775</v>
      </c>
      <c r="G2968" t="s">
        <v>1772</v>
      </c>
      <c r="H2968" t="s">
        <v>1779</v>
      </c>
      <c r="I2968" t="s">
        <v>147</v>
      </c>
      <c r="J2968" t="s">
        <v>36</v>
      </c>
      <c r="K2968">
        <v>1390</v>
      </c>
      <c r="O2968" t="s">
        <v>37</v>
      </c>
      <c r="P2968" t="s">
        <v>42</v>
      </c>
      <c r="U2968" s="9" t="s">
        <v>148</v>
      </c>
      <c r="V2968" t="s">
        <v>164</v>
      </c>
      <c r="W2968" t="s">
        <v>138</v>
      </c>
      <c r="X2968" t="s">
        <v>86</v>
      </c>
      <c r="Y2968" t="s">
        <v>1766</v>
      </c>
      <c r="Z2968" t="s">
        <v>155</v>
      </c>
      <c r="AB2968" t="str">
        <f t="shared" si="138"/>
        <v>47535</v>
      </c>
    </row>
    <row r="2969" ht="14.25" spans="1:28">
      <c r="A2969" s="5" t="s">
        <v>28</v>
      </c>
      <c r="B2969" s="5" t="s">
        <v>697</v>
      </c>
      <c r="C2969" s="5">
        <v>2027</v>
      </c>
      <c r="D2969" s="5" t="s">
        <v>30</v>
      </c>
      <c r="E2969" t="s">
        <v>1778</v>
      </c>
      <c r="F2969" t="s">
        <v>1775</v>
      </c>
      <c r="G2969" t="s">
        <v>1772</v>
      </c>
      <c r="H2969" t="s">
        <v>1779</v>
      </c>
      <c r="I2969" t="s">
        <v>147</v>
      </c>
      <c r="J2969" t="s">
        <v>36</v>
      </c>
      <c r="K2969">
        <v>1390</v>
      </c>
      <c r="O2969" t="s">
        <v>37</v>
      </c>
      <c r="P2969" t="s">
        <v>43</v>
      </c>
      <c r="U2969" s="9" t="s">
        <v>148</v>
      </c>
      <c r="V2969" t="s">
        <v>164</v>
      </c>
      <c r="W2969" t="s">
        <v>138</v>
      </c>
      <c r="X2969" t="s">
        <v>86</v>
      </c>
      <c r="Y2969" t="s">
        <v>1766</v>
      </c>
      <c r="Z2969" t="s">
        <v>155</v>
      </c>
      <c r="AB2969" t="str">
        <f t="shared" si="138"/>
        <v>47535</v>
      </c>
    </row>
    <row r="2970" ht="14.25" spans="1:28">
      <c r="A2970" s="5" t="s">
        <v>28</v>
      </c>
      <c r="B2970" s="5" t="s">
        <v>697</v>
      </c>
      <c r="C2970" s="5">
        <v>2027</v>
      </c>
      <c r="D2970" s="5" t="s">
        <v>30</v>
      </c>
      <c r="E2970" t="s">
        <v>1778</v>
      </c>
      <c r="F2970" t="s">
        <v>1775</v>
      </c>
      <c r="G2970" t="s">
        <v>1772</v>
      </c>
      <c r="H2970" t="s">
        <v>1779</v>
      </c>
      <c r="I2970" t="s">
        <v>147</v>
      </c>
      <c r="J2970" t="s">
        <v>36</v>
      </c>
      <c r="K2970">
        <v>1390</v>
      </c>
      <c r="O2970" t="s">
        <v>37</v>
      </c>
      <c r="P2970" t="s">
        <v>44</v>
      </c>
      <c r="U2970" s="9" t="s">
        <v>148</v>
      </c>
      <c r="V2970" t="s">
        <v>164</v>
      </c>
      <c r="W2970" t="s">
        <v>138</v>
      </c>
      <c r="X2970" t="s">
        <v>86</v>
      </c>
      <c r="Y2970" t="s">
        <v>1766</v>
      </c>
      <c r="Z2970" t="s">
        <v>155</v>
      </c>
      <c r="AB2970" t="str">
        <f t="shared" si="138"/>
        <v>47535</v>
      </c>
    </row>
    <row r="2971" ht="14.25" spans="1:28">
      <c r="A2971" s="5" t="s">
        <v>28</v>
      </c>
      <c r="B2971" s="5" t="s">
        <v>697</v>
      </c>
      <c r="C2971" s="5">
        <v>2027</v>
      </c>
      <c r="D2971" s="5" t="s">
        <v>30</v>
      </c>
      <c r="E2971" t="s">
        <v>1778</v>
      </c>
      <c r="F2971" t="s">
        <v>1775</v>
      </c>
      <c r="G2971" t="s">
        <v>1772</v>
      </c>
      <c r="H2971" t="s">
        <v>1779</v>
      </c>
      <c r="I2971" t="s">
        <v>147</v>
      </c>
      <c r="J2971" t="s">
        <v>36</v>
      </c>
      <c r="K2971">
        <v>1390</v>
      </c>
      <c r="O2971" t="s">
        <v>37</v>
      </c>
      <c r="P2971" t="s">
        <v>45</v>
      </c>
      <c r="U2971" s="9" t="s">
        <v>148</v>
      </c>
      <c r="V2971" t="s">
        <v>164</v>
      </c>
      <c r="W2971" t="s">
        <v>138</v>
      </c>
      <c r="X2971" t="s">
        <v>86</v>
      </c>
      <c r="Y2971" t="s">
        <v>1766</v>
      </c>
      <c r="Z2971" t="s">
        <v>155</v>
      </c>
      <c r="AB2971" t="str">
        <f t="shared" si="138"/>
        <v>47535</v>
      </c>
    </row>
    <row r="2972" ht="14.25" spans="1:28">
      <c r="A2972" s="5" t="s">
        <v>28</v>
      </c>
      <c r="B2972" s="5" t="s">
        <v>697</v>
      </c>
      <c r="C2972" s="5">
        <v>2027</v>
      </c>
      <c r="D2972" s="5" t="s">
        <v>30</v>
      </c>
      <c r="E2972" t="s">
        <v>1778</v>
      </c>
      <c r="F2972" t="s">
        <v>1775</v>
      </c>
      <c r="G2972" t="s">
        <v>1772</v>
      </c>
      <c r="H2972" t="s">
        <v>1779</v>
      </c>
      <c r="I2972" t="s">
        <v>147</v>
      </c>
      <c r="J2972" t="s">
        <v>36</v>
      </c>
      <c r="K2972">
        <v>1390</v>
      </c>
      <c r="O2972" t="s">
        <v>37</v>
      </c>
      <c r="P2972" t="s">
        <v>46</v>
      </c>
      <c r="U2972" s="9" t="s">
        <v>148</v>
      </c>
      <c r="V2972" t="s">
        <v>164</v>
      </c>
      <c r="W2972" t="s">
        <v>138</v>
      </c>
      <c r="X2972" t="s">
        <v>86</v>
      </c>
      <c r="Y2972" t="s">
        <v>1766</v>
      </c>
      <c r="Z2972" t="s">
        <v>155</v>
      </c>
      <c r="AB2972" t="str">
        <f t="shared" si="138"/>
        <v>47535</v>
      </c>
    </row>
    <row r="2973" ht="14.25" spans="1:28">
      <c r="A2973" s="5" t="s">
        <v>28</v>
      </c>
      <c r="B2973" s="5" t="s">
        <v>697</v>
      </c>
      <c r="C2973" s="5">
        <v>2027</v>
      </c>
      <c r="D2973" s="5" t="s">
        <v>30</v>
      </c>
      <c r="E2973" t="s">
        <v>1780</v>
      </c>
      <c r="F2973" t="s">
        <v>235</v>
      </c>
      <c r="G2973" t="s">
        <v>33</v>
      </c>
      <c r="H2973" t="s">
        <v>1781</v>
      </c>
      <c r="I2973" t="s">
        <v>112</v>
      </c>
      <c r="J2973" t="s">
        <v>36</v>
      </c>
      <c r="K2973">
        <v>790</v>
      </c>
      <c r="O2973" t="s">
        <v>37</v>
      </c>
      <c r="P2973" t="s">
        <v>38</v>
      </c>
      <c r="R2973">
        <f t="shared" si="139"/>
        <v>0</v>
      </c>
      <c r="S2973">
        <f>SUMIFS([1]Sheet1!$T:$T,[1]Sheet1!$I:$I,E2973,[1]Sheet1!$C:$C,A2973)</f>
        <v>0</v>
      </c>
      <c r="T2973">
        <f t="shared" si="140"/>
        <v>0</v>
      </c>
      <c r="U2973" s="9" t="s">
        <v>148</v>
      </c>
      <c r="V2973" t="s">
        <v>184</v>
      </c>
      <c r="W2973" t="s">
        <v>138</v>
      </c>
      <c r="X2973" t="s">
        <v>39</v>
      </c>
      <c r="Y2973" t="s">
        <v>237</v>
      </c>
      <c r="Z2973" t="s">
        <v>41</v>
      </c>
      <c r="AB2973" t="str">
        <f t="shared" si="138"/>
        <v>47713</v>
      </c>
    </row>
    <row r="2974" ht="14.25" spans="1:28">
      <c r="A2974" s="5" t="s">
        <v>28</v>
      </c>
      <c r="B2974" s="5" t="s">
        <v>697</v>
      </c>
      <c r="C2974" s="5">
        <v>2027</v>
      </c>
      <c r="D2974" s="5" t="s">
        <v>30</v>
      </c>
      <c r="E2974" t="s">
        <v>1780</v>
      </c>
      <c r="F2974" t="s">
        <v>235</v>
      </c>
      <c r="G2974" t="s">
        <v>33</v>
      </c>
      <c r="H2974" t="s">
        <v>1781</v>
      </c>
      <c r="I2974" t="s">
        <v>112</v>
      </c>
      <c r="J2974" t="s">
        <v>36</v>
      </c>
      <c r="K2974">
        <v>790</v>
      </c>
      <c r="O2974" t="s">
        <v>37</v>
      </c>
      <c r="P2974" t="s">
        <v>42</v>
      </c>
      <c r="U2974" s="9" t="s">
        <v>148</v>
      </c>
      <c r="V2974" t="s">
        <v>184</v>
      </c>
      <c r="W2974" t="s">
        <v>138</v>
      </c>
      <c r="X2974" t="s">
        <v>39</v>
      </c>
      <c r="Y2974" t="s">
        <v>237</v>
      </c>
      <c r="Z2974" t="s">
        <v>41</v>
      </c>
      <c r="AB2974" t="str">
        <f t="shared" si="138"/>
        <v>47713</v>
      </c>
    </row>
    <row r="2975" ht="14.25" spans="1:28">
      <c r="A2975" s="5" t="s">
        <v>28</v>
      </c>
      <c r="B2975" s="5" t="s">
        <v>697</v>
      </c>
      <c r="C2975" s="5">
        <v>2027</v>
      </c>
      <c r="D2975" s="5" t="s">
        <v>30</v>
      </c>
      <c r="E2975" t="s">
        <v>1780</v>
      </c>
      <c r="F2975" t="s">
        <v>235</v>
      </c>
      <c r="G2975" t="s">
        <v>33</v>
      </c>
      <c r="H2975" t="s">
        <v>1781</v>
      </c>
      <c r="I2975" t="s">
        <v>112</v>
      </c>
      <c r="J2975" t="s">
        <v>36</v>
      </c>
      <c r="K2975">
        <v>790</v>
      </c>
      <c r="O2975" t="s">
        <v>37</v>
      </c>
      <c r="P2975" t="s">
        <v>43</v>
      </c>
      <c r="U2975" s="9" t="s">
        <v>148</v>
      </c>
      <c r="V2975" t="s">
        <v>184</v>
      </c>
      <c r="W2975" t="s">
        <v>138</v>
      </c>
      <c r="X2975" t="s">
        <v>39</v>
      </c>
      <c r="Y2975" t="s">
        <v>237</v>
      </c>
      <c r="Z2975" t="s">
        <v>41</v>
      </c>
      <c r="AB2975" t="str">
        <f t="shared" si="138"/>
        <v>47713</v>
      </c>
    </row>
    <row r="2976" ht="14.25" spans="1:28">
      <c r="A2976" s="5" t="s">
        <v>28</v>
      </c>
      <c r="B2976" s="5" t="s">
        <v>697</v>
      </c>
      <c r="C2976" s="5">
        <v>2027</v>
      </c>
      <c r="D2976" s="5" t="s">
        <v>30</v>
      </c>
      <c r="E2976" t="s">
        <v>1780</v>
      </c>
      <c r="F2976" t="s">
        <v>235</v>
      </c>
      <c r="G2976" t="s">
        <v>33</v>
      </c>
      <c r="H2976" t="s">
        <v>1781</v>
      </c>
      <c r="I2976" t="s">
        <v>112</v>
      </c>
      <c r="J2976" t="s">
        <v>36</v>
      </c>
      <c r="K2976">
        <v>790</v>
      </c>
      <c r="O2976" t="s">
        <v>37</v>
      </c>
      <c r="P2976" t="s">
        <v>44</v>
      </c>
      <c r="U2976" s="9" t="s">
        <v>148</v>
      </c>
      <c r="V2976" t="s">
        <v>184</v>
      </c>
      <c r="W2976" t="s">
        <v>138</v>
      </c>
      <c r="X2976" t="s">
        <v>39</v>
      </c>
      <c r="Y2976" t="s">
        <v>237</v>
      </c>
      <c r="Z2976" t="s">
        <v>41</v>
      </c>
      <c r="AB2976" t="str">
        <f t="shared" si="138"/>
        <v>47713</v>
      </c>
    </row>
    <row r="2977" ht="14.25" spans="1:28">
      <c r="A2977" s="5" t="s">
        <v>28</v>
      </c>
      <c r="B2977" s="5" t="s">
        <v>697</v>
      </c>
      <c r="C2977" s="5">
        <v>2027</v>
      </c>
      <c r="D2977" s="5" t="s">
        <v>30</v>
      </c>
      <c r="E2977" t="s">
        <v>1780</v>
      </c>
      <c r="F2977" t="s">
        <v>235</v>
      </c>
      <c r="G2977" t="s">
        <v>33</v>
      </c>
      <c r="H2977" t="s">
        <v>1781</v>
      </c>
      <c r="I2977" t="s">
        <v>112</v>
      </c>
      <c r="J2977" t="s">
        <v>36</v>
      </c>
      <c r="K2977">
        <v>790</v>
      </c>
      <c r="O2977" t="s">
        <v>37</v>
      </c>
      <c r="P2977" t="s">
        <v>45</v>
      </c>
      <c r="U2977" s="9" t="s">
        <v>148</v>
      </c>
      <c r="V2977" t="s">
        <v>184</v>
      </c>
      <c r="W2977" t="s">
        <v>138</v>
      </c>
      <c r="X2977" t="s">
        <v>39</v>
      </c>
      <c r="Y2977" t="s">
        <v>237</v>
      </c>
      <c r="Z2977" t="s">
        <v>41</v>
      </c>
      <c r="AB2977" t="str">
        <f t="shared" si="138"/>
        <v>47713</v>
      </c>
    </row>
    <row r="2978" ht="14.25" spans="1:28">
      <c r="A2978" s="5" t="s">
        <v>28</v>
      </c>
      <c r="B2978" s="5" t="s">
        <v>697</v>
      </c>
      <c r="C2978" s="5">
        <v>2027</v>
      </c>
      <c r="D2978" s="5" t="s">
        <v>30</v>
      </c>
      <c r="E2978" t="s">
        <v>1780</v>
      </c>
      <c r="F2978" t="s">
        <v>235</v>
      </c>
      <c r="G2978" t="s">
        <v>33</v>
      </c>
      <c r="H2978" t="s">
        <v>1781</v>
      </c>
      <c r="I2978" t="s">
        <v>112</v>
      </c>
      <c r="J2978" t="s">
        <v>36</v>
      </c>
      <c r="K2978">
        <v>790</v>
      </c>
      <c r="O2978" t="s">
        <v>37</v>
      </c>
      <c r="P2978" t="s">
        <v>46</v>
      </c>
      <c r="U2978" s="9" t="s">
        <v>148</v>
      </c>
      <c r="V2978" t="s">
        <v>184</v>
      </c>
      <c r="W2978" t="s">
        <v>138</v>
      </c>
      <c r="X2978" t="s">
        <v>39</v>
      </c>
      <c r="Y2978" t="s">
        <v>237</v>
      </c>
      <c r="Z2978" t="s">
        <v>41</v>
      </c>
      <c r="AB2978" t="str">
        <f t="shared" si="138"/>
        <v>47713</v>
      </c>
    </row>
    <row r="2979" ht="14.25" spans="1:28">
      <c r="A2979" s="5" t="s">
        <v>28</v>
      </c>
      <c r="B2979" s="5" t="s">
        <v>697</v>
      </c>
      <c r="C2979" s="5">
        <v>2027</v>
      </c>
      <c r="D2979" s="5" t="s">
        <v>30</v>
      </c>
      <c r="E2979" t="s">
        <v>234</v>
      </c>
      <c r="F2979" t="s">
        <v>235</v>
      </c>
      <c r="G2979" t="s">
        <v>100</v>
      </c>
      <c r="H2979" t="s">
        <v>236</v>
      </c>
      <c r="I2979" t="s">
        <v>112</v>
      </c>
      <c r="J2979" t="s">
        <v>36</v>
      </c>
      <c r="K2979">
        <v>790</v>
      </c>
      <c r="O2979" t="s">
        <v>37</v>
      </c>
      <c r="P2979" t="s">
        <v>38</v>
      </c>
      <c r="R2979">
        <f t="shared" si="139"/>
        <v>0</v>
      </c>
      <c r="S2979">
        <f>SUMIFS([1]Sheet1!$T:$T,[1]Sheet1!$I:$I,E2979,[1]Sheet1!$C:$C,A2979)</f>
        <v>0</v>
      </c>
      <c r="T2979">
        <f t="shared" si="140"/>
        <v>0</v>
      </c>
      <c r="U2979" s="9" t="s">
        <v>148</v>
      </c>
      <c r="V2979" t="s">
        <v>184</v>
      </c>
      <c r="W2979" t="s">
        <v>138</v>
      </c>
      <c r="X2979" t="s">
        <v>102</v>
      </c>
      <c r="Y2979" t="s">
        <v>237</v>
      </c>
      <c r="Z2979" t="s">
        <v>41</v>
      </c>
      <c r="AB2979" t="str">
        <f t="shared" si="138"/>
        <v>47713</v>
      </c>
    </row>
    <row r="2980" ht="14.25" spans="1:28">
      <c r="A2980" s="5" t="s">
        <v>28</v>
      </c>
      <c r="B2980" s="5" t="s">
        <v>697</v>
      </c>
      <c r="C2980" s="5">
        <v>2027</v>
      </c>
      <c r="D2980" s="5" t="s">
        <v>30</v>
      </c>
      <c r="E2980" t="s">
        <v>234</v>
      </c>
      <c r="F2980" t="s">
        <v>235</v>
      </c>
      <c r="G2980" t="s">
        <v>100</v>
      </c>
      <c r="H2980" t="s">
        <v>236</v>
      </c>
      <c r="I2980" t="s">
        <v>112</v>
      </c>
      <c r="J2980" t="s">
        <v>36</v>
      </c>
      <c r="K2980">
        <v>790</v>
      </c>
      <c r="O2980" t="s">
        <v>37</v>
      </c>
      <c r="P2980" t="s">
        <v>42</v>
      </c>
      <c r="U2980" s="9" t="s">
        <v>148</v>
      </c>
      <c r="V2980" t="s">
        <v>184</v>
      </c>
      <c r="W2980" t="s">
        <v>138</v>
      </c>
      <c r="X2980" t="s">
        <v>102</v>
      </c>
      <c r="Y2980" t="s">
        <v>237</v>
      </c>
      <c r="Z2980" t="s">
        <v>41</v>
      </c>
      <c r="AB2980" t="str">
        <f t="shared" si="138"/>
        <v>47713</v>
      </c>
    </row>
    <row r="2981" ht="14.25" spans="1:28">
      <c r="A2981" s="5" t="s">
        <v>28</v>
      </c>
      <c r="B2981" s="5" t="s">
        <v>697</v>
      </c>
      <c r="C2981" s="5">
        <v>2027</v>
      </c>
      <c r="D2981" s="5" t="s">
        <v>30</v>
      </c>
      <c r="E2981" t="s">
        <v>234</v>
      </c>
      <c r="F2981" t="s">
        <v>235</v>
      </c>
      <c r="G2981" t="s">
        <v>100</v>
      </c>
      <c r="H2981" t="s">
        <v>236</v>
      </c>
      <c r="I2981" t="s">
        <v>112</v>
      </c>
      <c r="J2981" t="s">
        <v>36</v>
      </c>
      <c r="K2981">
        <v>790</v>
      </c>
      <c r="O2981" t="s">
        <v>37</v>
      </c>
      <c r="P2981" t="s">
        <v>43</v>
      </c>
      <c r="U2981" s="9" t="s">
        <v>148</v>
      </c>
      <c r="V2981" t="s">
        <v>184</v>
      </c>
      <c r="W2981" t="s">
        <v>138</v>
      </c>
      <c r="X2981" t="s">
        <v>102</v>
      </c>
      <c r="Y2981" t="s">
        <v>237</v>
      </c>
      <c r="Z2981" t="s">
        <v>41</v>
      </c>
      <c r="AB2981" t="str">
        <f t="shared" si="138"/>
        <v>47713</v>
      </c>
    </row>
    <row r="2982" ht="14.25" spans="1:28">
      <c r="A2982" s="5" t="s">
        <v>28</v>
      </c>
      <c r="B2982" s="5" t="s">
        <v>697</v>
      </c>
      <c r="C2982" s="5">
        <v>2027</v>
      </c>
      <c r="D2982" s="5" t="s">
        <v>30</v>
      </c>
      <c r="E2982" t="s">
        <v>234</v>
      </c>
      <c r="F2982" t="s">
        <v>235</v>
      </c>
      <c r="G2982" t="s">
        <v>100</v>
      </c>
      <c r="H2982" t="s">
        <v>236</v>
      </c>
      <c r="I2982" t="s">
        <v>112</v>
      </c>
      <c r="J2982" t="s">
        <v>36</v>
      </c>
      <c r="K2982">
        <v>790</v>
      </c>
      <c r="O2982" t="s">
        <v>37</v>
      </c>
      <c r="P2982" t="s">
        <v>44</v>
      </c>
      <c r="U2982" s="9" t="s">
        <v>148</v>
      </c>
      <c r="V2982" t="s">
        <v>184</v>
      </c>
      <c r="W2982" t="s">
        <v>138</v>
      </c>
      <c r="X2982" t="s">
        <v>102</v>
      </c>
      <c r="Y2982" t="s">
        <v>237</v>
      </c>
      <c r="Z2982" t="s">
        <v>41</v>
      </c>
      <c r="AB2982" t="str">
        <f t="shared" si="138"/>
        <v>47713</v>
      </c>
    </row>
    <row r="2983" ht="14.25" spans="1:28">
      <c r="A2983" s="5" t="s">
        <v>28</v>
      </c>
      <c r="B2983" s="5" t="s">
        <v>697</v>
      </c>
      <c r="C2983" s="5">
        <v>2027</v>
      </c>
      <c r="D2983" s="5" t="s">
        <v>30</v>
      </c>
      <c r="E2983" t="s">
        <v>234</v>
      </c>
      <c r="F2983" t="s">
        <v>235</v>
      </c>
      <c r="G2983" t="s">
        <v>100</v>
      </c>
      <c r="H2983" t="s">
        <v>236</v>
      </c>
      <c r="I2983" t="s">
        <v>112</v>
      </c>
      <c r="J2983" t="s">
        <v>36</v>
      </c>
      <c r="K2983">
        <v>790</v>
      </c>
      <c r="O2983" t="s">
        <v>37</v>
      </c>
      <c r="P2983" t="s">
        <v>45</v>
      </c>
      <c r="U2983" s="9" t="s">
        <v>148</v>
      </c>
      <c r="V2983" t="s">
        <v>184</v>
      </c>
      <c r="W2983" t="s">
        <v>138</v>
      </c>
      <c r="X2983" t="s">
        <v>102</v>
      </c>
      <c r="Y2983" t="s">
        <v>237</v>
      </c>
      <c r="Z2983" t="s">
        <v>41</v>
      </c>
      <c r="AB2983" t="str">
        <f t="shared" si="138"/>
        <v>47713</v>
      </c>
    </row>
    <row r="2984" ht="14.25" spans="1:28">
      <c r="A2984" s="5" t="s">
        <v>28</v>
      </c>
      <c r="B2984" s="5" t="s">
        <v>697</v>
      </c>
      <c r="C2984" s="5">
        <v>2027</v>
      </c>
      <c r="D2984" s="5" t="s">
        <v>30</v>
      </c>
      <c r="E2984" t="s">
        <v>234</v>
      </c>
      <c r="F2984" t="s">
        <v>235</v>
      </c>
      <c r="G2984" t="s">
        <v>100</v>
      </c>
      <c r="H2984" t="s">
        <v>236</v>
      </c>
      <c r="I2984" t="s">
        <v>112</v>
      </c>
      <c r="J2984" t="s">
        <v>36</v>
      </c>
      <c r="K2984">
        <v>790</v>
      </c>
      <c r="O2984" t="s">
        <v>37</v>
      </c>
      <c r="P2984" t="s">
        <v>46</v>
      </c>
      <c r="U2984" s="9" t="s">
        <v>148</v>
      </c>
      <c r="V2984" t="s">
        <v>184</v>
      </c>
      <c r="W2984" t="s">
        <v>138</v>
      </c>
      <c r="X2984" t="s">
        <v>102</v>
      </c>
      <c r="Y2984" t="s">
        <v>237</v>
      </c>
      <c r="Z2984" t="s">
        <v>41</v>
      </c>
      <c r="AB2984" t="str">
        <f t="shared" si="138"/>
        <v>47713</v>
      </c>
    </row>
    <row r="2985" ht="14.25" spans="1:28">
      <c r="A2985" s="5" t="s">
        <v>28</v>
      </c>
      <c r="B2985" s="5" t="s">
        <v>697</v>
      </c>
      <c r="C2985" s="5">
        <v>2027</v>
      </c>
      <c r="D2985" s="5" t="s">
        <v>30</v>
      </c>
      <c r="E2985" t="s">
        <v>1782</v>
      </c>
      <c r="F2985" t="s">
        <v>1783</v>
      </c>
      <c r="G2985" t="s">
        <v>89</v>
      </c>
      <c r="H2985" t="s">
        <v>1784</v>
      </c>
      <c r="I2985" t="s">
        <v>147</v>
      </c>
      <c r="J2985" t="s">
        <v>36</v>
      </c>
      <c r="K2985">
        <v>990</v>
      </c>
      <c r="O2985" t="s">
        <v>37</v>
      </c>
      <c r="P2985" t="s">
        <v>38</v>
      </c>
      <c r="R2985">
        <f t="shared" si="139"/>
        <v>0</v>
      </c>
      <c r="S2985">
        <f>SUMIFS([1]Sheet1!$T:$T,[1]Sheet1!$I:$I,E2985,[1]Sheet1!$C:$C,A2985)</f>
        <v>0</v>
      </c>
      <c r="T2985">
        <f t="shared" si="140"/>
        <v>0</v>
      </c>
      <c r="U2985" s="9" t="s">
        <v>148</v>
      </c>
      <c r="V2985" t="s">
        <v>184</v>
      </c>
      <c r="W2985" t="s">
        <v>138</v>
      </c>
      <c r="X2985" t="s">
        <v>39</v>
      </c>
      <c r="Y2985" t="s">
        <v>1272</v>
      </c>
      <c r="Z2985" t="s">
        <v>41</v>
      </c>
      <c r="AB2985" t="str">
        <f t="shared" si="138"/>
        <v>47734</v>
      </c>
    </row>
    <row r="2986" ht="14.25" spans="1:28">
      <c r="A2986" s="5" t="s">
        <v>28</v>
      </c>
      <c r="B2986" s="5" t="s">
        <v>697</v>
      </c>
      <c r="C2986" s="5">
        <v>2027</v>
      </c>
      <c r="D2986" s="5" t="s">
        <v>30</v>
      </c>
      <c r="E2986" t="s">
        <v>1782</v>
      </c>
      <c r="F2986" t="s">
        <v>1783</v>
      </c>
      <c r="G2986" t="s">
        <v>89</v>
      </c>
      <c r="H2986" t="s">
        <v>1784</v>
      </c>
      <c r="I2986" t="s">
        <v>147</v>
      </c>
      <c r="J2986" t="s">
        <v>36</v>
      </c>
      <c r="K2986">
        <v>990</v>
      </c>
      <c r="O2986" t="s">
        <v>37</v>
      </c>
      <c r="P2986" t="s">
        <v>42</v>
      </c>
      <c r="U2986" s="9" t="s">
        <v>148</v>
      </c>
      <c r="V2986" t="s">
        <v>184</v>
      </c>
      <c r="W2986" t="s">
        <v>138</v>
      </c>
      <c r="X2986" t="s">
        <v>39</v>
      </c>
      <c r="Y2986" t="s">
        <v>1272</v>
      </c>
      <c r="Z2986" t="s">
        <v>41</v>
      </c>
      <c r="AB2986" t="str">
        <f t="shared" si="138"/>
        <v>47734</v>
      </c>
    </row>
    <row r="2987" ht="14.25" spans="1:28">
      <c r="A2987" s="5" t="s">
        <v>28</v>
      </c>
      <c r="B2987" s="5" t="s">
        <v>697</v>
      </c>
      <c r="C2987" s="5">
        <v>2027</v>
      </c>
      <c r="D2987" s="5" t="s">
        <v>30</v>
      </c>
      <c r="E2987" t="s">
        <v>1782</v>
      </c>
      <c r="F2987" t="s">
        <v>1783</v>
      </c>
      <c r="G2987" t="s">
        <v>89</v>
      </c>
      <c r="H2987" t="s">
        <v>1784</v>
      </c>
      <c r="I2987" t="s">
        <v>147</v>
      </c>
      <c r="J2987" t="s">
        <v>36</v>
      </c>
      <c r="K2987">
        <v>990</v>
      </c>
      <c r="O2987" t="s">
        <v>37</v>
      </c>
      <c r="P2987" t="s">
        <v>43</v>
      </c>
      <c r="U2987" s="9" t="s">
        <v>148</v>
      </c>
      <c r="V2987" t="s">
        <v>184</v>
      </c>
      <c r="W2987" t="s">
        <v>138</v>
      </c>
      <c r="X2987" t="s">
        <v>39</v>
      </c>
      <c r="Y2987" t="s">
        <v>1272</v>
      </c>
      <c r="Z2987" t="s">
        <v>41</v>
      </c>
      <c r="AB2987" t="str">
        <f t="shared" si="138"/>
        <v>47734</v>
      </c>
    </row>
    <row r="2988" ht="14.25" spans="1:28">
      <c r="A2988" s="5" t="s">
        <v>28</v>
      </c>
      <c r="B2988" s="5" t="s">
        <v>697</v>
      </c>
      <c r="C2988" s="5">
        <v>2027</v>
      </c>
      <c r="D2988" s="5" t="s">
        <v>30</v>
      </c>
      <c r="E2988" t="s">
        <v>1782</v>
      </c>
      <c r="F2988" t="s">
        <v>1783</v>
      </c>
      <c r="G2988" t="s">
        <v>89</v>
      </c>
      <c r="H2988" t="s">
        <v>1784</v>
      </c>
      <c r="I2988" t="s">
        <v>147</v>
      </c>
      <c r="J2988" t="s">
        <v>36</v>
      </c>
      <c r="K2988">
        <v>990</v>
      </c>
      <c r="O2988" t="s">
        <v>37</v>
      </c>
      <c r="P2988" t="s">
        <v>44</v>
      </c>
      <c r="U2988" s="9" t="s">
        <v>148</v>
      </c>
      <c r="V2988" t="s">
        <v>184</v>
      </c>
      <c r="W2988" t="s">
        <v>138</v>
      </c>
      <c r="X2988" t="s">
        <v>39</v>
      </c>
      <c r="Y2988" t="s">
        <v>1272</v>
      </c>
      <c r="Z2988" t="s">
        <v>41</v>
      </c>
      <c r="AB2988" t="str">
        <f t="shared" si="138"/>
        <v>47734</v>
      </c>
    </row>
    <row r="2989" ht="14.25" spans="1:28">
      <c r="A2989" s="5" t="s">
        <v>28</v>
      </c>
      <c r="B2989" s="5" t="s">
        <v>697</v>
      </c>
      <c r="C2989" s="5">
        <v>2027</v>
      </c>
      <c r="D2989" s="5" t="s">
        <v>30</v>
      </c>
      <c r="E2989" t="s">
        <v>1782</v>
      </c>
      <c r="F2989" t="s">
        <v>1783</v>
      </c>
      <c r="G2989" t="s">
        <v>89</v>
      </c>
      <c r="H2989" t="s">
        <v>1784</v>
      </c>
      <c r="I2989" t="s">
        <v>147</v>
      </c>
      <c r="J2989" t="s">
        <v>36</v>
      </c>
      <c r="K2989">
        <v>990</v>
      </c>
      <c r="O2989" t="s">
        <v>37</v>
      </c>
      <c r="P2989" t="s">
        <v>45</v>
      </c>
      <c r="U2989" s="9" t="s">
        <v>148</v>
      </c>
      <c r="V2989" t="s">
        <v>184</v>
      </c>
      <c r="W2989" t="s">
        <v>138</v>
      </c>
      <c r="X2989" t="s">
        <v>39</v>
      </c>
      <c r="Y2989" t="s">
        <v>1272</v>
      </c>
      <c r="Z2989" t="s">
        <v>41</v>
      </c>
      <c r="AB2989" t="str">
        <f t="shared" si="138"/>
        <v>47734</v>
      </c>
    </row>
    <row r="2990" ht="14.25" spans="1:28">
      <c r="A2990" s="5" t="s">
        <v>28</v>
      </c>
      <c r="B2990" s="5" t="s">
        <v>697</v>
      </c>
      <c r="C2990" s="5">
        <v>2027</v>
      </c>
      <c r="D2990" s="5" t="s">
        <v>30</v>
      </c>
      <c r="E2990" t="s">
        <v>1782</v>
      </c>
      <c r="F2990" t="s">
        <v>1783</v>
      </c>
      <c r="G2990" t="s">
        <v>89</v>
      </c>
      <c r="H2990" t="s">
        <v>1784</v>
      </c>
      <c r="I2990" t="s">
        <v>147</v>
      </c>
      <c r="J2990" t="s">
        <v>36</v>
      </c>
      <c r="K2990">
        <v>990</v>
      </c>
      <c r="O2990" t="s">
        <v>37</v>
      </c>
      <c r="P2990" t="s">
        <v>46</v>
      </c>
      <c r="U2990" s="9" t="s">
        <v>148</v>
      </c>
      <c r="V2990" t="s">
        <v>184</v>
      </c>
      <c r="W2990" t="s">
        <v>138</v>
      </c>
      <c r="X2990" t="s">
        <v>39</v>
      </c>
      <c r="Y2990" t="s">
        <v>1272</v>
      </c>
      <c r="Z2990" t="s">
        <v>41</v>
      </c>
      <c r="AB2990" t="str">
        <f t="shared" si="138"/>
        <v>47734</v>
      </c>
    </row>
    <row r="2991" ht="14.25" spans="1:28">
      <c r="A2991" s="5" t="s">
        <v>28</v>
      </c>
      <c r="B2991" s="5" t="s">
        <v>697</v>
      </c>
      <c r="C2991" s="5">
        <v>2027</v>
      </c>
      <c r="D2991" s="5" t="s">
        <v>30</v>
      </c>
      <c r="E2991" t="s">
        <v>1785</v>
      </c>
      <c r="F2991" t="s">
        <v>1783</v>
      </c>
      <c r="G2991" t="s">
        <v>100</v>
      </c>
      <c r="H2991" t="s">
        <v>1786</v>
      </c>
      <c r="I2991" t="s">
        <v>147</v>
      </c>
      <c r="J2991" t="s">
        <v>36</v>
      </c>
      <c r="K2991">
        <v>990</v>
      </c>
      <c r="O2991" t="s">
        <v>37</v>
      </c>
      <c r="P2991" t="s">
        <v>38</v>
      </c>
      <c r="R2991">
        <f t="shared" si="139"/>
        <v>0</v>
      </c>
      <c r="S2991">
        <f>SUMIFS([1]Sheet1!$T:$T,[1]Sheet1!$I:$I,E2991,[1]Sheet1!$C:$C,A2991)</f>
        <v>0</v>
      </c>
      <c r="T2991">
        <f t="shared" si="140"/>
        <v>0</v>
      </c>
      <c r="U2991" s="9" t="s">
        <v>148</v>
      </c>
      <c r="V2991" t="s">
        <v>184</v>
      </c>
      <c r="W2991" t="s">
        <v>138</v>
      </c>
      <c r="X2991" t="s">
        <v>102</v>
      </c>
      <c r="Y2991" t="s">
        <v>1272</v>
      </c>
      <c r="Z2991" t="s">
        <v>41</v>
      </c>
      <c r="AB2991" t="str">
        <f t="shared" si="138"/>
        <v>47734</v>
      </c>
    </row>
    <row r="2992" ht="14.25" spans="1:28">
      <c r="A2992" s="5" t="s">
        <v>28</v>
      </c>
      <c r="B2992" s="5" t="s">
        <v>697</v>
      </c>
      <c r="C2992" s="5">
        <v>2027</v>
      </c>
      <c r="D2992" s="5" t="s">
        <v>30</v>
      </c>
      <c r="E2992" t="s">
        <v>1785</v>
      </c>
      <c r="F2992" t="s">
        <v>1783</v>
      </c>
      <c r="G2992" t="s">
        <v>100</v>
      </c>
      <c r="H2992" t="s">
        <v>1786</v>
      </c>
      <c r="I2992" t="s">
        <v>147</v>
      </c>
      <c r="J2992" t="s">
        <v>36</v>
      </c>
      <c r="K2992">
        <v>990</v>
      </c>
      <c r="O2992" t="s">
        <v>37</v>
      </c>
      <c r="P2992" t="s">
        <v>42</v>
      </c>
      <c r="U2992" s="9" t="s">
        <v>148</v>
      </c>
      <c r="V2992" t="s">
        <v>184</v>
      </c>
      <c r="W2992" t="s">
        <v>138</v>
      </c>
      <c r="X2992" t="s">
        <v>102</v>
      </c>
      <c r="Y2992" t="s">
        <v>1272</v>
      </c>
      <c r="Z2992" t="s">
        <v>41</v>
      </c>
      <c r="AB2992" t="str">
        <f t="shared" si="138"/>
        <v>47734</v>
      </c>
    </row>
    <row r="2993" ht="14.25" spans="1:28">
      <c r="A2993" s="5" t="s">
        <v>28</v>
      </c>
      <c r="B2993" s="5" t="s">
        <v>697</v>
      </c>
      <c r="C2993" s="5">
        <v>2027</v>
      </c>
      <c r="D2993" s="5" t="s">
        <v>30</v>
      </c>
      <c r="E2993" t="s">
        <v>1785</v>
      </c>
      <c r="F2993" t="s">
        <v>1783</v>
      </c>
      <c r="G2993" t="s">
        <v>100</v>
      </c>
      <c r="H2993" t="s">
        <v>1786</v>
      </c>
      <c r="I2993" t="s">
        <v>147</v>
      </c>
      <c r="J2993" t="s">
        <v>36</v>
      </c>
      <c r="K2993">
        <v>990</v>
      </c>
      <c r="O2993" t="s">
        <v>37</v>
      </c>
      <c r="P2993" t="s">
        <v>43</v>
      </c>
      <c r="U2993" s="9" t="s">
        <v>148</v>
      </c>
      <c r="V2993" t="s">
        <v>184</v>
      </c>
      <c r="W2993" t="s">
        <v>138</v>
      </c>
      <c r="X2993" t="s">
        <v>102</v>
      </c>
      <c r="Y2993" t="s">
        <v>1272</v>
      </c>
      <c r="Z2993" t="s">
        <v>41</v>
      </c>
      <c r="AB2993" t="str">
        <f t="shared" si="138"/>
        <v>47734</v>
      </c>
    </row>
    <row r="2994" ht="14.25" spans="1:28">
      <c r="A2994" s="5" t="s">
        <v>28</v>
      </c>
      <c r="B2994" s="5" t="s">
        <v>697</v>
      </c>
      <c r="C2994" s="5">
        <v>2027</v>
      </c>
      <c r="D2994" s="5" t="s">
        <v>30</v>
      </c>
      <c r="E2994" t="s">
        <v>1785</v>
      </c>
      <c r="F2994" t="s">
        <v>1783</v>
      </c>
      <c r="G2994" t="s">
        <v>100</v>
      </c>
      <c r="H2994" t="s">
        <v>1786</v>
      </c>
      <c r="I2994" t="s">
        <v>147</v>
      </c>
      <c r="J2994" t="s">
        <v>36</v>
      </c>
      <c r="K2994">
        <v>990</v>
      </c>
      <c r="O2994" t="s">
        <v>37</v>
      </c>
      <c r="P2994" t="s">
        <v>44</v>
      </c>
      <c r="U2994" s="9" t="s">
        <v>148</v>
      </c>
      <c r="V2994" t="s">
        <v>184</v>
      </c>
      <c r="W2994" t="s">
        <v>138</v>
      </c>
      <c r="X2994" t="s">
        <v>102</v>
      </c>
      <c r="Y2994" t="s">
        <v>1272</v>
      </c>
      <c r="Z2994" t="s">
        <v>41</v>
      </c>
      <c r="AB2994" t="str">
        <f t="shared" si="138"/>
        <v>47734</v>
      </c>
    </row>
    <row r="2995" ht="14.25" spans="1:28">
      <c r="A2995" s="5" t="s">
        <v>28</v>
      </c>
      <c r="B2995" s="5" t="s">
        <v>697</v>
      </c>
      <c r="C2995" s="5">
        <v>2027</v>
      </c>
      <c r="D2995" s="5" t="s">
        <v>30</v>
      </c>
      <c r="E2995" t="s">
        <v>1785</v>
      </c>
      <c r="F2995" t="s">
        <v>1783</v>
      </c>
      <c r="G2995" t="s">
        <v>100</v>
      </c>
      <c r="H2995" t="s">
        <v>1786</v>
      </c>
      <c r="I2995" t="s">
        <v>147</v>
      </c>
      <c r="J2995" t="s">
        <v>36</v>
      </c>
      <c r="K2995">
        <v>990</v>
      </c>
      <c r="O2995" t="s">
        <v>37</v>
      </c>
      <c r="P2995" t="s">
        <v>45</v>
      </c>
      <c r="U2995" s="9" t="s">
        <v>148</v>
      </c>
      <c r="V2995" t="s">
        <v>184</v>
      </c>
      <c r="W2995" t="s">
        <v>138</v>
      </c>
      <c r="X2995" t="s">
        <v>102</v>
      </c>
      <c r="Y2995" t="s">
        <v>1272</v>
      </c>
      <c r="Z2995" t="s">
        <v>41</v>
      </c>
      <c r="AB2995" t="str">
        <f t="shared" ref="AB2995:AB3058" si="141">MID(E2995,6,5)</f>
        <v>47734</v>
      </c>
    </row>
    <row r="2996" ht="14.25" spans="1:28">
      <c r="A2996" s="5" t="s">
        <v>28</v>
      </c>
      <c r="B2996" s="5" t="s">
        <v>697</v>
      </c>
      <c r="C2996" s="5">
        <v>2027</v>
      </c>
      <c r="D2996" s="5" t="s">
        <v>30</v>
      </c>
      <c r="E2996" t="s">
        <v>1785</v>
      </c>
      <c r="F2996" t="s">
        <v>1783</v>
      </c>
      <c r="G2996" t="s">
        <v>100</v>
      </c>
      <c r="H2996" t="s">
        <v>1786</v>
      </c>
      <c r="I2996" t="s">
        <v>147</v>
      </c>
      <c r="J2996" t="s">
        <v>36</v>
      </c>
      <c r="K2996">
        <v>990</v>
      </c>
      <c r="O2996" t="s">
        <v>37</v>
      </c>
      <c r="P2996" t="s">
        <v>46</v>
      </c>
      <c r="U2996" s="9" t="s">
        <v>148</v>
      </c>
      <c r="V2996" t="s">
        <v>184</v>
      </c>
      <c r="W2996" t="s">
        <v>138</v>
      </c>
      <c r="X2996" t="s">
        <v>102</v>
      </c>
      <c r="Y2996" t="s">
        <v>1272</v>
      </c>
      <c r="Z2996" t="s">
        <v>41</v>
      </c>
      <c r="AB2996" t="str">
        <f t="shared" si="141"/>
        <v>47734</v>
      </c>
    </row>
    <row r="2997" ht="14.25" spans="1:28">
      <c r="A2997" s="5" t="s">
        <v>28</v>
      </c>
      <c r="B2997" s="5" t="s">
        <v>697</v>
      </c>
      <c r="C2997" s="5">
        <v>2027</v>
      </c>
      <c r="D2997" s="5" t="s">
        <v>30</v>
      </c>
      <c r="E2997" t="s">
        <v>1787</v>
      </c>
      <c r="F2997" t="s">
        <v>1783</v>
      </c>
      <c r="G2997" t="s">
        <v>1788</v>
      </c>
      <c r="H2997" t="s">
        <v>1789</v>
      </c>
      <c r="I2997" t="s">
        <v>112</v>
      </c>
      <c r="J2997" t="s">
        <v>36</v>
      </c>
      <c r="K2997">
        <v>990</v>
      </c>
      <c r="O2997" t="s">
        <v>37</v>
      </c>
      <c r="P2997" t="s">
        <v>38</v>
      </c>
      <c r="R2997">
        <f t="shared" si="139"/>
        <v>0</v>
      </c>
      <c r="S2997">
        <f>SUMIFS([1]Sheet1!$T:$T,[1]Sheet1!$I:$I,E2997,[1]Sheet1!$C:$C,A2997)</f>
        <v>0</v>
      </c>
      <c r="T2997">
        <f t="shared" si="140"/>
        <v>0</v>
      </c>
      <c r="U2997" s="9" t="s">
        <v>148</v>
      </c>
      <c r="V2997" t="s">
        <v>184</v>
      </c>
      <c r="W2997" t="s">
        <v>138</v>
      </c>
      <c r="Y2997" t="s">
        <v>1272</v>
      </c>
      <c r="Z2997" t="s">
        <v>41</v>
      </c>
      <c r="AB2997" t="str">
        <f t="shared" si="141"/>
        <v>47734</v>
      </c>
    </row>
    <row r="2998" ht="14.25" spans="1:28">
      <c r="A2998" s="5" t="s">
        <v>28</v>
      </c>
      <c r="B2998" s="5" t="s">
        <v>697</v>
      </c>
      <c r="C2998" s="5">
        <v>2027</v>
      </c>
      <c r="D2998" s="5" t="s">
        <v>30</v>
      </c>
      <c r="E2998" t="s">
        <v>1787</v>
      </c>
      <c r="F2998" t="s">
        <v>1783</v>
      </c>
      <c r="G2998" t="s">
        <v>1788</v>
      </c>
      <c r="H2998" t="s">
        <v>1789</v>
      </c>
      <c r="I2998" t="s">
        <v>112</v>
      </c>
      <c r="J2998" t="s">
        <v>36</v>
      </c>
      <c r="K2998">
        <v>990</v>
      </c>
      <c r="O2998" t="s">
        <v>37</v>
      </c>
      <c r="P2998" t="s">
        <v>42</v>
      </c>
      <c r="U2998" s="9" t="s">
        <v>148</v>
      </c>
      <c r="V2998" t="s">
        <v>184</v>
      </c>
      <c r="W2998" t="s">
        <v>138</v>
      </c>
      <c r="Y2998" t="s">
        <v>1272</v>
      </c>
      <c r="Z2998" t="s">
        <v>41</v>
      </c>
      <c r="AB2998" t="str">
        <f t="shared" si="141"/>
        <v>47734</v>
      </c>
    </row>
    <row r="2999" ht="14.25" spans="1:28">
      <c r="A2999" s="5" t="s">
        <v>28</v>
      </c>
      <c r="B2999" s="5" t="s">
        <v>697</v>
      </c>
      <c r="C2999" s="5">
        <v>2027</v>
      </c>
      <c r="D2999" s="5" t="s">
        <v>30</v>
      </c>
      <c r="E2999" t="s">
        <v>1787</v>
      </c>
      <c r="F2999" t="s">
        <v>1783</v>
      </c>
      <c r="G2999" t="s">
        <v>1788</v>
      </c>
      <c r="H2999" t="s">
        <v>1789</v>
      </c>
      <c r="I2999" t="s">
        <v>112</v>
      </c>
      <c r="J2999" t="s">
        <v>36</v>
      </c>
      <c r="K2999">
        <v>990</v>
      </c>
      <c r="O2999" t="s">
        <v>37</v>
      </c>
      <c r="P2999" t="s">
        <v>43</v>
      </c>
      <c r="U2999" s="9" t="s">
        <v>148</v>
      </c>
      <c r="V2999" t="s">
        <v>184</v>
      </c>
      <c r="W2999" t="s">
        <v>138</v>
      </c>
      <c r="Y2999" t="s">
        <v>1272</v>
      </c>
      <c r="Z2999" t="s">
        <v>41</v>
      </c>
      <c r="AB2999" t="str">
        <f t="shared" si="141"/>
        <v>47734</v>
      </c>
    </row>
    <row r="3000" ht="14.25" spans="1:28">
      <c r="A3000" s="5" t="s">
        <v>28</v>
      </c>
      <c r="B3000" s="5" t="s">
        <v>697</v>
      </c>
      <c r="C3000" s="5">
        <v>2027</v>
      </c>
      <c r="D3000" s="5" t="s">
        <v>30</v>
      </c>
      <c r="E3000" t="s">
        <v>1787</v>
      </c>
      <c r="F3000" t="s">
        <v>1783</v>
      </c>
      <c r="G3000" t="s">
        <v>1788</v>
      </c>
      <c r="H3000" t="s">
        <v>1789</v>
      </c>
      <c r="I3000" t="s">
        <v>112</v>
      </c>
      <c r="J3000" t="s">
        <v>36</v>
      </c>
      <c r="K3000">
        <v>990</v>
      </c>
      <c r="O3000" t="s">
        <v>37</v>
      </c>
      <c r="P3000" t="s">
        <v>44</v>
      </c>
      <c r="U3000" s="9" t="s">
        <v>148</v>
      </c>
      <c r="V3000" t="s">
        <v>184</v>
      </c>
      <c r="W3000" t="s">
        <v>138</v>
      </c>
      <c r="Y3000" t="s">
        <v>1272</v>
      </c>
      <c r="Z3000" t="s">
        <v>41</v>
      </c>
      <c r="AB3000" t="str">
        <f t="shared" si="141"/>
        <v>47734</v>
      </c>
    </row>
    <row r="3001" ht="14.25" spans="1:28">
      <c r="A3001" s="5" t="s">
        <v>28</v>
      </c>
      <c r="B3001" s="5" t="s">
        <v>697</v>
      </c>
      <c r="C3001" s="5">
        <v>2027</v>
      </c>
      <c r="D3001" s="5" t="s">
        <v>30</v>
      </c>
      <c r="E3001" t="s">
        <v>1787</v>
      </c>
      <c r="F3001" t="s">
        <v>1783</v>
      </c>
      <c r="G3001" t="s">
        <v>1788</v>
      </c>
      <c r="H3001" t="s">
        <v>1789</v>
      </c>
      <c r="I3001" t="s">
        <v>112</v>
      </c>
      <c r="J3001" t="s">
        <v>36</v>
      </c>
      <c r="K3001">
        <v>990</v>
      </c>
      <c r="O3001" t="s">
        <v>37</v>
      </c>
      <c r="P3001" t="s">
        <v>45</v>
      </c>
      <c r="U3001" s="9" t="s">
        <v>148</v>
      </c>
      <c r="V3001" t="s">
        <v>184</v>
      </c>
      <c r="W3001" t="s">
        <v>138</v>
      </c>
      <c r="Y3001" t="s">
        <v>1272</v>
      </c>
      <c r="Z3001" t="s">
        <v>41</v>
      </c>
      <c r="AB3001" t="str">
        <f t="shared" si="141"/>
        <v>47734</v>
      </c>
    </row>
    <row r="3002" ht="14.25" spans="1:28">
      <c r="A3002" s="5" t="s">
        <v>28</v>
      </c>
      <c r="B3002" s="5" t="s">
        <v>697</v>
      </c>
      <c r="C3002" s="5">
        <v>2027</v>
      </c>
      <c r="D3002" s="5" t="s">
        <v>30</v>
      </c>
      <c r="E3002" t="s">
        <v>1787</v>
      </c>
      <c r="F3002" t="s">
        <v>1783</v>
      </c>
      <c r="G3002" t="s">
        <v>1788</v>
      </c>
      <c r="H3002" t="s">
        <v>1789</v>
      </c>
      <c r="I3002" t="s">
        <v>112</v>
      </c>
      <c r="J3002" t="s">
        <v>36</v>
      </c>
      <c r="K3002">
        <v>990</v>
      </c>
      <c r="O3002" t="s">
        <v>37</v>
      </c>
      <c r="P3002" t="s">
        <v>46</v>
      </c>
      <c r="U3002" s="9" t="s">
        <v>148</v>
      </c>
      <c r="V3002" t="s">
        <v>184</v>
      </c>
      <c r="W3002" t="s">
        <v>138</v>
      </c>
      <c r="Y3002" t="s">
        <v>1272</v>
      </c>
      <c r="Z3002" t="s">
        <v>41</v>
      </c>
      <c r="AB3002" t="str">
        <f t="shared" si="141"/>
        <v>47734</v>
      </c>
    </row>
    <row r="3003" ht="14.25" spans="1:28">
      <c r="A3003" s="5" t="s">
        <v>28</v>
      </c>
      <c r="B3003" s="5" t="s">
        <v>697</v>
      </c>
      <c r="C3003" s="5">
        <v>2027</v>
      </c>
      <c r="D3003" s="5" t="s">
        <v>30</v>
      </c>
      <c r="E3003" t="s">
        <v>1790</v>
      </c>
      <c r="F3003" t="s">
        <v>1791</v>
      </c>
      <c r="G3003" t="s">
        <v>65</v>
      </c>
      <c r="H3003" t="s">
        <v>1792</v>
      </c>
      <c r="I3003" t="s">
        <v>112</v>
      </c>
      <c r="J3003" t="s">
        <v>67</v>
      </c>
      <c r="K3003">
        <v>1190</v>
      </c>
      <c r="O3003" t="s">
        <v>68</v>
      </c>
      <c r="P3003" t="s">
        <v>69</v>
      </c>
      <c r="R3003">
        <f t="shared" si="139"/>
        <v>0</v>
      </c>
      <c r="S3003">
        <f>SUMIFS([1]Sheet1!$T:$T,[1]Sheet1!$I:$I,E3003,[1]Sheet1!$C:$C,A3003)</f>
        <v>40</v>
      </c>
      <c r="T3003">
        <f t="shared" si="140"/>
        <v>-40</v>
      </c>
      <c r="U3003" s="9" t="s">
        <v>136</v>
      </c>
      <c r="V3003" t="s">
        <v>1150</v>
      </c>
      <c r="W3003" t="s">
        <v>138</v>
      </c>
      <c r="X3003" t="s">
        <v>70</v>
      </c>
      <c r="Y3003" t="s">
        <v>920</v>
      </c>
      <c r="Z3003" t="s">
        <v>71</v>
      </c>
      <c r="AB3003" t="str">
        <f t="shared" si="141"/>
        <v>47740</v>
      </c>
    </row>
    <row r="3004" ht="14.25" spans="1:28">
      <c r="A3004" s="5" t="s">
        <v>28</v>
      </c>
      <c r="B3004" s="5" t="s">
        <v>697</v>
      </c>
      <c r="C3004" s="5">
        <v>2027</v>
      </c>
      <c r="D3004" s="5" t="s">
        <v>30</v>
      </c>
      <c r="E3004" t="s">
        <v>1790</v>
      </c>
      <c r="F3004" t="s">
        <v>1791</v>
      </c>
      <c r="G3004" t="s">
        <v>65</v>
      </c>
      <c r="H3004" t="s">
        <v>1792</v>
      </c>
      <c r="I3004" t="s">
        <v>112</v>
      </c>
      <c r="J3004" t="s">
        <v>67</v>
      </c>
      <c r="K3004">
        <v>1190</v>
      </c>
      <c r="O3004" t="s">
        <v>68</v>
      </c>
      <c r="P3004" t="s">
        <v>72</v>
      </c>
      <c r="U3004" s="9" t="s">
        <v>136</v>
      </c>
      <c r="V3004" t="s">
        <v>1150</v>
      </c>
      <c r="W3004" t="s">
        <v>138</v>
      </c>
      <c r="X3004" t="s">
        <v>70</v>
      </c>
      <c r="Y3004" t="s">
        <v>920</v>
      </c>
      <c r="Z3004" t="s">
        <v>71</v>
      </c>
      <c r="AB3004" t="str">
        <f t="shared" si="141"/>
        <v>47740</v>
      </c>
    </row>
    <row r="3005" ht="14.25" spans="1:28">
      <c r="A3005" s="5" t="s">
        <v>28</v>
      </c>
      <c r="B3005" s="5" t="s">
        <v>697</v>
      </c>
      <c r="C3005" s="5">
        <v>2027</v>
      </c>
      <c r="D3005" s="5" t="s">
        <v>30</v>
      </c>
      <c r="E3005" t="s">
        <v>1790</v>
      </c>
      <c r="F3005" t="s">
        <v>1791</v>
      </c>
      <c r="G3005" t="s">
        <v>65</v>
      </c>
      <c r="H3005" t="s">
        <v>1792</v>
      </c>
      <c r="I3005" t="s">
        <v>112</v>
      </c>
      <c r="J3005" t="s">
        <v>67</v>
      </c>
      <c r="K3005">
        <v>1190</v>
      </c>
      <c r="O3005" t="s">
        <v>68</v>
      </c>
      <c r="P3005" t="s">
        <v>73</v>
      </c>
      <c r="U3005" s="9" t="s">
        <v>136</v>
      </c>
      <c r="V3005" t="s">
        <v>1150</v>
      </c>
      <c r="W3005" t="s">
        <v>138</v>
      </c>
      <c r="X3005" t="s">
        <v>70</v>
      </c>
      <c r="Y3005" t="s">
        <v>920</v>
      </c>
      <c r="Z3005" t="s">
        <v>71</v>
      </c>
      <c r="AB3005" t="str">
        <f t="shared" si="141"/>
        <v>47740</v>
      </c>
    </row>
    <row r="3006" ht="14.25" spans="1:28">
      <c r="A3006" s="5" t="s">
        <v>28</v>
      </c>
      <c r="B3006" s="5" t="s">
        <v>697</v>
      </c>
      <c r="C3006" s="5">
        <v>2027</v>
      </c>
      <c r="D3006" s="5" t="s">
        <v>30</v>
      </c>
      <c r="E3006" t="s">
        <v>1790</v>
      </c>
      <c r="F3006" t="s">
        <v>1791</v>
      </c>
      <c r="G3006" t="s">
        <v>65</v>
      </c>
      <c r="H3006" t="s">
        <v>1792</v>
      </c>
      <c r="I3006" t="s">
        <v>112</v>
      </c>
      <c r="J3006" t="s">
        <v>67</v>
      </c>
      <c r="K3006">
        <v>1190</v>
      </c>
      <c r="O3006" t="s">
        <v>68</v>
      </c>
      <c r="P3006" t="s">
        <v>74</v>
      </c>
      <c r="U3006" s="9" t="s">
        <v>136</v>
      </c>
      <c r="V3006" t="s">
        <v>1150</v>
      </c>
      <c r="W3006" t="s">
        <v>138</v>
      </c>
      <c r="X3006" t="s">
        <v>70</v>
      </c>
      <c r="Y3006" t="s">
        <v>920</v>
      </c>
      <c r="Z3006" t="s">
        <v>71</v>
      </c>
      <c r="AB3006" t="str">
        <f t="shared" si="141"/>
        <v>47740</v>
      </c>
    </row>
    <row r="3007" ht="14.25" spans="1:28">
      <c r="A3007" s="5" t="s">
        <v>28</v>
      </c>
      <c r="B3007" s="5" t="s">
        <v>697</v>
      </c>
      <c r="C3007" s="5">
        <v>2027</v>
      </c>
      <c r="D3007" s="5" t="s">
        <v>30</v>
      </c>
      <c r="E3007" t="s">
        <v>1790</v>
      </c>
      <c r="F3007" t="s">
        <v>1791</v>
      </c>
      <c r="G3007" t="s">
        <v>65</v>
      </c>
      <c r="H3007" t="s">
        <v>1792</v>
      </c>
      <c r="I3007" t="s">
        <v>112</v>
      </c>
      <c r="J3007" t="s">
        <v>67</v>
      </c>
      <c r="K3007">
        <v>1190</v>
      </c>
      <c r="O3007" t="s">
        <v>68</v>
      </c>
      <c r="P3007" t="s">
        <v>75</v>
      </c>
      <c r="U3007" s="9" t="s">
        <v>136</v>
      </c>
      <c r="V3007" t="s">
        <v>1150</v>
      </c>
      <c r="W3007" t="s">
        <v>138</v>
      </c>
      <c r="X3007" t="s">
        <v>70</v>
      </c>
      <c r="Y3007" t="s">
        <v>920</v>
      </c>
      <c r="Z3007" t="s">
        <v>71</v>
      </c>
      <c r="AB3007" t="str">
        <f t="shared" si="141"/>
        <v>47740</v>
      </c>
    </row>
    <row r="3008" ht="14.25" spans="1:28">
      <c r="A3008" s="5" t="s">
        <v>28</v>
      </c>
      <c r="B3008" s="5" t="s">
        <v>697</v>
      </c>
      <c r="C3008" s="5">
        <v>2027</v>
      </c>
      <c r="D3008" s="5" t="s">
        <v>30</v>
      </c>
      <c r="E3008" t="s">
        <v>1790</v>
      </c>
      <c r="F3008" t="s">
        <v>1791</v>
      </c>
      <c r="G3008" t="s">
        <v>65</v>
      </c>
      <c r="H3008" t="s">
        <v>1792</v>
      </c>
      <c r="I3008" t="s">
        <v>112</v>
      </c>
      <c r="J3008" t="s">
        <v>67</v>
      </c>
      <c r="K3008">
        <v>1190</v>
      </c>
      <c r="O3008" t="s">
        <v>68</v>
      </c>
      <c r="P3008" t="s">
        <v>76</v>
      </c>
      <c r="U3008" s="9" t="s">
        <v>136</v>
      </c>
      <c r="V3008" t="s">
        <v>1150</v>
      </c>
      <c r="W3008" t="s">
        <v>138</v>
      </c>
      <c r="X3008" t="s">
        <v>70</v>
      </c>
      <c r="Y3008" t="s">
        <v>920</v>
      </c>
      <c r="Z3008" t="s">
        <v>71</v>
      </c>
      <c r="AB3008" t="str">
        <f t="shared" si="141"/>
        <v>47740</v>
      </c>
    </row>
    <row r="3009" ht="14.25" spans="1:28">
      <c r="A3009" s="5" t="s">
        <v>28</v>
      </c>
      <c r="B3009" s="5" t="s">
        <v>697</v>
      </c>
      <c r="C3009" s="5">
        <v>2027</v>
      </c>
      <c r="D3009" s="5" t="s">
        <v>30</v>
      </c>
      <c r="E3009" t="s">
        <v>1790</v>
      </c>
      <c r="F3009" t="s">
        <v>1791</v>
      </c>
      <c r="G3009" t="s">
        <v>65</v>
      </c>
      <c r="H3009" t="s">
        <v>1792</v>
      </c>
      <c r="I3009" t="s">
        <v>112</v>
      </c>
      <c r="J3009" t="s">
        <v>67</v>
      </c>
      <c r="K3009">
        <v>1190</v>
      </c>
      <c r="O3009" t="s">
        <v>68</v>
      </c>
      <c r="P3009" t="s">
        <v>77</v>
      </c>
      <c r="U3009" s="9" t="s">
        <v>136</v>
      </c>
      <c r="V3009" t="s">
        <v>1150</v>
      </c>
      <c r="W3009" t="s">
        <v>138</v>
      </c>
      <c r="X3009" t="s">
        <v>70</v>
      </c>
      <c r="Y3009" t="s">
        <v>920</v>
      </c>
      <c r="Z3009" t="s">
        <v>71</v>
      </c>
      <c r="AB3009" t="str">
        <f t="shared" si="141"/>
        <v>47740</v>
      </c>
    </row>
    <row r="3010" ht="14.25" spans="1:28">
      <c r="A3010" s="5" t="s">
        <v>28</v>
      </c>
      <c r="B3010" s="5" t="s">
        <v>697</v>
      </c>
      <c r="C3010" s="5">
        <v>2027</v>
      </c>
      <c r="D3010" s="5" t="s">
        <v>30</v>
      </c>
      <c r="E3010" t="s">
        <v>1790</v>
      </c>
      <c r="F3010" t="s">
        <v>1791</v>
      </c>
      <c r="G3010" t="s">
        <v>65</v>
      </c>
      <c r="H3010" t="s">
        <v>1792</v>
      </c>
      <c r="I3010" t="s">
        <v>112</v>
      </c>
      <c r="J3010" t="s">
        <v>67</v>
      </c>
      <c r="K3010">
        <v>1190</v>
      </c>
      <c r="O3010" t="s">
        <v>68</v>
      </c>
      <c r="P3010" t="s">
        <v>78</v>
      </c>
      <c r="U3010" s="9" t="s">
        <v>136</v>
      </c>
      <c r="V3010" t="s">
        <v>1150</v>
      </c>
      <c r="W3010" t="s">
        <v>138</v>
      </c>
      <c r="X3010" t="s">
        <v>70</v>
      </c>
      <c r="Y3010" t="s">
        <v>920</v>
      </c>
      <c r="Z3010" t="s">
        <v>71</v>
      </c>
      <c r="AB3010" t="str">
        <f t="shared" si="141"/>
        <v>47740</v>
      </c>
    </row>
    <row r="3011" ht="14.25" spans="1:28">
      <c r="A3011" s="5" t="s">
        <v>28</v>
      </c>
      <c r="B3011" s="5" t="s">
        <v>697</v>
      </c>
      <c r="C3011" s="5">
        <v>2027</v>
      </c>
      <c r="D3011" s="5" t="s">
        <v>30</v>
      </c>
      <c r="E3011" t="s">
        <v>1790</v>
      </c>
      <c r="F3011" t="s">
        <v>1791</v>
      </c>
      <c r="G3011" t="s">
        <v>65</v>
      </c>
      <c r="H3011" t="s">
        <v>1792</v>
      </c>
      <c r="I3011" t="s">
        <v>112</v>
      </c>
      <c r="J3011" t="s">
        <v>67</v>
      </c>
      <c r="K3011">
        <v>1190</v>
      </c>
      <c r="O3011" t="s">
        <v>68</v>
      </c>
      <c r="P3011" t="s">
        <v>79</v>
      </c>
      <c r="U3011" s="9" t="s">
        <v>136</v>
      </c>
      <c r="V3011" t="s">
        <v>1150</v>
      </c>
      <c r="W3011" t="s">
        <v>138</v>
      </c>
      <c r="X3011" t="s">
        <v>70</v>
      </c>
      <c r="Y3011" t="s">
        <v>920</v>
      </c>
      <c r="Z3011" t="s">
        <v>71</v>
      </c>
      <c r="AB3011" t="str">
        <f t="shared" si="141"/>
        <v>47740</v>
      </c>
    </row>
    <row r="3012" ht="14.25" spans="1:28">
      <c r="A3012" s="5" t="s">
        <v>28</v>
      </c>
      <c r="B3012" s="5" t="s">
        <v>697</v>
      </c>
      <c r="C3012" s="5">
        <v>2027</v>
      </c>
      <c r="D3012" s="5" t="s">
        <v>30</v>
      </c>
      <c r="E3012" t="s">
        <v>1793</v>
      </c>
      <c r="F3012" t="s">
        <v>1791</v>
      </c>
      <c r="G3012" t="s">
        <v>100</v>
      </c>
      <c r="H3012" t="s">
        <v>1794</v>
      </c>
      <c r="I3012" t="s">
        <v>112</v>
      </c>
      <c r="J3012" t="s">
        <v>67</v>
      </c>
      <c r="K3012">
        <v>1190</v>
      </c>
      <c r="O3012" t="s">
        <v>68</v>
      </c>
      <c r="P3012" t="s">
        <v>69</v>
      </c>
      <c r="R3012">
        <f t="shared" ref="R3010:R3073" si="142">SUMIFS(Q:Q,E:E,E3012)</f>
        <v>0</v>
      </c>
      <c r="S3012">
        <f>SUMIFS([1]Sheet1!$T:$T,[1]Sheet1!$I:$I,E3012,[1]Sheet1!$C:$C,A3012)</f>
        <v>60</v>
      </c>
      <c r="T3012">
        <f t="shared" ref="T3010:T3073" si="143">R3012-S3012</f>
        <v>-60</v>
      </c>
      <c r="U3012" s="9" t="s">
        <v>136</v>
      </c>
      <c r="V3012" t="s">
        <v>1150</v>
      </c>
      <c r="W3012" t="s">
        <v>138</v>
      </c>
      <c r="X3012" t="s">
        <v>102</v>
      </c>
      <c r="Y3012" t="s">
        <v>920</v>
      </c>
      <c r="Z3012" t="s">
        <v>71</v>
      </c>
      <c r="AB3012" t="str">
        <f t="shared" si="141"/>
        <v>47740</v>
      </c>
    </row>
    <row r="3013" ht="14.25" spans="1:28">
      <c r="A3013" s="5" t="s">
        <v>28</v>
      </c>
      <c r="B3013" s="5" t="s">
        <v>697</v>
      </c>
      <c r="C3013" s="5">
        <v>2027</v>
      </c>
      <c r="D3013" s="5" t="s">
        <v>30</v>
      </c>
      <c r="E3013" t="s">
        <v>1793</v>
      </c>
      <c r="F3013" t="s">
        <v>1791</v>
      </c>
      <c r="G3013" t="s">
        <v>100</v>
      </c>
      <c r="H3013" t="s">
        <v>1794</v>
      </c>
      <c r="I3013" t="s">
        <v>112</v>
      </c>
      <c r="J3013" t="s">
        <v>67</v>
      </c>
      <c r="K3013">
        <v>1190</v>
      </c>
      <c r="O3013" t="s">
        <v>68</v>
      </c>
      <c r="P3013" t="s">
        <v>72</v>
      </c>
      <c r="U3013" s="9" t="s">
        <v>136</v>
      </c>
      <c r="V3013" t="s">
        <v>1150</v>
      </c>
      <c r="W3013" t="s">
        <v>138</v>
      </c>
      <c r="X3013" t="s">
        <v>102</v>
      </c>
      <c r="Y3013" t="s">
        <v>920</v>
      </c>
      <c r="Z3013" t="s">
        <v>71</v>
      </c>
      <c r="AB3013" t="str">
        <f t="shared" si="141"/>
        <v>47740</v>
      </c>
    </row>
    <row r="3014" ht="14.25" spans="1:28">
      <c r="A3014" s="5" t="s">
        <v>28</v>
      </c>
      <c r="B3014" s="5" t="s">
        <v>697</v>
      </c>
      <c r="C3014" s="5">
        <v>2027</v>
      </c>
      <c r="D3014" s="5" t="s">
        <v>30</v>
      </c>
      <c r="E3014" t="s">
        <v>1793</v>
      </c>
      <c r="F3014" t="s">
        <v>1791</v>
      </c>
      <c r="G3014" t="s">
        <v>100</v>
      </c>
      <c r="H3014" t="s">
        <v>1794</v>
      </c>
      <c r="I3014" t="s">
        <v>112</v>
      </c>
      <c r="J3014" t="s">
        <v>67</v>
      </c>
      <c r="K3014">
        <v>1190</v>
      </c>
      <c r="O3014" t="s">
        <v>68</v>
      </c>
      <c r="P3014" t="s">
        <v>73</v>
      </c>
      <c r="U3014" s="9" t="s">
        <v>136</v>
      </c>
      <c r="V3014" t="s">
        <v>1150</v>
      </c>
      <c r="W3014" t="s">
        <v>138</v>
      </c>
      <c r="X3014" t="s">
        <v>102</v>
      </c>
      <c r="Y3014" t="s">
        <v>920</v>
      </c>
      <c r="Z3014" t="s">
        <v>71</v>
      </c>
      <c r="AB3014" t="str">
        <f t="shared" si="141"/>
        <v>47740</v>
      </c>
    </row>
    <row r="3015" ht="14.25" spans="1:28">
      <c r="A3015" s="5" t="s">
        <v>28</v>
      </c>
      <c r="B3015" s="5" t="s">
        <v>697</v>
      </c>
      <c r="C3015" s="5">
        <v>2027</v>
      </c>
      <c r="D3015" s="5" t="s">
        <v>30</v>
      </c>
      <c r="E3015" t="s">
        <v>1793</v>
      </c>
      <c r="F3015" t="s">
        <v>1791</v>
      </c>
      <c r="G3015" t="s">
        <v>100</v>
      </c>
      <c r="H3015" t="s">
        <v>1794</v>
      </c>
      <c r="I3015" t="s">
        <v>112</v>
      </c>
      <c r="J3015" t="s">
        <v>67</v>
      </c>
      <c r="K3015">
        <v>1190</v>
      </c>
      <c r="O3015" t="s">
        <v>68</v>
      </c>
      <c r="P3015" t="s">
        <v>74</v>
      </c>
      <c r="U3015" s="9" t="s">
        <v>136</v>
      </c>
      <c r="V3015" t="s">
        <v>1150</v>
      </c>
      <c r="W3015" t="s">
        <v>138</v>
      </c>
      <c r="X3015" t="s">
        <v>102</v>
      </c>
      <c r="Y3015" t="s">
        <v>920</v>
      </c>
      <c r="Z3015" t="s">
        <v>71</v>
      </c>
      <c r="AB3015" t="str">
        <f t="shared" si="141"/>
        <v>47740</v>
      </c>
    </row>
    <row r="3016" ht="14.25" spans="1:28">
      <c r="A3016" s="5" t="s">
        <v>28</v>
      </c>
      <c r="B3016" s="5" t="s">
        <v>697</v>
      </c>
      <c r="C3016" s="5">
        <v>2027</v>
      </c>
      <c r="D3016" s="5" t="s">
        <v>30</v>
      </c>
      <c r="E3016" t="s">
        <v>1793</v>
      </c>
      <c r="F3016" t="s">
        <v>1791</v>
      </c>
      <c r="G3016" t="s">
        <v>100</v>
      </c>
      <c r="H3016" t="s">
        <v>1794</v>
      </c>
      <c r="I3016" t="s">
        <v>112</v>
      </c>
      <c r="J3016" t="s">
        <v>67</v>
      </c>
      <c r="K3016">
        <v>1190</v>
      </c>
      <c r="O3016" t="s">
        <v>68</v>
      </c>
      <c r="P3016" t="s">
        <v>75</v>
      </c>
      <c r="U3016" s="9" t="s">
        <v>136</v>
      </c>
      <c r="V3016" t="s">
        <v>1150</v>
      </c>
      <c r="W3016" t="s">
        <v>138</v>
      </c>
      <c r="X3016" t="s">
        <v>102</v>
      </c>
      <c r="Y3016" t="s">
        <v>920</v>
      </c>
      <c r="Z3016" t="s">
        <v>71</v>
      </c>
      <c r="AB3016" t="str">
        <f t="shared" si="141"/>
        <v>47740</v>
      </c>
    </row>
    <row r="3017" ht="14.25" spans="1:28">
      <c r="A3017" s="5" t="s">
        <v>28</v>
      </c>
      <c r="B3017" s="5" t="s">
        <v>697</v>
      </c>
      <c r="C3017" s="5">
        <v>2027</v>
      </c>
      <c r="D3017" s="5" t="s">
        <v>30</v>
      </c>
      <c r="E3017" t="s">
        <v>1793</v>
      </c>
      <c r="F3017" t="s">
        <v>1791</v>
      </c>
      <c r="G3017" t="s">
        <v>100</v>
      </c>
      <c r="H3017" t="s">
        <v>1794</v>
      </c>
      <c r="I3017" t="s">
        <v>112</v>
      </c>
      <c r="J3017" t="s">
        <v>67</v>
      </c>
      <c r="K3017">
        <v>1190</v>
      </c>
      <c r="O3017" t="s">
        <v>68</v>
      </c>
      <c r="P3017" t="s">
        <v>76</v>
      </c>
      <c r="U3017" s="9" t="s">
        <v>136</v>
      </c>
      <c r="V3017" t="s">
        <v>1150</v>
      </c>
      <c r="W3017" t="s">
        <v>138</v>
      </c>
      <c r="X3017" t="s">
        <v>102</v>
      </c>
      <c r="Y3017" t="s">
        <v>920</v>
      </c>
      <c r="Z3017" t="s">
        <v>71</v>
      </c>
      <c r="AB3017" t="str">
        <f t="shared" si="141"/>
        <v>47740</v>
      </c>
    </row>
    <row r="3018" ht="14.25" spans="1:28">
      <c r="A3018" s="5" t="s">
        <v>28</v>
      </c>
      <c r="B3018" s="5" t="s">
        <v>697</v>
      </c>
      <c r="C3018" s="5">
        <v>2027</v>
      </c>
      <c r="D3018" s="5" t="s">
        <v>30</v>
      </c>
      <c r="E3018" t="s">
        <v>1793</v>
      </c>
      <c r="F3018" t="s">
        <v>1791</v>
      </c>
      <c r="G3018" t="s">
        <v>100</v>
      </c>
      <c r="H3018" t="s">
        <v>1794</v>
      </c>
      <c r="I3018" t="s">
        <v>112</v>
      </c>
      <c r="J3018" t="s">
        <v>67</v>
      </c>
      <c r="K3018">
        <v>1190</v>
      </c>
      <c r="O3018" t="s">
        <v>68</v>
      </c>
      <c r="P3018" t="s">
        <v>77</v>
      </c>
      <c r="U3018" s="9" t="s">
        <v>136</v>
      </c>
      <c r="V3018" t="s">
        <v>1150</v>
      </c>
      <c r="W3018" t="s">
        <v>138</v>
      </c>
      <c r="X3018" t="s">
        <v>102</v>
      </c>
      <c r="Y3018" t="s">
        <v>920</v>
      </c>
      <c r="Z3018" t="s">
        <v>71</v>
      </c>
      <c r="AB3018" t="str">
        <f t="shared" si="141"/>
        <v>47740</v>
      </c>
    </row>
    <row r="3019" ht="14.25" spans="1:28">
      <c r="A3019" s="5" t="s">
        <v>28</v>
      </c>
      <c r="B3019" s="5" t="s">
        <v>697</v>
      </c>
      <c r="C3019" s="5">
        <v>2027</v>
      </c>
      <c r="D3019" s="5" t="s">
        <v>30</v>
      </c>
      <c r="E3019" t="s">
        <v>1793</v>
      </c>
      <c r="F3019" t="s">
        <v>1791</v>
      </c>
      <c r="G3019" t="s">
        <v>100</v>
      </c>
      <c r="H3019" t="s">
        <v>1794</v>
      </c>
      <c r="I3019" t="s">
        <v>112</v>
      </c>
      <c r="J3019" t="s">
        <v>67</v>
      </c>
      <c r="K3019">
        <v>1190</v>
      </c>
      <c r="O3019" t="s">
        <v>68</v>
      </c>
      <c r="P3019" t="s">
        <v>78</v>
      </c>
      <c r="U3019" s="9" t="s">
        <v>136</v>
      </c>
      <c r="V3019" t="s">
        <v>1150</v>
      </c>
      <c r="W3019" t="s">
        <v>138</v>
      </c>
      <c r="X3019" t="s">
        <v>102</v>
      </c>
      <c r="Y3019" t="s">
        <v>920</v>
      </c>
      <c r="Z3019" t="s">
        <v>71</v>
      </c>
      <c r="AB3019" t="str">
        <f t="shared" si="141"/>
        <v>47740</v>
      </c>
    </row>
    <row r="3020" ht="14.25" spans="1:28">
      <c r="A3020" s="5" t="s">
        <v>28</v>
      </c>
      <c r="B3020" s="5" t="s">
        <v>697</v>
      </c>
      <c r="C3020" s="5">
        <v>2027</v>
      </c>
      <c r="D3020" s="5" t="s">
        <v>30</v>
      </c>
      <c r="E3020" t="s">
        <v>1793</v>
      </c>
      <c r="F3020" t="s">
        <v>1791</v>
      </c>
      <c r="G3020" t="s">
        <v>100</v>
      </c>
      <c r="H3020" t="s">
        <v>1794</v>
      </c>
      <c r="I3020" t="s">
        <v>112</v>
      </c>
      <c r="J3020" t="s">
        <v>67</v>
      </c>
      <c r="K3020">
        <v>1190</v>
      </c>
      <c r="O3020" t="s">
        <v>68</v>
      </c>
      <c r="P3020" t="s">
        <v>79</v>
      </c>
      <c r="U3020" s="9" t="s">
        <v>136</v>
      </c>
      <c r="V3020" t="s">
        <v>1150</v>
      </c>
      <c r="W3020" t="s">
        <v>138</v>
      </c>
      <c r="X3020" t="s">
        <v>102</v>
      </c>
      <c r="Y3020" t="s">
        <v>920</v>
      </c>
      <c r="Z3020" t="s">
        <v>71</v>
      </c>
      <c r="AB3020" t="str">
        <f t="shared" si="141"/>
        <v>47740</v>
      </c>
    </row>
    <row r="3021" ht="14.25" spans="1:28">
      <c r="A3021" s="5" t="s">
        <v>28</v>
      </c>
      <c r="B3021" s="5" t="s">
        <v>697</v>
      </c>
      <c r="C3021" s="5">
        <v>2027</v>
      </c>
      <c r="D3021" s="5" t="s">
        <v>30</v>
      </c>
      <c r="E3021" t="s">
        <v>1795</v>
      </c>
      <c r="F3021" t="s">
        <v>239</v>
      </c>
      <c r="G3021" t="s">
        <v>100</v>
      </c>
      <c r="H3021" t="s">
        <v>1796</v>
      </c>
      <c r="I3021" t="s">
        <v>119</v>
      </c>
      <c r="J3021" t="s">
        <v>36</v>
      </c>
      <c r="K3021">
        <v>2990</v>
      </c>
      <c r="O3021" t="s">
        <v>37</v>
      </c>
      <c r="P3021" t="s">
        <v>38</v>
      </c>
      <c r="R3021">
        <f t="shared" si="142"/>
        <v>0</v>
      </c>
      <c r="S3021">
        <f>SUMIFS([1]Sheet1!$T:$T,[1]Sheet1!$I:$I,E3021,[1]Sheet1!$C:$C,A3021)</f>
        <v>60</v>
      </c>
      <c r="T3021">
        <f t="shared" si="143"/>
        <v>-60</v>
      </c>
      <c r="U3021" s="9" t="s">
        <v>242</v>
      </c>
      <c r="V3021" t="s">
        <v>242</v>
      </c>
      <c r="W3021" t="s">
        <v>138</v>
      </c>
      <c r="X3021" t="s">
        <v>102</v>
      </c>
      <c r="Y3021" t="s">
        <v>179</v>
      </c>
      <c r="Z3021" t="s">
        <v>41</v>
      </c>
      <c r="AB3021" t="str">
        <f t="shared" si="141"/>
        <v>47743</v>
      </c>
    </row>
    <row r="3022" ht="14.25" spans="1:28">
      <c r="A3022" s="5" t="s">
        <v>28</v>
      </c>
      <c r="B3022" s="5" t="s">
        <v>697</v>
      </c>
      <c r="C3022" s="5">
        <v>2027</v>
      </c>
      <c r="D3022" s="5" t="s">
        <v>30</v>
      </c>
      <c r="E3022" t="s">
        <v>1795</v>
      </c>
      <c r="F3022" t="s">
        <v>239</v>
      </c>
      <c r="G3022" t="s">
        <v>100</v>
      </c>
      <c r="H3022" t="s">
        <v>1796</v>
      </c>
      <c r="I3022" t="s">
        <v>119</v>
      </c>
      <c r="J3022" t="s">
        <v>36</v>
      </c>
      <c r="K3022">
        <v>2990</v>
      </c>
      <c r="O3022" t="s">
        <v>37</v>
      </c>
      <c r="P3022" t="s">
        <v>42</v>
      </c>
      <c r="U3022" s="9" t="s">
        <v>242</v>
      </c>
      <c r="V3022" t="s">
        <v>242</v>
      </c>
      <c r="W3022" t="s">
        <v>138</v>
      </c>
      <c r="X3022" t="s">
        <v>102</v>
      </c>
      <c r="Y3022" t="s">
        <v>179</v>
      </c>
      <c r="Z3022" t="s">
        <v>41</v>
      </c>
      <c r="AB3022" t="str">
        <f t="shared" si="141"/>
        <v>47743</v>
      </c>
    </row>
    <row r="3023" ht="14.25" spans="1:28">
      <c r="A3023" s="5" t="s">
        <v>28</v>
      </c>
      <c r="B3023" s="5" t="s">
        <v>697</v>
      </c>
      <c r="C3023" s="5">
        <v>2027</v>
      </c>
      <c r="D3023" s="5" t="s">
        <v>30</v>
      </c>
      <c r="E3023" t="s">
        <v>1795</v>
      </c>
      <c r="F3023" t="s">
        <v>239</v>
      </c>
      <c r="G3023" t="s">
        <v>100</v>
      </c>
      <c r="H3023" t="s">
        <v>1796</v>
      </c>
      <c r="I3023" t="s">
        <v>119</v>
      </c>
      <c r="J3023" t="s">
        <v>36</v>
      </c>
      <c r="K3023">
        <v>2990</v>
      </c>
      <c r="O3023" t="s">
        <v>37</v>
      </c>
      <c r="P3023" t="s">
        <v>43</v>
      </c>
      <c r="U3023" s="9" t="s">
        <v>242</v>
      </c>
      <c r="V3023" t="s">
        <v>242</v>
      </c>
      <c r="W3023" t="s">
        <v>138</v>
      </c>
      <c r="X3023" t="s">
        <v>102</v>
      </c>
      <c r="Y3023" t="s">
        <v>179</v>
      </c>
      <c r="Z3023" t="s">
        <v>41</v>
      </c>
      <c r="AB3023" t="str">
        <f t="shared" si="141"/>
        <v>47743</v>
      </c>
    </row>
    <row r="3024" ht="14.25" spans="1:28">
      <c r="A3024" s="5" t="s">
        <v>28</v>
      </c>
      <c r="B3024" s="5" t="s">
        <v>697</v>
      </c>
      <c r="C3024" s="5">
        <v>2027</v>
      </c>
      <c r="D3024" s="5" t="s">
        <v>30</v>
      </c>
      <c r="E3024" t="s">
        <v>1795</v>
      </c>
      <c r="F3024" t="s">
        <v>239</v>
      </c>
      <c r="G3024" t="s">
        <v>100</v>
      </c>
      <c r="H3024" t="s">
        <v>1796</v>
      </c>
      <c r="I3024" t="s">
        <v>119</v>
      </c>
      <c r="J3024" t="s">
        <v>36</v>
      </c>
      <c r="K3024">
        <v>2990</v>
      </c>
      <c r="O3024" t="s">
        <v>37</v>
      </c>
      <c r="P3024" t="s">
        <v>44</v>
      </c>
      <c r="U3024" s="9" t="s">
        <v>242</v>
      </c>
      <c r="V3024" t="s">
        <v>242</v>
      </c>
      <c r="W3024" t="s">
        <v>138</v>
      </c>
      <c r="X3024" t="s">
        <v>102</v>
      </c>
      <c r="Y3024" t="s">
        <v>179</v>
      </c>
      <c r="Z3024" t="s">
        <v>41</v>
      </c>
      <c r="AB3024" t="str">
        <f t="shared" si="141"/>
        <v>47743</v>
      </c>
    </row>
    <row r="3025" ht="14.25" spans="1:28">
      <c r="A3025" s="5" t="s">
        <v>28</v>
      </c>
      <c r="B3025" s="5" t="s">
        <v>697</v>
      </c>
      <c r="C3025" s="5">
        <v>2027</v>
      </c>
      <c r="D3025" s="5" t="s">
        <v>30</v>
      </c>
      <c r="E3025" t="s">
        <v>1795</v>
      </c>
      <c r="F3025" t="s">
        <v>239</v>
      </c>
      <c r="G3025" t="s">
        <v>100</v>
      </c>
      <c r="H3025" t="s">
        <v>1796</v>
      </c>
      <c r="I3025" t="s">
        <v>119</v>
      </c>
      <c r="J3025" t="s">
        <v>36</v>
      </c>
      <c r="K3025">
        <v>2990</v>
      </c>
      <c r="O3025" t="s">
        <v>37</v>
      </c>
      <c r="P3025" t="s">
        <v>45</v>
      </c>
      <c r="U3025" s="9" t="s">
        <v>242</v>
      </c>
      <c r="V3025" t="s">
        <v>242</v>
      </c>
      <c r="W3025" t="s">
        <v>138</v>
      </c>
      <c r="X3025" t="s">
        <v>102</v>
      </c>
      <c r="Y3025" t="s">
        <v>179</v>
      </c>
      <c r="Z3025" t="s">
        <v>41</v>
      </c>
      <c r="AB3025" t="str">
        <f t="shared" si="141"/>
        <v>47743</v>
      </c>
    </row>
    <row r="3026" ht="14.25" spans="1:28">
      <c r="A3026" s="5" t="s">
        <v>28</v>
      </c>
      <c r="B3026" s="5" t="s">
        <v>697</v>
      </c>
      <c r="C3026" s="5">
        <v>2027</v>
      </c>
      <c r="D3026" s="5" t="s">
        <v>30</v>
      </c>
      <c r="E3026" t="s">
        <v>1795</v>
      </c>
      <c r="F3026" t="s">
        <v>239</v>
      </c>
      <c r="G3026" t="s">
        <v>100</v>
      </c>
      <c r="H3026" t="s">
        <v>1796</v>
      </c>
      <c r="I3026" t="s">
        <v>119</v>
      </c>
      <c r="J3026" t="s">
        <v>36</v>
      </c>
      <c r="K3026">
        <v>2990</v>
      </c>
      <c r="O3026" t="s">
        <v>37</v>
      </c>
      <c r="P3026" t="s">
        <v>46</v>
      </c>
      <c r="U3026" s="9" t="s">
        <v>242</v>
      </c>
      <c r="V3026" t="s">
        <v>242</v>
      </c>
      <c r="W3026" t="s">
        <v>138</v>
      </c>
      <c r="X3026" t="s">
        <v>102</v>
      </c>
      <c r="Y3026" t="s">
        <v>179</v>
      </c>
      <c r="Z3026" t="s">
        <v>41</v>
      </c>
      <c r="AB3026" t="str">
        <f t="shared" si="141"/>
        <v>47743</v>
      </c>
    </row>
    <row r="3027" ht="14.25" spans="1:28">
      <c r="A3027" s="5" t="s">
        <v>28</v>
      </c>
      <c r="B3027" s="5" t="s">
        <v>697</v>
      </c>
      <c r="C3027" s="5">
        <v>2027</v>
      </c>
      <c r="D3027" s="5" t="s">
        <v>30</v>
      </c>
      <c r="E3027" t="s">
        <v>238</v>
      </c>
      <c r="F3027" t="s">
        <v>239</v>
      </c>
      <c r="G3027" t="s">
        <v>240</v>
      </c>
      <c r="H3027" t="s">
        <v>241</v>
      </c>
      <c r="I3027" t="s">
        <v>119</v>
      </c>
      <c r="J3027" t="s">
        <v>36</v>
      </c>
      <c r="K3027">
        <v>2990</v>
      </c>
      <c r="O3027" t="s">
        <v>37</v>
      </c>
      <c r="P3027" t="s">
        <v>38</v>
      </c>
      <c r="R3027">
        <f t="shared" si="142"/>
        <v>0</v>
      </c>
      <c r="S3027">
        <f>SUMIFS([1]Sheet1!$T:$T,[1]Sheet1!$I:$I,E3027,[1]Sheet1!$C:$C,A3027)</f>
        <v>30</v>
      </c>
      <c r="T3027">
        <f t="shared" si="143"/>
        <v>-30</v>
      </c>
      <c r="U3027" s="9" t="s">
        <v>242</v>
      </c>
      <c r="V3027" t="s">
        <v>242</v>
      </c>
      <c r="W3027" t="s">
        <v>138</v>
      </c>
      <c r="X3027" t="s">
        <v>243</v>
      </c>
      <c r="Y3027" t="s">
        <v>179</v>
      </c>
      <c r="Z3027" t="s">
        <v>41</v>
      </c>
      <c r="AB3027" t="str">
        <f t="shared" si="141"/>
        <v>47743</v>
      </c>
    </row>
    <row r="3028" ht="14.25" spans="1:28">
      <c r="A3028" s="5" t="s">
        <v>28</v>
      </c>
      <c r="B3028" s="5" t="s">
        <v>697</v>
      </c>
      <c r="C3028" s="5">
        <v>2027</v>
      </c>
      <c r="D3028" s="5" t="s">
        <v>30</v>
      </c>
      <c r="E3028" t="s">
        <v>238</v>
      </c>
      <c r="F3028" t="s">
        <v>239</v>
      </c>
      <c r="G3028" t="s">
        <v>240</v>
      </c>
      <c r="H3028" t="s">
        <v>241</v>
      </c>
      <c r="I3028" t="s">
        <v>119</v>
      </c>
      <c r="J3028" t="s">
        <v>36</v>
      </c>
      <c r="K3028">
        <v>2990</v>
      </c>
      <c r="O3028" t="s">
        <v>37</v>
      </c>
      <c r="P3028" t="s">
        <v>42</v>
      </c>
      <c r="U3028" s="9" t="s">
        <v>242</v>
      </c>
      <c r="V3028" t="s">
        <v>242</v>
      </c>
      <c r="W3028" t="s">
        <v>138</v>
      </c>
      <c r="X3028" t="s">
        <v>243</v>
      </c>
      <c r="Y3028" t="s">
        <v>179</v>
      </c>
      <c r="Z3028" t="s">
        <v>41</v>
      </c>
      <c r="AB3028" t="str">
        <f t="shared" si="141"/>
        <v>47743</v>
      </c>
    </row>
    <row r="3029" ht="14.25" spans="1:28">
      <c r="A3029" s="5" t="s">
        <v>28</v>
      </c>
      <c r="B3029" s="5" t="s">
        <v>697</v>
      </c>
      <c r="C3029" s="5">
        <v>2027</v>
      </c>
      <c r="D3029" s="5" t="s">
        <v>30</v>
      </c>
      <c r="E3029" t="s">
        <v>238</v>
      </c>
      <c r="F3029" t="s">
        <v>239</v>
      </c>
      <c r="G3029" t="s">
        <v>240</v>
      </c>
      <c r="H3029" t="s">
        <v>241</v>
      </c>
      <c r="I3029" t="s">
        <v>119</v>
      </c>
      <c r="J3029" t="s">
        <v>36</v>
      </c>
      <c r="K3029">
        <v>2990</v>
      </c>
      <c r="O3029" t="s">
        <v>37</v>
      </c>
      <c r="P3029" t="s">
        <v>43</v>
      </c>
      <c r="U3029" s="9" t="s">
        <v>242</v>
      </c>
      <c r="V3029" t="s">
        <v>242</v>
      </c>
      <c r="W3029" t="s">
        <v>138</v>
      </c>
      <c r="X3029" t="s">
        <v>243</v>
      </c>
      <c r="Y3029" t="s">
        <v>179</v>
      </c>
      <c r="Z3029" t="s">
        <v>41</v>
      </c>
      <c r="AB3029" t="str">
        <f t="shared" si="141"/>
        <v>47743</v>
      </c>
    </row>
    <row r="3030" ht="14.25" spans="1:28">
      <c r="A3030" s="5" t="s">
        <v>28</v>
      </c>
      <c r="B3030" s="5" t="s">
        <v>697</v>
      </c>
      <c r="C3030" s="5">
        <v>2027</v>
      </c>
      <c r="D3030" s="5" t="s">
        <v>30</v>
      </c>
      <c r="E3030" t="s">
        <v>238</v>
      </c>
      <c r="F3030" t="s">
        <v>239</v>
      </c>
      <c r="G3030" t="s">
        <v>240</v>
      </c>
      <c r="H3030" t="s">
        <v>241</v>
      </c>
      <c r="I3030" t="s">
        <v>119</v>
      </c>
      <c r="J3030" t="s">
        <v>36</v>
      </c>
      <c r="K3030">
        <v>2990</v>
      </c>
      <c r="O3030" t="s">
        <v>37</v>
      </c>
      <c r="P3030" t="s">
        <v>44</v>
      </c>
      <c r="U3030" s="9" t="s">
        <v>242</v>
      </c>
      <c r="V3030" t="s">
        <v>242</v>
      </c>
      <c r="W3030" t="s">
        <v>138</v>
      </c>
      <c r="X3030" t="s">
        <v>243</v>
      </c>
      <c r="Y3030" t="s">
        <v>179</v>
      </c>
      <c r="Z3030" t="s">
        <v>41</v>
      </c>
      <c r="AB3030" t="str">
        <f t="shared" si="141"/>
        <v>47743</v>
      </c>
    </row>
    <row r="3031" ht="14.25" spans="1:28">
      <c r="A3031" s="5" t="s">
        <v>28</v>
      </c>
      <c r="B3031" s="5" t="s">
        <v>697</v>
      </c>
      <c r="C3031" s="5">
        <v>2027</v>
      </c>
      <c r="D3031" s="5" t="s">
        <v>30</v>
      </c>
      <c r="E3031" t="s">
        <v>238</v>
      </c>
      <c r="F3031" t="s">
        <v>239</v>
      </c>
      <c r="G3031" t="s">
        <v>240</v>
      </c>
      <c r="H3031" t="s">
        <v>241</v>
      </c>
      <c r="I3031" t="s">
        <v>119</v>
      </c>
      <c r="J3031" t="s">
        <v>36</v>
      </c>
      <c r="K3031">
        <v>2990</v>
      </c>
      <c r="O3031" t="s">
        <v>37</v>
      </c>
      <c r="P3031" t="s">
        <v>45</v>
      </c>
      <c r="U3031" s="9" t="s">
        <v>242</v>
      </c>
      <c r="V3031" t="s">
        <v>242</v>
      </c>
      <c r="W3031" t="s">
        <v>138</v>
      </c>
      <c r="X3031" t="s">
        <v>243</v>
      </c>
      <c r="Y3031" t="s">
        <v>179</v>
      </c>
      <c r="Z3031" t="s">
        <v>41</v>
      </c>
      <c r="AB3031" t="str">
        <f t="shared" si="141"/>
        <v>47743</v>
      </c>
    </row>
    <row r="3032" ht="14.25" spans="1:28">
      <c r="A3032" s="5" t="s">
        <v>28</v>
      </c>
      <c r="B3032" s="5" t="s">
        <v>697</v>
      </c>
      <c r="C3032" s="5">
        <v>2027</v>
      </c>
      <c r="D3032" s="5" t="s">
        <v>30</v>
      </c>
      <c r="E3032" t="s">
        <v>238</v>
      </c>
      <c r="F3032" t="s">
        <v>239</v>
      </c>
      <c r="G3032" t="s">
        <v>240</v>
      </c>
      <c r="H3032" t="s">
        <v>241</v>
      </c>
      <c r="I3032" t="s">
        <v>119</v>
      </c>
      <c r="J3032" t="s">
        <v>36</v>
      </c>
      <c r="K3032">
        <v>2990</v>
      </c>
      <c r="O3032" t="s">
        <v>37</v>
      </c>
      <c r="P3032" t="s">
        <v>46</v>
      </c>
      <c r="U3032" s="9" t="s">
        <v>242</v>
      </c>
      <c r="V3032" t="s">
        <v>242</v>
      </c>
      <c r="W3032" t="s">
        <v>138</v>
      </c>
      <c r="X3032" t="s">
        <v>243</v>
      </c>
      <c r="Y3032" t="s">
        <v>179</v>
      </c>
      <c r="Z3032" t="s">
        <v>41</v>
      </c>
      <c r="AB3032" t="str">
        <f t="shared" si="141"/>
        <v>47743</v>
      </c>
    </row>
    <row r="3033" ht="14.25" spans="1:28">
      <c r="A3033" s="5" t="s">
        <v>28</v>
      </c>
      <c r="B3033" s="5" t="s">
        <v>697</v>
      </c>
      <c r="C3033" s="5">
        <v>2027</v>
      </c>
      <c r="D3033" s="5" t="s">
        <v>30</v>
      </c>
      <c r="E3033" t="s">
        <v>1797</v>
      </c>
      <c r="F3033" t="s">
        <v>1798</v>
      </c>
      <c r="G3033" t="s">
        <v>1325</v>
      </c>
      <c r="H3033" t="s">
        <v>1799</v>
      </c>
      <c r="I3033" t="s">
        <v>119</v>
      </c>
      <c r="J3033" t="s">
        <v>36</v>
      </c>
      <c r="K3033">
        <v>2690</v>
      </c>
      <c r="O3033" t="s">
        <v>37</v>
      </c>
      <c r="P3033" t="s">
        <v>38</v>
      </c>
      <c r="R3033">
        <f t="shared" si="142"/>
        <v>0</v>
      </c>
      <c r="S3033">
        <f>SUMIFS([1]Sheet1!$T:$T,[1]Sheet1!$I:$I,E3033,[1]Sheet1!$C:$C,A3033)</f>
        <v>0</v>
      </c>
      <c r="T3033">
        <f t="shared" si="143"/>
        <v>0</v>
      </c>
      <c r="U3033" s="9" t="s">
        <v>242</v>
      </c>
      <c r="V3033" t="s">
        <v>242</v>
      </c>
      <c r="W3033" t="s">
        <v>138</v>
      </c>
      <c r="X3033" t="s">
        <v>50</v>
      </c>
      <c r="Y3033" t="s">
        <v>179</v>
      </c>
      <c r="Z3033" t="s">
        <v>41</v>
      </c>
      <c r="AA3033" t="s">
        <v>1635</v>
      </c>
      <c r="AB3033" t="str">
        <f t="shared" si="141"/>
        <v>47744</v>
      </c>
    </row>
    <row r="3034" ht="14.25" spans="1:28">
      <c r="A3034" s="5" t="s">
        <v>28</v>
      </c>
      <c r="B3034" s="5" t="s">
        <v>697</v>
      </c>
      <c r="C3034" s="5">
        <v>2027</v>
      </c>
      <c r="D3034" s="5" t="s">
        <v>30</v>
      </c>
      <c r="E3034" t="s">
        <v>1797</v>
      </c>
      <c r="F3034" t="s">
        <v>1798</v>
      </c>
      <c r="G3034" t="s">
        <v>1325</v>
      </c>
      <c r="H3034" t="s">
        <v>1799</v>
      </c>
      <c r="I3034" t="s">
        <v>119</v>
      </c>
      <c r="J3034" t="s">
        <v>36</v>
      </c>
      <c r="K3034">
        <v>2690</v>
      </c>
      <c r="O3034" t="s">
        <v>37</v>
      </c>
      <c r="P3034" t="s">
        <v>42</v>
      </c>
      <c r="U3034" s="9" t="s">
        <v>242</v>
      </c>
      <c r="V3034" t="s">
        <v>242</v>
      </c>
      <c r="W3034" t="s">
        <v>138</v>
      </c>
      <c r="X3034" t="s">
        <v>50</v>
      </c>
      <c r="Y3034" t="s">
        <v>179</v>
      </c>
      <c r="Z3034" t="s">
        <v>41</v>
      </c>
      <c r="AA3034" t="s">
        <v>1635</v>
      </c>
      <c r="AB3034" t="str">
        <f t="shared" si="141"/>
        <v>47744</v>
      </c>
    </row>
    <row r="3035" ht="14.25" spans="1:28">
      <c r="A3035" s="5" t="s">
        <v>28</v>
      </c>
      <c r="B3035" s="5" t="s">
        <v>697</v>
      </c>
      <c r="C3035" s="5">
        <v>2027</v>
      </c>
      <c r="D3035" s="5" t="s">
        <v>30</v>
      </c>
      <c r="E3035" t="s">
        <v>1797</v>
      </c>
      <c r="F3035" t="s">
        <v>1798</v>
      </c>
      <c r="G3035" t="s">
        <v>1325</v>
      </c>
      <c r="H3035" t="s">
        <v>1799</v>
      </c>
      <c r="I3035" t="s">
        <v>119</v>
      </c>
      <c r="J3035" t="s">
        <v>36</v>
      </c>
      <c r="K3035">
        <v>2690</v>
      </c>
      <c r="O3035" t="s">
        <v>37</v>
      </c>
      <c r="P3035" t="s">
        <v>43</v>
      </c>
      <c r="U3035" s="9" t="s">
        <v>242</v>
      </c>
      <c r="V3035" t="s">
        <v>242</v>
      </c>
      <c r="W3035" t="s">
        <v>138</v>
      </c>
      <c r="X3035" t="s">
        <v>50</v>
      </c>
      <c r="Y3035" t="s">
        <v>179</v>
      </c>
      <c r="Z3035" t="s">
        <v>41</v>
      </c>
      <c r="AA3035" t="s">
        <v>1635</v>
      </c>
      <c r="AB3035" t="str">
        <f t="shared" si="141"/>
        <v>47744</v>
      </c>
    </row>
    <row r="3036" ht="14.25" spans="1:28">
      <c r="A3036" s="5" t="s">
        <v>28</v>
      </c>
      <c r="B3036" s="5" t="s">
        <v>697</v>
      </c>
      <c r="C3036" s="5">
        <v>2027</v>
      </c>
      <c r="D3036" s="5" t="s">
        <v>30</v>
      </c>
      <c r="E3036" t="s">
        <v>1797</v>
      </c>
      <c r="F3036" t="s">
        <v>1798</v>
      </c>
      <c r="G3036" t="s">
        <v>1325</v>
      </c>
      <c r="H3036" t="s">
        <v>1799</v>
      </c>
      <c r="I3036" t="s">
        <v>119</v>
      </c>
      <c r="J3036" t="s">
        <v>36</v>
      </c>
      <c r="K3036">
        <v>2690</v>
      </c>
      <c r="O3036" t="s">
        <v>37</v>
      </c>
      <c r="P3036" t="s">
        <v>44</v>
      </c>
      <c r="U3036" s="9" t="s">
        <v>242</v>
      </c>
      <c r="V3036" t="s">
        <v>242</v>
      </c>
      <c r="W3036" t="s">
        <v>138</v>
      </c>
      <c r="X3036" t="s">
        <v>50</v>
      </c>
      <c r="Y3036" t="s">
        <v>179</v>
      </c>
      <c r="Z3036" t="s">
        <v>41</v>
      </c>
      <c r="AA3036" t="s">
        <v>1635</v>
      </c>
      <c r="AB3036" t="str">
        <f t="shared" si="141"/>
        <v>47744</v>
      </c>
    </row>
    <row r="3037" ht="14.25" spans="1:28">
      <c r="A3037" s="5" t="s">
        <v>28</v>
      </c>
      <c r="B3037" s="5" t="s">
        <v>697</v>
      </c>
      <c r="C3037" s="5">
        <v>2027</v>
      </c>
      <c r="D3037" s="5" t="s">
        <v>30</v>
      </c>
      <c r="E3037" t="s">
        <v>1797</v>
      </c>
      <c r="F3037" t="s">
        <v>1798</v>
      </c>
      <c r="G3037" t="s">
        <v>1325</v>
      </c>
      <c r="H3037" t="s">
        <v>1799</v>
      </c>
      <c r="I3037" t="s">
        <v>119</v>
      </c>
      <c r="J3037" t="s">
        <v>36</v>
      </c>
      <c r="K3037">
        <v>2690</v>
      </c>
      <c r="O3037" t="s">
        <v>37</v>
      </c>
      <c r="P3037" t="s">
        <v>45</v>
      </c>
      <c r="U3037" s="9" t="s">
        <v>242</v>
      </c>
      <c r="V3037" t="s">
        <v>242</v>
      </c>
      <c r="W3037" t="s">
        <v>138</v>
      </c>
      <c r="X3037" t="s">
        <v>50</v>
      </c>
      <c r="Y3037" t="s">
        <v>179</v>
      </c>
      <c r="Z3037" t="s">
        <v>41</v>
      </c>
      <c r="AA3037" t="s">
        <v>1635</v>
      </c>
      <c r="AB3037" t="str">
        <f t="shared" si="141"/>
        <v>47744</v>
      </c>
    </row>
    <row r="3038" ht="14.25" spans="1:28">
      <c r="A3038" s="5" t="s">
        <v>28</v>
      </c>
      <c r="B3038" s="5" t="s">
        <v>697</v>
      </c>
      <c r="C3038" s="5">
        <v>2027</v>
      </c>
      <c r="D3038" s="5" t="s">
        <v>30</v>
      </c>
      <c r="E3038" t="s">
        <v>1797</v>
      </c>
      <c r="F3038" t="s">
        <v>1798</v>
      </c>
      <c r="G3038" t="s">
        <v>1325</v>
      </c>
      <c r="H3038" t="s">
        <v>1799</v>
      </c>
      <c r="I3038" t="s">
        <v>119</v>
      </c>
      <c r="J3038" t="s">
        <v>36</v>
      </c>
      <c r="K3038">
        <v>2690</v>
      </c>
      <c r="O3038" t="s">
        <v>37</v>
      </c>
      <c r="P3038" t="s">
        <v>46</v>
      </c>
      <c r="U3038" s="9" t="s">
        <v>242</v>
      </c>
      <c r="V3038" t="s">
        <v>242</v>
      </c>
      <c r="W3038" t="s">
        <v>138</v>
      </c>
      <c r="X3038" t="s">
        <v>50</v>
      </c>
      <c r="Y3038" t="s">
        <v>179</v>
      </c>
      <c r="Z3038" t="s">
        <v>41</v>
      </c>
      <c r="AA3038" t="s">
        <v>1635</v>
      </c>
      <c r="AB3038" t="str">
        <f t="shared" si="141"/>
        <v>47744</v>
      </c>
    </row>
    <row r="3039" ht="14.25" spans="1:28">
      <c r="A3039" s="5" t="s">
        <v>28</v>
      </c>
      <c r="B3039" s="5" t="s">
        <v>697</v>
      </c>
      <c r="C3039" s="5">
        <v>2027</v>
      </c>
      <c r="D3039" s="5" t="s">
        <v>30</v>
      </c>
      <c r="E3039" t="s">
        <v>1800</v>
      </c>
      <c r="F3039" t="s">
        <v>1798</v>
      </c>
      <c r="G3039" t="s">
        <v>100</v>
      </c>
      <c r="H3039" t="s">
        <v>1801</v>
      </c>
      <c r="I3039" t="s">
        <v>119</v>
      </c>
      <c r="J3039" t="s">
        <v>36</v>
      </c>
      <c r="K3039">
        <v>2690</v>
      </c>
      <c r="O3039" t="s">
        <v>37</v>
      </c>
      <c r="P3039" t="s">
        <v>38</v>
      </c>
      <c r="R3039">
        <f t="shared" si="142"/>
        <v>0</v>
      </c>
      <c r="S3039">
        <f>SUMIFS([1]Sheet1!$T:$T,[1]Sheet1!$I:$I,E3039,[1]Sheet1!$C:$C,A3039)</f>
        <v>0</v>
      </c>
      <c r="T3039">
        <f t="shared" si="143"/>
        <v>0</v>
      </c>
      <c r="U3039" s="9" t="s">
        <v>242</v>
      </c>
      <c r="V3039" t="s">
        <v>242</v>
      </c>
      <c r="W3039" t="s">
        <v>138</v>
      </c>
      <c r="X3039" t="s">
        <v>102</v>
      </c>
      <c r="Y3039" t="s">
        <v>179</v>
      </c>
      <c r="Z3039" t="s">
        <v>41</v>
      </c>
      <c r="AA3039" t="s">
        <v>1635</v>
      </c>
      <c r="AB3039" t="str">
        <f t="shared" si="141"/>
        <v>47744</v>
      </c>
    </row>
    <row r="3040" ht="14.25" spans="1:28">
      <c r="A3040" s="5" t="s">
        <v>28</v>
      </c>
      <c r="B3040" s="5" t="s">
        <v>697</v>
      </c>
      <c r="C3040" s="5">
        <v>2027</v>
      </c>
      <c r="D3040" s="5" t="s">
        <v>30</v>
      </c>
      <c r="E3040" t="s">
        <v>1800</v>
      </c>
      <c r="F3040" t="s">
        <v>1798</v>
      </c>
      <c r="G3040" t="s">
        <v>100</v>
      </c>
      <c r="H3040" t="s">
        <v>1801</v>
      </c>
      <c r="I3040" t="s">
        <v>119</v>
      </c>
      <c r="J3040" t="s">
        <v>36</v>
      </c>
      <c r="K3040">
        <v>2690</v>
      </c>
      <c r="O3040" t="s">
        <v>37</v>
      </c>
      <c r="P3040" t="s">
        <v>42</v>
      </c>
      <c r="U3040" s="9" t="s">
        <v>242</v>
      </c>
      <c r="V3040" t="s">
        <v>242</v>
      </c>
      <c r="W3040" t="s">
        <v>138</v>
      </c>
      <c r="X3040" t="s">
        <v>102</v>
      </c>
      <c r="Y3040" t="s">
        <v>179</v>
      </c>
      <c r="Z3040" t="s">
        <v>41</v>
      </c>
      <c r="AA3040" t="s">
        <v>1635</v>
      </c>
      <c r="AB3040" t="str">
        <f t="shared" si="141"/>
        <v>47744</v>
      </c>
    </row>
    <row r="3041" ht="14.25" spans="1:28">
      <c r="A3041" s="5" t="s">
        <v>28</v>
      </c>
      <c r="B3041" s="5" t="s">
        <v>697</v>
      </c>
      <c r="C3041" s="5">
        <v>2027</v>
      </c>
      <c r="D3041" s="5" t="s">
        <v>30</v>
      </c>
      <c r="E3041" t="s">
        <v>1800</v>
      </c>
      <c r="F3041" t="s">
        <v>1798</v>
      </c>
      <c r="G3041" t="s">
        <v>100</v>
      </c>
      <c r="H3041" t="s">
        <v>1801</v>
      </c>
      <c r="I3041" t="s">
        <v>119</v>
      </c>
      <c r="J3041" t="s">
        <v>36</v>
      </c>
      <c r="K3041">
        <v>2690</v>
      </c>
      <c r="O3041" t="s">
        <v>37</v>
      </c>
      <c r="P3041" t="s">
        <v>43</v>
      </c>
      <c r="U3041" s="9" t="s">
        <v>242</v>
      </c>
      <c r="V3041" t="s">
        <v>242</v>
      </c>
      <c r="W3041" t="s">
        <v>138</v>
      </c>
      <c r="X3041" t="s">
        <v>102</v>
      </c>
      <c r="Y3041" t="s">
        <v>179</v>
      </c>
      <c r="Z3041" t="s">
        <v>41</v>
      </c>
      <c r="AA3041" t="s">
        <v>1635</v>
      </c>
      <c r="AB3041" t="str">
        <f t="shared" si="141"/>
        <v>47744</v>
      </c>
    </row>
    <row r="3042" ht="14.25" spans="1:28">
      <c r="A3042" s="5" t="s">
        <v>28</v>
      </c>
      <c r="B3042" s="5" t="s">
        <v>697</v>
      </c>
      <c r="C3042" s="5">
        <v>2027</v>
      </c>
      <c r="D3042" s="5" t="s">
        <v>30</v>
      </c>
      <c r="E3042" t="s">
        <v>1800</v>
      </c>
      <c r="F3042" t="s">
        <v>1798</v>
      </c>
      <c r="G3042" t="s">
        <v>100</v>
      </c>
      <c r="H3042" t="s">
        <v>1801</v>
      </c>
      <c r="I3042" t="s">
        <v>119</v>
      </c>
      <c r="J3042" t="s">
        <v>36</v>
      </c>
      <c r="K3042">
        <v>2690</v>
      </c>
      <c r="O3042" t="s">
        <v>37</v>
      </c>
      <c r="P3042" t="s">
        <v>44</v>
      </c>
      <c r="U3042" s="9" t="s">
        <v>242</v>
      </c>
      <c r="V3042" t="s">
        <v>242</v>
      </c>
      <c r="W3042" t="s">
        <v>138</v>
      </c>
      <c r="X3042" t="s">
        <v>102</v>
      </c>
      <c r="Y3042" t="s">
        <v>179</v>
      </c>
      <c r="Z3042" t="s">
        <v>41</v>
      </c>
      <c r="AA3042" t="s">
        <v>1635</v>
      </c>
      <c r="AB3042" t="str">
        <f t="shared" si="141"/>
        <v>47744</v>
      </c>
    </row>
    <row r="3043" ht="14.25" spans="1:28">
      <c r="A3043" s="5" t="s">
        <v>28</v>
      </c>
      <c r="B3043" s="5" t="s">
        <v>697</v>
      </c>
      <c r="C3043" s="5">
        <v>2027</v>
      </c>
      <c r="D3043" s="5" t="s">
        <v>30</v>
      </c>
      <c r="E3043" t="s">
        <v>1800</v>
      </c>
      <c r="F3043" t="s">
        <v>1798</v>
      </c>
      <c r="G3043" t="s">
        <v>100</v>
      </c>
      <c r="H3043" t="s">
        <v>1801</v>
      </c>
      <c r="I3043" t="s">
        <v>119</v>
      </c>
      <c r="J3043" t="s">
        <v>36</v>
      </c>
      <c r="K3043">
        <v>2690</v>
      </c>
      <c r="O3043" t="s">
        <v>37</v>
      </c>
      <c r="P3043" t="s">
        <v>45</v>
      </c>
      <c r="U3043" s="9" t="s">
        <v>242</v>
      </c>
      <c r="V3043" t="s">
        <v>242</v>
      </c>
      <c r="W3043" t="s">
        <v>138</v>
      </c>
      <c r="X3043" t="s">
        <v>102</v>
      </c>
      <c r="Y3043" t="s">
        <v>179</v>
      </c>
      <c r="Z3043" t="s">
        <v>41</v>
      </c>
      <c r="AA3043" t="s">
        <v>1635</v>
      </c>
      <c r="AB3043" t="str">
        <f t="shared" si="141"/>
        <v>47744</v>
      </c>
    </row>
    <row r="3044" ht="14.25" spans="1:28">
      <c r="A3044" s="5" t="s">
        <v>28</v>
      </c>
      <c r="B3044" s="5" t="s">
        <v>697</v>
      </c>
      <c r="C3044" s="5">
        <v>2027</v>
      </c>
      <c r="D3044" s="5" t="s">
        <v>30</v>
      </c>
      <c r="E3044" t="s">
        <v>1800</v>
      </c>
      <c r="F3044" t="s">
        <v>1798</v>
      </c>
      <c r="G3044" t="s">
        <v>100</v>
      </c>
      <c r="H3044" t="s">
        <v>1801</v>
      </c>
      <c r="I3044" t="s">
        <v>119</v>
      </c>
      <c r="J3044" t="s">
        <v>36</v>
      </c>
      <c r="K3044">
        <v>2690</v>
      </c>
      <c r="O3044" t="s">
        <v>37</v>
      </c>
      <c r="P3044" t="s">
        <v>46</v>
      </c>
      <c r="U3044" s="9" t="s">
        <v>242</v>
      </c>
      <c r="V3044" t="s">
        <v>242</v>
      </c>
      <c r="W3044" t="s">
        <v>138</v>
      </c>
      <c r="X3044" t="s">
        <v>102</v>
      </c>
      <c r="Y3044" t="s">
        <v>179</v>
      </c>
      <c r="Z3044" t="s">
        <v>41</v>
      </c>
      <c r="AA3044" t="s">
        <v>1635</v>
      </c>
      <c r="AB3044" t="str">
        <f t="shared" si="141"/>
        <v>47744</v>
      </c>
    </row>
    <row r="3045" ht="14.25" spans="1:28">
      <c r="A3045" s="5" t="s">
        <v>28</v>
      </c>
      <c r="B3045" s="5" t="s">
        <v>697</v>
      </c>
      <c r="C3045" s="5">
        <v>2027</v>
      </c>
      <c r="D3045" s="5" t="s">
        <v>30</v>
      </c>
      <c r="E3045" t="s">
        <v>1802</v>
      </c>
      <c r="F3045" t="s">
        <v>1803</v>
      </c>
      <c r="G3045" t="s">
        <v>65</v>
      </c>
      <c r="H3045" t="s">
        <v>1804</v>
      </c>
      <c r="I3045" t="s">
        <v>119</v>
      </c>
      <c r="J3045" t="s">
        <v>74</v>
      </c>
      <c r="K3045">
        <v>1390</v>
      </c>
      <c r="O3045" t="s">
        <v>68</v>
      </c>
      <c r="P3045" t="s">
        <v>69</v>
      </c>
      <c r="R3045">
        <f t="shared" si="142"/>
        <v>0</v>
      </c>
      <c r="S3045">
        <f>SUMIFS([1]Sheet1!$T:$T,[1]Sheet1!$I:$I,E3045,[1]Sheet1!$C:$C,A3045)</f>
        <v>0</v>
      </c>
      <c r="T3045">
        <f t="shared" si="143"/>
        <v>0</v>
      </c>
      <c r="U3045" s="9" t="s">
        <v>136</v>
      </c>
      <c r="V3045" t="s">
        <v>137</v>
      </c>
      <c r="W3045" t="s">
        <v>138</v>
      </c>
      <c r="X3045" t="s">
        <v>70</v>
      </c>
      <c r="Y3045" t="s">
        <v>1805</v>
      </c>
      <c r="Z3045" t="s">
        <v>140</v>
      </c>
      <c r="AB3045" t="str">
        <f t="shared" si="141"/>
        <v>47745</v>
      </c>
    </row>
    <row r="3046" ht="14.25" spans="1:28">
      <c r="A3046" s="5" t="s">
        <v>28</v>
      </c>
      <c r="B3046" s="5" t="s">
        <v>697</v>
      </c>
      <c r="C3046" s="5">
        <v>2027</v>
      </c>
      <c r="D3046" s="5" t="s">
        <v>30</v>
      </c>
      <c r="E3046" t="s">
        <v>1802</v>
      </c>
      <c r="F3046" t="s">
        <v>1803</v>
      </c>
      <c r="G3046" t="s">
        <v>65</v>
      </c>
      <c r="H3046" t="s">
        <v>1804</v>
      </c>
      <c r="I3046" t="s">
        <v>119</v>
      </c>
      <c r="J3046" t="s">
        <v>74</v>
      </c>
      <c r="K3046">
        <v>1390</v>
      </c>
      <c r="O3046" t="s">
        <v>68</v>
      </c>
      <c r="P3046" t="s">
        <v>72</v>
      </c>
      <c r="U3046" s="9" t="s">
        <v>136</v>
      </c>
      <c r="V3046" t="s">
        <v>137</v>
      </c>
      <c r="W3046" t="s">
        <v>138</v>
      </c>
      <c r="X3046" t="s">
        <v>70</v>
      </c>
      <c r="Y3046" t="s">
        <v>1805</v>
      </c>
      <c r="Z3046" t="s">
        <v>140</v>
      </c>
      <c r="AB3046" t="str">
        <f t="shared" si="141"/>
        <v>47745</v>
      </c>
    </row>
    <row r="3047" ht="14.25" spans="1:28">
      <c r="A3047" s="5" t="s">
        <v>28</v>
      </c>
      <c r="B3047" s="5" t="s">
        <v>697</v>
      </c>
      <c r="C3047" s="5">
        <v>2027</v>
      </c>
      <c r="D3047" s="5" t="s">
        <v>30</v>
      </c>
      <c r="E3047" t="s">
        <v>1802</v>
      </c>
      <c r="F3047" t="s">
        <v>1803</v>
      </c>
      <c r="G3047" t="s">
        <v>65</v>
      </c>
      <c r="H3047" t="s">
        <v>1804</v>
      </c>
      <c r="I3047" t="s">
        <v>119</v>
      </c>
      <c r="J3047" t="s">
        <v>74</v>
      </c>
      <c r="K3047">
        <v>1390</v>
      </c>
      <c r="O3047" t="s">
        <v>68</v>
      </c>
      <c r="P3047" t="s">
        <v>73</v>
      </c>
      <c r="U3047" s="9" t="s">
        <v>136</v>
      </c>
      <c r="V3047" t="s">
        <v>137</v>
      </c>
      <c r="W3047" t="s">
        <v>138</v>
      </c>
      <c r="X3047" t="s">
        <v>70</v>
      </c>
      <c r="Y3047" t="s">
        <v>1805</v>
      </c>
      <c r="Z3047" t="s">
        <v>140</v>
      </c>
      <c r="AB3047" t="str">
        <f t="shared" si="141"/>
        <v>47745</v>
      </c>
    </row>
    <row r="3048" ht="14.25" spans="1:28">
      <c r="A3048" s="5" t="s">
        <v>28</v>
      </c>
      <c r="B3048" s="5" t="s">
        <v>697</v>
      </c>
      <c r="C3048" s="5">
        <v>2027</v>
      </c>
      <c r="D3048" s="5" t="s">
        <v>30</v>
      </c>
      <c r="E3048" t="s">
        <v>1802</v>
      </c>
      <c r="F3048" t="s">
        <v>1803</v>
      </c>
      <c r="G3048" t="s">
        <v>65</v>
      </c>
      <c r="H3048" t="s">
        <v>1804</v>
      </c>
      <c r="I3048" t="s">
        <v>119</v>
      </c>
      <c r="J3048" t="s">
        <v>74</v>
      </c>
      <c r="K3048">
        <v>1390</v>
      </c>
      <c r="O3048" t="s">
        <v>68</v>
      </c>
      <c r="P3048" t="s">
        <v>74</v>
      </c>
      <c r="U3048" s="9" t="s">
        <v>136</v>
      </c>
      <c r="V3048" t="s">
        <v>137</v>
      </c>
      <c r="W3048" t="s">
        <v>138</v>
      </c>
      <c r="X3048" t="s">
        <v>70</v>
      </c>
      <c r="Y3048" t="s">
        <v>1805</v>
      </c>
      <c r="Z3048" t="s">
        <v>140</v>
      </c>
      <c r="AB3048" t="str">
        <f t="shared" si="141"/>
        <v>47745</v>
      </c>
    </row>
    <row r="3049" ht="14.25" spans="1:28">
      <c r="A3049" s="5" t="s">
        <v>28</v>
      </c>
      <c r="B3049" s="5" t="s">
        <v>697</v>
      </c>
      <c r="C3049" s="5">
        <v>2027</v>
      </c>
      <c r="D3049" s="5" t="s">
        <v>30</v>
      </c>
      <c r="E3049" t="s">
        <v>1802</v>
      </c>
      <c r="F3049" t="s">
        <v>1803</v>
      </c>
      <c r="G3049" t="s">
        <v>65</v>
      </c>
      <c r="H3049" t="s">
        <v>1804</v>
      </c>
      <c r="I3049" t="s">
        <v>119</v>
      </c>
      <c r="J3049" t="s">
        <v>74</v>
      </c>
      <c r="K3049">
        <v>1390</v>
      </c>
      <c r="O3049" t="s">
        <v>68</v>
      </c>
      <c r="P3049" t="s">
        <v>75</v>
      </c>
      <c r="U3049" s="9" t="s">
        <v>136</v>
      </c>
      <c r="V3049" t="s">
        <v>137</v>
      </c>
      <c r="W3049" t="s">
        <v>138</v>
      </c>
      <c r="X3049" t="s">
        <v>70</v>
      </c>
      <c r="Y3049" t="s">
        <v>1805</v>
      </c>
      <c r="Z3049" t="s">
        <v>140</v>
      </c>
      <c r="AB3049" t="str">
        <f t="shared" si="141"/>
        <v>47745</v>
      </c>
    </row>
    <row r="3050" ht="14.25" spans="1:28">
      <c r="A3050" s="5" t="s">
        <v>28</v>
      </c>
      <c r="B3050" s="5" t="s">
        <v>697</v>
      </c>
      <c r="C3050" s="5">
        <v>2027</v>
      </c>
      <c r="D3050" s="5" t="s">
        <v>30</v>
      </c>
      <c r="E3050" t="s">
        <v>1802</v>
      </c>
      <c r="F3050" t="s">
        <v>1803</v>
      </c>
      <c r="G3050" t="s">
        <v>65</v>
      </c>
      <c r="H3050" t="s">
        <v>1804</v>
      </c>
      <c r="I3050" t="s">
        <v>119</v>
      </c>
      <c r="J3050" t="s">
        <v>74</v>
      </c>
      <c r="K3050">
        <v>1390</v>
      </c>
      <c r="O3050" t="s">
        <v>68</v>
      </c>
      <c r="P3050" t="s">
        <v>76</v>
      </c>
      <c r="U3050" s="9" t="s">
        <v>136</v>
      </c>
      <c r="V3050" t="s">
        <v>137</v>
      </c>
      <c r="W3050" t="s">
        <v>138</v>
      </c>
      <c r="X3050" t="s">
        <v>70</v>
      </c>
      <c r="Y3050" t="s">
        <v>1805</v>
      </c>
      <c r="Z3050" t="s">
        <v>140</v>
      </c>
      <c r="AB3050" t="str">
        <f t="shared" si="141"/>
        <v>47745</v>
      </c>
    </row>
    <row r="3051" ht="14.25" spans="1:28">
      <c r="A3051" s="5" t="s">
        <v>28</v>
      </c>
      <c r="B3051" s="5" t="s">
        <v>697</v>
      </c>
      <c r="C3051" s="5">
        <v>2027</v>
      </c>
      <c r="D3051" s="5" t="s">
        <v>30</v>
      </c>
      <c r="E3051" t="s">
        <v>1802</v>
      </c>
      <c r="F3051" t="s">
        <v>1803</v>
      </c>
      <c r="G3051" t="s">
        <v>65</v>
      </c>
      <c r="H3051" t="s">
        <v>1804</v>
      </c>
      <c r="I3051" t="s">
        <v>119</v>
      </c>
      <c r="J3051" t="s">
        <v>74</v>
      </c>
      <c r="K3051">
        <v>1390</v>
      </c>
      <c r="O3051" t="s">
        <v>68</v>
      </c>
      <c r="P3051" t="s">
        <v>77</v>
      </c>
      <c r="U3051" s="9" t="s">
        <v>136</v>
      </c>
      <c r="V3051" t="s">
        <v>137</v>
      </c>
      <c r="W3051" t="s">
        <v>138</v>
      </c>
      <c r="X3051" t="s">
        <v>70</v>
      </c>
      <c r="Y3051" t="s">
        <v>1805</v>
      </c>
      <c r="Z3051" t="s">
        <v>140</v>
      </c>
      <c r="AB3051" t="str">
        <f t="shared" si="141"/>
        <v>47745</v>
      </c>
    </row>
    <row r="3052" ht="14.25" spans="1:28">
      <c r="A3052" s="5" t="s">
        <v>28</v>
      </c>
      <c r="B3052" s="5" t="s">
        <v>697</v>
      </c>
      <c r="C3052" s="5">
        <v>2027</v>
      </c>
      <c r="D3052" s="5" t="s">
        <v>30</v>
      </c>
      <c r="E3052" t="s">
        <v>1802</v>
      </c>
      <c r="F3052" t="s">
        <v>1803</v>
      </c>
      <c r="G3052" t="s">
        <v>65</v>
      </c>
      <c r="H3052" t="s">
        <v>1804</v>
      </c>
      <c r="I3052" t="s">
        <v>119</v>
      </c>
      <c r="J3052" t="s">
        <v>74</v>
      </c>
      <c r="K3052">
        <v>1390</v>
      </c>
      <c r="O3052" t="s">
        <v>68</v>
      </c>
      <c r="P3052" t="s">
        <v>78</v>
      </c>
      <c r="U3052" s="9" t="s">
        <v>136</v>
      </c>
      <c r="V3052" t="s">
        <v>137</v>
      </c>
      <c r="W3052" t="s">
        <v>138</v>
      </c>
      <c r="X3052" t="s">
        <v>70</v>
      </c>
      <c r="Y3052" t="s">
        <v>1805</v>
      </c>
      <c r="Z3052" t="s">
        <v>140</v>
      </c>
      <c r="AB3052" t="str">
        <f t="shared" si="141"/>
        <v>47745</v>
      </c>
    </row>
    <row r="3053" ht="14.25" spans="1:28">
      <c r="A3053" s="5" t="s">
        <v>28</v>
      </c>
      <c r="B3053" s="5" t="s">
        <v>697</v>
      </c>
      <c r="C3053" s="5">
        <v>2027</v>
      </c>
      <c r="D3053" s="5" t="s">
        <v>30</v>
      </c>
      <c r="E3053" t="s">
        <v>1802</v>
      </c>
      <c r="F3053" t="s">
        <v>1803</v>
      </c>
      <c r="G3053" t="s">
        <v>65</v>
      </c>
      <c r="H3053" t="s">
        <v>1804</v>
      </c>
      <c r="I3053" t="s">
        <v>119</v>
      </c>
      <c r="J3053" t="s">
        <v>74</v>
      </c>
      <c r="K3053">
        <v>1390</v>
      </c>
      <c r="O3053" t="s">
        <v>68</v>
      </c>
      <c r="P3053" t="s">
        <v>79</v>
      </c>
      <c r="U3053" s="9" t="s">
        <v>136</v>
      </c>
      <c r="V3053" t="s">
        <v>137</v>
      </c>
      <c r="W3053" t="s">
        <v>138</v>
      </c>
      <c r="X3053" t="s">
        <v>70</v>
      </c>
      <c r="Y3053" t="s">
        <v>1805</v>
      </c>
      <c r="Z3053" t="s">
        <v>140</v>
      </c>
      <c r="AB3053" t="str">
        <f t="shared" si="141"/>
        <v>47745</v>
      </c>
    </row>
    <row r="3054" ht="14.25" spans="1:28">
      <c r="A3054" s="5" t="s">
        <v>28</v>
      </c>
      <c r="B3054" s="5" t="s">
        <v>697</v>
      </c>
      <c r="C3054" s="5">
        <v>2027</v>
      </c>
      <c r="D3054" s="5" t="s">
        <v>30</v>
      </c>
      <c r="E3054" t="s">
        <v>1806</v>
      </c>
      <c r="F3054" t="s">
        <v>1803</v>
      </c>
      <c r="G3054" t="s">
        <v>100</v>
      </c>
      <c r="H3054" t="s">
        <v>1807</v>
      </c>
      <c r="I3054" t="s">
        <v>119</v>
      </c>
      <c r="J3054" t="s">
        <v>74</v>
      </c>
      <c r="K3054">
        <v>1390</v>
      </c>
      <c r="O3054" t="s">
        <v>68</v>
      </c>
      <c r="P3054" t="s">
        <v>69</v>
      </c>
      <c r="R3054">
        <f t="shared" si="142"/>
        <v>0</v>
      </c>
      <c r="S3054">
        <f>SUMIFS([1]Sheet1!$T:$T,[1]Sheet1!$I:$I,E3054,[1]Sheet1!$C:$C,A3054)</f>
        <v>0</v>
      </c>
      <c r="T3054">
        <f t="shared" si="143"/>
        <v>0</v>
      </c>
      <c r="U3054" s="9" t="s">
        <v>136</v>
      </c>
      <c r="V3054" t="s">
        <v>137</v>
      </c>
      <c r="W3054" t="s">
        <v>138</v>
      </c>
      <c r="X3054" t="s">
        <v>102</v>
      </c>
      <c r="Y3054" t="s">
        <v>1805</v>
      </c>
      <c r="Z3054" t="s">
        <v>140</v>
      </c>
      <c r="AA3054" t="s">
        <v>1635</v>
      </c>
      <c r="AB3054" t="str">
        <f t="shared" si="141"/>
        <v>47745</v>
      </c>
    </row>
    <row r="3055" ht="14.25" spans="1:28">
      <c r="A3055" s="5" t="s">
        <v>28</v>
      </c>
      <c r="B3055" s="5" t="s">
        <v>697</v>
      </c>
      <c r="C3055" s="5">
        <v>2027</v>
      </c>
      <c r="D3055" s="5" t="s">
        <v>30</v>
      </c>
      <c r="E3055" t="s">
        <v>1806</v>
      </c>
      <c r="F3055" t="s">
        <v>1803</v>
      </c>
      <c r="G3055" t="s">
        <v>100</v>
      </c>
      <c r="H3055" t="s">
        <v>1807</v>
      </c>
      <c r="I3055" t="s">
        <v>119</v>
      </c>
      <c r="J3055" t="s">
        <v>74</v>
      </c>
      <c r="K3055">
        <v>1390</v>
      </c>
      <c r="O3055" t="s">
        <v>68</v>
      </c>
      <c r="P3055" t="s">
        <v>72</v>
      </c>
      <c r="U3055" s="9" t="s">
        <v>136</v>
      </c>
      <c r="V3055" t="s">
        <v>137</v>
      </c>
      <c r="W3055" t="s">
        <v>138</v>
      </c>
      <c r="X3055" t="s">
        <v>102</v>
      </c>
      <c r="Y3055" t="s">
        <v>1805</v>
      </c>
      <c r="Z3055" t="s">
        <v>140</v>
      </c>
      <c r="AA3055" t="s">
        <v>1635</v>
      </c>
      <c r="AB3055" t="str">
        <f t="shared" si="141"/>
        <v>47745</v>
      </c>
    </row>
    <row r="3056" ht="14.25" spans="1:28">
      <c r="A3056" s="5" t="s">
        <v>28</v>
      </c>
      <c r="B3056" s="5" t="s">
        <v>697</v>
      </c>
      <c r="C3056" s="5">
        <v>2027</v>
      </c>
      <c r="D3056" s="5" t="s">
        <v>30</v>
      </c>
      <c r="E3056" t="s">
        <v>1806</v>
      </c>
      <c r="F3056" t="s">
        <v>1803</v>
      </c>
      <c r="G3056" t="s">
        <v>100</v>
      </c>
      <c r="H3056" t="s">
        <v>1807</v>
      </c>
      <c r="I3056" t="s">
        <v>119</v>
      </c>
      <c r="J3056" t="s">
        <v>74</v>
      </c>
      <c r="K3056">
        <v>1390</v>
      </c>
      <c r="O3056" t="s">
        <v>68</v>
      </c>
      <c r="P3056" t="s">
        <v>73</v>
      </c>
      <c r="U3056" s="9" t="s">
        <v>136</v>
      </c>
      <c r="V3056" t="s">
        <v>137</v>
      </c>
      <c r="W3056" t="s">
        <v>138</v>
      </c>
      <c r="X3056" t="s">
        <v>102</v>
      </c>
      <c r="Y3056" t="s">
        <v>1805</v>
      </c>
      <c r="Z3056" t="s">
        <v>140</v>
      </c>
      <c r="AA3056" t="s">
        <v>1635</v>
      </c>
      <c r="AB3056" t="str">
        <f t="shared" si="141"/>
        <v>47745</v>
      </c>
    </row>
    <row r="3057" ht="14.25" spans="1:28">
      <c r="A3057" s="5" t="s">
        <v>28</v>
      </c>
      <c r="B3057" s="5" t="s">
        <v>697</v>
      </c>
      <c r="C3057" s="5">
        <v>2027</v>
      </c>
      <c r="D3057" s="5" t="s">
        <v>30</v>
      </c>
      <c r="E3057" t="s">
        <v>1806</v>
      </c>
      <c r="F3057" t="s">
        <v>1803</v>
      </c>
      <c r="G3057" t="s">
        <v>100</v>
      </c>
      <c r="H3057" t="s">
        <v>1807</v>
      </c>
      <c r="I3057" t="s">
        <v>119</v>
      </c>
      <c r="J3057" t="s">
        <v>74</v>
      </c>
      <c r="K3057">
        <v>1390</v>
      </c>
      <c r="O3057" t="s">
        <v>68</v>
      </c>
      <c r="P3057" t="s">
        <v>74</v>
      </c>
      <c r="U3057" s="9" t="s">
        <v>136</v>
      </c>
      <c r="V3057" t="s">
        <v>137</v>
      </c>
      <c r="W3057" t="s">
        <v>138</v>
      </c>
      <c r="X3057" t="s">
        <v>102</v>
      </c>
      <c r="Y3057" t="s">
        <v>1805</v>
      </c>
      <c r="Z3057" t="s">
        <v>140</v>
      </c>
      <c r="AA3057" t="s">
        <v>1635</v>
      </c>
      <c r="AB3057" t="str">
        <f t="shared" si="141"/>
        <v>47745</v>
      </c>
    </row>
    <row r="3058" ht="14.25" spans="1:28">
      <c r="A3058" s="5" t="s">
        <v>28</v>
      </c>
      <c r="B3058" s="5" t="s">
        <v>697</v>
      </c>
      <c r="C3058" s="5">
        <v>2027</v>
      </c>
      <c r="D3058" s="5" t="s">
        <v>30</v>
      </c>
      <c r="E3058" t="s">
        <v>1806</v>
      </c>
      <c r="F3058" t="s">
        <v>1803</v>
      </c>
      <c r="G3058" t="s">
        <v>100</v>
      </c>
      <c r="H3058" t="s">
        <v>1807</v>
      </c>
      <c r="I3058" t="s">
        <v>119</v>
      </c>
      <c r="J3058" t="s">
        <v>74</v>
      </c>
      <c r="K3058">
        <v>1390</v>
      </c>
      <c r="O3058" t="s">
        <v>68</v>
      </c>
      <c r="P3058" t="s">
        <v>75</v>
      </c>
      <c r="U3058" s="9" t="s">
        <v>136</v>
      </c>
      <c r="V3058" t="s">
        <v>137</v>
      </c>
      <c r="W3058" t="s">
        <v>138</v>
      </c>
      <c r="X3058" t="s">
        <v>102</v>
      </c>
      <c r="Y3058" t="s">
        <v>1805</v>
      </c>
      <c r="Z3058" t="s">
        <v>140</v>
      </c>
      <c r="AA3058" t="s">
        <v>1635</v>
      </c>
      <c r="AB3058" t="str">
        <f t="shared" si="141"/>
        <v>47745</v>
      </c>
    </row>
    <row r="3059" ht="14.25" spans="1:28">
      <c r="A3059" s="5" t="s">
        <v>28</v>
      </c>
      <c r="B3059" s="5" t="s">
        <v>697</v>
      </c>
      <c r="C3059" s="5">
        <v>2027</v>
      </c>
      <c r="D3059" s="5" t="s">
        <v>30</v>
      </c>
      <c r="E3059" t="s">
        <v>1806</v>
      </c>
      <c r="F3059" t="s">
        <v>1803</v>
      </c>
      <c r="G3059" t="s">
        <v>100</v>
      </c>
      <c r="H3059" t="s">
        <v>1807</v>
      </c>
      <c r="I3059" t="s">
        <v>119</v>
      </c>
      <c r="J3059" t="s">
        <v>74</v>
      </c>
      <c r="K3059">
        <v>1390</v>
      </c>
      <c r="O3059" t="s">
        <v>68</v>
      </c>
      <c r="P3059" t="s">
        <v>76</v>
      </c>
      <c r="U3059" s="9" t="s">
        <v>136</v>
      </c>
      <c r="V3059" t="s">
        <v>137</v>
      </c>
      <c r="W3059" t="s">
        <v>138</v>
      </c>
      <c r="X3059" t="s">
        <v>102</v>
      </c>
      <c r="Y3059" t="s">
        <v>1805</v>
      </c>
      <c r="Z3059" t="s">
        <v>140</v>
      </c>
      <c r="AA3059" t="s">
        <v>1635</v>
      </c>
      <c r="AB3059" t="str">
        <f t="shared" ref="AB3059:AB3122" si="144">MID(E3059,6,5)</f>
        <v>47745</v>
      </c>
    </row>
    <row r="3060" ht="14.25" spans="1:28">
      <c r="A3060" s="5" t="s">
        <v>28</v>
      </c>
      <c r="B3060" s="5" t="s">
        <v>697</v>
      </c>
      <c r="C3060" s="5">
        <v>2027</v>
      </c>
      <c r="D3060" s="5" t="s">
        <v>30</v>
      </c>
      <c r="E3060" t="s">
        <v>1806</v>
      </c>
      <c r="F3060" t="s">
        <v>1803</v>
      </c>
      <c r="G3060" t="s">
        <v>100</v>
      </c>
      <c r="H3060" t="s">
        <v>1807</v>
      </c>
      <c r="I3060" t="s">
        <v>119</v>
      </c>
      <c r="J3060" t="s">
        <v>74</v>
      </c>
      <c r="K3060">
        <v>1390</v>
      </c>
      <c r="O3060" t="s">
        <v>68</v>
      </c>
      <c r="P3060" t="s">
        <v>77</v>
      </c>
      <c r="U3060" s="9" t="s">
        <v>136</v>
      </c>
      <c r="V3060" t="s">
        <v>137</v>
      </c>
      <c r="W3060" t="s">
        <v>138</v>
      </c>
      <c r="X3060" t="s">
        <v>102</v>
      </c>
      <c r="Y3060" t="s">
        <v>1805</v>
      </c>
      <c r="Z3060" t="s">
        <v>140</v>
      </c>
      <c r="AA3060" t="s">
        <v>1635</v>
      </c>
      <c r="AB3060" t="str">
        <f t="shared" si="144"/>
        <v>47745</v>
      </c>
    </row>
    <row r="3061" ht="14.25" spans="1:28">
      <c r="A3061" s="5" t="s">
        <v>28</v>
      </c>
      <c r="B3061" s="5" t="s">
        <v>697</v>
      </c>
      <c r="C3061" s="5">
        <v>2027</v>
      </c>
      <c r="D3061" s="5" t="s">
        <v>30</v>
      </c>
      <c r="E3061" t="s">
        <v>1806</v>
      </c>
      <c r="F3061" t="s">
        <v>1803</v>
      </c>
      <c r="G3061" t="s">
        <v>100</v>
      </c>
      <c r="H3061" t="s">
        <v>1807</v>
      </c>
      <c r="I3061" t="s">
        <v>119</v>
      </c>
      <c r="J3061" t="s">
        <v>74</v>
      </c>
      <c r="K3061">
        <v>1390</v>
      </c>
      <c r="O3061" t="s">
        <v>68</v>
      </c>
      <c r="P3061" t="s">
        <v>78</v>
      </c>
      <c r="U3061" s="9" t="s">
        <v>136</v>
      </c>
      <c r="V3061" t="s">
        <v>137</v>
      </c>
      <c r="W3061" t="s">
        <v>138</v>
      </c>
      <c r="X3061" t="s">
        <v>102</v>
      </c>
      <c r="Y3061" t="s">
        <v>1805</v>
      </c>
      <c r="Z3061" t="s">
        <v>140</v>
      </c>
      <c r="AA3061" t="s">
        <v>1635</v>
      </c>
      <c r="AB3061" t="str">
        <f t="shared" si="144"/>
        <v>47745</v>
      </c>
    </row>
    <row r="3062" ht="14.25" spans="1:28">
      <c r="A3062" s="5" t="s">
        <v>28</v>
      </c>
      <c r="B3062" s="5" t="s">
        <v>697</v>
      </c>
      <c r="C3062" s="5">
        <v>2027</v>
      </c>
      <c r="D3062" s="5" t="s">
        <v>30</v>
      </c>
      <c r="E3062" t="s">
        <v>1806</v>
      </c>
      <c r="F3062" t="s">
        <v>1803</v>
      </c>
      <c r="G3062" t="s">
        <v>100</v>
      </c>
      <c r="H3062" t="s">
        <v>1807</v>
      </c>
      <c r="I3062" t="s">
        <v>119</v>
      </c>
      <c r="J3062" t="s">
        <v>74</v>
      </c>
      <c r="K3062">
        <v>1390</v>
      </c>
      <c r="O3062" t="s">
        <v>68</v>
      </c>
      <c r="P3062" t="s">
        <v>79</v>
      </c>
      <c r="U3062" s="9" t="s">
        <v>136</v>
      </c>
      <c r="V3062" t="s">
        <v>137</v>
      </c>
      <c r="W3062" t="s">
        <v>138</v>
      </c>
      <c r="X3062" t="s">
        <v>102</v>
      </c>
      <c r="Y3062" t="s">
        <v>1805</v>
      </c>
      <c r="Z3062" t="s">
        <v>140</v>
      </c>
      <c r="AA3062" t="s">
        <v>1635</v>
      </c>
      <c r="AB3062" t="str">
        <f t="shared" si="144"/>
        <v>47745</v>
      </c>
    </row>
    <row r="3063" ht="14.25" spans="1:28">
      <c r="A3063" s="5" t="s">
        <v>28</v>
      </c>
      <c r="B3063" s="5" t="s">
        <v>697</v>
      </c>
      <c r="C3063" s="5">
        <v>2027</v>
      </c>
      <c r="D3063" s="5" t="s">
        <v>30</v>
      </c>
      <c r="E3063" t="s">
        <v>1808</v>
      </c>
      <c r="F3063" t="s">
        <v>1809</v>
      </c>
      <c r="G3063" t="s">
        <v>65</v>
      </c>
      <c r="H3063" t="s">
        <v>1810</v>
      </c>
      <c r="I3063" t="s">
        <v>119</v>
      </c>
      <c r="J3063" t="s">
        <v>74</v>
      </c>
      <c r="K3063">
        <v>1590</v>
      </c>
      <c r="O3063" t="s">
        <v>68</v>
      </c>
      <c r="P3063" t="s">
        <v>69</v>
      </c>
      <c r="R3063">
        <f t="shared" si="142"/>
        <v>0</v>
      </c>
      <c r="S3063">
        <f>SUMIFS([1]Sheet1!$T:$T,[1]Sheet1!$I:$I,E3063,[1]Sheet1!$C:$C,A3063)</f>
        <v>0</v>
      </c>
      <c r="T3063">
        <f t="shared" si="143"/>
        <v>0</v>
      </c>
      <c r="U3063" s="9" t="s">
        <v>136</v>
      </c>
      <c r="V3063" t="s">
        <v>137</v>
      </c>
      <c r="W3063" t="s">
        <v>138</v>
      </c>
      <c r="X3063" t="s">
        <v>70</v>
      </c>
      <c r="Y3063" t="s">
        <v>1811</v>
      </c>
      <c r="Z3063" t="s">
        <v>140</v>
      </c>
      <c r="AB3063" t="str">
        <f t="shared" si="144"/>
        <v>47746</v>
      </c>
    </row>
    <row r="3064" ht="14.25" spans="1:28">
      <c r="A3064" s="5" t="s">
        <v>28</v>
      </c>
      <c r="B3064" s="5" t="s">
        <v>697</v>
      </c>
      <c r="C3064" s="5">
        <v>2027</v>
      </c>
      <c r="D3064" s="5" t="s">
        <v>30</v>
      </c>
      <c r="E3064" t="s">
        <v>1808</v>
      </c>
      <c r="F3064" t="s">
        <v>1809</v>
      </c>
      <c r="G3064" t="s">
        <v>65</v>
      </c>
      <c r="H3064" t="s">
        <v>1810</v>
      </c>
      <c r="I3064" t="s">
        <v>119</v>
      </c>
      <c r="J3064" t="s">
        <v>74</v>
      </c>
      <c r="K3064">
        <v>1590</v>
      </c>
      <c r="O3064" t="s">
        <v>68</v>
      </c>
      <c r="P3064" t="s">
        <v>72</v>
      </c>
      <c r="U3064" s="9" t="s">
        <v>136</v>
      </c>
      <c r="V3064" t="s">
        <v>137</v>
      </c>
      <c r="W3064" t="s">
        <v>138</v>
      </c>
      <c r="X3064" t="s">
        <v>70</v>
      </c>
      <c r="Y3064" t="s">
        <v>1811</v>
      </c>
      <c r="Z3064" t="s">
        <v>140</v>
      </c>
      <c r="AB3064" t="str">
        <f t="shared" si="144"/>
        <v>47746</v>
      </c>
    </row>
    <row r="3065" ht="14.25" spans="1:28">
      <c r="A3065" s="5" t="s">
        <v>28</v>
      </c>
      <c r="B3065" s="5" t="s">
        <v>697</v>
      </c>
      <c r="C3065" s="5">
        <v>2027</v>
      </c>
      <c r="D3065" s="5" t="s">
        <v>30</v>
      </c>
      <c r="E3065" t="s">
        <v>1808</v>
      </c>
      <c r="F3065" t="s">
        <v>1809</v>
      </c>
      <c r="G3065" t="s">
        <v>65</v>
      </c>
      <c r="H3065" t="s">
        <v>1810</v>
      </c>
      <c r="I3065" t="s">
        <v>119</v>
      </c>
      <c r="J3065" t="s">
        <v>74</v>
      </c>
      <c r="K3065">
        <v>1590</v>
      </c>
      <c r="O3065" t="s">
        <v>68</v>
      </c>
      <c r="P3065" t="s">
        <v>73</v>
      </c>
      <c r="U3065" s="9" t="s">
        <v>136</v>
      </c>
      <c r="V3065" t="s">
        <v>137</v>
      </c>
      <c r="W3065" t="s">
        <v>138</v>
      </c>
      <c r="X3065" t="s">
        <v>70</v>
      </c>
      <c r="Y3065" t="s">
        <v>1811</v>
      </c>
      <c r="Z3065" t="s">
        <v>140</v>
      </c>
      <c r="AB3065" t="str">
        <f t="shared" si="144"/>
        <v>47746</v>
      </c>
    </row>
    <row r="3066" ht="14.25" spans="1:28">
      <c r="A3066" s="5" t="s">
        <v>28</v>
      </c>
      <c r="B3066" s="5" t="s">
        <v>697</v>
      </c>
      <c r="C3066" s="5">
        <v>2027</v>
      </c>
      <c r="D3066" s="5" t="s">
        <v>30</v>
      </c>
      <c r="E3066" t="s">
        <v>1808</v>
      </c>
      <c r="F3066" t="s">
        <v>1809</v>
      </c>
      <c r="G3066" t="s">
        <v>65</v>
      </c>
      <c r="H3066" t="s">
        <v>1810</v>
      </c>
      <c r="I3066" t="s">
        <v>119</v>
      </c>
      <c r="J3066" t="s">
        <v>74</v>
      </c>
      <c r="K3066">
        <v>1590</v>
      </c>
      <c r="O3066" t="s">
        <v>68</v>
      </c>
      <c r="P3066" t="s">
        <v>74</v>
      </c>
      <c r="U3066" s="9" t="s">
        <v>136</v>
      </c>
      <c r="V3066" t="s">
        <v>137</v>
      </c>
      <c r="W3066" t="s">
        <v>138</v>
      </c>
      <c r="X3066" t="s">
        <v>70</v>
      </c>
      <c r="Y3066" t="s">
        <v>1811</v>
      </c>
      <c r="Z3066" t="s">
        <v>140</v>
      </c>
      <c r="AB3066" t="str">
        <f t="shared" si="144"/>
        <v>47746</v>
      </c>
    </row>
    <row r="3067" ht="14.25" spans="1:28">
      <c r="A3067" s="5" t="s">
        <v>28</v>
      </c>
      <c r="B3067" s="5" t="s">
        <v>697</v>
      </c>
      <c r="C3067" s="5">
        <v>2027</v>
      </c>
      <c r="D3067" s="5" t="s">
        <v>30</v>
      </c>
      <c r="E3067" t="s">
        <v>1808</v>
      </c>
      <c r="F3067" t="s">
        <v>1809</v>
      </c>
      <c r="G3067" t="s">
        <v>65</v>
      </c>
      <c r="H3067" t="s">
        <v>1810</v>
      </c>
      <c r="I3067" t="s">
        <v>119</v>
      </c>
      <c r="J3067" t="s">
        <v>74</v>
      </c>
      <c r="K3067">
        <v>1590</v>
      </c>
      <c r="O3067" t="s">
        <v>68</v>
      </c>
      <c r="P3067" t="s">
        <v>75</v>
      </c>
      <c r="U3067" s="9" t="s">
        <v>136</v>
      </c>
      <c r="V3067" t="s">
        <v>137</v>
      </c>
      <c r="W3067" t="s">
        <v>138</v>
      </c>
      <c r="X3067" t="s">
        <v>70</v>
      </c>
      <c r="Y3067" t="s">
        <v>1811</v>
      </c>
      <c r="Z3067" t="s">
        <v>140</v>
      </c>
      <c r="AB3067" t="str">
        <f t="shared" si="144"/>
        <v>47746</v>
      </c>
    </row>
    <row r="3068" ht="14.25" spans="1:28">
      <c r="A3068" s="5" t="s">
        <v>28</v>
      </c>
      <c r="B3068" s="5" t="s">
        <v>697</v>
      </c>
      <c r="C3068" s="5">
        <v>2027</v>
      </c>
      <c r="D3068" s="5" t="s">
        <v>30</v>
      </c>
      <c r="E3068" t="s">
        <v>1808</v>
      </c>
      <c r="F3068" t="s">
        <v>1809</v>
      </c>
      <c r="G3068" t="s">
        <v>65</v>
      </c>
      <c r="H3068" t="s">
        <v>1810</v>
      </c>
      <c r="I3068" t="s">
        <v>119</v>
      </c>
      <c r="J3068" t="s">
        <v>74</v>
      </c>
      <c r="K3068">
        <v>1590</v>
      </c>
      <c r="O3068" t="s">
        <v>68</v>
      </c>
      <c r="P3068" t="s">
        <v>76</v>
      </c>
      <c r="U3068" s="9" t="s">
        <v>136</v>
      </c>
      <c r="V3068" t="s">
        <v>137</v>
      </c>
      <c r="W3068" t="s">
        <v>138</v>
      </c>
      <c r="X3068" t="s">
        <v>70</v>
      </c>
      <c r="Y3068" t="s">
        <v>1811</v>
      </c>
      <c r="Z3068" t="s">
        <v>140</v>
      </c>
      <c r="AB3068" t="str">
        <f t="shared" si="144"/>
        <v>47746</v>
      </c>
    </row>
    <row r="3069" ht="14.25" spans="1:28">
      <c r="A3069" s="5" t="s">
        <v>28</v>
      </c>
      <c r="B3069" s="5" t="s">
        <v>697</v>
      </c>
      <c r="C3069" s="5">
        <v>2027</v>
      </c>
      <c r="D3069" s="5" t="s">
        <v>30</v>
      </c>
      <c r="E3069" t="s">
        <v>1808</v>
      </c>
      <c r="F3069" t="s">
        <v>1809</v>
      </c>
      <c r="G3069" t="s">
        <v>65</v>
      </c>
      <c r="H3069" t="s">
        <v>1810</v>
      </c>
      <c r="I3069" t="s">
        <v>119</v>
      </c>
      <c r="J3069" t="s">
        <v>74</v>
      </c>
      <c r="K3069">
        <v>1590</v>
      </c>
      <c r="O3069" t="s">
        <v>68</v>
      </c>
      <c r="P3069" t="s">
        <v>77</v>
      </c>
      <c r="U3069" s="9" t="s">
        <v>136</v>
      </c>
      <c r="V3069" t="s">
        <v>137</v>
      </c>
      <c r="W3069" t="s">
        <v>138</v>
      </c>
      <c r="X3069" t="s">
        <v>70</v>
      </c>
      <c r="Y3069" t="s">
        <v>1811</v>
      </c>
      <c r="Z3069" t="s">
        <v>140</v>
      </c>
      <c r="AB3069" t="str">
        <f t="shared" si="144"/>
        <v>47746</v>
      </c>
    </row>
    <row r="3070" ht="14.25" spans="1:28">
      <c r="A3070" s="5" t="s">
        <v>28</v>
      </c>
      <c r="B3070" s="5" t="s">
        <v>697</v>
      </c>
      <c r="C3070" s="5">
        <v>2027</v>
      </c>
      <c r="D3070" s="5" t="s">
        <v>30</v>
      </c>
      <c r="E3070" t="s">
        <v>1808</v>
      </c>
      <c r="F3070" t="s">
        <v>1809</v>
      </c>
      <c r="G3070" t="s">
        <v>65</v>
      </c>
      <c r="H3070" t="s">
        <v>1810</v>
      </c>
      <c r="I3070" t="s">
        <v>119</v>
      </c>
      <c r="J3070" t="s">
        <v>74</v>
      </c>
      <c r="K3070">
        <v>1590</v>
      </c>
      <c r="O3070" t="s">
        <v>68</v>
      </c>
      <c r="P3070" t="s">
        <v>78</v>
      </c>
      <c r="U3070" s="9" t="s">
        <v>136</v>
      </c>
      <c r="V3070" t="s">
        <v>137</v>
      </c>
      <c r="W3070" t="s">
        <v>138</v>
      </c>
      <c r="X3070" t="s">
        <v>70</v>
      </c>
      <c r="Y3070" t="s">
        <v>1811</v>
      </c>
      <c r="Z3070" t="s">
        <v>140</v>
      </c>
      <c r="AB3070" t="str">
        <f t="shared" si="144"/>
        <v>47746</v>
      </c>
    </row>
    <row r="3071" ht="14.25" spans="1:28">
      <c r="A3071" s="5" t="s">
        <v>28</v>
      </c>
      <c r="B3071" s="5" t="s">
        <v>697</v>
      </c>
      <c r="C3071" s="5">
        <v>2027</v>
      </c>
      <c r="D3071" s="5" t="s">
        <v>30</v>
      </c>
      <c r="E3071" t="s">
        <v>1808</v>
      </c>
      <c r="F3071" t="s">
        <v>1809</v>
      </c>
      <c r="G3071" t="s">
        <v>65</v>
      </c>
      <c r="H3071" t="s">
        <v>1810</v>
      </c>
      <c r="I3071" t="s">
        <v>119</v>
      </c>
      <c r="J3071" t="s">
        <v>74</v>
      </c>
      <c r="K3071">
        <v>1590</v>
      </c>
      <c r="O3071" t="s">
        <v>68</v>
      </c>
      <c r="P3071" t="s">
        <v>79</v>
      </c>
      <c r="U3071" s="9" t="s">
        <v>136</v>
      </c>
      <c r="V3071" t="s">
        <v>137</v>
      </c>
      <c r="W3071" t="s">
        <v>138</v>
      </c>
      <c r="X3071" t="s">
        <v>70</v>
      </c>
      <c r="Y3071" t="s">
        <v>1811</v>
      </c>
      <c r="Z3071" t="s">
        <v>140</v>
      </c>
      <c r="AB3071" t="str">
        <f t="shared" si="144"/>
        <v>47746</v>
      </c>
    </row>
    <row r="3072" ht="14.25" spans="1:28">
      <c r="A3072" s="5" t="s">
        <v>28</v>
      </c>
      <c r="B3072" s="5" t="s">
        <v>697</v>
      </c>
      <c r="C3072" s="5">
        <v>2027</v>
      </c>
      <c r="D3072" s="5" t="s">
        <v>30</v>
      </c>
      <c r="E3072" t="s">
        <v>1812</v>
      </c>
      <c r="F3072" t="s">
        <v>1809</v>
      </c>
      <c r="G3072" t="s">
        <v>117</v>
      </c>
      <c r="H3072" t="s">
        <v>1813</v>
      </c>
      <c r="I3072" t="s">
        <v>119</v>
      </c>
      <c r="J3072" t="s">
        <v>74</v>
      </c>
      <c r="K3072">
        <v>1590</v>
      </c>
      <c r="O3072" t="s">
        <v>68</v>
      </c>
      <c r="P3072" t="s">
        <v>69</v>
      </c>
      <c r="R3072">
        <f t="shared" si="142"/>
        <v>0</v>
      </c>
      <c r="S3072">
        <f>SUMIFS([1]Sheet1!$T:$T,[1]Sheet1!$I:$I,E3072,[1]Sheet1!$C:$C,A3072)</f>
        <v>0</v>
      </c>
      <c r="T3072">
        <f t="shared" si="143"/>
        <v>0</v>
      </c>
      <c r="U3072" s="9" t="s">
        <v>136</v>
      </c>
      <c r="V3072" t="s">
        <v>137</v>
      </c>
      <c r="W3072" t="s">
        <v>138</v>
      </c>
      <c r="X3072" t="s">
        <v>122</v>
      </c>
      <c r="Y3072" t="s">
        <v>1811</v>
      </c>
      <c r="Z3072" t="s">
        <v>140</v>
      </c>
      <c r="AB3072" t="str">
        <f t="shared" si="144"/>
        <v>47746</v>
      </c>
    </row>
    <row r="3073" ht="14.25" spans="1:28">
      <c r="A3073" s="5" t="s">
        <v>28</v>
      </c>
      <c r="B3073" s="5" t="s">
        <v>697</v>
      </c>
      <c r="C3073" s="5">
        <v>2027</v>
      </c>
      <c r="D3073" s="5" t="s">
        <v>30</v>
      </c>
      <c r="E3073" t="s">
        <v>1812</v>
      </c>
      <c r="F3073" t="s">
        <v>1809</v>
      </c>
      <c r="G3073" t="s">
        <v>117</v>
      </c>
      <c r="H3073" t="s">
        <v>1813</v>
      </c>
      <c r="I3073" t="s">
        <v>119</v>
      </c>
      <c r="J3073" t="s">
        <v>74</v>
      </c>
      <c r="K3073">
        <v>1590</v>
      </c>
      <c r="O3073" t="s">
        <v>68</v>
      </c>
      <c r="P3073" t="s">
        <v>72</v>
      </c>
      <c r="U3073" s="9" t="s">
        <v>136</v>
      </c>
      <c r="V3073" t="s">
        <v>137</v>
      </c>
      <c r="W3073" t="s">
        <v>138</v>
      </c>
      <c r="X3073" t="s">
        <v>122</v>
      </c>
      <c r="Y3073" t="s">
        <v>1811</v>
      </c>
      <c r="Z3073" t="s">
        <v>140</v>
      </c>
      <c r="AB3073" t="str">
        <f t="shared" si="144"/>
        <v>47746</v>
      </c>
    </row>
    <row r="3074" ht="14.25" spans="1:28">
      <c r="A3074" s="5" t="s">
        <v>28</v>
      </c>
      <c r="B3074" s="5" t="s">
        <v>697</v>
      </c>
      <c r="C3074" s="5">
        <v>2027</v>
      </c>
      <c r="D3074" s="5" t="s">
        <v>30</v>
      </c>
      <c r="E3074" t="s">
        <v>1812</v>
      </c>
      <c r="F3074" t="s">
        <v>1809</v>
      </c>
      <c r="G3074" t="s">
        <v>117</v>
      </c>
      <c r="H3074" t="s">
        <v>1813</v>
      </c>
      <c r="I3074" t="s">
        <v>119</v>
      </c>
      <c r="J3074" t="s">
        <v>74</v>
      </c>
      <c r="K3074">
        <v>1590</v>
      </c>
      <c r="O3074" t="s">
        <v>68</v>
      </c>
      <c r="P3074" t="s">
        <v>73</v>
      </c>
      <c r="U3074" s="9" t="s">
        <v>136</v>
      </c>
      <c r="V3074" t="s">
        <v>137</v>
      </c>
      <c r="W3074" t="s">
        <v>138</v>
      </c>
      <c r="X3074" t="s">
        <v>122</v>
      </c>
      <c r="Y3074" t="s">
        <v>1811</v>
      </c>
      <c r="Z3074" t="s">
        <v>140</v>
      </c>
      <c r="AB3074" t="str">
        <f t="shared" si="144"/>
        <v>47746</v>
      </c>
    </row>
    <row r="3075" ht="14.25" spans="1:28">
      <c r="A3075" s="5" t="s">
        <v>28</v>
      </c>
      <c r="B3075" s="5" t="s">
        <v>697</v>
      </c>
      <c r="C3075" s="5">
        <v>2027</v>
      </c>
      <c r="D3075" s="5" t="s">
        <v>30</v>
      </c>
      <c r="E3075" t="s">
        <v>1812</v>
      </c>
      <c r="F3075" t="s">
        <v>1809</v>
      </c>
      <c r="G3075" t="s">
        <v>117</v>
      </c>
      <c r="H3075" t="s">
        <v>1813</v>
      </c>
      <c r="I3075" t="s">
        <v>119</v>
      </c>
      <c r="J3075" t="s">
        <v>74</v>
      </c>
      <c r="K3075">
        <v>1590</v>
      </c>
      <c r="O3075" t="s">
        <v>68</v>
      </c>
      <c r="P3075" t="s">
        <v>74</v>
      </c>
      <c r="U3075" s="9" t="s">
        <v>136</v>
      </c>
      <c r="V3075" t="s">
        <v>137</v>
      </c>
      <c r="W3075" t="s">
        <v>138</v>
      </c>
      <c r="X3075" t="s">
        <v>122</v>
      </c>
      <c r="Y3075" t="s">
        <v>1811</v>
      </c>
      <c r="Z3075" t="s">
        <v>140</v>
      </c>
      <c r="AB3075" t="str">
        <f t="shared" si="144"/>
        <v>47746</v>
      </c>
    </row>
    <row r="3076" ht="14.25" spans="1:28">
      <c r="A3076" s="5" t="s">
        <v>28</v>
      </c>
      <c r="B3076" s="5" t="s">
        <v>697</v>
      </c>
      <c r="C3076" s="5">
        <v>2027</v>
      </c>
      <c r="D3076" s="5" t="s">
        <v>30</v>
      </c>
      <c r="E3076" t="s">
        <v>1812</v>
      </c>
      <c r="F3076" t="s">
        <v>1809</v>
      </c>
      <c r="G3076" t="s">
        <v>117</v>
      </c>
      <c r="H3076" t="s">
        <v>1813</v>
      </c>
      <c r="I3076" t="s">
        <v>119</v>
      </c>
      <c r="J3076" t="s">
        <v>74</v>
      </c>
      <c r="K3076">
        <v>1590</v>
      </c>
      <c r="O3076" t="s">
        <v>68</v>
      </c>
      <c r="P3076" t="s">
        <v>75</v>
      </c>
      <c r="U3076" s="9" t="s">
        <v>136</v>
      </c>
      <c r="V3076" t="s">
        <v>137</v>
      </c>
      <c r="W3076" t="s">
        <v>138</v>
      </c>
      <c r="X3076" t="s">
        <v>122</v>
      </c>
      <c r="Y3076" t="s">
        <v>1811</v>
      </c>
      <c r="Z3076" t="s">
        <v>140</v>
      </c>
      <c r="AB3076" t="str">
        <f t="shared" si="144"/>
        <v>47746</v>
      </c>
    </row>
    <row r="3077" ht="14.25" spans="1:28">
      <c r="A3077" s="5" t="s">
        <v>28</v>
      </c>
      <c r="B3077" s="5" t="s">
        <v>697</v>
      </c>
      <c r="C3077" s="5">
        <v>2027</v>
      </c>
      <c r="D3077" s="5" t="s">
        <v>30</v>
      </c>
      <c r="E3077" t="s">
        <v>1812</v>
      </c>
      <c r="F3077" t="s">
        <v>1809</v>
      </c>
      <c r="G3077" t="s">
        <v>117</v>
      </c>
      <c r="H3077" t="s">
        <v>1813</v>
      </c>
      <c r="I3077" t="s">
        <v>119</v>
      </c>
      <c r="J3077" t="s">
        <v>74</v>
      </c>
      <c r="K3077">
        <v>1590</v>
      </c>
      <c r="O3077" t="s">
        <v>68</v>
      </c>
      <c r="P3077" t="s">
        <v>76</v>
      </c>
      <c r="U3077" s="9" t="s">
        <v>136</v>
      </c>
      <c r="V3077" t="s">
        <v>137</v>
      </c>
      <c r="W3077" t="s">
        <v>138</v>
      </c>
      <c r="X3077" t="s">
        <v>122</v>
      </c>
      <c r="Y3077" t="s">
        <v>1811</v>
      </c>
      <c r="Z3077" t="s">
        <v>140</v>
      </c>
      <c r="AB3077" t="str">
        <f t="shared" si="144"/>
        <v>47746</v>
      </c>
    </row>
    <row r="3078" ht="14.25" spans="1:28">
      <c r="A3078" s="5" t="s">
        <v>28</v>
      </c>
      <c r="B3078" s="5" t="s">
        <v>697</v>
      </c>
      <c r="C3078" s="5">
        <v>2027</v>
      </c>
      <c r="D3078" s="5" t="s">
        <v>30</v>
      </c>
      <c r="E3078" t="s">
        <v>1812</v>
      </c>
      <c r="F3078" t="s">
        <v>1809</v>
      </c>
      <c r="G3078" t="s">
        <v>117</v>
      </c>
      <c r="H3078" t="s">
        <v>1813</v>
      </c>
      <c r="I3078" t="s">
        <v>119</v>
      </c>
      <c r="J3078" t="s">
        <v>74</v>
      </c>
      <c r="K3078">
        <v>1590</v>
      </c>
      <c r="O3078" t="s">
        <v>68</v>
      </c>
      <c r="P3078" t="s">
        <v>77</v>
      </c>
      <c r="U3078" s="9" t="s">
        <v>136</v>
      </c>
      <c r="V3078" t="s">
        <v>137</v>
      </c>
      <c r="W3078" t="s">
        <v>138</v>
      </c>
      <c r="X3078" t="s">
        <v>122</v>
      </c>
      <c r="Y3078" t="s">
        <v>1811</v>
      </c>
      <c r="Z3078" t="s">
        <v>140</v>
      </c>
      <c r="AB3078" t="str">
        <f t="shared" si="144"/>
        <v>47746</v>
      </c>
    </row>
    <row r="3079" ht="14.25" spans="1:28">
      <c r="A3079" s="5" t="s">
        <v>28</v>
      </c>
      <c r="B3079" s="5" t="s">
        <v>697</v>
      </c>
      <c r="C3079" s="5">
        <v>2027</v>
      </c>
      <c r="D3079" s="5" t="s">
        <v>30</v>
      </c>
      <c r="E3079" t="s">
        <v>1812</v>
      </c>
      <c r="F3079" t="s">
        <v>1809</v>
      </c>
      <c r="G3079" t="s">
        <v>117</v>
      </c>
      <c r="H3079" t="s">
        <v>1813</v>
      </c>
      <c r="I3079" t="s">
        <v>119</v>
      </c>
      <c r="J3079" t="s">
        <v>74</v>
      </c>
      <c r="K3079">
        <v>1590</v>
      </c>
      <c r="O3079" t="s">
        <v>68</v>
      </c>
      <c r="P3079" t="s">
        <v>78</v>
      </c>
      <c r="U3079" s="9" t="s">
        <v>136</v>
      </c>
      <c r="V3079" t="s">
        <v>137</v>
      </c>
      <c r="W3079" t="s">
        <v>138</v>
      </c>
      <c r="X3079" t="s">
        <v>122</v>
      </c>
      <c r="Y3079" t="s">
        <v>1811</v>
      </c>
      <c r="Z3079" t="s">
        <v>140</v>
      </c>
      <c r="AB3079" t="str">
        <f t="shared" si="144"/>
        <v>47746</v>
      </c>
    </row>
    <row r="3080" ht="14.25" spans="1:28">
      <c r="A3080" s="5" t="s">
        <v>28</v>
      </c>
      <c r="B3080" s="5" t="s">
        <v>697</v>
      </c>
      <c r="C3080" s="5">
        <v>2027</v>
      </c>
      <c r="D3080" s="5" t="s">
        <v>30</v>
      </c>
      <c r="E3080" t="s">
        <v>1812</v>
      </c>
      <c r="F3080" t="s">
        <v>1809</v>
      </c>
      <c r="G3080" t="s">
        <v>117</v>
      </c>
      <c r="H3080" t="s">
        <v>1813</v>
      </c>
      <c r="I3080" t="s">
        <v>119</v>
      </c>
      <c r="J3080" t="s">
        <v>74</v>
      </c>
      <c r="K3080">
        <v>1590</v>
      </c>
      <c r="O3080" t="s">
        <v>68</v>
      </c>
      <c r="P3080" t="s">
        <v>79</v>
      </c>
      <c r="U3080" s="9" t="s">
        <v>136</v>
      </c>
      <c r="V3080" t="s">
        <v>137</v>
      </c>
      <c r="W3080" t="s">
        <v>138</v>
      </c>
      <c r="X3080" t="s">
        <v>122</v>
      </c>
      <c r="Y3080" t="s">
        <v>1811</v>
      </c>
      <c r="Z3080" t="s">
        <v>140</v>
      </c>
      <c r="AB3080" t="str">
        <f t="shared" si="144"/>
        <v>47746</v>
      </c>
    </row>
    <row r="3081" ht="14.25" spans="1:28">
      <c r="A3081" s="5" t="s">
        <v>28</v>
      </c>
      <c r="B3081" s="5" t="s">
        <v>697</v>
      </c>
      <c r="C3081" s="5">
        <v>2027</v>
      </c>
      <c r="D3081" s="5" t="s">
        <v>30</v>
      </c>
      <c r="E3081" t="s">
        <v>1814</v>
      </c>
      <c r="F3081" t="s">
        <v>1809</v>
      </c>
      <c r="G3081" t="s">
        <v>100</v>
      </c>
      <c r="H3081" t="s">
        <v>1815</v>
      </c>
      <c r="I3081" t="s">
        <v>119</v>
      </c>
      <c r="J3081" t="s">
        <v>74</v>
      </c>
      <c r="K3081">
        <v>1590</v>
      </c>
      <c r="O3081" t="s">
        <v>68</v>
      </c>
      <c r="P3081" t="s">
        <v>69</v>
      </c>
      <c r="R3081">
        <f t="shared" ref="R3074:R3137" si="145">SUMIFS(Q:Q,E:E,E3081)</f>
        <v>0</v>
      </c>
      <c r="S3081">
        <f>SUMIFS([1]Sheet1!$T:$T,[1]Sheet1!$I:$I,E3081,[1]Sheet1!$C:$C,A3081)</f>
        <v>0</v>
      </c>
      <c r="T3081">
        <f t="shared" ref="T3074:T3137" si="146">R3081-S3081</f>
        <v>0</v>
      </c>
      <c r="U3081" s="9" t="s">
        <v>136</v>
      </c>
      <c r="V3081" t="s">
        <v>137</v>
      </c>
      <c r="W3081" t="s">
        <v>138</v>
      </c>
      <c r="X3081" t="s">
        <v>102</v>
      </c>
      <c r="Y3081" t="s">
        <v>1811</v>
      </c>
      <c r="Z3081" t="s">
        <v>140</v>
      </c>
      <c r="AB3081" t="str">
        <f t="shared" si="144"/>
        <v>47746</v>
      </c>
    </row>
    <row r="3082" ht="14.25" spans="1:28">
      <c r="A3082" s="5" t="s">
        <v>28</v>
      </c>
      <c r="B3082" s="5" t="s">
        <v>697</v>
      </c>
      <c r="C3082" s="5">
        <v>2027</v>
      </c>
      <c r="D3082" s="5" t="s">
        <v>30</v>
      </c>
      <c r="E3082" t="s">
        <v>1814</v>
      </c>
      <c r="F3082" t="s">
        <v>1809</v>
      </c>
      <c r="G3082" t="s">
        <v>100</v>
      </c>
      <c r="H3082" t="s">
        <v>1815</v>
      </c>
      <c r="I3082" t="s">
        <v>119</v>
      </c>
      <c r="J3082" t="s">
        <v>74</v>
      </c>
      <c r="K3082">
        <v>1590</v>
      </c>
      <c r="O3082" t="s">
        <v>68</v>
      </c>
      <c r="P3082" t="s">
        <v>72</v>
      </c>
      <c r="U3082" s="9" t="s">
        <v>136</v>
      </c>
      <c r="V3082" t="s">
        <v>137</v>
      </c>
      <c r="W3082" t="s">
        <v>138</v>
      </c>
      <c r="X3082" t="s">
        <v>102</v>
      </c>
      <c r="Y3082" t="s">
        <v>1811</v>
      </c>
      <c r="Z3082" t="s">
        <v>140</v>
      </c>
      <c r="AB3082" t="str">
        <f t="shared" si="144"/>
        <v>47746</v>
      </c>
    </row>
    <row r="3083" ht="14.25" spans="1:28">
      <c r="A3083" s="5" t="s">
        <v>28</v>
      </c>
      <c r="B3083" s="5" t="s">
        <v>697</v>
      </c>
      <c r="C3083" s="5">
        <v>2027</v>
      </c>
      <c r="D3083" s="5" t="s">
        <v>30</v>
      </c>
      <c r="E3083" t="s">
        <v>1814</v>
      </c>
      <c r="F3083" t="s">
        <v>1809</v>
      </c>
      <c r="G3083" t="s">
        <v>100</v>
      </c>
      <c r="H3083" t="s">
        <v>1815</v>
      </c>
      <c r="I3083" t="s">
        <v>119</v>
      </c>
      <c r="J3083" t="s">
        <v>74</v>
      </c>
      <c r="K3083">
        <v>1590</v>
      </c>
      <c r="O3083" t="s">
        <v>68</v>
      </c>
      <c r="P3083" t="s">
        <v>73</v>
      </c>
      <c r="U3083" s="9" t="s">
        <v>136</v>
      </c>
      <c r="V3083" t="s">
        <v>137</v>
      </c>
      <c r="W3083" t="s">
        <v>138</v>
      </c>
      <c r="X3083" t="s">
        <v>102</v>
      </c>
      <c r="Y3083" t="s">
        <v>1811</v>
      </c>
      <c r="Z3083" t="s">
        <v>140</v>
      </c>
      <c r="AB3083" t="str">
        <f t="shared" si="144"/>
        <v>47746</v>
      </c>
    </row>
    <row r="3084" ht="14.25" spans="1:28">
      <c r="A3084" s="5" t="s">
        <v>28</v>
      </c>
      <c r="B3084" s="5" t="s">
        <v>697</v>
      </c>
      <c r="C3084" s="5">
        <v>2027</v>
      </c>
      <c r="D3084" s="5" t="s">
        <v>30</v>
      </c>
      <c r="E3084" t="s">
        <v>1814</v>
      </c>
      <c r="F3084" t="s">
        <v>1809</v>
      </c>
      <c r="G3084" t="s">
        <v>100</v>
      </c>
      <c r="H3084" t="s">
        <v>1815</v>
      </c>
      <c r="I3084" t="s">
        <v>119</v>
      </c>
      <c r="J3084" t="s">
        <v>74</v>
      </c>
      <c r="K3084">
        <v>1590</v>
      </c>
      <c r="O3084" t="s">
        <v>68</v>
      </c>
      <c r="P3084" t="s">
        <v>74</v>
      </c>
      <c r="U3084" s="9" t="s">
        <v>136</v>
      </c>
      <c r="V3084" t="s">
        <v>137</v>
      </c>
      <c r="W3084" t="s">
        <v>138</v>
      </c>
      <c r="X3084" t="s">
        <v>102</v>
      </c>
      <c r="Y3084" t="s">
        <v>1811</v>
      </c>
      <c r="Z3084" t="s">
        <v>140</v>
      </c>
      <c r="AB3084" t="str">
        <f t="shared" si="144"/>
        <v>47746</v>
      </c>
    </row>
    <row r="3085" ht="14.25" spans="1:28">
      <c r="A3085" s="5" t="s">
        <v>28</v>
      </c>
      <c r="B3085" s="5" t="s">
        <v>697</v>
      </c>
      <c r="C3085" s="5">
        <v>2027</v>
      </c>
      <c r="D3085" s="5" t="s">
        <v>30</v>
      </c>
      <c r="E3085" t="s">
        <v>1814</v>
      </c>
      <c r="F3085" t="s">
        <v>1809</v>
      </c>
      <c r="G3085" t="s">
        <v>100</v>
      </c>
      <c r="H3085" t="s">
        <v>1815</v>
      </c>
      <c r="I3085" t="s">
        <v>119</v>
      </c>
      <c r="J3085" t="s">
        <v>74</v>
      </c>
      <c r="K3085">
        <v>1590</v>
      </c>
      <c r="O3085" t="s">
        <v>68</v>
      </c>
      <c r="P3085" t="s">
        <v>75</v>
      </c>
      <c r="U3085" s="9" t="s">
        <v>136</v>
      </c>
      <c r="V3085" t="s">
        <v>137</v>
      </c>
      <c r="W3085" t="s">
        <v>138</v>
      </c>
      <c r="X3085" t="s">
        <v>102</v>
      </c>
      <c r="Y3085" t="s">
        <v>1811</v>
      </c>
      <c r="Z3085" t="s">
        <v>140</v>
      </c>
      <c r="AB3085" t="str">
        <f t="shared" si="144"/>
        <v>47746</v>
      </c>
    </row>
    <row r="3086" ht="14.25" spans="1:28">
      <c r="A3086" s="5" t="s">
        <v>28</v>
      </c>
      <c r="B3086" s="5" t="s">
        <v>697</v>
      </c>
      <c r="C3086" s="5">
        <v>2027</v>
      </c>
      <c r="D3086" s="5" t="s">
        <v>30</v>
      </c>
      <c r="E3086" t="s">
        <v>1814</v>
      </c>
      <c r="F3086" t="s">
        <v>1809</v>
      </c>
      <c r="G3086" t="s">
        <v>100</v>
      </c>
      <c r="H3086" t="s">
        <v>1815</v>
      </c>
      <c r="I3086" t="s">
        <v>119</v>
      </c>
      <c r="J3086" t="s">
        <v>74</v>
      </c>
      <c r="K3086">
        <v>1590</v>
      </c>
      <c r="O3086" t="s">
        <v>68</v>
      </c>
      <c r="P3086" t="s">
        <v>76</v>
      </c>
      <c r="U3086" s="9" t="s">
        <v>136</v>
      </c>
      <c r="V3086" t="s">
        <v>137</v>
      </c>
      <c r="W3086" t="s">
        <v>138</v>
      </c>
      <c r="X3086" t="s">
        <v>102</v>
      </c>
      <c r="Y3086" t="s">
        <v>1811</v>
      </c>
      <c r="Z3086" t="s">
        <v>140</v>
      </c>
      <c r="AB3086" t="str">
        <f t="shared" si="144"/>
        <v>47746</v>
      </c>
    </row>
    <row r="3087" ht="14.25" spans="1:28">
      <c r="A3087" s="5" t="s">
        <v>28</v>
      </c>
      <c r="B3087" s="5" t="s">
        <v>697</v>
      </c>
      <c r="C3087" s="5">
        <v>2027</v>
      </c>
      <c r="D3087" s="5" t="s">
        <v>30</v>
      </c>
      <c r="E3087" t="s">
        <v>1814</v>
      </c>
      <c r="F3087" t="s">
        <v>1809</v>
      </c>
      <c r="G3087" t="s">
        <v>100</v>
      </c>
      <c r="H3087" t="s">
        <v>1815</v>
      </c>
      <c r="I3087" t="s">
        <v>119</v>
      </c>
      <c r="J3087" t="s">
        <v>74</v>
      </c>
      <c r="K3087">
        <v>1590</v>
      </c>
      <c r="O3087" t="s">
        <v>68</v>
      </c>
      <c r="P3087" t="s">
        <v>77</v>
      </c>
      <c r="U3087" s="9" t="s">
        <v>136</v>
      </c>
      <c r="V3087" t="s">
        <v>137</v>
      </c>
      <c r="W3087" t="s">
        <v>138</v>
      </c>
      <c r="X3087" t="s">
        <v>102</v>
      </c>
      <c r="Y3087" t="s">
        <v>1811</v>
      </c>
      <c r="Z3087" t="s">
        <v>140</v>
      </c>
      <c r="AB3087" t="str">
        <f t="shared" si="144"/>
        <v>47746</v>
      </c>
    </row>
    <row r="3088" ht="14.25" spans="1:28">
      <c r="A3088" s="5" t="s">
        <v>28</v>
      </c>
      <c r="B3088" s="5" t="s">
        <v>697</v>
      </c>
      <c r="C3088" s="5">
        <v>2027</v>
      </c>
      <c r="D3088" s="5" t="s">
        <v>30</v>
      </c>
      <c r="E3088" t="s">
        <v>1814</v>
      </c>
      <c r="F3088" t="s">
        <v>1809</v>
      </c>
      <c r="G3088" t="s">
        <v>100</v>
      </c>
      <c r="H3088" t="s">
        <v>1815</v>
      </c>
      <c r="I3088" t="s">
        <v>119</v>
      </c>
      <c r="J3088" t="s">
        <v>74</v>
      </c>
      <c r="K3088">
        <v>1590</v>
      </c>
      <c r="O3088" t="s">
        <v>68</v>
      </c>
      <c r="P3088" t="s">
        <v>78</v>
      </c>
      <c r="U3088" s="9" t="s">
        <v>136</v>
      </c>
      <c r="V3088" t="s">
        <v>137</v>
      </c>
      <c r="W3088" t="s">
        <v>138</v>
      </c>
      <c r="X3088" t="s">
        <v>102</v>
      </c>
      <c r="Y3088" t="s">
        <v>1811</v>
      </c>
      <c r="Z3088" t="s">
        <v>140</v>
      </c>
      <c r="AB3088" t="str">
        <f t="shared" si="144"/>
        <v>47746</v>
      </c>
    </row>
    <row r="3089" ht="14.25" spans="1:28">
      <c r="A3089" s="5" t="s">
        <v>28</v>
      </c>
      <c r="B3089" s="5" t="s">
        <v>697</v>
      </c>
      <c r="C3089" s="5">
        <v>2027</v>
      </c>
      <c r="D3089" s="5" t="s">
        <v>30</v>
      </c>
      <c r="E3089" t="s">
        <v>1814</v>
      </c>
      <c r="F3089" t="s">
        <v>1809</v>
      </c>
      <c r="G3089" t="s">
        <v>100</v>
      </c>
      <c r="H3089" t="s">
        <v>1815</v>
      </c>
      <c r="I3089" t="s">
        <v>119</v>
      </c>
      <c r="J3089" t="s">
        <v>74</v>
      </c>
      <c r="K3089">
        <v>1590</v>
      </c>
      <c r="O3089" t="s">
        <v>68</v>
      </c>
      <c r="P3089" t="s">
        <v>79</v>
      </c>
      <c r="U3089" s="9" t="s">
        <v>136</v>
      </c>
      <c r="V3089" t="s">
        <v>137</v>
      </c>
      <c r="W3089" t="s">
        <v>138</v>
      </c>
      <c r="X3089" t="s">
        <v>102</v>
      </c>
      <c r="Y3089" t="s">
        <v>1811</v>
      </c>
      <c r="Z3089" t="s">
        <v>140</v>
      </c>
      <c r="AB3089" t="str">
        <f t="shared" si="144"/>
        <v>47746</v>
      </c>
    </row>
    <row r="3090" ht="14.25" spans="1:28">
      <c r="A3090" s="5" t="s">
        <v>28</v>
      </c>
      <c r="B3090" s="5" t="s">
        <v>697</v>
      </c>
      <c r="C3090" s="5">
        <v>2027</v>
      </c>
      <c r="D3090" s="5" t="s">
        <v>30</v>
      </c>
      <c r="E3090" t="s">
        <v>1816</v>
      </c>
      <c r="F3090" t="s">
        <v>1817</v>
      </c>
      <c r="G3090" t="s">
        <v>100</v>
      </c>
      <c r="H3090" t="s">
        <v>1818</v>
      </c>
      <c r="I3090" t="s">
        <v>112</v>
      </c>
      <c r="J3090" t="s">
        <v>67</v>
      </c>
      <c r="K3090">
        <v>1190</v>
      </c>
      <c r="O3090" t="s">
        <v>68</v>
      </c>
      <c r="P3090" t="s">
        <v>69</v>
      </c>
      <c r="R3090">
        <f t="shared" si="145"/>
        <v>0</v>
      </c>
      <c r="S3090">
        <f>SUMIFS([1]Sheet1!$T:$T,[1]Sheet1!$I:$I,E3090,[1]Sheet1!$C:$C,A3090)</f>
        <v>0</v>
      </c>
      <c r="T3090">
        <f t="shared" si="146"/>
        <v>0</v>
      </c>
      <c r="U3090" s="9" t="s">
        <v>136</v>
      </c>
      <c r="V3090" t="s">
        <v>1150</v>
      </c>
      <c r="W3090" t="s">
        <v>138</v>
      </c>
      <c r="X3090" t="s">
        <v>102</v>
      </c>
      <c r="Y3090" t="s">
        <v>1819</v>
      </c>
      <c r="Z3090" t="s">
        <v>71</v>
      </c>
      <c r="AB3090" t="str">
        <f t="shared" si="144"/>
        <v>47752</v>
      </c>
    </row>
    <row r="3091" ht="14.25" spans="1:28">
      <c r="A3091" s="5" t="s">
        <v>28</v>
      </c>
      <c r="B3091" s="5" t="s">
        <v>697</v>
      </c>
      <c r="C3091" s="5">
        <v>2027</v>
      </c>
      <c r="D3091" s="5" t="s">
        <v>30</v>
      </c>
      <c r="E3091" t="s">
        <v>1816</v>
      </c>
      <c r="F3091" t="s">
        <v>1817</v>
      </c>
      <c r="G3091" t="s">
        <v>100</v>
      </c>
      <c r="H3091" t="s">
        <v>1818</v>
      </c>
      <c r="I3091" t="s">
        <v>112</v>
      </c>
      <c r="J3091" t="s">
        <v>67</v>
      </c>
      <c r="K3091">
        <v>1190</v>
      </c>
      <c r="O3091" t="s">
        <v>68</v>
      </c>
      <c r="P3091" t="s">
        <v>72</v>
      </c>
      <c r="U3091" s="9" t="s">
        <v>136</v>
      </c>
      <c r="V3091" t="s">
        <v>1150</v>
      </c>
      <c r="W3091" t="s">
        <v>138</v>
      </c>
      <c r="X3091" t="s">
        <v>102</v>
      </c>
      <c r="Y3091" t="s">
        <v>1819</v>
      </c>
      <c r="Z3091" t="s">
        <v>71</v>
      </c>
      <c r="AB3091" t="str">
        <f t="shared" si="144"/>
        <v>47752</v>
      </c>
    </row>
    <row r="3092" ht="14.25" spans="1:28">
      <c r="A3092" s="5" t="s">
        <v>28</v>
      </c>
      <c r="B3092" s="5" t="s">
        <v>697</v>
      </c>
      <c r="C3092" s="5">
        <v>2027</v>
      </c>
      <c r="D3092" s="5" t="s">
        <v>30</v>
      </c>
      <c r="E3092" t="s">
        <v>1816</v>
      </c>
      <c r="F3092" t="s">
        <v>1817</v>
      </c>
      <c r="G3092" t="s">
        <v>100</v>
      </c>
      <c r="H3092" t="s">
        <v>1818</v>
      </c>
      <c r="I3092" t="s">
        <v>112</v>
      </c>
      <c r="J3092" t="s">
        <v>67</v>
      </c>
      <c r="K3092">
        <v>1190</v>
      </c>
      <c r="O3092" t="s">
        <v>68</v>
      </c>
      <c r="P3092" t="s">
        <v>73</v>
      </c>
      <c r="U3092" s="9" t="s">
        <v>136</v>
      </c>
      <c r="V3092" t="s">
        <v>1150</v>
      </c>
      <c r="W3092" t="s">
        <v>138</v>
      </c>
      <c r="X3092" t="s">
        <v>102</v>
      </c>
      <c r="Y3092" t="s">
        <v>1819</v>
      </c>
      <c r="Z3092" t="s">
        <v>71</v>
      </c>
      <c r="AB3092" t="str">
        <f t="shared" si="144"/>
        <v>47752</v>
      </c>
    </row>
    <row r="3093" ht="14.25" spans="1:28">
      <c r="A3093" s="5" t="s">
        <v>28</v>
      </c>
      <c r="B3093" s="5" t="s">
        <v>697</v>
      </c>
      <c r="C3093" s="5">
        <v>2027</v>
      </c>
      <c r="D3093" s="5" t="s">
        <v>30</v>
      </c>
      <c r="E3093" t="s">
        <v>1816</v>
      </c>
      <c r="F3093" t="s">
        <v>1817</v>
      </c>
      <c r="G3093" t="s">
        <v>100</v>
      </c>
      <c r="H3093" t="s">
        <v>1818</v>
      </c>
      <c r="I3093" t="s">
        <v>112</v>
      </c>
      <c r="J3093" t="s">
        <v>67</v>
      </c>
      <c r="K3093">
        <v>1190</v>
      </c>
      <c r="O3093" t="s">
        <v>68</v>
      </c>
      <c r="P3093" t="s">
        <v>74</v>
      </c>
      <c r="U3093" s="9" t="s">
        <v>136</v>
      </c>
      <c r="V3093" t="s">
        <v>1150</v>
      </c>
      <c r="W3093" t="s">
        <v>138</v>
      </c>
      <c r="X3093" t="s">
        <v>102</v>
      </c>
      <c r="Y3093" t="s">
        <v>1819</v>
      </c>
      <c r="Z3093" t="s">
        <v>71</v>
      </c>
      <c r="AB3093" t="str">
        <f t="shared" si="144"/>
        <v>47752</v>
      </c>
    </row>
    <row r="3094" ht="14.25" spans="1:28">
      <c r="A3094" s="5" t="s">
        <v>28</v>
      </c>
      <c r="B3094" s="5" t="s">
        <v>697</v>
      </c>
      <c r="C3094" s="5">
        <v>2027</v>
      </c>
      <c r="D3094" s="5" t="s">
        <v>30</v>
      </c>
      <c r="E3094" t="s">
        <v>1816</v>
      </c>
      <c r="F3094" t="s">
        <v>1817</v>
      </c>
      <c r="G3094" t="s">
        <v>100</v>
      </c>
      <c r="H3094" t="s">
        <v>1818</v>
      </c>
      <c r="I3094" t="s">
        <v>112</v>
      </c>
      <c r="J3094" t="s">
        <v>67</v>
      </c>
      <c r="K3094">
        <v>1190</v>
      </c>
      <c r="O3094" t="s">
        <v>68</v>
      </c>
      <c r="P3094" t="s">
        <v>75</v>
      </c>
      <c r="U3094" s="9" t="s">
        <v>136</v>
      </c>
      <c r="V3094" t="s">
        <v>1150</v>
      </c>
      <c r="W3094" t="s">
        <v>138</v>
      </c>
      <c r="X3094" t="s">
        <v>102</v>
      </c>
      <c r="Y3094" t="s">
        <v>1819</v>
      </c>
      <c r="Z3094" t="s">
        <v>71</v>
      </c>
      <c r="AB3094" t="str">
        <f t="shared" si="144"/>
        <v>47752</v>
      </c>
    </row>
    <row r="3095" ht="14.25" spans="1:28">
      <c r="A3095" s="5" t="s">
        <v>28</v>
      </c>
      <c r="B3095" s="5" t="s">
        <v>697</v>
      </c>
      <c r="C3095" s="5">
        <v>2027</v>
      </c>
      <c r="D3095" s="5" t="s">
        <v>30</v>
      </c>
      <c r="E3095" t="s">
        <v>1816</v>
      </c>
      <c r="F3095" t="s">
        <v>1817</v>
      </c>
      <c r="G3095" t="s">
        <v>100</v>
      </c>
      <c r="H3095" t="s">
        <v>1818</v>
      </c>
      <c r="I3095" t="s">
        <v>112</v>
      </c>
      <c r="J3095" t="s">
        <v>67</v>
      </c>
      <c r="K3095">
        <v>1190</v>
      </c>
      <c r="O3095" t="s">
        <v>68</v>
      </c>
      <c r="P3095" t="s">
        <v>76</v>
      </c>
      <c r="U3095" s="9" t="s">
        <v>136</v>
      </c>
      <c r="V3095" t="s">
        <v>1150</v>
      </c>
      <c r="W3095" t="s">
        <v>138</v>
      </c>
      <c r="X3095" t="s">
        <v>102</v>
      </c>
      <c r="Y3095" t="s">
        <v>1819</v>
      </c>
      <c r="Z3095" t="s">
        <v>71</v>
      </c>
      <c r="AB3095" t="str">
        <f t="shared" si="144"/>
        <v>47752</v>
      </c>
    </row>
    <row r="3096" ht="14.25" spans="1:28">
      <c r="A3096" s="5" t="s">
        <v>28</v>
      </c>
      <c r="B3096" s="5" t="s">
        <v>697</v>
      </c>
      <c r="C3096" s="5">
        <v>2027</v>
      </c>
      <c r="D3096" s="5" t="s">
        <v>30</v>
      </c>
      <c r="E3096" t="s">
        <v>1816</v>
      </c>
      <c r="F3096" t="s">
        <v>1817</v>
      </c>
      <c r="G3096" t="s">
        <v>100</v>
      </c>
      <c r="H3096" t="s">
        <v>1818</v>
      </c>
      <c r="I3096" t="s">
        <v>112</v>
      </c>
      <c r="J3096" t="s">
        <v>67</v>
      </c>
      <c r="K3096">
        <v>1190</v>
      </c>
      <c r="O3096" t="s">
        <v>68</v>
      </c>
      <c r="P3096" t="s">
        <v>77</v>
      </c>
      <c r="U3096" s="9" t="s">
        <v>136</v>
      </c>
      <c r="V3096" t="s">
        <v>1150</v>
      </c>
      <c r="W3096" t="s">
        <v>138</v>
      </c>
      <c r="X3096" t="s">
        <v>102</v>
      </c>
      <c r="Y3096" t="s">
        <v>1819</v>
      </c>
      <c r="Z3096" t="s">
        <v>71</v>
      </c>
      <c r="AB3096" t="str">
        <f t="shared" si="144"/>
        <v>47752</v>
      </c>
    </row>
    <row r="3097" ht="14.25" spans="1:28">
      <c r="A3097" s="5" t="s">
        <v>28</v>
      </c>
      <c r="B3097" s="5" t="s">
        <v>697</v>
      </c>
      <c r="C3097" s="5">
        <v>2027</v>
      </c>
      <c r="D3097" s="5" t="s">
        <v>30</v>
      </c>
      <c r="E3097" t="s">
        <v>1816</v>
      </c>
      <c r="F3097" t="s">
        <v>1817</v>
      </c>
      <c r="G3097" t="s">
        <v>100</v>
      </c>
      <c r="H3097" t="s">
        <v>1818</v>
      </c>
      <c r="I3097" t="s">
        <v>112</v>
      </c>
      <c r="J3097" t="s">
        <v>67</v>
      </c>
      <c r="K3097">
        <v>1190</v>
      </c>
      <c r="O3097" t="s">
        <v>68</v>
      </c>
      <c r="P3097" t="s">
        <v>78</v>
      </c>
      <c r="U3097" s="9" t="s">
        <v>136</v>
      </c>
      <c r="V3097" t="s">
        <v>1150</v>
      </c>
      <c r="W3097" t="s">
        <v>138</v>
      </c>
      <c r="X3097" t="s">
        <v>102</v>
      </c>
      <c r="Y3097" t="s">
        <v>1819</v>
      </c>
      <c r="Z3097" t="s">
        <v>71</v>
      </c>
      <c r="AB3097" t="str">
        <f t="shared" si="144"/>
        <v>47752</v>
      </c>
    </row>
    <row r="3098" ht="14.25" spans="1:28">
      <c r="A3098" s="5" t="s">
        <v>28</v>
      </c>
      <c r="B3098" s="5" t="s">
        <v>697</v>
      </c>
      <c r="C3098" s="5">
        <v>2027</v>
      </c>
      <c r="D3098" s="5" t="s">
        <v>30</v>
      </c>
      <c r="E3098" t="s">
        <v>1816</v>
      </c>
      <c r="F3098" t="s">
        <v>1817</v>
      </c>
      <c r="G3098" t="s">
        <v>100</v>
      </c>
      <c r="H3098" t="s">
        <v>1818</v>
      </c>
      <c r="I3098" t="s">
        <v>112</v>
      </c>
      <c r="J3098" t="s">
        <v>67</v>
      </c>
      <c r="K3098">
        <v>1190</v>
      </c>
      <c r="O3098" t="s">
        <v>68</v>
      </c>
      <c r="P3098" t="s">
        <v>79</v>
      </c>
      <c r="U3098" s="9" t="s">
        <v>136</v>
      </c>
      <c r="V3098" t="s">
        <v>1150</v>
      </c>
      <c r="W3098" t="s">
        <v>138</v>
      </c>
      <c r="X3098" t="s">
        <v>102</v>
      </c>
      <c r="Y3098" t="s">
        <v>1819</v>
      </c>
      <c r="Z3098" t="s">
        <v>71</v>
      </c>
      <c r="AB3098" t="str">
        <f t="shared" si="144"/>
        <v>47752</v>
      </c>
    </row>
    <row r="3099" ht="14.25" spans="1:28">
      <c r="A3099" s="5" t="s">
        <v>28</v>
      </c>
      <c r="B3099" s="5" t="s">
        <v>697</v>
      </c>
      <c r="C3099" s="5">
        <v>2027</v>
      </c>
      <c r="D3099" s="5" t="s">
        <v>30</v>
      </c>
      <c r="E3099" t="s">
        <v>1820</v>
      </c>
      <c r="F3099" t="s">
        <v>1817</v>
      </c>
      <c r="G3099" t="s">
        <v>1157</v>
      </c>
      <c r="H3099" t="s">
        <v>1821</v>
      </c>
      <c r="I3099" t="s">
        <v>112</v>
      </c>
      <c r="J3099" t="s">
        <v>67</v>
      </c>
      <c r="K3099">
        <v>1190</v>
      </c>
      <c r="O3099" t="s">
        <v>68</v>
      </c>
      <c r="P3099" t="s">
        <v>69</v>
      </c>
      <c r="R3099">
        <f t="shared" si="145"/>
        <v>0</v>
      </c>
      <c r="S3099">
        <f>SUMIFS([1]Sheet1!$T:$T,[1]Sheet1!$I:$I,E3099,[1]Sheet1!$C:$C,A3099)</f>
        <v>0</v>
      </c>
      <c r="T3099">
        <f t="shared" si="146"/>
        <v>0</v>
      </c>
      <c r="U3099" s="9" t="s">
        <v>136</v>
      </c>
      <c r="V3099" t="s">
        <v>1150</v>
      </c>
      <c r="W3099" t="s">
        <v>138</v>
      </c>
      <c r="X3099" t="s">
        <v>70</v>
      </c>
      <c r="Y3099" t="s">
        <v>1819</v>
      </c>
      <c r="Z3099" t="s">
        <v>71</v>
      </c>
      <c r="AB3099" t="str">
        <f t="shared" si="144"/>
        <v>47752</v>
      </c>
    </row>
    <row r="3100" ht="14.25" spans="1:28">
      <c r="A3100" s="5" t="s">
        <v>28</v>
      </c>
      <c r="B3100" s="5" t="s">
        <v>697</v>
      </c>
      <c r="C3100" s="5">
        <v>2027</v>
      </c>
      <c r="D3100" s="5" t="s">
        <v>30</v>
      </c>
      <c r="E3100" t="s">
        <v>1820</v>
      </c>
      <c r="F3100" t="s">
        <v>1817</v>
      </c>
      <c r="G3100" t="s">
        <v>1157</v>
      </c>
      <c r="H3100" t="s">
        <v>1821</v>
      </c>
      <c r="I3100" t="s">
        <v>112</v>
      </c>
      <c r="J3100" t="s">
        <v>67</v>
      </c>
      <c r="K3100">
        <v>1190</v>
      </c>
      <c r="O3100" t="s">
        <v>68</v>
      </c>
      <c r="P3100" t="s">
        <v>72</v>
      </c>
      <c r="U3100" s="9" t="s">
        <v>136</v>
      </c>
      <c r="V3100" t="s">
        <v>1150</v>
      </c>
      <c r="W3100" t="s">
        <v>138</v>
      </c>
      <c r="X3100" t="s">
        <v>70</v>
      </c>
      <c r="Y3100" t="s">
        <v>1819</v>
      </c>
      <c r="Z3100" t="s">
        <v>71</v>
      </c>
      <c r="AB3100" t="str">
        <f t="shared" si="144"/>
        <v>47752</v>
      </c>
    </row>
    <row r="3101" ht="14.25" spans="1:28">
      <c r="A3101" s="5" t="s">
        <v>28</v>
      </c>
      <c r="B3101" s="5" t="s">
        <v>697</v>
      </c>
      <c r="C3101" s="5">
        <v>2027</v>
      </c>
      <c r="D3101" s="5" t="s">
        <v>30</v>
      </c>
      <c r="E3101" t="s">
        <v>1820</v>
      </c>
      <c r="F3101" t="s">
        <v>1817</v>
      </c>
      <c r="G3101" t="s">
        <v>1157</v>
      </c>
      <c r="H3101" t="s">
        <v>1821</v>
      </c>
      <c r="I3101" t="s">
        <v>112</v>
      </c>
      <c r="J3101" t="s">
        <v>67</v>
      </c>
      <c r="K3101">
        <v>1190</v>
      </c>
      <c r="O3101" t="s">
        <v>68</v>
      </c>
      <c r="P3101" t="s">
        <v>73</v>
      </c>
      <c r="U3101" s="9" t="s">
        <v>136</v>
      </c>
      <c r="V3101" t="s">
        <v>1150</v>
      </c>
      <c r="W3101" t="s">
        <v>138</v>
      </c>
      <c r="X3101" t="s">
        <v>70</v>
      </c>
      <c r="Y3101" t="s">
        <v>1819</v>
      </c>
      <c r="Z3101" t="s">
        <v>71</v>
      </c>
      <c r="AB3101" t="str">
        <f t="shared" si="144"/>
        <v>47752</v>
      </c>
    </row>
    <row r="3102" ht="14.25" spans="1:28">
      <c r="A3102" s="5" t="s">
        <v>28</v>
      </c>
      <c r="B3102" s="5" t="s">
        <v>697</v>
      </c>
      <c r="C3102" s="5">
        <v>2027</v>
      </c>
      <c r="D3102" s="5" t="s">
        <v>30</v>
      </c>
      <c r="E3102" t="s">
        <v>1820</v>
      </c>
      <c r="F3102" t="s">
        <v>1817</v>
      </c>
      <c r="G3102" t="s">
        <v>1157</v>
      </c>
      <c r="H3102" t="s">
        <v>1821</v>
      </c>
      <c r="I3102" t="s">
        <v>112</v>
      </c>
      <c r="J3102" t="s">
        <v>67</v>
      </c>
      <c r="K3102">
        <v>1190</v>
      </c>
      <c r="O3102" t="s">
        <v>68</v>
      </c>
      <c r="P3102" t="s">
        <v>74</v>
      </c>
      <c r="U3102" s="9" t="s">
        <v>136</v>
      </c>
      <c r="V3102" t="s">
        <v>1150</v>
      </c>
      <c r="W3102" t="s">
        <v>138</v>
      </c>
      <c r="X3102" t="s">
        <v>70</v>
      </c>
      <c r="Y3102" t="s">
        <v>1819</v>
      </c>
      <c r="Z3102" t="s">
        <v>71</v>
      </c>
      <c r="AB3102" t="str">
        <f t="shared" si="144"/>
        <v>47752</v>
      </c>
    </row>
    <row r="3103" ht="14.25" spans="1:28">
      <c r="A3103" s="5" t="s">
        <v>28</v>
      </c>
      <c r="B3103" s="5" t="s">
        <v>697</v>
      </c>
      <c r="C3103" s="5">
        <v>2027</v>
      </c>
      <c r="D3103" s="5" t="s">
        <v>30</v>
      </c>
      <c r="E3103" t="s">
        <v>1820</v>
      </c>
      <c r="F3103" t="s">
        <v>1817</v>
      </c>
      <c r="G3103" t="s">
        <v>1157</v>
      </c>
      <c r="H3103" t="s">
        <v>1821</v>
      </c>
      <c r="I3103" t="s">
        <v>112</v>
      </c>
      <c r="J3103" t="s">
        <v>67</v>
      </c>
      <c r="K3103">
        <v>1190</v>
      </c>
      <c r="O3103" t="s">
        <v>68</v>
      </c>
      <c r="P3103" t="s">
        <v>75</v>
      </c>
      <c r="U3103" s="9" t="s">
        <v>136</v>
      </c>
      <c r="V3103" t="s">
        <v>1150</v>
      </c>
      <c r="W3103" t="s">
        <v>138</v>
      </c>
      <c r="X3103" t="s">
        <v>70</v>
      </c>
      <c r="Y3103" t="s">
        <v>1819</v>
      </c>
      <c r="Z3103" t="s">
        <v>71</v>
      </c>
      <c r="AB3103" t="str">
        <f t="shared" si="144"/>
        <v>47752</v>
      </c>
    </row>
    <row r="3104" ht="14.25" spans="1:28">
      <c r="A3104" s="5" t="s">
        <v>28</v>
      </c>
      <c r="B3104" s="5" t="s">
        <v>697</v>
      </c>
      <c r="C3104" s="5">
        <v>2027</v>
      </c>
      <c r="D3104" s="5" t="s">
        <v>30</v>
      </c>
      <c r="E3104" t="s">
        <v>1820</v>
      </c>
      <c r="F3104" t="s">
        <v>1817</v>
      </c>
      <c r="G3104" t="s">
        <v>1157</v>
      </c>
      <c r="H3104" t="s">
        <v>1821</v>
      </c>
      <c r="I3104" t="s">
        <v>112</v>
      </c>
      <c r="J3104" t="s">
        <v>67</v>
      </c>
      <c r="K3104">
        <v>1190</v>
      </c>
      <c r="O3104" t="s">
        <v>68</v>
      </c>
      <c r="P3104" t="s">
        <v>76</v>
      </c>
      <c r="U3104" s="9" t="s">
        <v>136</v>
      </c>
      <c r="V3104" t="s">
        <v>1150</v>
      </c>
      <c r="W3104" t="s">
        <v>138</v>
      </c>
      <c r="X3104" t="s">
        <v>70</v>
      </c>
      <c r="Y3104" t="s">
        <v>1819</v>
      </c>
      <c r="Z3104" t="s">
        <v>71</v>
      </c>
      <c r="AB3104" t="str">
        <f t="shared" si="144"/>
        <v>47752</v>
      </c>
    </row>
    <row r="3105" ht="14.25" spans="1:28">
      <c r="A3105" s="5" t="s">
        <v>28</v>
      </c>
      <c r="B3105" s="5" t="s">
        <v>697</v>
      </c>
      <c r="C3105" s="5">
        <v>2027</v>
      </c>
      <c r="D3105" s="5" t="s">
        <v>30</v>
      </c>
      <c r="E3105" t="s">
        <v>1820</v>
      </c>
      <c r="F3105" t="s">
        <v>1817</v>
      </c>
      <c r="G3105" t="s">
        <v>1157</v>
      </c>
      <c r="H3105" t="s">
        <v>1821</v>
      </c>
      <c r="I3105" t="s">
        <v>112</v>
      </c>
      <c r="J3105" t="s">
        <v>67</v>
      </c>
      <c r="K3105">
        <v>1190</v>
      </c>
      <c r="O3105" t="s">
        <v>68</v>
      </c>
      <c r="P3105" t="s">
        <v>77</v>
      </c>
      <c r="U3105" s="9" t="s">
        <v>136</v>
      </c>
      <c r="V3105" t="s">
        <v>1150</v>
      </c>
      <c r="W3105" t="s">
        <v>138</v>
      </c>
      <c r="X3105" t="s">
        <v>70</v>
      </c>
      <c r="Y3105" t="s">
        <v>1819</v>
      </c>
      <c r="Z3105" t="s">
        <v>71</v>
      </c>
      <c r="AB3105" t="str">
        <f t="shared" si="144"/>
        <v>47752</v>
      </c>
    </row>
    <row r="3106" ht="14.25" spans="1:28">
      <c r="A3106" s="5" t="s">
        <v>28</v>
      </c>
      <c r="B3106" s="5" t="s">
        <v>697</v>
      </c>
      <c r="C3106" s="5">
        <v>2027</v>
      </c>
      <c r="D3106" s="5" t="s">
        <v>30</v>
      </c>
      <c r="E3106" t="s">
        <v>1820</v>
      </c>
      <c r="F3106" t="s">
        <v>1817</v>
      </c>
      <c r="G3106" t="s">
        <v>1157</v>
      </c>
      <c r="H3106" t="s">
        <v>1821</v>
      </c>
      <c r="I3106" t="s">
        <v>112</v>
      </c>
      <c r="J3106" t="s">
        <v>67</v>
      </c>
      <c r="K3106">
        <v>1190</v>
      </c>
      <c r="O3106" t="s">
        <v>68</v>
      </c>
      <c r="P3106" t="s">
        <v>78</v>
      </c>
      <c r="U3106" s="9" t="s">
        <v>136</v>
      </c>
      <c r="V3106" t="s">
        <v>1150</v>
      </c>
      <c r="W3106" t="s">
        <v>138</v>
      </c>
      <c r="X3106" t="s">
        <v>70</v>
      </c>
      <c r="Y3106" t="s">
        <v>1819</v>
      </c>
      <c r="Z3106" t="s">
        <v>71</v>
      </c>
      <c r="AB3106" t="str">
        <f t="shared" si="144"/>
        <v>47752</v>
      </c>
    </row>
    <row r="3107" ht="14.25" spans="1:28">
      <c r="A3107" s="5" t="s">
        <v>28</v>
      </c>
      <c r="B3107" s="5" t="s">
        <v>697</v>
      </c>
      <c r="C3107" s="5">
        <v>2027</v>
      </c>
      <c r="D3107" s="5" t="s">
        <v>30</v>
      </c>
      <c r="E3107" t="s">
        <v>1820</v>
      </c>
      <c r="F3107" t="s">
        <v>1817</v>
      </c>
      <c r="G3107" t="s">
        <v>1157</v>
      </c>
      <c r="H3107" t="s">
        <v>1821</v>
      </c>
      <c r="I3107" t="s">
        <v>112</v>
      </c>
      <c r="J3107" t="s">
        <v>67</v>
      </c>
      <c r="K3107">
        <v>1190</v>
      </c>
      <c r="O3107" t="s">
        <v>68</v>
      </c>
      <c r="P3107" t="s">
        <v>79</v>
      </c>
      <c r="U3107" s="9" t="s">
        <v>136</v>
      </c>
      <c r="V3107" t="s">
        <v>1150</v>
      </c>
      <c r="W3107" t="s">
        <v>138</v>
      </c>
      <c r="X3107" t="s">
        <v>70</v>
      </c>
      <c r="Y3107" t="s">
        <v>1819</v>
      </c>
      <c r="Z3107" t="s">
        <v>71</v>
      </c>
      <c r="AB3107" t="str">
        <f t="shared" si="144"/>
        <v>47752</v>
      </c>
    </row>
    <row r="3108" ht="14.25" spans="1:28">
      <c r="A3108" s="5" t="s">
        <v>28</v>
      </c>
      <c r="B3108" s="5" t="s">
        <v>697</v>
      </c>
      <c r="C3108" s="5">
        <v>2027</v>
      </c>
      <c r="D3108" s="5" t="s">
        <v>30</v>
      </c>
      <c r="E3108" t="s">
        <v>1822</v>
      </c>
      <c r="F3108" t="s">
        <v>1823</v>
      </c>
      <c r="G3108" t="s">
        <v>221</v>
      </c>
      <c r="H3108" t="s">
        <v>1824</v>
      </c>
      <c r="I3108" t="s">
        <v>119</v>
      </c>
      <c r="J3108" t="s">
        <v>36</v>
      </c>
      <c r="K3108">
        <v>2390</v>
      </c>
      <c r="O3108" t="s">
        <v>37</v>
      </c>
      <c r="P3108" t="s">
        <v>38</v>
      </c>
      <c r="R3108">
        <f t="shared" si="145"/>
        <v>0</v>
      </c>
      <c r="S3108">
        <f>SUMIFS([1]Sheet1!$T:$T,[1]Sheet1!$I:$I,E3108,[1]Sheet1!$C:$C,A3108)</f>
        <v>40</v>
      </c>
      <c r="T3108">
        <f t="shared" si="146"/>
        <v>-40</v>
      </c>
      <c r="U3108" s="9" t="s">
        <v>242</v>
      </c>
      <c r="V3108" t="s">
        <v>242</v>
      </c>
      <c r="W3108" t="s">
        <v>138</v>
      </c>
      <c r="X3108" t="s">
        <v>70</v>
      </c>
      <c r="Y3108" t="s">
        <v>179</v>
      </c>
      <c r="Z3108" t="s">
        <v>104</v>
      </c>
      <c r="AA3108" t="s">
        <v>1825</v>
      </c>
      <c r="AB3108" t="str">
        <f t="shared" si="144"/>
        <v>47753</v>
      </c>
    </row>
    <row r="3109" ht="14.25" spans="1:28">
      <c r="A3109" s="5" t="s">
        <v>28</v>
      </c>
      <c r="B3109" s="5" t="s">
        <v>697</v>
      </c>
      <c r="C3109" s="5">
        <v>2027</v>
      </c>
      <c r="D3109" s="5" t="s">
        <v>30</v>
      </c>
      <c r="E3109" t="s">
        <v>1822</v>
      </c>
      <c r="F3109" t="s">
        <v>1823</v>
      </c>
      <c r="G3109" t="s">
        <v>221</v>
      </c>
      <c r="H3109" t="s">
        <v>1824</v>
      </c>
      <c r="I3109" t="s">
        <v>119</v>
      </c>
      <c r="J3109" t="s">
        <v>36</v>
      </c>
      <c r="K3109">
        <v>2390</v>
      </c>
      <c r="O3109" t="s">
        <v>37</v>
      </c>
      <c r="P3109" t="s">
        <v>42</v>
      </c>
      <c r="U3109" s="9" t="s">
        <v>242</v>
      </c>
      <c r="V3109" t="s">
        <v>242</v>
      </c>
      <c r="W3109" t="s">
        <v>138</v>
      </c>
      <c r="X3109" t="s">
        <v>70</v>
      </c>
      <c r="Y3109" t="s">
        <v>179</v>
      </c>
      <c r="Z3109" t="s">
        <v>104</v>
      </c>
      <c r="AA3109" t="s">
        <v>1825</v>
      </c>
      <c r="AB3109" t="str">
        <f t="shared" si="144"/>
        <v>47753</v>
      </c>
    </row>
    <row r="3110" ht="14.25" spans="1:28">
      <c r="A3110" s="5" t="s">
        <v>28</v>
      </c>
      <c r="B3110" s="5" t="s">
        <v>697</v>
      </c>
      <c r="C3110" s="5">
        <v>2027</v>
      </c>
      <c r="D3110" s="5" t="s">
        <v>30</v>
      </c>
      <c r="E3110" t="s">
        <v>1822</v>
      </c>
      <c r="F3110" t="s">
        <v>1823</v>
      </c>
      <c r="G3110" t="s">
        <v>221</v>
      </c>
      <c r="H3110" t="s">
        <v>1824</v>
      </c>
      <c r="I3110" t="s">
        <v>119</v>
      </c>
      <c r="J3110" t="s">
        <v>36</v>
      </c>
      <c r="K3110">
        <v>2390</v>
      </c>
      <c r="O3110" t="s">
        <v>37</v>
      </c>
      <c r="P3110" t="s">
        <v>43</v>
      </c>
      <c r="U3110" s="9" t="s">
        <v>242</v>
      </c>
      <c r="V3110" t="s">
        <v>242</v>
      </c>
      <c r="W3110" t="s">
        <v>138</v>
      </c>
      <c r="X3110" t="s">
        <v>70</v>
      </c>
      <c r="Y3110" t="s">
        <v>179</v>
      </c>
      <c r="Z3110" t="s">
        <v>104</v>
      </c>
      <c r="AA3110" t="s">
        <v>1825</v>
      </c>
      <c r="AB3110" t="str">
        <f t="shared" si="144"/>
        <v>47753</v>
      </c>
    </row>
    <row r="3111" ht="14.25" spans="1:28">
      <c r="A3111" s="5" t="s">
        <v>28</v>
      </c>
      <c r="B3111" s="5" t="s">
        <v>697</v>
      </c>
      <c r="C3111" s="5">
        <v>2027</v>
      </c>
      <c r="D3111" s="5" t="s">
        <v>30</v>
      </c>
      <c r="E3111" t="s">
        <v>1822</v>
      </c>
      <c r="F3111" t="s">
        <v>1823</v>
      </c>
      <c r="G3111" t="s">
        <v>221</v>
      </c>
      <c r="H3111" t="s">
        <v>1824</v>
      </c>
      <c r="I3111" t="s">
        <v>119</v>
      </c>
      <c r="J3111" t="s">
        <v>36</v>
      </c>
      <c r="K3111">
        <v>2390</v>
      </c>
      <c r="O3111" t="s">
        <v>37</v>
      </c>
      <c r="P3111" t="s">
        <v>44</v>
      </c>
      <c r="U3111" s="9" t="s">
        <v>242</v>
      </c>
      <c r="V3111" t="s">
        <v>242</v>
      </c>
      <c r="W3111" t="s">
        <v>138</v>
      </c>
      <c r="X3111" t="s">
        <v>70</v>
      </c>
      <c r="Y3111" t="s">
        <v>179</v>
      </c>
      <c r="Z3111" t="s">
        <v>104</v>
      </c>
      <c r="AA3111" t="s">
        <v>1825</v>
      </c>
      <c r="AB3111" t="str">
        <f t="shared" si="144"/>
        <v>47753</v>
      </c>
    </row>
    <row r="3112" ht="14.25" spans="1:28">
      <c r="A3112" s="5" t="s">
        <v>28</v>
      </c>
      <c r="B3112" s="5" t="s">
        <v>697</v>
      </c>
      <c r="C3112" s="5">
        <v>2027</v>
      </c>
      <c r="D3112" s="5" t="s">
        <v>30</v>
      </c>
      <c r="E3112" t="s">
        <v>1822</v>
      </c>
      <c r="F3112" t="s">
        <v>1823</v>
      </c>
      <c r="G3112" t="s">
        <v>221</v>
      </c>
      <c r="H3112" t="s">
        <v>1824</v>
      </c>
      <c r="I3112" t="s">
        <v>119</v>
      </c>
      <c r="J3112" t="s">
        <v>36</v>
      </c>
      <c r="K3112">
        <v>2390</v>
      </c>
      <c r="O3112" t="s">
        <v>37</v>
      </c>
      <c r="P3112" t="s">
        <v>45</v>
      </c>
      <c r="U3112" s="9" t="s">
        <v>242</v>
      </c>
      <c r="V3112" t="s">
        <v>242</v>
      </c>
      <c r="W3112" t="s">
        <v>138</v>
      </c>
      <c r="X3112" t="s">
        <v>70</v>
      </c>
      <c r="Y3112" t="s">
        <v>179</v>
      </c>
      <c r="Z3112" t="s">
        <v>104</v>
      </c>
      <c r="AA3112" t="s">
        <v>1825</v>
      </c>
      <c r="AB3112" t="str">
        <f t="shared" si="144"/>
        <v>47753</v>
      </c>
    </row>
    <row r="3113" ht="14.25" spans="1:28">
      <c r="A3113" s="5" t="s">
        <v>28</v>
      </c>
      <c r="B3113" s="5" t="s">
        <v>697</v>
      </c>
      <c r="C3113" s="5">
        <v>2027</v>
      </c>
      <c r="D3113" s="5" t="s">
        <v>30</v>
      </c>
      <c r="E3113" t="s">
        <v>1822</v>
      </c>
      <c r="F3113" t="s">
        <v>1823</v>
      </c>
      <c r="G3113" t="s">
        <v>221</v>
      </c>
      <c r="H3113" t="s">
        <v>1824</v>
      </c>
      <c r="I3113" t="s">
        <v>119</v>
      </c>
      <c r="J3113" t="s">
        <v>36</v>
      </c>
      <c r="K3113">
        <v>2390</v>
      </c>
      <c r="O3113" t="s">
        <v>37</v>
      </c>
      <c r="P3113" t="s">
        <v>46</v>
      </c>
      <c r="U3113" s="9" t="s">
        <v>242</v>
      </c>
      <c r="V3113" t="s">
        <v>242</v>
      </c>
      <c r="W3113" t="s">
        <v>138</v>
      </c>
      <c r="X3113" t="s">
        <v>70</v>
      </c>
      <c r="Y3113" t="s">
        <v>179</v>
      </c>
      <c r="Z3113" t="s">
        <v>104</v>
      </c>
      <c r="AA3113" t="s">
        <v>1825</v>
      </c>
      <c r="AB3113" t="str">
        <f t="shared" si="144"/>
        <v>47753</v>
      </c>
    </row>
    <row r="3114" ht="14.25" spans="1:28">
      <c r="A3114" s="5" t="s">
        <v>28</v>
      </c>
      <c r="B3114" s="5" t="s">
        <v>697</v>
      </c>
      <c r="C3114" s="5">
        <v>2027</v>
      </c>
      <c r="D3114" s="5" t="s">
        <v>30</v>
      </c>
      <c r="E3114" t="s">
        <v>1826</v>
      </c>
      <c r="F3114" t="s">
        <v>1823</v>
      </c>
      <c r="G3114" t="s">
        <v>100</v>
      </c>
      <c r="H3114" t="s">
        <v>1827</v>
      </c>
      <c r="I3114" t="s">
        <v>119</v>
      </c>
      <c r="J3114" t="s">
        <v>36</v>
      </c>
      <c r="K3114">
        <v>2390</v>
      </c>
      <c r="O3114" t="s">
        <v>37</v>
      </c>
      <c r="P3114" t="s">
        <v>38</v>
      </c>
      <c r="R3114">
        <f t="shared" si="145"/>
        <v>0</v>
      </c>
      <c r="S3114">
        <f>SUMIFS([1]Sheet1!$T:$T,[1]Sheet1!$I:$I,E3114,[1]Sheet1!$C:$C,A3114)</f>
        <v>60</v>
      </c>
      <c r="T3114">
        <f t="shared" si="146"/>
        <v>-60</v>
      </c>
      <c r="U3114" s="9" t="s">
        <v>242</v>
      </c>
      <c r="V3114" t="s">
        <v>242</v>
      </c>
      <c r="W3114" t="s">
        <v>138</v>
      </c>
      <c r="X3114" t="s">
        <v>102</v>
      </c>
      <c r="Y3114" t="s">
        <v>179</v>
      </c>
      <c r="Z3114" t="s">
        <v>104</v>
      </c>
      <c r="AA3114" t="s">
        <v>1825</v>
      </c>
      <c r="AB3114" t="str">
        <f t="shared" si="144"/>
        <v>47753</v>
      </c>
    </row>
    <row r="3115" ht="14.25" spans="1:28">
      <c r="A3115" s="5" t="s">
        <v>28</v>
      </c>
      <c r="B3115" s="5" t="s">
        <v>697</v>
      </c>
      <c r="C3115" s="5">
        <v>2027</v>
      </c>
      <c r="D3115" s="5" t="s">
        <v>30</v>
      </c>
      <c r="E3115" t="s">
        <v>1826</v>
      </c>
      <c r="F3115" t="s">
        <v>1823</v>
      </c>
      <c r="G3115" t="s">
        <v>100</v>
      </c>
      <c r="H3115" t="s">
        <v>1827</v>
      </c>
      <c r="I3115" t="s">
        <v>119</v>
      </c>
      <c r="J3115" t="s">
        <v>36</v>
      </c>
      <c r="K3115">
        <v>2390</v>
      </c>
      <c r="O3115" t="s">
        <v>37</v>
      </c>
      <c r="P3115" t="s">
        <v>42</v>
      </c>
      <c r="U3115" s="9" t="s">
        <v>242</v>
      </c>
      <c r="V3115" t="s">
        <v>242</v>
      </c>
      <c r="W3115" t="s">
        <v>138</v>
      </c>
      <c r="X3115" t="s">
        <v>102</v>
      </c>
      <c r="Y3115" t="s">
        <v>179</v>
      </c>
      <c r="Z3115" t="s">
        <v>104</v>
      </c>
      <c r="AA3115" t="s">
        <v>1825</v>
      </c>
      <c r="AB3115" t="str">
        <f t="shared" si="144"/>
        <v>47753</v>
      </c>
    </row>
    <row r="3116" ht="14.25" spans="1:28">
      <c r="A3116" s="5" t="s">
        <v>28</v>
      </c>
      <c r="B3116" s="5" t="s">
        <v>697</v>
      </c>
      <c r="C3116" s="5">
        <v>2027</v>
      </c>
      <c r="D3116" s="5" t="s">
        <v>30</v>
      </c>
      <c r="E3116" t="s">
        <v>1826</v>
      </c>
      <c r="F3116" t="s">
        <v>1823</v>
      </c>
      <c r="G3116" t="s">
        <v>100</v>
      </c>
      <c r="H3116" t="s">
        <v>1827</v>
      </c>
      <c r="I3116" t="s">
        <v>119</v>
      </c>
      <c r="J3116" t="s">
        <v>36</v>
      </c>
      <c r="K3116">
        <v>2390</v>
      </c>
      <c r="O3116" t="s">
        <v>37</v>
      </c>
      <c r="P3116" t="s">
        <v>43</v>
      </c>
      <c r="U3116" s="9" t="s">
        <v>242</v>
      </c>
      <c r="V3116" t="s">
        <v>242</v>
      </c>
      <c r="W3116" t="s">
        <v>138</v>
      </c>
      <c r="X3116" t="s">
        <v>102</v>
      </c>
      <c r="Y3116" t="s">
        <v>179</v>
      </c>
      <c r="Z3116" t="s">
        <v>104</v>
      </c>
      <c r="AA3116" t="s">
        <v>1825</v>
      </c>
      <c r="AB3116" t="str">
        <f t="shared" si="144"/>
        <v>47753</v>
      </c>
    </row>
    <row r="3117" ht="14.25" spans="1:28">
      <c r="A3117" s="5" t="s">
        <v>28</v>
      </c>
      <c r="B3117" s="5" t="s">
        <v>697</v>
      </c>
      <c r="C3117" s="5">
        <v>2027</v>
      </c>
      <c r="D3117" s="5" t="s">
        <v>30</v>
      </c>
      <c r="E3117" t="s">
        <v>1826</v>
      </c>
      <c r="F3117" t="s">
        <v>1823</v>
      </c>
      <c r="G3117" t="s">
        <v>100</v>
      </c>
      <c r="H3117" t="s">
        <v>1827</v>
      </c>
      <c r="I3117" t="s">
        <v>119</v>
      </c>
      <c r="J3117" t="s">
        <v>36</v>
      </c>
      <c r="K3117">
        <v>2390</v>
      </c>
      <c r="O3117" t="s">
        <v>37</v>
      </c>
      <c r="P3117" t="s">
        <v>44</v>
      </c>
      <c r="U3117" s="9" t="s">
        <v>242</v>
      </c>
      <c r="V3117" t="s">
        <v>242</v>
      </c>
      <c r="W3117" t="s">
        <v>138</v>
      </c>
      <c r="X3117" t="s">
        <v>102</v>
      </c>
      <c r="Y3117" t="s">
        <v>179</v>
      </c>
      <c r="Z3117" t="s">
        <v>104</v>
      </c>
      <c r="AA3117" t="s">
        <v>1825</v>
      </c>
      <c r="AB3117" t="str">
        <f t="shared" si="144"/>
        <v>47753</v>
      </c>
    </row>
    <row r="3118" ht="14.25" spans="1:28">
      <c r="A3118" s="5" t="s">
        <v>28</v>
      </c>
      <c r="B3118" s="5" t="s">
        <v>697</v>
      </c>
      <c r="C3118" s="5">
        <v>2027</v>
      </c>
      <c r="D3118" s="5" t="s">
        <v>30</v>
      </c>
      <c r="E3118" t="s">
        <v>1826</v>
      </c>
      <c r="F3118" t="s">
        <v>1823</v>
      </c>
      <c r="G3118" t="s">
        <v>100</v>
      </c>
      <c r="H3118" t="s">
        <v>1827</v>
      </c>
      <c r="I3118" t="s">
        <v>119</v>
      </c>
      <c r="J3118" t="s">
        <v>36</v>
      </c>
      <c r="K3118">
        <v>2390</v>
      </c>
      <c r="O3118" t="s">
        <v>37</v>
      </c>
      <c r="P3118" t="s">
        <v>45</v>
      </c>
      <c r="U3118" s="9" t="s">
        <v>242</v>
      </c>
      <c r="V3118" t="s">
        <v>242</v>
      </c>
      <c r="W3118" t="s">
        <v>138</v>
      </c>
      <c r="X3118" t="s">
        <v>102</v>
      </c>
      <c r="Y3118" t="s">
        <v>179</v>
      </c>
      <c r="Z3118" t="s">
        <v>104</v>
      </c>
      <c r="AA3118" t="s">
        <v>1825</v>
      </c>
      <c r="AB3118" t="str">
        <f t="shared" si="144"/>
        <v>47753</v>
      </c>
    </row>
    <row r="3119" ht="14.25" spans="1:28">
      <c r="A3119" s="5" t="s">
        <v>28</v>
      </c>
      <c r="B3119" s="5" t="s">
        <v>697</v>
      </c>
      <c r="C3119" s="5">
        <v>2027</v>
      </c>
      <c r="D3119" s="5" t="s">
        <v>30</v>
      </c>
      <c r="E3119" t="s">
        <v>1826</v>
      </c>
      <c r="F3119" t="s">
        <v>1823</v>
      </c>
      <c r="G3119" t="s">
        <v>100</v>
      </c>
      <c r="H3119" t="s">
        <v>1827</v>
      </c>
      <c r="I3119" t="s">
        <v>119</v>
      </c>
      <c r="J3119" t="s">
        <v>36</v>
      </c>
      <c r="K3119">
        <v>2390</v>
      </c>
      <c r="O3119" t="s">
        <v>37</v>
      </c>
      <c r="P3119" t="s">
        <v>46</v>
      </c>
      <c r="U3119" s="9" t="s">
        <v>242</v>
      </c>
      <c r="V3119" t="s">
        <v>242</v>
      </c>
      <c r="W3119" t="s">
        <v>138</v>
      </c>
      <c r="X3119" t="s">
        <v>102</v>
      </c>
      <c r="Y3119" t="s">
        <v>179</v>
      </c>
      <c r="Z3119" t="s">
        <v>104</v>
      </c>
      <c r="AA3119" t="s">
        <v>1825</v>
      </c>
      <c r="AB3119" t="str">
        <f t="shared" si="144"/>
        <v>47753</v>
      </c>
    </row>
    <row r="3120" ht="14.25" spans="1:28">
      <c r="A3120" s="5" t="s">
        <v>28</v>
      </c>
      <c r="B3120" s="5" t="s">
        <v>697</v>
      </c>
      <c r="C3120" s="5">
        <v>2027</v>
      </c>
      <c r="D3120" s="5" t="s">
        <v>30</v>
      </c>
      <c r="E3120" t="s">
        <v>1828</v>
      </c>
      <c r="F3120" t="s">
        <v>1829</v>
      </c>
      <c r="G3120" t="s">
        <v>1830</v>
      </c>
      <c r="H3120" t="s">
        <v>1831</v>
      </c>
      <c r="I3120" t="s">
        <v>119</v>
      </c>
      <c r="J3120" t="s">
        <v>36</v>
      </c>
      <c r="K3120">
        <v>298</v>
      </c>
      <c r="O3120" t="s">
        <v>113</v>
      </c>
      <c r="P3120" t="s">
        <v>113</v>
      </c>
      <c r="Q3120">
        <v>50</v>
      </c>
      <c r="R3120">
        <f t="shared" si="145"/>
        <v>50</v>
      </c>
      <c r="S3120">
        <f>SUMIFS([1]Sheet1!$T:$T,[1]Sheet1!$I:$I,E3120,[1]Sheet1!$C:$C,A3120)</f>
        <v>50</v>
      </c>
      <c r="T3120">
        <f t="shared" si="146"/>
        <v>0</v>
      </c>
      <c r="U3120" s="9" t="s">
        <v>706</v>
      </c>
      <c r="V3120" t="s">
        <v>707</v>
      </c>
      <c r="W3120" t="s">
        <v>138</v>
      </c>
      <c r="X3120" t="s">
        <v>122</v>
      </c>
      <c r="Y3120" t="s">
        <v>179</v>
      </c>
      <c r="Z3120" t="s">
        <v>113</v>
      </c>
      <c r="AB3120" t="str">
        <f t="shared" si="144"/>
        <v>01607</v>
      </c>
    </row>
    <row r="3121" ht="14.25" spans="1:28">
      <c r="A3121" s="5" t="s">
        <v>28</v>
      </c>
      <c r="B3121" s="5" t="s">
        <v>697</v>
      </c>
      <c r="C3121" s="5">
        <v>2027</v>
      </c>
      <c r="D3121" s="5" t="s">
        <v>30</v>
      </c>
      <c r="E3121" t="s">
        <v>1832</v>
      </c>
      <c r="F3121" t="s">
        <v>1829</v>
      </c>
      <c r="G3121" t="s">
        <v>125</v>
      </c>
      <c r="H3121" t="s">
        <v>1833</v>
      </c>
      <c r="I3121" t="s">
        <v>119</v>
      </c>
      <c r="J3121" t="s">
        <v>36</v>
      </c>
      <c r="K3121">
        <v>298</v>
      </c>
      <c r="O3121" t="s">
        <v>113</v>
      </c>
      <c r="P3121" t="s">
        <v>113</v>
      </c>
      <c r="R3121">
        <f t="shared" si="145"/>
        <v>0</v>
      </c>
      <c r="S3121">
        <f>SUMIFS([1]Sheet1!$T:$T,[1]Sheet1!$I:$I,E3121,[1]Sheet1!$C:$C,A3121)</f>
        <v>50</v>
      </c>
      <c r="T3121">
        <f t="shared" si="146"/>
        <v>-50</v>
      </c>
      <c r="U3121" s="9" t="s">
        <v>706</v>
      </c>
      <c r="V3121" t="s">
        <v>707</v>
      </c>
      <c r="W3121" t="s">
        <v>138</v>
      </c>
      <c r="X3121" t="s">
        <v>62</v>
      </c>
      <c r="Y3121" t="s">
        <v>179</v>
      </c>
      <c r="Z3121" t="s">
        <v>113</v>
      </c>
      <c r="AB3121" t="str">
        <f t="shared" si="144"/>
        <v>01610</v>
      </c>
    </row>
    <row r="3122" ht="14.25" spans="1:28">
      <c r="A3122" s="5" t="s">
        <v>28</v>
      </c>
      <c r="B3122" s="5" t="s">
        <v>697</v>
      </c>
      <c r="C3122" s="5">
        <v>2027</v>
      </c>
      <c r="D3122" s="5" t="s">
        <v>30</v>
      </c>
      <c r="E3122" t="s">
        <v>1834</v>
      </c>
      <c r="F3122" t="s">
        <v>1829</v>
      </c>
      <c r="G3122" t="s">
        <v>1835</v>
      </c>
      <c r="H3122" t="s">
        <v>1836</v>
      </c>
      <c r="I3122" t="s">
        <v>119</v>
      </c>
      <c r="J3122" t="s">
        <v>36</v>
      </c>
      <c r="K3122">
        <v>298</v>
      </c>
      <c r="O3122" t="s">
        <v>113</v>
      </c>
      <c r="P3122" t="s">
        <v>113</v>
      </c>
      <c r="R3122">
        <f t="shared" si="145"/>
        <v>0</v>
      </c>
      <c r="S3122">
        <f>SUMIFS([1]Sheet1!$T:$T,[1]Sheet1!$I:$I,E3122,[1]Sheet1!$C:$C,A3122)</f>
        <v>50</v>
      </c>
      <c r="T3122">
        <f t="shared" si="146"/>
        <v>-50</v>
      </c>
      <c r="U3122" s="9" t="s">
        <v>706</v>
      </c>
      <c r="V3122" t="s">
        <v>707</v>
      </c>
      <c r="W3122" t="s">
        <v>138</v>
      </c>
      <c r="X3122" t="s">
        <v>102</v>
      </c>
      <c r="Y3122" t="s">
        <v>179</v>
      </c>
      <c r="Z3122" t="s">
        <v>113</v>
      </c>
      <c r="AB3122" t="str">
        <f t="shared" si="144"/>
        <v>01641</v>
      </c>
    </row>
    <row r="3123" ht="14.25" spans="1:28">
      <c r="A3123" s="5" t="s">
        <v>28</v>
      </c>
      <c r="B3123" s="5" t="s">
        <v>697</v>
      </c>
      <c r="C3123" s="5">
        <v>2027</v>
      </c>
      <c r="D3123" s="5" t="s">
        <v>30</v>
      </c>
      <c r="E3123" t="s">
        <v>1837</v>
      </c>
      <c r="F3123" t="s">
        <v>699</v>
      </c>
      <c r="G3123" t="s">
        <v>729</v>
      </c>
      <c r="H3123" t="s">
        <v>1838</v>
      </c>
      <c r="I3123" t="s">
        <v>119</v>
      </c>
      <c r="J3123" t="s">
        <v>36</v>
      </c>
      <c r="K3123">
        <v>138</v>
      </c>
      <c r="O3123" t="s">
        <v>113</v>
      </c>
      <c r="P3123" t="s">
        <v>113</v>
      </c>
      <c r="R3123">
        <f t="shared" si="145"/>
        <v>0</v>
      </c>
      <c r="S3123">
        <f>SUMIFS([1]Sheet1!$T:$T,[1]Sheet1!$I:$I,E3123,[1]Sheet1!$C:$C,A3123)</f>
        <v>50</v>
      </c>
      <c r="T3123">
        <f t="shared" si="146"/>
        <v>-50</v>
      </c>
      <c r="U3123" s="9" t="s">
        <v>706</v>
      </c>
      <c r="V3123" t="s">
        <v>707</v>
      </c>
      <c r="W3123" t="s">
        <v>178</v>
      </c>
      <c r="Y3123" t="s">
        <v>179</v>
      </c>
      <c r="Z3123" t="s">
        <v>113</v>
      </c>
      <c r="AB3123" t="str">
        <f t="shared" ref="AB3123:AB3186" si="147">MID(E3123,6,5)</f>
        <v>03F09</v>
      </c>
    </row>
    <row r="3124" ht="14.25" spans="1:28">
      <c r="A3124" s="5" t="s">
        <v>28</v>
      </c>
      <c r="B3124" s="5" t="s">
        <v>697</v>
      </c>
      <c r="C3124" s="5">
        <v>2027</v>
      </c>
      <c r="D3124" s="5" t="s">
        <v>30</v>
      </c>
      <c r="E3124" t="s">
        <v>1839</v>
      </c>
      <c r="F3124" t="s">
        <v>699</v>
      </c>
      <c r="G3124" t="s">
        <v>735</v>
      </c>
      <c r="H3124" t="s">
        <v>1840</v>
      </c>
      <c r="I3124" t="s">
        <v>119</v>
      </c>
      <c r="J3124" t="s">
        <v>36</v>
      </c>
      <c r="K3124">
        <v>138</v>
      </c>
      <c r="O3124" t="s">
        <v>113</v>
      </c>
      <c r="P3124" t="s">
        <v>113</v>
      </c>
      <c r="R3124">
        <f t="shared" si="145"/>
        <v>0</v>
      </c>
      <c r="S3124">
        <f>SUMIFS([1]Sheet1!$T:$T,[1]Sheet1!$I:$I,E3124,[1]Sheet1!$C:$C,A3124)</f>
        <v>50</v>
      </c>
      <c r="T3124">
        <f t="shared" si="146"/>
        <v>-50</v>
      </c>
      <c r="U3124" s="9" t="s">
        <v>706</v>
      </c>
      <c r="V3124" t="s">
        <v>707</v>
      </c>
      <c r="W3124" t="s">
        <v>178</v>
      </c>
      <c r="Y3124" t="s">
        <v>179</v>
      </c>
      <c r="Z3124" t="s">
        <v>113</v>
      </c>
      <c r="AB3124" t="str">
        <f t="shared" si="147"/>
        <v>03F09</v>
      </c>
    </row>
    <row r="3125" ht="14.25" spans="1:28">
      <c r="A3125" s="5" t="s">
        <v>28</v>
      </c>
      <c r="B3125" s="5" t="s">
        <v>697</v>
      </c>
      <c r="C3125" s="5">
        <v>2027</v>
      </c>
      <c r="D3125" s="5" t="s">
        <v>30</v>
      </c>
      <c r="E3125" t="s">
        <v>1841</v>
      </c>
      <c r="F3125" t="s">
        <v>1842</v>
      </c>
      <c r="G3125" t="s">
        <v>704</v>
      </c>
      <c r="I3125" t="s">
        <v>147</v>
      </c>
      <c r="J3125" t="s">
        <v>36</v>
      </c>
      <c r="K3125">
        <v>490</v>
      </c>
      <c r="O3125" t="s">
        <v>37</v>
      </c>
      <c r="P3125" t="s">
        <v>42</v>
      </c>
      <c r="R3125">
        <f t="shared" si="145"/>
        <v>0</v>
      </c>
      <c r="S3125">
        <f>SUMIFS([1]Sheet1!$T:$T,[1]Sheet1!$I:$I,E3125,[1]Sheet1!$C:$C,A3125)</f>
        <v>80</v>
      </c>
      <c r="T3125">
        <f t="shared" si="146"/>
        <v>-80</v>
      </c>
      <c r="U3125" s="9" t="s">
        <v>706</v>
      </c>
      <c r="V3125" t="s">
        <v>1843</v>
      </c>
      <c r="W3125" t="s">
        <v>138</v>
      </c>
      <c r="Y3125" t="s">
        <v>179</v>
      </c>
      <c r="Z3125" t="s">
        <v>113</v>
      </c>
      <c r="AB3125" t="str">
        <f t="shared" si="147"/>
        <v>03755</v>
      </c>
    </row>
    <row r="3126" ht="14.25" spans="1:28">
      <c r="A3126" s="5" t="s">
        <v>28</v>
      </c>
      <c r="B3126" s="5" t="s">
        <v>697</v>
      </c>
      <c r="C3126" s="5">
        <v>2027</v>
      </c>
      <c r="D3126" s="5" t="s">
        <v>30</v>
      </c>
      <c r="E3126" t="s">
        <v>1841</v>
      </c>
      <c r="F3126" t="s">
        <v>1842</v>
      </c>
      <c r="G3126" t="s">
        <v>704</v>
      </c>
      <c r="I3126" t="s">
        <v>147</v>
      </c>
      <c r="J3126" t="s">
        <v>36</v>
      </c>
      <c r="K3126">
        <v>490</v>
      </c>
      <c r="O3126" t="s">
        <v>37</v>
      </c>
      <c r="P3126" t="s">
        <v>43</v>
      </c>
      <c r="U3126" s="9" t="s">
        <v>706</v>
      </c>
      <c r="V3126" t="s">
        <v>1843</v>
      </c>
      <c r="W3126" t="s">
        <v>138</v>
      </c>
      <c r="Y3126" t="s">
        <v>179</v>
      </c>
      <c r="Z3126" t="s">
        <v>113</v>
      </c>
      <c r="AB3126" t="str">
        <f t="shared" si="147"/>
        <v>03755</v>
      </c>
    </row>
    <row r="3127" ht="14.25" spans="1:28">
      <c r="A3127" s="5" t="s">
        <v>28</v>
      </c>
      <c r="B3127" s="5" t="s">
        <v>697</v>
      </c>
      <c r="C3127" s="5">
        <v>2027</v>
      </c>
      <c r="D3127" s="5" t="s">
        <v>30</v>
      </c>
      <c r="E3127" t="s">
        <v>1841</v>
      </c>
      <c r="F3127" t="s">
        <v>1842</v>
      </c>
      <c r="G3127" t="s">
        <v>704</v>
      </c>
      <c r="I3127" t="s">
        <v>147</v>
      </c>
      <c r="J3127" t="s">
        <v>36</v>
      </c>
      <c r="K3127">
        <v>490</v>
      </c>
      <c r="O3127" t="s">
        <v>37</v>
      </c>
      <c r="P3127" t="s">
        <v>44</v>
      </c>
      <c r="U3127" s="9" t="s">
        <v>706</v>
      </c>
      <c r="V3127" t="s">
        <v>1843</v>
      </c>
      <c r="W3127" t="s">
        <v>138</v>
      </c>
      <c r="Y3127" t="s">
        <v>179</v>
      </c>
      <c r="Z3127" t="s">
        <v>113</v>
      </c>
      <c r="AB3127" t="str">
        <f t="shared" si="147"/>
        <v>03755</v>
      </c>
    </row>
    <row r="3128" ht="14.25" spans="1:28">
      <c r="A3128" s="5" t="s">
        <v>28</v>
      </c>
      <c r="B3128" s="5" t="s">
        <v>697</v>
      </c>
      <c r="C3128" s="5">
        <v>2027</v>
      </c>
      <c r="D3128" s="5" t="s">
        <v>30</v>
      </c>
      <c r="E3128" t="s">
        <v>1841</v>
      </c>
      <c r="F3128" t="s">
        <v>1842</v>
      </c>
      <c r="G3128" t="s">
        <v>704</v>
      </c>
      <c r="I3128" t="s">
        <v>147</v>
      </c>
      <c r="J3128" t="s">
        <v>36</v>
      </c>
      <c r="K3128">
        <v>490</v>
      </c>
      <c r="O3128" t="s">
        <v>37</v>
      </c>
      <c r="P3128" t="s">
        <v>45</v>
      </c>
      <c r="U3128" s="9" t="s">
        <v>706</v>
      </c>
      <c r="V3128" t="s">
        <v>1843</v>
      </c>
      <c r="W3128" t="s">
        <v>138</v>
      </c>
      <c r="Y3128" t="s">
        <v>179</v>
      </c>
      <c r="Z3128" t="s">
        <v>113</v>
      </c>
      <c r="AB3128" t="str">
        <f t="shared" si="147"/>
        <v>03755</v>
      </c>
    </row>
    <row r="3129" ht="14.25" spans="1:28">
      <c r="A3129" s="5" t="s">
        <v>28</v>
      </c>
      <c r="B3129" s="5" t="s">
        <v>697</v>
      </c>
      <c r="C3129" s="5">
        <v>2027</v>
      </c>
      <c r="D3129" s="5" t="s">
        <v>30</v>
      </c>
      <c r="E3129" t="s">
        <v>1841</v>
      </c>
      <c r="F3129" t="s">
        <v>1842</v>
      </c>
      <c r="G3129" t="s">
        <v>704</v>
      </c>
      <c r="I3129" t="s">
        <v>147</v>
      </c>
      <c r="J3129" t="s">
        <v>36</v>
      </c>
      <c r="K3129">
        <v>490</v>
      </c>
      <c r="O3129" t="s">
        <v>37</v>
      </c>
      <c r="P3129" t="s">
        <v>46</v>
      </c>
      <c r="U3129" s="9" t="s">
        <v>706</v>
      </c>
      <c r="V3129" t="s">
        <v>1843</v>
      </c>
      <c r="W3129" t="s">
        <v>138</v>
      </c>
      <c r="Y3129" t="s">
        <v>179</v>
      </c>
      <c r="Z3129" t="s">
        <v>113</v>
      </c>
      <c r="AB3129" t="str">
        <f t="shared" si="147"/>
        <v>03755</v>
      </c>
    </row>
    <row r="3130" ht="14.25" spans="1:28">
      <c r="A3130" s="5" t="s">
        <v>28</v>
      </c>
      <c r="B3130" s="5" t="s">
        <v>697</v>
      </c>
      <c r="C3130" s="5">
        <v>2027</v>
      </c>
      <c r="D3130" s="5" t="s">
        <v>30</v>
      </c>
      <c r="E3130" t="s">
        <v>1844</v>
      </c>
      <c r="F3130" t="s">
        <v>1842</v>
      </c>
      <c r="G3130" t="s">
        <v>1845</v>
      </c>
      <c r="I3130" t="s">
        <v>147</v>
      </c>
      <c r="J3130" t="s">
        <v>36</v>
      </c>
      <c r="K3130">
        <v>490</v>
      </c>
      <c r="O3130" t="s">
        <v>37</v>
      </c>
      <c r="P3130" t="s">
        <v>42</v>
      </c>
      <c r="R3130">
        <f t="shared" si="145"/>
        <v>0</v>
      </c>
      <c r="S3130">
        <f>SUMIFS([1]Sheet1!$T:$T,[1]Sheet1!$I:$I,E3130,[1]Sheet1!$C:$C,A3130)</f>
        <v>80</v>
      </c>
      <c r="T3130">
        <f t="shared" si="146"/>
        <v>-80</v>
      </c>
      <c r="U3130" s="9" t="s">
        <v>706</v>
      </c>
      <c r="V3130" t="s">
        <v>1843</v>
      </c>
      <c r="W3130" t="s">
        <v>138</v>
      </c>
      <c r="Y3130" t="s">
        <v>179</v>
      </c>
      <c r="Z3130" t="s">
        <v>113</v>
      </c>
      <c r="AB3130" t="str">
        <f t="shared" si="147"/>
        <v>03755</v>
      </c>
    </row>
    <row r="3131" ht="14.25" spans="1:28">
      <c r="A3131" s="5" t="s">
        <v>28</v>
      </c>
      <c r="B3131" s="5" t="s">
        <v>697</v>
      </c>
      <c r="C3131" s="5">
        <v>2027</v>
      </c>
      <c r="D3131" s="5" t="s">
        <v>30</v>
      </c>
      <c r="E3131" t="s">
        <v>1844</v>
      </c>
      <c r="F3131" t="s">
        <v>1842</v>
      </c>
      <c r="G3131" t="s">
        <v>1845</v>
      </c>
      <c r="I3131" t="s">
        <v>147</v>
      </c>
      <c r="J3131" t="s">
        <v>36</v>
      </c>
      <c r="K3131">
        <v>490</v>
      </c>
      <c r="O3131" t="s">
        <v>37</v>
      </c>
      <c r="P3131" t="s">
        <v>43</v>
      </c>
      <c r="U3131" s="9" t="s">
        <v>706</v>
      </c>
      <c r="V3131" t="s">
        <v>1843</v>
      </c>
      <c r="W3131" t="s">
        <v>138</v>
      </c>
      <c r="Y3131" t="s">
        <v>179</v>
      </c>
      <c r="Z3131" t="s">
        <v>113</v>
      </c>
      <c r="AB3131" t="str">
        <f t="shared" si="147"/>
        <v>03755</v>
      </c>
    </row>
    <row r="3132" ht="14.25" spans="1:28">
      <c r="A3132" s="5" t="s">
        <v>28</v>
      </c>
      <c r="B3132" s="5" t="s">
        <v>697</v>
      </c>
      <c r="C3132" s="5">
        <v>2027</v>
      </c>
      <c r="D3132" s="5" t="s">
        <v>30</v>
      </c>
      <c r="E3132" t="s">
        <v>1844</v>
      </c>
      <c r="F3132" t="s">
        <v>1842</v>
      </c>
      <c r="G3132" t="s">
        <v>1845</v>
      </c>
      <c r="I3132" t="s">
        <v>147</v>
      </c>
      <c r="J3132" t="s">
        <v>36</v>
      </c>
      <c r="K3132">
        <v>490</v>
      </c>
      <c r="O3132" t="s">
        <v>37</v>
      </c>
      <c r="P3132" t="s">
        <v>44</v>
      </c>
      <c r="U3132" s="9" t="s">
        <v>706</v>
      </c>
      <c r="V3132" t="s">
        <v>1843</v>
      </c>
      <c r="W3132" t="s">
        <v>138</v>
      </c>
      <c r="Y3132" t="s">
        <v>179</v>
      </c>
      <c r="Z3132" t="s">
        <v>113</v>
      </c>
      <c r="AB3132" t="str">
        <f t="shared" si="147"/>
        <v>03755</v>
      </c>
    </row>
    <row r="3133" ht="14.25" spans="1:28">
      <c r="A3133" s="5" t="s">
        <v>28</v>
      </c>
      <c r="B3133" s="5" t="s">
        <v>697</v>
      </c>
      <c r="C3133" s="5">
        <v>2027</v>
      </c>
      <c r="D3133" s="5" t="s">
        <v>30</v>
      </c>
      <c r="E3133" t="s">
        <v>1844</v>
      </c>
      <c r="F3133" t="s">
        <v>1842</v>
      </c>
      <c r="G3133" t="s">
        <v>1845</v>
      </c>
      <c r="I3133" t="s">
        <v>147</v>
      </c>
      <c r="J3133" t="s">
        <v>36</v>
      </c>
      <c r="K3133">
        <v>490</v>
      </c>
      <c r="O3133" t="s">
        <v>37</v>
      </c>
      <c r="P3133" t="s">
        <v>45</v>
      </c>
      <c r="U3133" s="9" t="s">
        <v>706</v>
      </c>
      <c r="V3133" t="s">
        <v>1843</v>
      </c>
      <c r="W3133" t="s">
        <v>138</v>
      </c>
      <c r="Y3133" t="s">
        <v>179</v>
      </c>
      <c r="Z3133" t="s">
        <v>113</v>
      </c>
      <c r="AB3133" t="str">
        <f t="shared" si="147"/>
        <v>03755</v>
      </c>
    </row>
    <row r="3134" ht="14.25" spans="1:28">
      <c r="A3134" s="5" t="s">
        <v>28</v>
      </c>
      <c r="B3134" s="5" t="s">
        <v>697</v>
      </c>
      <c r="C3134" s="5">
        <v>2027</v>
      </c>
      <c r="D3134" s="5" t="s">
        <v>30</v>
      </c>
      <c r="E3134" t="s">
        <v>1844</v>
      </c>
      <c r="F3134" t="s">
        <v>1842</v>
      </c>
      <c r="G3134" t="s">
        <v>1845</v>
      </c>
      <c r="I3134" t="s">
        <v>147</v>
      </c>
      <c r="J3134" t="s">
        <v>36</v>
      </c>
      <c r="K3134">
        <v>490</v>
      </c>
      <c r="O3134" t="s">
        <v>37</v>
      </c>
      <c r="P3134" t="s">
        <v>46</v>
      </c>
      <c r="U3134" s="9" t="s">
        <v>706</v>
      </c>
      <c r="V3134" t="s">
        <v>1843</v>
      </c>
      <c r="W3134" t="s">
        <v>138</v>
      </c>
      <c r="Y3134" t="s">
        <v>179</v>
      </c>
      <c r="Z3134" t="s">
        <v>113</v>
      </c>
      <c r="AB3134" t="str">
        <f t="shared" si="147"/>
        <v>03755</v>
      </c>
    </row>
    <row r="3135" ht="14.25" spans="1:28">
      <c r="A3135" s="5" t="s">
        <v>28</v>
      </c>
      <c r="B3135" s="5" t="s">
        <v>697</v>
      </c>
      <c r="C3135" s="5">
        <v>2027</v>
      </c>
      <c r="D3135" s="5" t="s">
        <v>30</v>
      </c>
      <c r="E3135" t="s">
        <v>1846</v>
      </c>
      <c r="F3135" t="s">
        <v>1847</v>
      </c>
      <c r="G3135" t="s">
        <v>726</v>
      </c>
      <c r="I3135" t="s">
        <v>119</v>
      </c>
      <c r="J3135" t="s">
        <v>36</v>
      </c>
      <c r="K3135">
        <v>490</v>
      </c>
      <c r="O3135" t="s">
        <v>37</v>
      </c>
      <c r="P3135" t="s">
        <v>42</v>
      </c>
      <c r="R3135">
        <f t="shared" si="145"/>
        <v>0</v>
      </c>
      <c r="S3135">
        <f>SUMIFS([1]Sheet1!$T:$T,[1]Sheet1!$I:$I,E3135,[1]Sheet1!$C:$C,A3135)</f>
        <v>0</v>
      </c>
      <c r="T3135">
        <f t="shared" si="146"/>
        <v>0</v>
      </c>
      <c r="U3135" s="9" t="s">
        <v>706</v>
      </c>
      <c r="V3135" t="s">
        <v>1843</v>
      </c>
      <c r="W3135" t="s">
        <v>138</v>
      </c>
      <c r="Y3135" t="s">
        <v>179</v>
      </c>
      <c r="Z3135" t="s">
        <v>113</v>
      </c>
      <c r="AB3135" t="str">
        <f t="shared" si="147"/>
        <v>03768</v>
      </c>
    </row>
    <row r="3136" ht="14.25" spans="1:28">
      <c r="A3136" s="5" t="s">
        <v>28</v>
      </c>
      <c r="B3136" s="5" t="s">
        <v>697</v>
      </c>
      <c r="C3136" s="5">
        <v>2027</v>
      </c>
      <c r="D3136" s="5" t="s">
        <v>30</v>
      </c>
      <c r="E3136" t="s">
        <v>1846</v>
      </c>
      <c r="F3136" t="s">
        <v>1847</v>
      </c>
      <c r="G3136" t="s">
        <v>726</v>
      </c>
      <c r="I3136" t="s">
        <v>119</v>
      </c>
      <c r="J3136" t="s">
        <v>36</v>
      </c>
      <c r="K3136">
        <v>490</v>
      </c>
      <c r="O3136" t="s">
        <v>37</v>
      </c>
      <c r="P3136" t="s">
        <v>43</v>
      </c>
      <c r="U3136" s="9" t="s">
        <v>706</v>
      </c>
      <c r="V3136" t="s">
        <v>1843</v>
      </c>
      <c r="W3136" t="s">
        <v>138</v>
      </c>
      <c r="Y3136" t="s">
        <v>179</v>
      </c>
      <c r="Z3136" t="s">
        <v>113</v>
      </c>
      <c r="AB3136" t="str">
        <f t="shared" si="147"/>
        <v>03768</v>
      </c>
    </row>
    <row r="3137" ht="14.25" spans="1:28">
      <c r="A3137" s="5" t="s">
        <v>28</v>
      </c>
      <c r="B3137" s="5" t="s">
        <v>697</v>
      </c>
      <c r="C3137" s="5">
        <v>2027</v>
      </c>
      <c r="D3137" s="5" t="s">
        <v>30</v>
      </c>
      <c r="E3137" t="s">
        <v>1846</v>
      </c>
      <c r="F3137" t="s">
        <v>1847</v>
      </c>
      <c r="G3137" t="s">
        <v>726</v>
      </c>
      <c r="I3137" t="s">
        <v>119</v>
      </c>
      <c r="J3137" t="s">
        <v>36</v>
      </c>
      <c r="K3137">
        <v>490</v>
      </c>
      <c r="O3137" t="s">
        <v>37</v>
      </c>
      <c r="P3137" t="s">
        <v>44</v>
      </c>
      <c r="U3137" s="9" t="s">
        <v>706</v>
      </c>
      <c r="V3137" t="s">
        <v>1843</v>
      </c>
      <c r="W3137" t="s">
        <v>138</v>
      </c>
      <c r="Y3137" t="s">
        <v>179</v>
      </c>
      <c r="Z3137" t="s">
        <v>113</v>
      </c>
      <c r="AB3137" t="str">
        <f t="shared" si="147"/>
        <v>03768</v>
      </c>
    </row>
    <row r="3138" ht="14.25" spans="1:28">
      <c r="A3138" s="5" t="s">
        <v>28</v>
      </c>
      <c r="B3138" s="5" t="s">
        <v>697</v>
      </c>
      <c r="C3138" s="5">
        <v>2027</v>
      </c>
      <c r="D3138" s="5" t="s">
        <v>30</v>
      </c>
      <c r="E3138" t="s">
        <v>1846</v>
      </c>
      <c r="F3138" t="s">
        <v>1847</v>
      </c>
      <c r="G3138" t="s">
        <v>726</v>
      </c>
      <c r="I3138" t="s">
        <v>119</v>
      </c>
      <c r="J3138" t="s">
        <v>36</v>
      </c>
      <c r="K3138">
        <v>490</v>
      </c>
      <c r="O3138" t="s">
        <v>37</v>
      </c>
      <c r="P3138" t="s">
        <v>45</v>
      </c>
      <c r="U3138" s="9" t="s">
        <v>706</v>
      </c>
      <c r="V3138" t="s">
        <v>1843</v>
      </c>
      <c r="W3138" t="s">
        <v>138</v>
      </c>
      <c r="Y3138" t="s">
        <v>179</v>
      </c>
      <c r="Z3138" t="s">
        <v>113</v>
      </c>
      <c r="AB3138" t="str">
        <f t="shared" si="147"/>
        <v>03768</v>
      </c>
    </row>
    <row r="3139" ht="14.25" spans="1:28">
      <c r="A3139" s="5" t="s">
        <v>28</v>
      </c>
      <c r="B3139" s="5" t="s">
        <v>697</v>
      </c>
      <c r="C3139" s="5">
        <v>2027</v>
      </c>
      <c r="D3139" s="5" t="s">
        <v>30</v>
      </c>
      <c r="E3139" t="s">
        <v>1846</v>
      </c>
      <c r="F3139" t="s">
        <v>1847</v>
      </c>
      <c r="G3139" t="s">
        <v>726</v>
      </c>
      <c r="I3139" t="s">
        <v>119</v>
      </c>
      <c r="J3139" t="s">
        <v>36</v>
      </c>
      <c r="K3139">
        <v>490</v>
      </c>
      <c r="O3139" t="s">
        <v>37</v>
      </c>
      <c r="P3139" t="s">
        <v>46</v>
      </c>
      <c r="U3139" s="9" t="s">
        <v>706</v>
      </c>
      <c r="V3139" t="s">
        <v>1843</v>
      </c>
      <c r="W3139" t="s">
        <v>138</v>
      </c>
      <c r="Y3139" t="s">
        <v>179</v>
      </c>
      <c r="Z3139" t="s">
        <v>113</v>
      </c>
      <c r="AB3139" t="str">
        <f t="shared" si="147"/>
        <v>03768</v>
      </c>
    </row>
    <row r="3140" ht="14.25" spans="1:28">
      <c r="A3140" s="5" t="s">
        <v>28</v>
      </c>
      <c r="B3140" s="5" t="s">
        <v>697</v>
      </c>
      <c r="C3140" s="5">
        <v>2027</v>
      </c>
      <c r="D3140" s="5" t="s">
        <v>30</v>
      </c>
      <c r="E3140" t="s">
        <v>1848</v>
      </c>
      <c r="F3140" t="s">
        <v>1847</v>
      </c>
      <c r="G3140" t="s">
        <v>1849</v>
      </c>
      <c r="I3140" t="s">
        <v>119</v>
      </c>
      <c r="J3140" t="s">
        <v>36</v>
      </c>
      <c r="K3140">
        <v>490</v>
      </c>
      <c r="O3140" t="s">
        <v>37</v>
      </c>
      <c r="P3140" t="s">
        <v>42</v>
      </c>
      <c r="R3140">
        <f t="shared" ref="R3138:R3201" si="148">SUMIFS(Q:Q,E:E,E3140)</f>
        <v>0</v>
      </c>
      <c r="S3140">
        <f>SUMIFS([1]Sheet1!$T:$T,[1]Sheet1!$I:$I,E3140,[1]Sheet1!$C:$C,A3140)</f>
        <v>0</v>
      </c>
      <c r="T3140">
        <f t="shared" ref="T3138:T3201" si="149">R3140-S3140</f>
        <v>0</v>
      </c>
      <c r="U3140" s="9" t="s">
        <v>706</v>
      </c>
      <c r="V3140" t="s">
        <v>1843</v>
      </c>
      <c r="W3140" t="s">
        <v>138</v>
      </c>
      <c r="Y3140" t="s">
        <v>179</v>
      </c>
      <c r="Z3140" t="s">
        <v>113</v>
      </c>
      <c r="AB3140" t="str">
        <f t="shared" si="147"/>
        <v>03768</v>
      </c>
    </row>
    <row r="3141" ht="14.25" spans="1:28">
      <c r="A3141" s="5" t="s">
        <v>28</v>
      </c>
      <c r="B3141" s="5" t="s">
        <v>697</v>
      </c>
      <c r="C3141" s="5">
        <v>2027</v>
      </c>
      <c r="D3141" s="5" t="s">
        <v>30</v>
      </c>
      <c r="E3141" t="s">
        <v>1848</v>
      </c>
      <c r="F3141" t="s">
        <v>1847</v>
      </c>
      <c r="G3141" t="s">
        <v>1849</v>
      </c>
      <c r="I3141" t="s">
        <v>119</v>
      </c>
      <c r="J3141" t="s">
        <v>36</v>
      </c>
      <c r="K3141">
        <v>490</v>
      </c>
      <c r="O3141" t="s">
        <v>37</v>
      </c>
      <c r="P3141" t="s">
        <v>43</v>
      </c>
      <c r="U3141" s="9" t="s">
        <v>706</v>
      </c>
      <c r="V3141" t="s">
        <v>1843</v>
      </c>
      <c r="W3141" t="s">
        <v>138</v>
      </c>
      <c r="Y3141" t="s">
        <v>179</v>
      </c>
      <c r="Z3141" t="s">
        <v>113</v>
      </c>
      <c r="AB3141" t="str">
        <f t="shared" si="147"/>
        <v>03768</v>
      </c>
    </row>
    <row r="3142" ht="14.25" spans="1:28">
      <c r="A3142" s="5" t="s">
        <v>28</v>
      </c>
      <c r="B3142" s="5" t="s">
        <v>697</v>
      </c>
      <c r="C3142" s="5">
        <v>2027</v>
      </c>
      <c r="D3142" s="5" t="s">
        <v>30</v>
      </c>
      <c r="E3142" t="s">
        <v>1848</v>
      </c>
      <c r="F3142" t="s">
        <v>1847</v>
      </c>
      <c r="G3142" t="s">
        <v>1849</v>
      </c>
      <c r="I3142" t="s">
        <v>119</v>
      </c>
      <c r="J3142" t="s">
        <v>36</v>
      </c>
      <c r="K3142">
        <v>490</v>
      </c>
      <c r="O3142" t="s">
        <v>37</v>
      </c>
      <c r="P3142" t="s">
        <v>44</v>
      </c>
      <c r="U3142" s="9" t="s">
        <v>706</v>
      </c>
      <c r="V3142" t="s">
        <v>1843</v>
      </c>
      <c r="W3142" t="s">
        <v>138</v>
      </c>
      <c r="Y3142" t="s">
        <v>179</v>
      </c>
      <c r="Z3142" t="s">
        <v>113</v>
      </c>
      <c r="AB3142" t="str">
        <f t="shared" si="147"/>
        <v>03768</v>
      </c>
    </row>
    <row r="3143" ht="14.25" spans="1:28">
      <c r="A3143" s="5" t="s">
        <v>28</v>
      </c>
      <c r="B3143" s="5" t="s">
        <v>697</v>
      </c>
      <c r="C3143" s="5">
        <v>2027</v>
      </c>
      <c r="D3143" s="5" t="s">
        <v>30</v>
      </c>
      <c r="E3143" t="s">
        <v>1848</v>
      </c>
      <c r="F3143" t="s">
        <v>1847</v>
      </c>
      <c r="G3143" t="s">
        <v>1849</v>
      </c>
      <c r="I3143" t="s">
        <v>119</v>
      </c>
      <c r="J3143" t="s">
        <v>36</v>
      </c>
      <c r="K3143">
        <v>490</v>
      </c>
      <c r="O3143" t="s">
        <v>37</v>
      </c>
      <c r="P3143" t="s">
        <v>45</v>
      </c>
      <c r="U3143" s="9" t="s">
        <v>706</v>
      </c>
      <c r="V3143" t="s">
        <v>1843</v>
      </c>
      <c r="W3143" t="s">
        <v>138</v>
      </c>
      <c r="Y3143" t="s">
        <v>179</v>
      </c>
      <c r="Z3143" t="s">
        <v>113</v>
      </c>
      <c r="AB3143" t="str">
        <f t="shared" si="147"/>
        <v>03768</v>
      </c>
    </row>
    <row r="3144" ht="14.25" spans="1:28">
      <c r="A3144" s="5" t="s">
        <v>28</v>
      </c>
      <c r="B3144" s="5" t="s">
        <v>697</v>
      </c>
      <c r="C3144" s="5">
        <v>2027</v>
      </c>
      <c r="D3144" s="5" t="s">
        <v>30</v>
      </c>
      <c r="E3144" t="s">
        <v>1848</v>
      </c>
      <c r="F3144" t="s">
        <v>1847</v>
      </c>
      <c r="G3144" t="s">
        <v>1849</v>
      </c>
      <c r="I3144" t="s">
        <v>119</v>
      </c>
      <c r="J3144" t="s">
        <v>36</v>
      </c>
      <c r="K3144">
        <v>490</v>
      </c>
      <c r="O3144" t="s">
        <v>37</v>
      </c>
      <c r="P3144" t="s">
        <v>46</v>
      </c>
      <c r="U3144" s="9" t="s">
        <v>706</v>
      </c>
      <c r="V3144" t="s">
        <v>1843</v>
      </c>
      <c r="W3144" t="s">
        <v>138</v>
      </c>
      <c r="Y3144" t="s">
        <v>179</v>
      </c>
      <c r="Z3144" t="s">
        <v>113</v>
      </c>
      <c r="AB3144" t="str">
        <f t="shared" si="147"/>
        <v>03768</v>
      </c>
    </row>
    <row r="3145" ht="14.25" spans="1:28">
      <c r="A3145" s="5" t="s">
        <v>28</v>
      </c>
      <c r="B3145" s="5" t="s">
        <v>697</v>
      </c>
      <c r="C3145" s="5">
        <v>2027</v>
      </c>
      <c r="D3145" s="5" t="s">
        <v>30</v>
      </c>
      <c r="E3145" t="s">
        <v>1850</v>
      </c>
      <c r="F3145" t="s">
        <v>1851</v>
      </c>
      <c r="G3145" t="s">
        <v>1852</v>
      </c>
      <c r="I3145" t="s">
        <v>119</v>
      </c>
      <c r="J3145" t="s">
        <v>36</v>
      </c>
      <c r="K3145">
        <v>490</v>
      </c>
      <c r="O3145" t="s">
        <v>37</v>
      </c>
      <c r="P3145" t="s">
        <v>42</v>
      </c>
      <c r="R3145">
        <f t="shared" si="148"/>
        <v>0</v>
      </c>
      <c r="S3145">
        <f>SUMIFS([1]Sheet1!$T:$T,[1]Sheet1!$I:$I,E3145,[1]Sheet1!$C:$C,A3145)</f>
        <v>0</v>
      </c>
      <c r="T3145">
        <f t="shared" si="149"/>
        <v>0</v>
      </c>
      <c r="U3145" s="9" t="s">
        <v>706</v>
      </c>
      <c r="V3145" t="s">
        <v>1843</v>
      </c>
      <c r="W3145" t="s">
        <v>138</v>
      </c>
      <c r="Y3145" t="s">
        <v>179</v>
      </c>
      <c r="Z3145" t="s">
        <v>113</v>
      </c>
      <c r="AB3145" t="str">
        <f t="shared" si="147"/>
        <v>03835</v>
      </c>
    </row>
    <row r="3146" ht="14.25" spans="1:28">
      <c r="A3146" s="5" t="s">
        <v>28</v>
      </c>
      <c r="B3146" s="5" t="s">
        <v>697</v>
      </c>
      <c r="C3146" s="5">
        <v>2027</v>
      </c>
      <c r="D3146" s="5" t="s">
        <v>30</v>
      </c>
      <c r="E3146" t="s">
        <v>1850</v>
      </c>
      <c r="F3146" t="s">
        <v>1851</v>
      </c>
      <c r="G3146" t="s">
        <v>1852</v>
      </c>
      <c r="I3146" t="s">
        <v>119</v>
      </c>
      <c r="J3146" t="s">
        <v>36</v>
      </c>
      <c r="K3146">
        <v>490</v>
      </c>
      <c r="O3146" t="s">
        <v>37</v>
      </c>
      <c r="P3146" t="s">
        <v>43</v>
      </c>
      <c r="U3146" s="9" t="s">
        <v>706</v>
      </c>
      <c r="V3146" t="s">
        <v>1843</v>
      </c>
      <c r="W3146" t="s">
        <v>138</v>
      </c>
      <c r="Y3146" t="s">
        <v>179</v>
      </c>
      <c r="Z3146" t="s">
        <v>113</v>
      </c>
      <c r="AB3146" t="str">
        <f t="shared" si="147"/>
        <v>03835</v>
      </c>
    </row>
    <row r="3147" ht="14.25" spans="1:28">
      <c r="A3147" s="5" t="s">
        <v>28</v>
      </c>
      <c r="B3147" s="5" t="s">
        <v>697</v>
      </c>
      <c r="C3147" s="5">
        <v>2027</v>
      </c>
      <c r="D3147" s="5" t="s">
        <v>30</v>
      </c>
      <c r="E3147" t="s">
        <v>1850</v>
      </c>
      <c r="F3147" t="s">
        <v>1851</v>
      </c>
      <c r="G3147" t="s">
        <v>1852</v>
      </c>
      <c r="I3147" t="s">
        <v>119</v>
      </c>
      <c r="J3147" t="s">
        <v>36</v>
      </c>
      <c r="K3147">
        <v>490</v>
      </c>
      <c r="O3147" t="s">
        <v>37</v>
      </c>
      <c r="P3147" t="s">
        <v>44</v>
      </c>
      <c r="U3147" s="9" t="s">
        <v>706</v>
      </c>
      <c r="V3147" t="s">
        <v>1843</v>
      </c>
      <c r="W3147" t="s">
        <v>138</v>
      </c>
      <c r="Y3147" t="s">
        <v>179</v>
      </c>
      <c r="Z3147" t="s">
        <v>113</v>
      </c>
      <c r="AB3147" t="str">
        <f t="shared" si="147"/>
        <v>03835</v>
      </c>
    </row>
    <row r="3148" ht="14.25" spans="1:28">
      <c r="A3148" s="5" t="s">
        <v>28</v>
      </c>
      <c r="B3148" s="5" t="s">
        <v>697</v>
      </c>
      <c r="C3148" s="5">
        <v>2027</v>
      </c>
      <c r="D3148" s="5" t="s">
        <v>30</v>
      </c>
      <c r="E3148" t="s">
        <v>1850</v>
      </c>
      <c r="F3148" t="s">
        <v>1851</v>
      </c>
      <c r="G3148" t="s">
        <v>1852</v>
      </c>
      <c r="I3148" t="s">
        <v>119</v>
      </c>
      <c r="J3148" t="s">
        <v>36</v>
      </c>
      <c r="K3148">
        <v>490</v>
      </c>
      <c r="O3148" t="s">
        <v>37</v>
      </c>
      <c r="P3148" t="s">
        <v>45</v>
      </c>
      <c r="U3148" s="9" t="s">
        <v>706</v>
      </c>
      <c r="V3148" t="s">
        <v>1843</v>
      </c>
      <c r="W3148" t="s">
        <v>138</v>
      </c>
      <c r="Y3148" t="s">
        <v>179</v>
      </c>
      <c r="Z3148" t="s">
        <v>113</v>
      </c>
      <c r="AB3148" t="str">
        <f t="shared" si="147"/>
        <v>03835</v>
      </c>
    </row>
    <row r="3149" ht="14.25" spans="1:28">
      <c r="A3149" s="5" t="s">
        <v>28</v>
      </c>
      <c r="B3149" s="5" t="s">
        <v>697</v>
      </c>
      <c r="C3149" s="5">
        <v>2027</v>
      </c>
      <c r="D3149" s="5" t="s">
        <v>30</v>
      </c>
      <c r="E3149" t="s">
        <v>1850</v>
      </c>
      <c r="F3149" t="s">
        <v>1851</v>
      </c>
      <c r="G3149" t="s">
        <v>1852</v>
      </c>
      <c r="I3149" t="s">
        <v>119</v>
      </c>
      <c r="J3149" t="s">
        <v>36</v>
      </c>
      <c r="K3149">
        <v>490</v>
      </c>
      <c r="O3149" t="s">
        <v>37</v>
      </c>
      <c r="P3149" t="s">
        <v>46</v>
      </c>
      <c r="U3149" s="9" t="s">
        <v>706</v>
      </c>
      <c r="V3149" t="s">
        <v>1843</v>
      </c>
      <c r="W3149" t="s">
        <v>138</v>
      </c>
      <c r="Y3149" t="s">
        <v>179</v>
      </c>
      <c r="Z3149" t="s">
        <v>113</v>
      </c>
      <c r="AB3149" t="str">
        <f t="shared" si="147"/>
        <v>03835</v>
      </c>
    </row>
    <row r="3150" ht="14.25" spans="1:28">
      <c r="A3150" s="5" t="s">
        <v>28</v>
      </c>
      <c r="B3150" s="5" t="s">
        <v>697</v>
      </c>
      <c r="C3150" s="5">
        <v>2027</v>
      </c>
      <c r="D3150" s="5" t="s">
        <v>30</v>
      </c>
      <c r="E3150" t="s">
        <v>1853</v>
      </c>
      <c r="F3150" t="s">
        <v>1854</v>
      </c>
      <c r="G3150" t="s">
        <v>1855</v>
      </c>
      <c r="I3150" t="s">
        <v>119</v>
      </c>
      <c r="J3150" t="s">
        <v>36</v>
      </c>
      <c r="K3150">
        <v>490</v>
      </c>
      <c r="O3150" t="s">
        <v>37</v>
      </c>
      <c r="P3150" t="s">
        <v>42</v>
      </c>
      <c r="R3150">
        <f t="shared" si="148"/>
        <v>0</v>
      </c>
      <c r="S3150">
        <f>SUMIFS([1]Sheet1!$T:$T,[1]Sheet1!$I:$I,E3150,[1]Sheet1!$C:$C,A3150)</f>
        <v>60</v>
      </c>
      <c r="T3150">
        <f t="shared" si="149"/>
        <v>-60</v>
      </c>
      <c r="U3150" s="9" t="s">
        <v>706</v>
      </c>
      <c r="V3150" t="s">
        <v>1843</v>
      </c>
      <c r="W3150" t="s">
        <v>138</v>
      </c>
      <c r="Y3150" t="s">
        <v>179</v>
      </c>
      <c r="Z3150" t="s">
        <v>113</v>
      </c>
      <c r="AB3150" t="str">
        <f t="shared" si="147"/>
        <v>03877</v>
      </c>
    </row>
    <row r="3151" ht="14.25" spans="1:28">
      <c r="A3151" s="5" t="s">
        <v>28</v>
      </c>
      <c r="B3151" s="5" t="s">
        <v>697</v>
      </c>
      <c r="C3151" s="5">
        <v>2027</v>
      </c>
      <c r="D3151" s="5" t="s">
        <v>30</v>
      </c>
      <c r="E3151" t="s">
        <v>1853</v>
      </c>
      <c r="F3151" t="s">
        <v>1854</v>
      </c>
      <c r="G3151" t="s">
        <v>1855</v>
      </c>
      <c r="I3151" t="s">
        <v>119</v>
      </c>
      <c r="J3151" t="s">
        <v>36</v>
      </c>
      <c r="K3151">
        <v>490</v>
      </c>
      <c r="O3151" t="s">
        <v>37</v>
      </c>
      <c r="P3151" t="s">
        <v>43</v>
      </c>
      <c r="U3151" s="9" t="s">
        <v>706</v>
      </c>
      <c r="V3151" t="s">
        <v>1843</v>
      </c>
      <c r="W3151" t="s">
        <v>138</v>
      </c>
      <c r="Y3151" t="s">
        <v>179</v>
      </c>
      <c r="Z3151" t="s">
        <v>113</v>
      </c>
      <c r="AB3151" t="str">
        <f t="shared" si="147"/>
        <v>03877</v>
      </c>
    </row>
    <row r="3152" ht="14.25" spans="1:28">
      <c r="A3152" s="5" t="s">
        <v>28</v>
      </c>
      <c r="B3152" s="5" t="s">
        <v>697</v>
      </c>
      <c r="C3152" s="5">
        <v>2027</v>
      </c>
      <c r="D3152" s="5" t="s">
        <v>30</v>
      </c>
      <c r="E3152" t="s">
        <v>1853</v>
      </c>
      <c r="F3152" t="s">
        <v>1854</v>
      </c>
      <c r="G3152" t="s">
        <v>1855</v>
      </c>
      <c r="I3152" t="s">
        <v>119</v>
      </c>
      <c r="J3152" t="s">
        <v>36</v>
      </c>
      <c r="K3152">
        <v>490</v>
      </c>
      <c r="O3152" t="s">
        <v>37</v>
      </c>
      <c r="P3152" t="s">
        <v>44</v>
      </c>
      <c r="U3152" s="9" t="s">
        <v>706</v>
      </c>
      <c r="V3152" t="s">
        <v>1843</v>
      </c>
      <c r="W3152" t="s">
        <v>138</v>
      </c>
      <c r="Y3152" t="s">
        <v>179</v>
      </c>
      <c r="Z3152" t="s">
        <v>113</v>
      </c>
      <c r="AB3152" t="str">
        <f t="shared" si="147"/>
        <v>03877</v>
      </c>
    </row>
    <row r="3153" ht="14.25" spans="1:28">
      <c r="A3153" s="5" t="s">
        <v>28</v>
      </c>
      <c r="B3153" s="5" t="s">
        <v>697</v>
      </c>
      <c r="C3153" s="5">
        <v>2027</v>
      </c>
      <c r="D3153" s="5" t="s">
        <v>30</v>
      </c>
      <c r="E3153" t="s">
        <v>1853</v>
      </c>
      <c r="F3153" t="s">
        <v>1854</v>
      </c>
      <c r="G3153" t="s">
        <v>1855</v>
      </c>
      <c r="I3153" t="s">
        <v>119</v>
      </c>
      <c r="J3153" t="s">
        <v>36</v>
      </c>
      <c r="K3153">
        <v>490</v>
      </c>
      <c r="O3153" t="s">
        <v>37</v>
      </c>
      <c r="P3153" t="s">
        <v>45</v>
      </c>
      <c r="U3153" s="9" t="s">
        <v>706</v>
      </c>
      <c r="V3153" t="s">
        <v>1843</v>
      </c>
      <c r="W3153" t="s">
        <v>138</v>
      </c>
      <c r="Y3153" t="s">
        <v>179</v>
      </c>
      <c r="Z3153" t="s">
        <v>113</v>
      </c>
      <c r="AB3153" t="str">
        <f t="shared" si="147"/>
        <v>03877</v>
      </c>
    </row>
    <row r="3154" ht="14.25" spans="1:28">
      <c r="A3154" s="5" t="s">
        <v>28</v>
      </c>
      <c r="B3154" s="5" t="s">
        <v>697</v>
      </c>
      <c r="C3154" s="5">
        <v>2027</v>
      </c>
      <c r="D3154" s="5" t="s">
        <v>30</v>
      </c>
      <c r="E3154" t="s">
        <v>1853</v>
      </c>
      <c r="F3154" t="s">
        <v>1854</v>
      </c>
      <c r="G3154" t="s">
        <v>1855</v>
      </c>
      <c r="I3154" t="s">
        <v>119</v>
      </c>
      <c r="J3154" t="s">
        <v>36</v>
      </c>
      <c r="K3154">
        <v>490</v>
      </c>
      <c r="O3154" t="s">
        <v>37</v>
      </c>
      <c r="P3154" t="s">
        <v>46</v>
      </c>
      <c r="U3154" s="9" t="s">
        <v>706</v>
      </c>
      <c r="V3154" t="s">
        <v>1843</v>
      </c>
      <c r="W3154" t="s">
        <v>138</v>
      </c>
      <c r="Y3154" t="s">
        <v>179</v>
      </c>
      <c r="Z3154" t="s">
        <v>113</v>
      </c>
      <c r="AB3154" t="str">
        <f t="shared" si="147"/>
        <v>03877</v>
      </c>
    </row>
    <row r="3155" ht="14.25" spans="1:28">
      <c r="A3155" s="5" t="s">
        <v>28</v>
      </c>
      <c r="B3155" s="5" t="s">
        <v>697</v>
      </c>
      <c r="C3155" s="5">
        <v>2027</v>
      </c>
      <c r="D3155" s="5" t="s">
        <v>30</v>
      </c>
      <c r="E3155" t="s">
        <v>1856</v>
      </c>
      <c r="F3155" t="s">
        <v>1851</v>
      </c>
      <c r="G3155" t="s">
        <v>1855</v>
      </c>
      <c r="I3155" t="s">
        <v>147</v>
      </c>
      <c r="J3155" t="s">
        <v>36</v>
      </c>
      <c r="K3155">
        <v>390</v>
      </c>
      <c r="O3155" t="s">
        <v>37</v>
      </c>
      <c r="P3155" t="s">
        <v>42</v>
      </c>
      <c r="R3155">
        <f t="shared" si="148"/>
        <v>0</v>
      </c>
      <c r="S3155">
        <f>SUMIFS([1]Sheet1!$T:$T,[1]Sheet1!$I:$I,E3155,[1]Sheet1!$C:$C,A3155)</f>
        <v>0</v>
      </c>
      <c r="T3155">
        <f t="shared" si="149"/>
        <v>0</v>
      </c>
      <c r="U3155" s="9" t="s">
        <v>706</v>
      </c>
      <c r="V3155" t="s">
        <v>1843</v>
      </c>
      <c r="W3155" t="s">
        <v>138</v>
      </c>
      <c r="Y3155" t="s">
        <v>179</v>
      </c>
      <c r="Z3155" t="s">
        <v>113</v>
      </c>
      <c r="AB3155" t="str">
        <f t="shared" si="147"/>
        <v>03882</v>
      </c>
    </row>
    <row r="3156" ht="14.25" spans="1:28">
      <c r="A3156" s="5" t="s">
        <v>28</v>
      </c>
      <c r="B3156" s="5" t="s">
        <v>697</v>
      </c>
      <c r="C3156" s="5">
        <v>2027</v>
      </c>
      <c r="D3156" s="5" t="s">
        <v>30</v>
      </c>
      <c r="E3156" t="s">
        <v>1856</v>
      </c>
      <c r="F3156" t="s">
        <v>1851</v>
      </c>
      <c r="G3156" t="s">
        <v>1855</v>
      </c>
      <c r="I3156" t="s">
        <v>147</v>
      </c>
      <c r="J3156" t="s">
        <v>36</v>
      </c>
      <c r="K3156">
        <v>390</v>
      </c>
      <c r="O3156" t="s">
        <v>37</v>
      </c>
      <c r="P3156" t="s">
        <v>43</v>
      </c>
      <c r="U3156" s="9" t="s">
        <v>706</v>
      </c>
      <c r="V3156" t="s">
        <v>1843</v>
      </c>
      <c r="W3156" t="s">
        <v>138</v>
      </c>
      <c r="Y3156" t="s">
        <v>179</v>
      </c>
      <c r="Z3156" t="s">
        <v>113</v>
      </c>
      <c r="AB3156" t="str">
        <f t="shared" si="147"/>
        <v>03882</v>
      </c>
    </row>
    <row r="3157" ht="14.25" spans="1:28">
      <c r="A3157" s="5" t="s">
        <v>28</v>
      </c>
      <c r="B3157" s="5" t="s">
        <v>697</v>
      </c>
      <c r="C3157" s="5">
        <v>2027</v>
      </c>
      <c r="D3157" s="5" t="s">
        <v>30</v>
      </c>
      <c r="E3157" t="s">
        <v>1856</v>
      </c>
      <c r="F3157" t="s">
        <v>1851</v>
      </c>
      <c r="G3157" t="s">
        <v>1855</v>
      </c>
      <c r="I3157" t="s">
        <v>147</v>
      </c>
      <c r="J3157" t="s">
        <v>36</v>
      </c>
      <c r="K3157">
        <v>390</v>
      </c>
      <c r="O3157" t="s">
        <v>37</v>
      </c>
      <c r="P3157" t="s">
        <v>44</v>
      </c>
      <c r="U3157" s="9" t="s">
        <v>706</v>
      </c>
      <c r="V3157" t="s">
        <v>1843</v>
      </c>
      <c r="W3157" t="s">
        <v>138</v>
      </c>
      <c r="Y3157" t="s">
        <v>179</v>
      </c>
      <c r="Z3157" t="s">
        <v>113</v>
      </c>
      <c r="AB3157" t="str">
        <f t="shared" si="147"/>
        <v>03882</v>
      </c>
    </row>
    <row r="3158" ht="14.25" spans="1:28">
      <c r="A3158" s="5" t="s">
        <v>28</v>
      </c>
      <c r="B3158" s="5" t="s">
        <v>697</v>
      </c>
      <c r="C3158" s="5">
        <v>2027</v>
      </c>
      <c r="D3158" s="5" t="s">
        <v>30</v>
      </c>
      <c r="E3158" t="s">
        <v>1856</v>
      </c>
      <c r="F3158" t="s">
        <v>1851</v>
      </c>
      <c r="G3158" t="s">
        <v>1855</v>
      </c>
      <c r="I3158" t="s">
        <v>147</v>
      </c>
      <c r="J3158" t="s">
        <v>36</v>
      </c>
      <c r="K3158">
        <v>390</v>
      </c>
      <c r="O3158" t="s">
        <v>37</v>
      </c>
      <c r="P3158" t="s">
        <v>45</v>
      </c>
      <c r="U3158" s="9" t="s">
        <v>706</v>
      </c>
      <c r="V3158" t="s">
        <v>1843</v>
      </c>
      <c r="W3158" t="s">
        <v>138</v>
      </c>
      <c r="Y3158" t="s">
        <v>179</v>
      </c>
      <c r="Z3158" t="s">
        <v>113</v>
      </c>
      <c r="AB3158" t="str">
        <f t="shared" si="147"/>
        <v>03882</v>
      </c>
    </row>
    <row r="3159" ht="14.25" spans="1:28">
      <c r="A3159" s="5" t="s">
        <v>28</v>
      </c>
      <c r="B3159" s="5" t="s">
        <v>697</v>
      </c>
      <c r="C3159" s="5">
        <v>2027</v>
      </c>
      <c r="D3159" s="5" t="s">
        <v>30</v>
      </c>
      <c r="E3159" t="s">
        <v>1856</v>
      </c>
      <c r="F3159" t="s">
        <v>1851</v>
      </c>
      <c r="G3159" t="s">
        <v>1855</v>
      </c>
      <c r="I3159" t="s">
        <v>147</v>
      </c>
      <c r="J3159" t="s">
        <v>36</v>
      </c>
      <c r="K3159">
        <v>390</v>
      </c>
      <c r="O3159" t="s">
        <v>37</v>
      </c>
      <c r="P3159" t="s">
        <v>46</v>
      </c>
      <c r="U3159" s="9" t="s">
        <v>706</v>
      </c>
      <c r="V3159" t="s">
        <v>1843</v>
      </c>
      <c r="W3159" t="s">
        <v>138</v>
      </c>
      <c r="Y3159" t="s">
        <v>179</v>
      </c>
      <c r="Z3159" t="s">
        <v>113</v>
      </c>
      <c r="AB3159" t="str">
        <f t="shared" si="147"/>
        <v>03882</v>
      </c>
    </row>
    <row r="3160" ht="14.25" spans="1:28">
      <c r="A3160" s="5" t="s">
        <v>28</v>
      </c>
      <c r="B3160" s="5" t="s">
        <v>697</v>
      </c>
      <c r="C3160" s="5">
        <v>2027</v>
      </c>
      <c r="D3160" s="5" t="s">
        <v>30</v>
      </c>
      <c r="E3160" t="s">
        <v>1857</v>
      </c>
      <c r="F3160" t="s">
        <v>1851</v>
      </c>
      <c r="G3160" t="s">
        <v>1858</v>
      </c>
      <c r="I3160" t="s">
        <v>147</v>
      </c>
      <c r="J3160" t="s">
        <v>36</v>
      </c>
      <c r="K3160">
        <v>390</v>
      </c>
      <c r="O3160" t="s">
        <v>37</v>
      </c>
      <c r="P3160" t="s">
        <v>42</v>
      </c>
      <c r="R3160">
        <f t="shared" si="148"/>
        <v>0</v>
      </c>
      <c r="S3160">
        <f>SUMIFS([1]Sheet1!$T:$T,[1]Sheet1!$I:$I,E3160,[1]Sheet1!$C:$C,A3160)</f>
        <v>0</v>
      </c>
      <c r="T3160">
        <f t="shared" si="149"/>
        <v>0</v>
      </c>
      <c r="U3160" s="9" t="s">
        <v>706</v>
      </c>
      <c r="V3160" t="s">
        <v>1843</v>
      </c>
      <c r="W3160" t="s">
        <v>138</v>
      </c>
      <c r="Y3160" t="s">
        <v>179</v>
      </c>
      <c r="Z3160" t="s">
        <v>113</v>
      </c>
      <c r="AB3160" t="str">
        <f t="shared" si="147"/>
        <v>03882</v>
      </c>
    </row>
    <row r="3161" ht="14.25" spans="1:28">
      <c r="A3161" s="5" t="s">
        <v>28</v>
      </c>
      <c r="B3161" s="5" t="s">
        <v>697</v>
      </c>
      <c r="C3161" s="5">
        <v>2027</v>
      </c>
      <c r="D3161" s="5" t="s">
        <v>30</v>
      </c>
      <c r="E3161" t="s">
        <v>1857</v>
      </c>
      <c r="F3161" t="s">
        <v>1851</v>
      </c>
      <c r="G3161" t="s">
        <v>1858</v>
      </c>
      <c r="I3161" t="s">
        <v>147</v>
      </c>
      <c r="J3161" t="s">
        <v>36</v>
      </c>
      <c r="K3161">
        <v>390</v>
      </c>
      <c r="O3161" t="s">
        <v>37</v>
      </c>
      <c r="P3161" t="s">
        <v>43</v>
      </c>
      <c r="U3161" s="9" t="s">
        <v>706</v>
      </c>
      <c r="V3161" t="s">
        <v>1843</v>
      </c>
      <c r="W3161" t="s">
        <v>138</v>
      </c>
      <c r="Y3161" t="s">
        <v>179</v>
      </c>
      <c r="Z3161" t="s">
        <v>113</v>
      </c>
      <c r="AB3161" t="str">
        <f t="shared" si="147"/>
        <v>03882</v>
      </c>
    </row>
    <row r="3162" ht="14.25" spans="1:28">
      <c r="A3162" s="5" t="s">
        <v>28</v>
      </c>
      <c r="B3162" s="5" t="s">
        <v>697</v>
      </c>
      <c r="C3162" s="5">
        <v>2027</v>
      </c>
      <c r="D3162" s="5" t="s">
        <v>30</v>
      </c>
      <c r="E3162" t="s">
        <v>1857</v>
      </c>
      <c r="F3162" t="s">
        <v>1851</v>
      </c>
      <c r="G3162" t="s">
        <v>1858</v>
      </c>
      <c r="I3162" t="s">
        <v>147</v>
      </c>
      <c r="J3162" t="s">
        <v>36</v>
      </c>
      <c r="K3162">
        <v>390</v>
      </c>
      <c r="O3162" t="s">
        <v>37</v>
      </c>
      <c r="P3162" t="s">
        <v>44</v>
      </c>
      <c r="U3162" s="9" t="s">
        <v>706</v>
      </c>
      <c r="V3162" t="s">
        <v>1843</v>
      </c>
      <c r="W3162" t="s">
        <v>138</v>
      </c>
      <c r="Y3162" t="s">
        <v>179</v>
      </c>
      <c r="Z3162" t="s">
        <v>113</v>
      </c>
      <c r="AB3162" t="str">
        <f t="shared" si="147"/>
        <v>03882</v>
      </c>
    </row>
    <row r="3163" ht="14.25" spans="1:28">
      <c r="A3163" s="5" t="s">
        <v>28</v>
      </c>
      <c r="B3163" s="5" t="s">
        <v>697</v>
      </c>
      <c r="C3163" s="5">
        <v>2027</v>
      </c>
      <c r="D3163" s="5" t="s">
        <v>30</v>
      </c>
      <c r="E3163" t="s">
        <v>1857</v>
      </c>
      <c r="F3163" t="s">
        <v>1851</v>
      </c>
      <c r="G3163" t="s">
        <v>1858</v>
      </c>
      <c r="I3163" t="s">
        <v>147</v>
      </c>
      <c r="J3163" t="s">
        <v>36</v>
      </c>
      <c r="K3163">
        <v>390</v>
      </c>
      <c r="O3163" t="s">
        <v>37</v>
      </c>
      <c r="P3163" t="s">
        <v>45</v>
      </c>
      <c r="U3163" s="9" t="s">
        <v>706</v>
      </c>
      <c r="V3163" t="s">
        <v>1843</v>
      </c>
      <c r="W3163" t="s">
        <v>138</v>
      </c>
      <c r="Y3163" t="s">
        <v>179</v>
      </c>
      <c r="Z3163" t="s">
        <v>113</v>
      </c>
      <c r="AB3163" t="str">
        <f t="shared" si="147"/>
        <v>03882</v>
      </c>
    </row>
    <row r="3164" ht="14.25" spans="1:28">
      <c r="A3164" s="5" t="s">
        <v>28</v>
      </c>
      <c r="B3164" s="5" t="s">
        <v>697</v>
      </c>
      <c r="C3164" s="5">
        <v>2027</v>
      </c>
      <c r="D3164" s="5" t="s">
        <v>30</v>
      </c>
      <c r="E3164" t="s">
        <v>1857</v>
      </c>
      <c r="F3164" t="s">
        <v>1851</v>
      </c>
      <c r="G3164" t="s">
        <v>1858</v>
      </c>
      <c r="I3164" t="s">
        <v>147</v>
      </c>
      <c r="J3164" t="s">
        <v>36</v>
      </c>
      <c r="K3164">
        <v>390</v>
      </c>
      <c r="O3164" t="s">
        <v>37</v>
      </c>
      <c r="P3164" t="s">
        <v>46</v>
      </c>
      <c r="U3164" s="9" t="s">
        <v>706</v>
      </c>
      <c r="V3164" t="s">
        <v>1843</v>
      </c>
      <c r="W3164" t="s">
        <v>138</v>
      </c>
      <c r="Y3164" t="s">
        <v>179</v>
      </c>
      <c r="Z3164" t="s">
        <v>113</v>
      </c>
      <c r="AB3164" t="str">
        <f t="shared" si="147"/>
        <v>03882</v>
      </c>
    </row>
    <row r="3165" ht="14.25" spans="1:28">
      <c r="A3165" s="5" t="s">
        <v>28</v>
      </c>
      <c r="B3165" s="5" t="s">
        <v>697</v>
      </c>
      <c r="C3165" s="5">
        <v>2027</v>
      </c>
      <c r="D3165" s="5" t="s">
        <v>30</v>
      </c>
      <c r="E3165" t="s">
        <v>1859</v>
      </c>
      <c r="F3165" t="s">
        <v>1851</v>
      </c>
      <c r="G3165" t="s">
        <v>1860</v>
      </c>
      <c r="I3165" t="s">
        <v>147</v>
      </c>
      <c r="J3165" t="s">
        <v>36</v>
      </c>
      <c r="K3165">
        <v>490</v>
      </c>
      <c r="O3165" t="s">
        <v>37</v>
      </c>
      <c r="P3165" t="s">
        <v>42</v>
      </c>
      <c r="R3165">
        <f t="shared" si="148"/>
        <v>0</v>
      </c>
      <c r="S3165">
        <f>SUMIFS([1]Sheet1!$T:$T,[1]Sheet1!$I:$I,E3165,[1]Sheet1!$C:$C,A3165)</f>
        <v>0</v>
      </c>
      <c r="T3165">
        <f t="shared" si="149"/>
        <v>0</v>
      </c>
      <c r="U3165" s="9" t="s">
        <v>706</v>
      </c>
      <c r="V3165" t="s">
        <v>1843</v>
      </c>
      <c r="W3165" t="s">
        <v>138</v>
      </c>
      <c r="Y3165" t="s">
        <v>179</v>
      </c>
      <c r="Z3165" t="s">
        <v>113</v>
      </c>
      <c r="AB3165" t="str">
        <f t="shared" si="147"/>
        <v>03889</v>
      </c>
    </row>
    <row r="3166" ht="14.25" spans="1:28">
      <c r="A3166" s="5" t="s">
        <v>28</v>
      </c>
      <c r="B3166" s="5" t="s">
        <v>697</v>
      </c>
      <c r="C3166" s="5">
        <v>2027</v>
      </c>
      <c r="D3166" s="5" t="s">
        <v>30</v>
      </c>
      <c r="E3166" t="s">
        <v>1859</v>
      </c>
      <c r="F3166" t="s">
        <v>1851</v>
      </c>
      <c r="G3166" t="s">
        <v>1860</v>
      </c>
      <c r="I3166" t="s">
        <v>147</v>
      </c>
      <c r="J3166" t="s">
        <v>36</v>
      </c>
      <c r="K3166">
        <v>490</v>
      </c>
      <c r="O3166" t="s">
        <v>37</v>
      </c>
      <c r="P3166" t="s">
        <v>43</v>
      </c>
      <c r="U3166" s="9" t="s">
        <v>706</v>
      </c>
      <c r="V3166" t="s">
        <v>1843</v>
      </c>
      <c r="W3166" t="s">
        <v>138</v>
      </c>
      <c r="Y3166" t="s">
        <v>179</v>
      </c>
      <c r="Z3166" t="s">
        <v>113</v>
      </c>
      <c r="AB3166" t="str">
        <f t="shared" si="147"/>
        <v>03889</v>
      </c>
    </row>
    <row r="3167" ht="14.25" spans="1:28">
      <c r="A3167" s="5" t="s">
        <v>28</v>
      </c>
      <c r="B3167" s="5" t="s">
        <v>697</v>
      </c>
      <c r="C3167" s="5">
        <v>2027</v>
      </c>
      <c r="D3167" s="5" t="s">
        <v>30</v>
      </c>
      <c r="E3167" t="s">
        <v>1859</v>
      </c>
      <c r="F3167" t="s">
        <v>1851</v>
      </c>
      <c r="G3167" t="s">
        <v>1860</v>
      </c>
      <c r="I3167" t="s">
        <v>147</v>
      </c>
      <c r="J3167" t="s">
        <v>36</v>
      </c>
      <c r="K3167">
        <v>490</v>
      </c>
      <c r="O3167" t="s">
        <v>37</v>
      </c>
      <c r="P3167" t="s">
        <v>44</v>
      </c>
      <c r="U3167" s="9" t="s">
        <v>706</v>
      </c>
      <c r="V3167" t="s">
        <v>1843</v>
      </c>
      <c r="W3167" t="s">
        <v>138</v>
      </c>
      <c r="Y3167" t="s">
        <v>179</v>
      </c>
      <c r="Z3167" t="s">
        <v>113</v>
      </c>
      <c r="AB3167" t="str">
        <f t="shared" si="147"/>
        <v>03889</v>
      </c>
    </row>
    <row r="3168" ht="14.25" spans="1:28">
      <c r="A3168" s="5" t="s">
        <v>28</v>
      </c>
      <c r="B3168" s="5" t="s">
        <v>697</v>
      </c>
      <c r="C3168" s="5">
        <v>2027</v>
      </c>
      <c r="D3168" s="5" t="s">
        <v>30</v>
      </c>
      <c r="E3168" t="s">
        <v>1859</v>
      </c>
      <c r="F3168" t="s">
        <v>1851</v>
      </c>
      <c r="G3168" t="s">
        <v>1860</v>
      </c>
      <c r="I3168" t="s">
        <v>147</v>
      </c>
      <c r="J3168" t="s">
        <v>36</v>
      </c>
      <c r="K3168">
        <v>490</v>
      </c>
      <c r="O3168" t="s">
        <v>37</v>
      </c>
      <c r="P3168" t="s">
        <v>45</v>
      </c>
      <c r="U3168" s="9" t="s">
        <v>706</v>
      </c>
      <c r="V3168" t="s">
        <v>1843</v>
      </c>
      <c r="W3168" t="s">
        <v>138</v>
      </c>
      <c r="Y3168" t="s">
        <v>179</v>
      </c>
      <c r="Z3168" t="s">
        <v>113</v>
      </c>
      <c r="AB3168" t="str">
        <f t="shared" si="147"/>
        <v>03889</v>
      </c>
    </row>
    <row r="3169" ht="14.25" spans="1:28">
      <c r="A3169" s="5" t="s">
        <v>28</v>
      </c>
      <c r="B3169" s="5" t="s">
        <v>697</v>
      </c>
      <c r="C3169" s="5">
        <v>2027</v>
      </c>
      <c r="D3169" s="5" t="s">
        <v>30</v>
      </c>
      <c r="E3169" t="s">
        <v>1859</v>
      </c>
      <c r="F3169" t="s">
        <v>1851</v>
      </c>
      <c r="G3169" t="s">
        <v>1860</v>
      </c>
      <c r="I3169" t="s">
        <v>147</v>
      </c>
      <c r="J3169" t="s">
        <v>36</v>
      </c>
      <c r="K3169">
        <v>490</v>
      </c>
      <c r="O3169" t="s">
        <v>37</v>
      </c>
      <c r="P3169" t="s">
        <v>46</v>
      </c>
      <c r="U3169" s="9" t="s">
        <v>706</v>
      </c>
      <c r="V3169" t="s">
        <v>1843</v>
      </c>
      <c r="W3169" t="s">
        <v>138</v>
      </c>
      <c r="Y3169" t="s">
        <v>179</v>
      </c>
      <c r="Z3169" t="s">
        <v>113</v>
      </c>
      <c r="AB3169" t="str">
        <f t="shared" si="147"/>
        <v>03889</v>
      </c>
    </row>
    <row r="3170" ht="14.25" spans="1:28">
      <c r="A3170" s="5" t="s">
        <v>28</v>
      </c>
      <c r="B3170" s="5" t="s">
        <v>697</v>
      </c>
      <c r="C3170" s="5">
        <v>2027</v>
      </c>
      <c r="D3170" s="5" t="s">
        <v>30</v>
      </c>
      <c r="E3170" t="s">
        <v>1861</v>
      </c>
      <c r="F3170" t="s">
        <v>1851</v>
      </c>
      <c r="G3170" t="s">
        <v>1862</v>
      </c>
      <c r="I3170" t="s">
        <v>119</v>
      </c>
      <c r="J3170" t="s">
        <v>36</v>
      </c>
      <c r="K3170">
        <v>490</v>
      </c>
      <c r="O3170" t="s">
        <v>37</v>
      </c>
      <c r="P3170" t="s">
        <v>42</v>
      </c>
      <c r="R3170">
        <f t="shared" si="148"/>
        <v>0</v>
      </c>
      <c r="S3170">
        <f>SUMIFS([1]Sheet1!$T:$T,[1]Sheet1!$I:$I,E3170,[1]Sheet1!$C:$C,A3170)</f>
        <v>0</v>
      </c>
      <c r="T3170">
        <f t="shared" si="149"/>
        <v>0</v>
      </c>
      <c r="U3170" s="9"/>
      <c r="Y3170" t="s">
        <v>179</v>
      </c>
      <c r="Z3170" t="s">
        <v>113</v>
      </c>
      <c r="AB3170" t="str">
        <f t="shared" si="147"/>
        <v>03900</v>
      </c>
    </row>
    <row r="3171" ht="14.25" spans="1:28">
      <c r="A3171" s="5" t="s">
        <v>28</v>
      </c>
      <c r="B3171" s="5" t="s">
        <v>697</v>
      </c>
      <c r="C3171" s="5">
        <v>2027</v>
      </c>
      <c r="D3171" s="5" t="s">
        <v>30</v>
      </c>
      <c r="E3171" t="s">
        <v>1861</v>
      </c>
      <c r="F3171" t="s">
        <v>1851</v>
      </c>
      <c r="G3171" t="s">
        <v>1862</v>
      </c>
      <c r="I3171" t="s">
        <v>119</v>
      </c>
      <c r="J3171" t="s">
        <v>36</v>
      </c>
      <c r="K3171">
        <v>490</v>
      </c>
      <c r="O3171" t="s">
        <v>37</v>
      </c>
      <c r="P3171" t="s">
        <v>43</v>
      </c>
      <c r="U3171" s="9"/>
      <c r="Y3171" t="s">
        <v>179</v>
      </c>
      <c r="Z3171" t="s">
        <v>113</v>
      </c>
      <c r="AB3171" t="str">
        <f t="shared" si="147"/>
        <v>03900</v>
      </c>
    </row>
    <row r="3172" ht="14.25" spans="1:28">
      <c r="A3172" s="5" t="s">
        <v>28</v>
      </c>
      <c r="B3172" s="5" t="s">
        <v>697</v>
      </c>
      <c r="C3172" s="5">
        <v>2027</v>
      </c>
      <c r="D3172" s="5" t="s">
        <v>30</v>
      </c>
      <c r="E3172" t="s">
        <v>1861</v>
      </c>
      <c r="F3172" t="s">
        <v>1851</v>
      </c>
      <c r="G3172" t="s">
        <v>1862</v>
      </c>
      <c r="I3172" t="s">
        <v>119</v>
      </c>
      <c r="J3172" t="s">
        <v>36</v>
      </c>
      <c r="K3172">
        <v>490</v>
      </c>
      <c r="O3172" t="s">
        <v>37</v>
      </c>
      <c r="P3172" t="s">
        <v>44</v>
      </c>
      <c r="U3172" s="9"/>
      <c r="Y3172" t="s">
        <v>179</v>
      </c>
      <c r="Z3172" t="s">
        <v>113</v>
      </c>
      <c r="AB3172" t="str">
        <f t="shared" si="147"/>
        <v>03900</v>
      </c>
    </row>
    <row r="3173" ht="14.25" spans="1:28">
      <c r="A3173" s="5" t="s">
        <v>28</v>
      </c>
      <c r="B3173" s="5" t="s">
        <v>697</v>
      </c>
      <c r="C3173" s="5">
        <v>2027</v>
      </c>
      <c r="D3173" s="5" t="s">
        <v>30</v>
      </c>
      <c r="E3173" t="s">
        <v>1861</v>
      </c>
      <c r="F3173" t="s">
        <v>1851</v>
      </c>
      <c r="G3173" t="s">
        <v>1862</v>
      </c>
      <c r="I3173" t="s">
        <v>119</v>
      </c>
      <c r="J3173" t="s">
        <v>36</v>
      </c>
      <c r="K3173">
        <v>490</v>
      </c>
      <c r="O3173" t="s">
        <v>37</v>
      </c>
      <c r="P3173" t="s">
        <v>45</v>
      </c>
      <c r="U3173" s="9"/>
      <c r="Y3173" t="s">
        <v>179</v>
      </c>
      <c r="Z3173" t="s">
        <v>113</v>
      </c>
      <c r="AB3173" t="str">
        <f t="shared" si="147"/>
        <v>03900</v>
      </c>
    </row>
    <row r="3174" ht="14.25" spans="1:28">
      <c r="A3174" s="5" t="s">
        <v>28</v>
      </c>
      <c r="B3174" s="5" t="s">
        <v>697</v>
      </c>
      <c r="C3174" s="5">
        <v>2027</v>
      </c>
      <c r="D3174" s="5" t="s">
        <v>30</v>
      </c>
      <c r="E3174" t="s">
        <v>1861</v>
      </c>
      <c r="F3174" t="s">
        <v>1851</v>
      </c>
      <c r="G3174" t="s">
        <v>1862</v>
      </c>
      <c r="I3174" t="s">
        <v>119</v>
      </c>
      <c r="J3174" t="s">
        <v>36</v>
      </c>
      <c r="K3174">
        <v>490</v>
      </c>
      <c r="O3174" t="s">
        <v>37</v>
      </c>
      <c r="P3174" t="s">
        <v>46</v>
      </c>
      <c r="U3174" s="9"/>
      <c r="Y3174" t="s">
        <v>179</v>
      </c>
      <c r="Z3174" t="s">
        <v>113</v>
      </c>
      <c r="AB3174" t="str">
        <f t="shared" si="147"/>
        <v>03900</v>
      </c>
    </row>
    <row r="3175" ht="14.25" spans="1:28">
      <c r="A3175" s="5" t="s">
        <v>28</v>
      </c>
      <c r="B3175" s="5" t="s">
        <v>697</v>
      </c>
      <c r="C3175" s="5">
        <v>2027</v>
      </c>
      <c r="D3175" s="5" t="s">
        <v>30</v>
      </c>
      <c r="E3175" t="s">
        <v>1863</v>
      </c>
      <c r="F3175" t="s">
        <v>1851</v>
      </c>
      <c r="G3175" t="s">
        <v>1864</v>
      </c>
      <c r="I3175" t="s">
        <v>119</v>
      </c>
      <c r="J3175" t="s">
        <v>36</v>
      </c>
      <c r="K3175">
        <v>490</v>
      </c>
      <c r="O3175" t="s">
        <v>37</v>
      </c>
      <c r="P3175" t="s">
        <v>42</v>
      </c>
      <c r="R3175">
        <f t="shared" si="148"/>
        <v>0</v>
      </c>
      <c r="S3175">
        <f>SUMIFS([1]Sheet1!$T:$T,[1]Sheet1!$I:$I,E3175,[1]Sheet1!$C:$C,A3175)</f>
        <v>60</v>
      </c>
      <c r="T3175">
        <f t="shared" si="149"/>
        <v>-60</v>
      </c>
      <c r="U3175" s="9" t="s">
        <v>706</v>
      </c>
      <c r="V3175" t="s">
        <v>1843</v>
      </c>
      <c r="W3175" t="s">
        <v>138</v>
      </c>
      <c r="Y3175" t="s">
        <v>179</v>
      </c>
      <c r="Z3175" t="s">
        <v>113</v>
      </c>
      <c r="AB3175" t="str">
        <f t="shared" si="147"/>
        <v>03908</v>
      </c>
    </row>
    <row r="3176" ht="14.25" spans="1:28">
      <c r="A3176" s="5" t="s">
        <v>28</v>
      </c>
      <c r="B3176" s="5" t="s">
        <v>697</v>
      </c>
      <c r="C3176" s="5">
        <v>2027</v>
      </c>
      <c r="D3176" s="5" t="s">
        <v>30</v>
      </c>
      <c r="E3176" t="s">
        <v>1863</v>
      </c>
      <c r="F3176" t="s">
        <v>1851</v>
      </c>
      <c r="G3176" t="s">
        <v>1864</v>
      </c>
      <c r="I3176" t="s">
        <v>119</v>
      </c>
      <c r="J3176" t="s">
        <v>36</v>
      </c>
      <c r="K3176">
        <v>490</v>
      </c>
      <c r="O3176" t="s">
        <v>37</v>
      </c>
      <c r="P3176" t="s">
        <v>43</v>
      </c>
      <c r="U3176" s="9" t="s">
        <v>706</v>
      </c>
      <c r="V3176" t="s">
        <v>1843</v>
      </c>
      <c r="W3176" t="s">
        <v>138</v>
      </c>
      <c r="Y3176" t="s">
        <v>179</v>
      </c>
      <c r="Z3176" t="s">
        <v>113</v>
      </c>
      <c r="AB3176" t="str">
        <f t="shared" si="147"/>
        <v>03908</v>
      </c>
    </row>
    <row r="3177" ht="14.25" spans="1:28">
      <c r="A3177" s="5" t="s">
        <v>28</v>
      </c>
      <c r="B3177" s="5" t="s">
        <v>697</v>
      </c>
      <c r="C3177" s="5">
        <v>2027</v>
      </c>
      <c r="D3177" s="5" t="s">
        <v>30</v>
      </c>
      <c r="E3177" t="s">
        <v>1863</v>
      </c>
      <c r="F3177" t="s">
        <v>1851</v>
      </c>
      <c r="G3177" t="s">
        <v>1864</v>
      </c>
      <c r="I3177" t="s">
        <v>119</v>
      </c>
      <c r="J3177" t="s">
        <v>36</v>
      </c>
      <c r="K3177">
        <v>490</v>
      </c>
      <c r="O3177" t="s">
        <v>37</v>
      </c>
      <c r="P3177" t="s">
        <v>44</v>
      </c>
      <c r="U3177" s="9" t="s">
        <v>706</v>
      </c>
      <c r="V3177" t="s">
        <v>1843</v>
      </c>
      <c r="W3177" t="s">
        <v>138</v>
      </c>
      <c r="Y3177" t="s">
        <v>179</v>
      </c>
      <c r="Z3177" t="s">
        <v>113</v>
      </c>
      <c r="AB3177" t="str">
        <f t="shared" si="147"/>
        <v>03908</v>
      </c>
    </row>
    <row r="3178" ht="14.25" spans="1:28">
      <c r="A3178" s="5" t="s">
        <v>28</v>
      </c>
      <c r="B3178" s="5" t="s">
        <v>697</v>
      </c>
      <c r="C3178" s="5">
        <v>2027</v>
      </c>
      <c r="D3178" s="5" t="s">
        <v>30</v>
      </c>
      <c r="E3178" t="s">
        <v>1863</v>
      </c>
      <c r="F3178" t="s">
        <v>1851</v>
      </c>
      <c r="G3178" t="s">
        <v>1864</v>
      </c>
      <c r="I3178" t="s">
        <v>119</v>
      </c>
      <c r="J3178" t="s">
        <v>36</v>
      </c>
      <c r="K3178">
        <v>490</v>
      </c>
      <c r="O3178" t="s">
        <v>37</v>
      </c>
      <c r="P3178" t="s">
        <v>45</v>
      </c>
      <c r="U3178" s="9" t="s">
        <v>706</v>
      </c>
      <c r="V3178" t="s">
        <v>1843</v>
      </c>
      <c r="W3178" t="s">
        <v>138</v>
      </c>
      <c r="Y3178" t="s">
        <v>179</v>
      </c>
      <c r="Z3178" t="s">
        <v>113</v>
      </c>
      <c r="AB3178" t="str">
        <f t="shared" si="147"/>
        <v>03908</v>
      </c>
    </row>
    <row r="3179" ht="14.25" spans="1:28">
      <c r="A3179" s="5" t="s">
        <v>28</v>
      </c>
      <c r="B3179" s="5" t="s">
        <v>697</v>
      </c>
      <c r="C3179" s="5">
        <v>2027</v>
      </c>
      <c r="D3179" s="5" t="s">
        <v>30</v>
      </c>
      <c r="E3179" t="s">
        <v>1863</v>
      </c>
      <c r="F3179" t="s">
        <v>1851</v>
      </c>
      <c r="G3179" t="s">
        <v>1864</v>
      </c>
      <c r="I3179" t="s">
        <v>119</v>
      </c>
      <c r="J3179" t="s">
        <v>36</v>
      </c>
      <c r="K3179">
        <v>490</v>
      </c>
      <c r="O3179" t="s">
        <v>37</v>
      </c>
      <c r="P3179" t="s">
        <v>46</v>
      </c>
      <c r="U3179" s="9" t="s">
        <v>706</v>
      </c>
      <c r="V3179" t="s">
        <v>1843</v>
      </c>
      <c r="W3179" t="s">
        <v>138</v>
      </c>
      <c r="Y3179" t="s">
        <v>179</v>
      </c>
      <c r="Z3179" t="s">
        <v>113</v>
      </c>
      <c r="AB3179" t="str">
        <f t="shared" si="147"/>
        <v>03908</v>
      </c>
    </row>
    <row r="3180" ht="14.25" spans="1:28">
      <c r="A3180" s="5" t="s">
        <v>28</v>
      </c>
      <c r="B3180" s="5" t="s">
        <v>697</v>
      </c>
      <c r="C3180" s="5">
        <v>2027</v>
      </c>
      <c r="D3180" s="5" t="s">
        <v>30</v>
      </c>
      <c r="E3180" t="s">
        <v>1865</v>
      </c>
      <c r="F3180" t="s">
        <v>1866</v>
      </c>
      <c r="G3180" t="s">
        <v>1867</v>
      </c>
      <c r="I3180" t="s">
        <v>147</v>
      </c>
      <c r="J3180" t="s">
        <v>36</v>
      </c>
      <c r="K3180">
        <v>690</v>
      </c>
      <c r="O3180" t="s">
        <v>37</v>
      </c>
      <c r="P3180" t="s">
        <v>42</v>
      </c>
      <c r="R3180">
        <f t="shared" si="148"/>
        <v>0</v>
      </c>
      <c r="S3180">
        <f>SUMIFS([1]Sheet1!$T:$T,[1]Sheet1!$I:$I,E3180,[1]Sheet1!$C:$C,A3180)</f>
        <v>0</v>
      </c>
      <c r="T3180">
        <f t="shared" si="149"/>
        <v>0</v>
      </c>
      <c r="U3180" s="9" t="s">
        <v>706</v>
      </c>
      <c r="V3180" t="s">
        <v>1843</v>
      </c>
      <c r="W3180" t="s">
        <v>138</v>
      </c>
      <c r="X3180" t="s">
        <v>102</v>
      </c>
      <c r="Y3180" t="s">
        <v>179</v>
      </c>
      <c r="Z3180" t="s">
        <v>113</v>
      </c>
      <c r="AB3180" t="str">
        <f t="shared" si="147"/>
        <v>03935</v>
      </c>
    </row>
    <row r="3181" ht="14.25" spans="1:28">
      <c r="A3181" s="5" t="s">
        <v>28</v>
      </c>
      <c r="B3181" s="5" t="s">
        <v>697</v>
      </c>
      <c r="C3181" s="5">
        <v>2027</v>
      </c>
      <c r="D3181" s="5" t="s">
        <v>30</v>
      </c>
      <c r="E3181" t="s">
        <v>1865</v>
      </c>
      <c r="F3181" t="s">
        <v>1866</v>
      </c>
      <c r="G3181" t="s">
        <v>1867</v>
      </c>
      <c r="I3181" t="s">
        <v>147</v>
      </c>
      <c r="J3181" t="s">
        <v>36</v>
      </c>
      <c r="K3181">
        <v>690</v>
      </c>
      <c r="O3181" t="s">
        <v>37</v>
      </c>
      <c r="P3181" t="s">
        <v>43</v>
      </c>
      <c r="U3181" s="9" t="s">
        <v>706</v>
      </c>
      <c r="V3181" t="s">
        <v>1843</v>
      </c>
      <c r="W3181" t="s">
        <v>138</v>
      </c>
      <c r="X3181" t="s">
        <v>102</v>
      </c>
      <c r="Y3181" t="s">
        <v>179</v>
      </c>
      <c r="Z3181" t="s">
        <v>113</v>
      </c>
      <c r="AB3181" t="str">
        <f t="shared" si="147"/>
        <v>03935</v>
      </c>
    </row>
    <row r="3182" ht="14.25" spans="1:28">
      <c r="A3182" s="5" t="s">
        <v>28</v>
      </c>
      <c r="B3182" s="5" t="s">
        <v>697</v>
      </c>
      <c r="C3182" s="5">
        <v>2027</v>
      </c>
      <c r="D3182" s="5" t="s">
        <v>30</v>
      </c>
      <c r="E3182" t="s">
        <v>1865</v>
      </c>
      <c r="F3182" t="s">
        <v>1866</v>
      </c>
      <c r="G3182" t="s">
        <v>1867</v>
      </c>
      <c r="I3182" t="s">
        <v>147</v>
      </c>
      <c r="J3182" t="s">
        <v>36</v>
      </c>
      <c r="K3182">
        <v>690</v>
      </c>
      <c r="O3182" t="s">
        <v>37</v>
      </c>
      <c r="P3182" t="s">
        <v>44</v>
      </c>
      <c r="U3182" s="9" t="s">
        <v>706</v>
      </c>
      <c r="V3182" t="s">
        <v>1843</v>
      </c>
      <c r="W3182" t="s">
        <v>138</v>
      </c>
      <c r="X3182" t="s">
        <v>102</v>
      </c>
      <c r="Y3182" t="s">
        <v>179</v>
      </c>
      <c r="Z3182" t="s">
        <v>113</v>
      </c>
      <c r="AB3182" t="str">
        <f t="shared" si="147"/>
        <v>03935</v>
      </c>
    </row>
    <row r="3183" ht="14.25" spans="1:28">
      <c r="A3183" s="5" t="s">
        <v>28</v>
      </c>
      <c r="B3183" s="5" t="s">
        <v>697</v>
      </c>
      <c r="C3183" s="5">
        <v>2027</v>
      </c>
      <c r="D3183" s="5" t="s">
        <v>30</v>
      </c>
      <c r="E3183" t="s">
        <v>1865</v>
      </c>
      <c r="F3183" t="s">
        <v>1866</v>
      </c>
      <c r="G3183" t="s">
        <v>1867</v>
      </c>
      <c r="I3183" t="s">
        <v>147</v>
      </c>
      <c r="J3183" t="s">
        <v>36</v>
      </c>
      <c r="K3183">
        <v>690</v>
      </c>
      <c r="O3183" t="s">
        <v>37</v>
      </c>
      <c r="P3183" t="s">
        <v>45</v>
      </c>
      <c r="U3183" s="9" t="s">
        <v>706</v>
      </c>
      <c r="V3183" t="s">
        <v>1843</v>
      </c>
      <c r="W3183" t="s">
        <v>138</v>
      </c>
      <c r="X3183" t="s">
        <v>102</v>
      </c>
      <c r="Y3183" t="s">
        <v>179</v>
      </c>
      <c r="Z3183" t="s">
        <v>113</v>
      </c>
      <c r="AB3183" t="str">
        <f t="shared" si="147"/>
        <v>03935</v>
      </c>
    </row>
    <row r="3184" ht="14.25" spans="1:28">
      <c r="A3184" s="5" t="s">
        <v>28</v>
      </c>
      <c r="B3184" s="5" t="s">
        <v>697</v>
      </c>
      <c r="C3184" s="5">
        <v>2027</v>
      </c>
      <c r="D3184" s="5" t="s">
        <v>30</v>
      </c>
      <c r="E3184" t="s">
        <v>1865</v>
      </c>
      <c r="F3184" t="s">
        <v>1866</v>
      </c>
      <c r="G3184" t="s">
        <v>1867</v>
      </c>
      <c r="I3184" t="s">
        <v>147</v>
      </c>
      <c r="J3184" t="s">
        <v>36</v>
      </c>
      <c r="K3184">
        <v>690</v>
      </c>
      <c r="O3184" t="s">
        <v>37</v>
      </c>
      <c r="P3184" t="s">
        <v>46</v>
      </c>
      <c r="U3184" s="9" t="s">
        <v>706</v>
      </c>
      <c r="V3184" t="s">
        <v>1843</v>
      </c>
      <c r="W3184" t="s">
        <v>138</v>
      </c>
      <c r="X3184" t="s">
        <v>102</v>
      </c>
      <c r="Y3184" t="s">
        <v>179</v>
      </c>
      <c r="Z3184" t="s">
        <v>113</v>
      </c>
      <c r="AB3184" t="str">
        <f t="shared" si="147"/>
        <v>03935</v>
      </c>
    </row>
    <row r="3185" ht="14.25" spans="1:28">
      <c r="A3185" s="5" t="s">
        <v>28</v>
      </c>
      <c r="B3185" s="5" t="s">
        <v>697</v>
      </c>
      <c r="C3185" s="5">
        <v>2027</v>
      </c>
      <c r="D3185" s="5" t="s">
        <v>30</v>
      </c>
      <c r="E3185" t="s">
        <v>1868</v>
      </c>
      <c r="F3185" t="s">
        <v>1869</v>
      </c>
      <c r="G3185" t="s">
        <v>1234</v>
      </c>
      <c r="I3185" t="s">
        <v>147</v>
      </c>
      <c r="J3185" t="s">
        <v>36</v>
      </c>
      <c r="K3185">
        <v>690</v>
      </c>
      <c r="O3185" t="s">
        <v>37</v>
      </c>
      <c r="P3185" t="s">
        <v>42</v>
      </c>
      <c r="R3185">
        <f t="shared" si="148"/>
        <v>0</v>
      </c>
      <c r="S3185">
        <f>SUMIFS([1]Sheet1!$T:$T,[1]Sheet1!$I:$I,E3185,[1]Sheet1!$C:$C,A3185)</f>
        <v>0</v>
      </c>
      <c r="T3185">
        <f t="shared" si="149"/>
        <v>0</v>
      </c>
      <c r="U3185" s="9" t="s">
        <v>706</v>
      </c>
      <c r="V3185" t="s">
        <v>1843</v>
      </c>
      <c r="W3185" t="s">
        <v>138</v>
      </c>
      <c r="X3185" t="s">
        <v>39</v>
      </c>
      <c r="Y3185" t="s">
        <v>179</v>
      </c>
      <c r="Z3185" t="s">
        <v>113</v>
      </c>
      <c r="AB3185" t="str">
        <f t="shared" si="147"/>
        <v>04091</v>
      </c>
    </row>
    <row r="3186" ht="14.25" spans="1:28">
      <c r="A3186" s="5" t="s">
        <v>28</v>
      </c>
      <c r="B3186" s="5" t="s">
        <v>697</v>
      </c>
      <c r="C3186" s="5">
        <v>2027</v>
      </c>
      <c r="D3186" s="5" t="s">
        <v>30</v>
      </c>
      <c r="E3186" t="s">
        <v>1868</v>
      </c>
      <c r="F3186" t="s">
        <v>1869</v>
      </c>
      <c r="G3186" t="s">
        <v>1234</v>
      </c>
      <c r="I3186" t="s">
        <v>147</v>
      </c>
      <c r="J3186" t="s">
        <v>36</v>
      </c>
      <c r="K3186">
        <v>690</v>
      </c>
      <c r="O3186" t="s">
        <v>37</v>
      </c>
      <c r="P3186" t="s">
        <v>43</v>
      </c>
      <c r="U3186" s="9" t="s">
        <v>706</v>
      </c>
      <c r="V3186" t="s">
        <v>1843</v>
      </c>
      <c r="W3186" t="s">
        <v>138</v>
      </c>
      <c r="X3186" t="s">
        <v>39</v>
      </c>
      <c r="Y3186" t="s">
        <v>179</v>
      </c>
      <c r="Z3186" t="s">
        <v>113</v>
      </c>
      <c r="AB3186" t="str">
        <f t="shared" si="147"/>
        <v>04091</v>
      </c>
    </row>
    <row r="3187" ht="14.25" spans="1:28">
      <c r="A3187" s="5" t="s">
        <v>28</v>
      </c>
      <c r="B3187" s="5" t="s">
        <v>697</v>
      </c>
      <c r="C3187" s="5">
        <v>2027</v>
      </c>
      <c r="D3187" s="5" t="s">
        <v>30</v>
      </c>
      <c r="E3187" t="s">
        <v>1868</v>
      </c>
      <c r="F3187" t="s">
        <v>1869</v>
      </c>
      <c r="G3187" t="s">
        <v>1234</v>
      </c>
      <c r="I3187" t="s">
        <v>147</v>
      </c>
      <c r="J3187" t="s">
        <v>36</v>
      </c>
      <c r="K3187">
        <v>690</v>
      </c>
      <c r="O3187" t="s">
        <v>37</v>
      </c>
      <c r="P3187" t="s">
        <v>44</v>
      </c>
      <c r="U3187" s="9" t="s">
        <v>706</v>
      </c>
      <c r="V3187" t="s">
        <v>1843</v>
      </c>
      <c r="W3187" t="s">
        <v>138</v>
      </c>
      <c r="X3187" t="s">
        <v>39</v>
      </c>
      <c r="Y3187" t="s">
        <v>179</v>
      </c>
      <c r="Z3187" t="s">
        <v>113</v>
      </c>
      <c r="AB3187" t="str">
        <f t="shared" ref="AB3187:AB3250" si="150">MID(E3187,6,5)</f>
        <v>04091</v>
      </c>
    </row>
    <row r="3188" ht="14.25" spans="1:28">
      <c r="A3188" s="5" t="s">
        <v>28</v>
      </c>
      <c r="B3188" s="5" t="s">
        <v>697</v>
      </c>
      <c r="C3188" s="5">
        <v>2027</v>
      </c>
      <c r="D3188" s="5" t="s">
        <v>30</v>
      </c>
      <c r="E3188" t="s">
        <v>1868</v>
      </c>
      <c r="F3188" t="s">
        <v>1869</v>
      </c>
      <c r="G3188" t="s">
        <v>1234</v>
      </c>
      <c r="I3188" t="s">
        <v>147</v>
      </c>
      <c r="J3188" t="s">
        <v>36</v>
      </c>
      <c r="K3188">
        <v>690</v>
      </c>
      <c r="O3188" t="s">
        <v>37</v>
      </c>
      <c r="P3188" t="s">
        <v>45</v>
      </c>
      <c r="U3188" s="9" t="s">
        <v>706</v>
      </c>
      <c r="V3188" t="s">
        <v>1843</v>
      </c>
      <c r="W3188" t="s">
        <v>138</v>
      </c>
      <c r="X3188" t="s">
        <v>39</v>
      </c>
      <c r="Y3188" t="s">
        <v>179</v>
      </c>
      <c r="Z3188" t="s">
        <v>113</v>
      </c>
      <c r="AB3188" t="str">
        <f t="shared" si="150"/>
        <v>04091</v>
      </c>
    </row>
    <row r="3189" ht="14.25" spans="1:28">
      <c r="A3189" s="5" t="s">
        <v>28</v>
      </c>
      <c r="B3189" s="5" t="s">
        <v>697</v>
      </c>
      <c r="C3189" s="5">
        <v>2027</v>
      </c>
      <c r="D3189" s="5" t="s">
        <v>30</v>
      </c>
      <c r="E3189" t="s">
        <v>1868</v>
      </c>
      <c r="F3189" t="s">
        <v>1869</v>
      </c>
      <c r="G3189" t="s">
        <v>1234</v>
      </c>
      <c r="I3189" t="s">
        <v>147</v>
      </c>
      <c r="J3189" t="s">
        <v>36</v>
      </c>
      <c r="K3189">
        <v>690</v>
      </c>
      <c r="O3189" t="s">
        <v>37</v>
      </c>
      <c r="P3189" t="s">
        <v>46</v>
      </c>
      <c r="U3189" s="9" t="s">
        <v>706</v>
      </c>
      <c r="V3189" t="s">
        <v>1843</v>
      </c>
      <c r="W3189" t="s">
        <v>138</v>
      </c>
      <c r="X3189" t="s">
        <v>39</v>
      </c>
      <c r="Y3189" t="s">
        <v>179</v>
      </c>
      <c r="Z3189" t="s">
        <v>113</v>
      </c>
      <c r="AB3189" t="str">
        <f t="shared" si="150"/>
        <v>04091</v>
      </c>
    </row>
    <row r="3190" ht="14.25" spans="1:28">
      <c r="A3190" s="5" t="s">
        <v>28</v>
      </c>
      <c r="B3190" s="5" t="s">
        <v>697</v>
      </c>
      <c r="C3190" s="5">
        <v>2027</v>
      </c>
      <c r="D3190" s="5" t="s">
        <v>30</v>
      </c>
      <c r="E3190" t="s">
        <v>1870</v>
      </c>
      <c r="F3190" t="s">
        <v>1871</v>
      </c>
      <c r="G3190" t="s">
        <v>1872</v>
      </c>
      <c r="I3190" t="s">
        <v>119</v>
      </c>
      <c r="J3190" t="s">
        <v>36</v>
      </c>
      <c r="K3190">
        <v>490</v>
      </c>
      <c r="O3190" t="s">
        <v>37</v>
      </c>
      <c r="P3190" t="s">
        <v>42</v>
      </c>
      <c r="R3190">
        <f t="shared" si="148"/>
        <v>0</v>
      </c>
      <c r="S3190">
        <f>SUMIFS([1]Sheet1!$T:$T,[1]Sheet1!$I:$I,E3190,[1]Sheet1!$C:$C,A3190)</f>
        <v>0</v>
      </c>
      <c r="T3190">
        <f t="shared" si="149"/>
        <v>0</v>
      </c>
      <c r="U3190" s="9" t="s">
        <v>706</v>
      </c>
      <c r="V3190" t="s">
        <v>1843</v>
      </c>
      <c r="W3190" t="s">
        <v>138</v>
      </c>
      <c r="Y3190" t="s">
        <v>179</v>
      </c>
      <c r="Z3190" t="s">
        <v>113</v>
      </c>
      <c r="AB3190" t="str">
        <f t="shared" si="150"/>
        <v>04139</v>
      </c>
    </row>
    <row r="3191" ht="14.25" spans="1:28">
      <c r="A3191" s="5" t="s">
        <v>28</v>
      </c>
      <c r="B3191" s="5" t="s">
        <v>697</v>
      </c>
      <c r="C3191" s="5">
        <v>2027</v>
      </c>
      <c r="D3191" s="5" t="s">
        <v>30</v>
      </c>
      <c r="E3191" t="s">
        <v>1870</v>
      </c>
      <c r="F3191" t="s">
        <v>1871</v>
      </c>
      <c r="G3191" t="s">
        <v>1872</v>
      </c>
      <c r="I3191" t="s">
        <v>119</v>
      </c>
      <c r="J3191" t="s">
        <v>36</v>
      </c>
      <c r="K3191">
        <v>490</v>
      </c>
      <c r="O3191" t="s">
        <v>37</v>
      </c>
      <c r="P3191" t="s">
        <v>43</v>
      </c>
      <c r="U3191" s="9" t="s">
        <v>706</v>
      </c>
      <c r="V3191" t="s">
        <v>1843</v>
      </c>
      <c r="W3191" t="s">
        <v>138</v>
      </c>
      <c r="Y3191" t="s">
        <v>179</v>
      </c>
      <c r="Z3191" t="s">
        <v>113</v>
      </c>
      <c r="AB3191" t="str">
        <f t="shared" si="150"/>
        <v>04139</v>
      </c>
    </row>
    <row r="3192" ht="14.25" spans="1:28">
      <c r="A3192" s="5" t="s">
        <v>28</v>
      </c>
      <c r="B3192" s="5" t="s">
        <v>697</v>
      </c>
      <c r="C3192" s="5">
        <v>2027</v>
      </c>
      <c r="D3192" s="5" t="s">
        <v>30</v>
      </c>
      <c r="E3192" t="s">
        <v>1870</v>
      </c>
      <c r="F3192" t="s">
        <v>1871</v>
      </c>
      <c r="G3192" t="s">
        <v>1872</v>
      </c>
      <c r="I3192" t="s">
        <v>119</v>
      </c>
      <c r="J3192" t="s">
        <v>36</v>
      </c>
      <c r="K3192">
        <v>490</v>
      </c>
      <c r="O3192" t="s">
        <v>37</v>
      </c>
      <c r="P3192" t="s">
        <v>44</v>
      </c>
      <c r="U3192" s="9" t="s">
        <v>706</v>
      </c>
      <c r="V3192" t="s">
        <v>1843</v>
      </c>
      <c r="W3192" t="s">
        <v>138</v>
      </c>
      <c r="Y3192" t="s">
        <v>179</v>
      </c>
      <c r="Z3192" t="s">
        <v>113</v>
      </c>
      <c r="AB3192" t="str">
        <f t="shared" si="150"/>
        <v>04139</v>
      </c>
    </row>
    <row r="3193" ht="14.25" spans="1:28">
      <c r="A3193" s="5" t="s">
        <v>28</v>
      </c>
      <c r="B3193" s="5" t="s">
        <v>697</v>
      </c>
      <c r="C3193" s="5">
        <v>2027</v>
      </c>
      <c r="D3193" s="5" t="s">
        <v>30</v>
      </c>
      <c r="E3193" t="s">
        <v>1870</v>
      </c>
      <c r="F3193" t="s">
        <v>1871</v>
      </c>
      <c r="G3193" t="s">
        <v>1872</v>
      </c>
      <c r="I3193" t="s">
        <v>119</v>
      </c>
      <c r="J3193" t="s">
        <v>36</v>
      </c>
      <c r="K3193">
        <v>490</v>
      </c>
      <c r="O3193" t="s">
        <v>37</v>
      </c>
      <c r="P3193" t="s">
        <v>45</v>
      </c>
      <c r="U3193" s="9" t="s">
        <v>706</v>
      </c>
      <c r="V3193" t="s">
        <v>1843</v>
      </c>
      <c r="W3193" t="s">
        <v>138</v>
      </c>
      <c r="Y3193" t="s">
        <v>179</v>
      </c>
      <c r="Z3193" t="s">
        <v>113</v>
      </c>
      <c r="AB3193" t="str">
        <f t="shared" si="150"/>
        <v>04139</v>
      </c>
    </row>
    <row r="3194" ht="14.25" spans="1:28">
      <c r="A3194" s="5" t="s">
        <v>28</v>
      </c>
      <c r="B3194" s="5" t="s">
        <v>697</v>
      </c>
      <c r="C3194" s="5">
        <v>2027</v>
      </c>
      <c r="D3194" s="5" t="s">
        <v>30</v>
      </c>
      <c r="E3194" t="s">
        <v>1870</v>
      </c>
      <c r="F3194" t="s">
        <v>1871</v>
      </c>
      <c r="G3194" t="s">
        <v>1872</v>
      </c>
      <c r="I3194" t="s">
        <v>119</v>
      </c>
      <c r="J3194" t="s">
        <v>36</v>
      </c>
      <c r="K3194">
        <v>490</v>
      </c>
      <c r="O3194" t="s">
        <v>37</v>
      </c>
      <c r="P3194" t="s">
        <v>46</v>
      </c>
      <c r="U3194" s="9" t="s">
        <v>706</v>
      </c>
      <c r="V3194" t="s">
        <v>1843</v>
      </c>
      <c r="W3194" t="s">
        <v>138</v>
      </c>
      <c r="Y3194" t="s">
        <v>179</v>
      </c>
      <c r="Z3194" t="s">
        <v>113</v>
      </c>
      <c r="AB3194" t="str">
        <f t="shared" si="150"/>
        <v>04139</v>
      </c>
    </row>
    <row r="3195" ht="14.25" spans="1:28">
      <c r="A3195" s="5" t="s">
        <v>28</v>
      </c>
      <c r="B3195" s="5" t="s">
        <v>697</v>
      </c>
      <c r="C3195" s="5">
        <v>2027</v>
      </c>
      <c r="D3195" s="5" t="s">
        <v>30</v>
      </c>
      <c r="E3195" t="s">
        <v>1873</v>
      </c>
      <c r="F3195" t="s">
        <v>1871</v>
      </c>
      <c r="G3195" t="s">
        <v>1874</v>
      </c>
      <c r="I3195" t="s">
        <v>119</v>
      </c>
      <c r="J3195" t="s">
        <v>36</v>
      </c>
      <c r="K3195">
        <v>490</v>
      </c>
      <c r="O3195" t="s">
        <v>37</v>
      </c>
      <c r="P3195" t="s">
        <v>42</v>
      </c>
      <c r="R3195">
        <f t="shared" si="148"/>
        <v>0</v>
      </c>
      <c r="S3195">
        <f>SUMIFS([1]Sheet1!$T:$T,[1]Sheet1!$I:$I,E3195,[1]Sheet1!$C:$C,A3195)</f>
        <v>0</v>
      </c>
      <c r="T3195">
        <f t="shared" si="149"/>
        <v>0</v>
      </c>
      <c r="U3195" s="9" t="s">
        <v>706</v>
      </c>
      <c r="V3195" t="s">
        <v>1843</v>
      </c>
      <c r="W3195" t="s">
        <v>138</v>
      </c>
      <c r="Y3195" t="s">
        <v>179</v>
      </c>
      <c r="Z3195" t="s">
        <v>113</v>
      </c>
      <c r="AB3195" t="str">
        <f t="shared" si="150"/>
        <v>04139</v>
      </c>
    </row>
    <row r="3196" ht="14.25" spans="1:28">
      <c r="A3196" s="5" t="s">
        <v>28</v>
      </c>
      <c r="B3196" s="5" t="s">
        <v>697</v>
      </c>
      <c r="C3196" s="5">
        <v>2027</v>
      </c>
      <c r="D3196" s="5" t="s">
        <v>30</v>
      </c>
      <c r="E3196" t="s">
        <v>1873</v>
      </c>
      <c r="F3196" t="s">
        <v>1871</v>
      </c>
      <c r="G3196" t="s">
        <v>1874</v>
      </c>
      <c r="I3196" t="s">
        <v>119</v>
      </c>
      <c r="J3196" t="s">
        <v>36</v>
      </c>
      <c r="K3196">
        <v>490</v>
      </c>
      <c r="O3196" t="s">
        <v>37</v>
      </c>
      <c r="P3196" t="s">
        <v>43</v>
      </c>
      <c r="U3196" s="9" t="s">
        <v>706</v>
      </c>
      <c r="V3196" t="s">
        <v>1843</v>
      </c>
      <c r="W3196" t="s">
        <v>138</v>
      </c>
      <c r="Y3196" t="s">
        <v>179</v>
      </c>
      <c r="Z3196" t="s">
        <v>113</v>
      </c>
      <c r="AB3196" t="str">
        <f t="shared" si="150"/>
        <v>04139</v>
      </c>
    </row>
    <row r="3197" ht="14.25" spans="1:28">
      <c r="A3197" s="5" t="s">
        <v>28</v>
      </c>
      <c r="B3197" s="5" t="s">
        <v>697</v>
      </c>
      <c r="C3197" s="5">
        <v>2027</v>
      </c>
      <c r="D3197" s="5" t="s">
        <v>30</v>
      </c>
      <c r="E3197" t="s">
        <v>1873</v>
      </c>
      <c r="F3197" t="s">
        <v>1871</v>
      </c>
      <c r="G3197" t="s">
        <v>1874</v>
      </c>
      <c r="I3197" t="s">
        <v>119</v>
      </c>
      <c r="J3197" t="s">
        <v>36</v>
      </c>
      <c r="K3197">
        <v>490</v>
      </c>
      <c r="O3197" t="s">
        <v>37</v>
      </c>
      <c r="P3197" t="s">
        <v>44</v>
      </c>
      <c r="U3197" s="9" t="s">
        <v>706</v>
      </c>
      <c r="V3197" t="s">
        <v>1843</v>
      </c>
      <c r="W3197" t="s">
        <v>138</v>
      </c>
      <c r="Y3197" t="s">
        <v>179</v>
      </c>
      <c r="Z3197" t="s">
        <v>113</v>
      </c>
      <c r="AB3197" t="str">
        <f t="shared" si="150"/>
        <v>04139</v>
      </c>
    </row>
    <row r="3198" ht="14.25" spans="1:28">
      <c r="A3198" s="5" t="s">
        <v>28</v>
      </c>
      <c r="B3198" s="5" t="s">
        <v>697</v>
      </c>
      <c r="C3198" s="5">
        <v>2027</v>
      </c>
      <c r="D3198" s="5" t="s">
        <v>30</v>
      </c>
      <c r="E3198" t="s">
        <v>1873</v>
      </c>
      <c r="F3198" t="s">
        <v>1871</v>
      </c>
      <c r="G3198" t="s">
        <v>1874</v>
      </c>
      <c r="I3198" t="s">
        <v>119</v>
      </c>
      <c r="J3198" t="s">
        <v>36</v>
      </c>
      <c r="K3198">
        <v>490</v>
      </c>
      <c r="O3198" t="s">
        <v>37</v>
      </c>
      <c r="P3198" t="s">
        <v>45</v>
      </c>
      <c r="U3198" s="9" t="s">
        <v>706</v>
      </c>
      <c r="V3198" t="s">
        <v>1843</v>
      </c>
      <c r="W3198" t="s">
        <v>138</v>
      </c>
      <c r="Y3198" t="s">
        <v>179</v>
      </c>
      <c r="Z3198" t="s">
        <v>113</v>
      </c>
      <c r="AB3198" t="str">
        <f t="shared" si="150"/>
        <v>04139</v>
      </c>
    </row>
    <row r="3199" ht="14.25" spans="1:28">
      <c r="A3199" s="5" t="s">
        <v>28</v>
      </c>
      <c r="B3199" s="5" t="s">
        <v>697</v>
      </c>
      <c r="C3199" s="5">
        <v>2027</v>
      </c>
      <c r="D3199" s="5" t="s">
        <v>30</v>
      </c>
      <c r="E3199" t="s">
        <v>1873</v>
      </c>
      <c r="F3199" t="s">
        <v>1871</v>
      </c>
      <c r="G3199" t="s">
        <v>1874</v>
      </c>
      <c r="I3199" t="s">
        <v>119</v>
      </c>
      <c r="J3199" t="s">
        <v>36</v>
      </c>
      <c r="K3199">
        <v>490</v>
      </c>
      <c r="O3199" t="s">
        <v>37</v>
      </c>
      <c r="P3199" t="s">
        <v>46</v>
      </c>
      <c r="U3199" s="9" t="s">
        <v>706</v>
      </c>
      <c r="V3199" t="s">
        <v>1843</v>
      </c>
      <c r="W3199" t="s">
        <v>138</v>
      </c>
      <c r="Y3199" t="s">
        <v>179</v>
      </c>
      <c r="Z3199" t="s">
        <v>113</v>
      </c>
      <c r="AB3199" t="str">
        <f t="shared" si="150"/>
        <v>04139</v>
      </c>
    </row>
    <row r="3200" ht="14.25" spans="1:28">
      <c r="A3200" s="5" t="s">
        <v>28</v>
      </c>
      <c r="B3200" s="5" t="s">
        <v>697</v>
      </c>
      <c r="C3200" s="5">
        <v>2027</v>
      </c>
      <c r="D3200" s="5" t="s">
        <v>30</v>
      </c>
      <c r="E3200" t="s">
        <v>1875</v>
      </c>
      <c r="F3200" t="s">
        <v>1876</v>
      </c>
      <c r="G3200" t="s">
        <v>1877</v>
      </c>
      <c r="I3200" t="s">
        <v>119</v>
      </c>
      <c r="J3200" t="s">
        <v>36</v>
      </c>
      <c r="K3200">
        <v>490</v>
      </c>
      <c r="O3200" t="s">
        <v>37</v>
      </c>
      <c r="P3200" t="s">
        <v>42</v>
      </c>
      <c r="R3200">
        <f t="shared" si="148"/>
        <v>0</v>
      </c>
      <c r="S3200">
        <f>SUMIFS([1]Sheet1!$T:$T,[1]Sheet1!$I:$I,E3200,[1]Sheet1!$C:$C,A3200)</f>
        <v>0</v>
      </c>
      <c r="T3200">
        <f t="shared" si="149"/>
        <v>0</v>
      </c>
      <c r="U3200" s="9" t="s">
        <v>706</v>
      </c>
      <c r="V3200" t="s">
        <v>1843</v>
      </c>
      <c r="W3200" t="s">
        <v>138</v>
      </c>
      <c r="Y3200" t="s">
        <v>179</v>
      </c>
      <c r="Z3200" t="s">
        <v>113</v>
      </c>
      <c r="AB3200" t="str">
        <f t="shared" si="150"/>
        <v>04215</v>
      </c>
    </row>
    <row r="3201" ht="14.25" spans="1:28">
      <c r="A3201" s="5" t="s">
        <v>28</v>
      </c>
      <c r="B3201" s="5" t="s">
        <v>697</v>
      </c>
      <c r="C3201" s="5">
        <v>2027</v>
      </c>
      <c r="D3201" s="5" t="s">
        <v>30</v>
      </c>
      <c r="E3201" t="s">
        <v>1875</v>
      </c>
      <c r="F3201" t="s">
        <v>1876</v>
      </c>
      <c r="G3201" t="s">
        <v>1877</v>
      </c>
      <c r="I3201" t="s">
        <v>119</v>
      </c>
      <c r="J3201" t="s">
        <v>36</v>
      </c>
      <c r="K3201">
        <v>490</v>
      </c>
      <c r="O3201" t="s">
        <v>37</v>
      </c>
      <c r="P3201" t="s">
        <v>43</v>
      </c>
      <c r="U3201" s="9" t="s">
        <v>706</v>
      </c>
      <c r="V3201" t="s">
        <v>1843</v>
      </c>
      <c r="W3201" t="s">
        <v>138</v>
      </c>
      <c r="Y3201" t="s">
        <v>179</v>
      </c>
      <c r="Z3201" t="s">
        <v>113</v>
      </c>
      <c r="AB3201" t="str">
        <f t="shared" si="150"/>
        <v>04215</v>
      </c>
    </row>
    <row r="3202" ht="14.25" spans="1:28">
      <c r="A3202" s="5" t="s">
        <v>28</v>
      </c>
      <c r="B3202" s="5" t="s">
        <v>697</v>
      </c>
      <c r="C3202" s="5">
        <v>2027</v>
      </c>
      <c r="D3202" s="5" t="s">
        <v>30</v>
      </c>
      <c r="E3202" t="s">
        <v>1875</v>
      </c>
      <c r="F3202" t="s">
        <v>1876</v>
      </c>
      <c r="G3202" t="s">
        <v>1877</v>
      </c>
      <c r="I3202" t="s">
        <v>119</v>
      </c>
      <c r="J3202" t="s">
        <v>36</v>
      </c>
      <c r="K3202">
        <v>490</v>
      </c>
      <c r="O3202" t="s">
        <v>37</v>
      </c>
      <c r="P3202" t="s">
        <v>44</v>
      </c>
      <c r="U3202" s="9" t="s">
        <v>706</v>
      </c>
      <c r="V3202" t="s">
        <v>1843</v>
      </c>
      <c r="W3202" t="s">
        <v>138</v>
      </c>
      <c r="Y3202" t="s">
        <v>179</v>
      </c>
      <c r="Z3202" t="s">
        <v>113</v>
      </c>
      <c r="AB3202" t="str">
        <f t="shared" si="150"/>
        <v>04215</v>
      </c>
    </row>
    <row r="3203" ht="14.25" spans="1:28">
      <c r="A3203" s="5" t="s">
        <v>28</v>
      </c>
      <c r="B3203" s="5" t="s">
        <v>697</v>
      </c>
      <c r="C3203" s="5">
        <v>2027</v>
      </c>
      <c r="D3203" s="5" t="s">
        <v>30</v>
      </c>
      <c r="E3203" t="s">
        <v>1875</v>
      </c>
      <c r="F3203" t="s">
        <v>1876</v>
      </c>
      <c r="G3203" t="s">
        <v>1877</v>
      </c>
      <c r="I3203" t="s">
        <v>119</v>
      </c>
      <c r="J3203" t="s">
        <v>36</v>
      </c>
      <c r="K3203">
        <v>490</v>
      </c>
      <c r="O3203" t="s">
        <v>37</v>
      </c>
      <c r="P3203" t="s">
        <v>45</v>
      </c>
      <c r="U3203" s="9" t="s">
        <v>706</v>
      </c>
      <c r="V3203" t="s">
        <v>1843</v>
      </c>
      <c r="W3203" t="s">
        <v>138</v>
      </c>
      <c r="Y3203" t="s">
        <v>179</v>
      </c>
      <c r="Z3203" t="s">
        <v>113</v>
      </c>
      <c r="AB3203" t="str">
        <f t="shared" si="150"/>
        <v>04215</v>
      </c>
    </row>
    <row r="3204" ht="14.25" spans="1:28">
      <c r="A3204" s="5" t="s">
        <v>28</v>
      </c>
      <c r="B3204" s="5" t="s">
        <v>697</v>
      </c>
      <c r="C3204" s="5">
        <v>2027</v>
      </c>
      <c r="D3204" s="5" t="s">
        <v>30</v>
      </c>
      <c r="E3204" t="s">
        <v>1875</v>
      </c>
      <c r="F3204" t="s">
        <v>1876</v>
      </c>
      <c r="G3204" t="s">
        <v>1877</v>
      </c>
      <c r="I3204" t="s">
        <v>119</v>
      </c>
      <c r="J3204" t="s">
        <v>36</v>
      </c>
      <c r="K3204">
        <v>490</v>
      </c>
      <c r="O3204" t="s">
        <v>37</v>
      </c>
      <c r="P3204" t="s">
        <v>46</v>
      </c>
      <c r="U3204" s="9" t="s">
        <v>706</v>
      </c>
      <c r="V3204" t="s">
        <v>1843</v>
      </c>
      <c r="W3204" t="s">
        <v>138</v>
      </c>
      <c r="Y3204" t="s">
        <v>179</v>
      </c>
      <c r="Z3204" t="s">
        <v>113</v>
      </c>
      <c r="AB3204" t="str">
        <f t="shared" si="150"/>
        <v>04215</v>
      </c>
    </row>
    <row r="3205" ht="14.25" spans="1:28">
      <c r="A3205" s="5" t="s">
        <v>28</v>
      </c>
      <c r="B3205" s="5" t="s">
        <v>697</v>
      </c>
      <c r="C3205" s="5">
        <v>2027</v>
      </c>
      <c r="D3205" s="5" t="s">
        <v>30</v>
      </c>
      <c r="E3205" t="s">
        <v>1878</v>
      </c>
      <c r="F3205" t="s">
        <v>1879</v>
      </c>
      <c r="G3205" t="s">
        <v>1880</v>
      </c>
      <c r="I3205" t="s">
        <v>119</v>
      </c>
      <c r="J3205" t="s">
        <v>36</v>
      </c>
      <c r="K3205">
        <v>490</v>
      </c>
      <c r="O3205" t="s">
        <v>37</v>
      </c>
      <c r="P3205" t="s">
        <v>42</v>
      </c>
      <c r="R3205">
        <f t="shared" ref="R3202:R3265" si="151">SUMIFS(Q:Q,E:E,E3205)</f>
        <v>0</v>
      </c>
      <c r="S3205">
        <f>SUMIFS([1]Sheet1!$T:$T,[1]Sheet1!$I:$I,E3205,[1]Sheet1!$C:$C,A3205)</f>
        <v>0</v>
      </c>
      <c r="T3205">
        <f t="shared" ref="T3202:T3265" si="152">R3205-S3205</f>
        <v>0</v>
      </c>
      <c r="U3205" s="9" t="s">
        <v>706</v>
      </c>
      <c r="V3205" t="s">
        <v>1843</v>
      </c>
      <c r="W3205" t="s">
        <v>138</v>
      </c>
      <c r="Y3205" t="s">
        <v>179</v>
      </c>
      <c r="Z3205" t="s">
        <v>113</v>
      </c>
      <c r="AB3205" t="str">
        <f t="shared" si="150"/>
        <v>04231</v>
      </c>
    </row>
    <row r="3206" ht="14.25" spans="1:28">
      <c r="A3206" s="5" t="s">
        <v>28</v>
      </c>
      <c r="B3206" s="5" t="s">
        <v>697</v>
      </c>
      <c r="C3206" s="5">
        <v>2027</v>
      </c>
      <c r="D3206" s="5" t="s">
        <v>30</v>
      </c>
      <c r="E3206" t="s">
        <v>1878</v>
      </c>
      <c r="F3206" t="s">
        <v>1879</v>
      </c>
      <c r="G3206" t="s">
        <v>1880</v>
      </c>
      <c r="I3206" t="s">
        <v>119</v>
      </c>
      <c r="J3206" t="s">
        <v>36</v>
      </c>
      <c r="K3206">
        <v>490</v>
      </c>
      <c r="O3206" t="s">
        <v>37</v>
      </c>
      <c r="P3206" t="s">
        <v>43</v>
      </c>
      <c r="U3206" s="9" t="s">
        <v>706</v>
      </c>
      <c r="V3206" t="s">
        <v>1843</v>
      </c>
      <c r="W3206" t="s">
        <v>138</v>
      </c>
      <c r="Y3206" t="s">
        <v>179</v>
      </c>
      <c r="Z3206" t="s">
        <v>113</v>
      </c>
      <c r="AB3206" t="str">
        <f t="shared" si="150"/>
        <v>04231</v>
      </c>
    </row>
    <row r="3207" ht="14.25" spans="1:28">
      <c r="A3207" s="5" t="s">
        <v>28</v>
      </c>
      <c r="B3207" s="5" t="s">
        <v>697</v>
      </c>
      <c r="C3207" s="5">
        <v>2027</v>
      </c>
      <c r="D3207" s="5" t="s">
        <v>30</v>
      </c>
      <c r="E3207" t="s">
        <v>1878</v>
      </c>
      <c r="F3207" t="s">
        <v>1879</v>
      </c>
      <c r="G3207" t="s">
        <v>1880</v>
      </c>
      <c r="I3207" t="s">
        <v>119</v>
      </c>
      <c r="J3207" t="s">
        <v>36</v>
      </c>
      <c r="K3207">
        <v>490</v>
      </c>
      <c r="O3207" t="s">
        <v>37</v>
      </c>
      <c r="P3207" t="s">
        <v>44</v>
      </c>
      <c r="U3207" s="9" t="s">
        <v>706</v>
      </c>
      <c r="V3207" t="s">
        <v>1843</v>
      </c>
      <c r="W3207" t="s">
        <v>138</v>
      </c>
      <c r="Y3207" t="s">
        <v>179</v>
      </c>
      <c r="Z3207" t="s">
        <v>113</v>
      </c>
      <c r="AB3207" t="str">
        <f t="shared" si="150"/>
        <v>04231</v>
      </c>
    </row>
    <row r="3208" ht="14.25" spans="1:28">
      <c r="A3208" s="5" t="s">
        <v>28</v>
      </c>
      <c r="B3208" s="5" t="s">
        <v>697</v>
      </c>
      <c r="C3208" s="5">
        <v>2027</v>
      </c>
      <c r="D3208" s="5" t="s">
        <v>30</v>
      </c>
      <c r="E3208" t="s">
        <v>1878</v>
      </c>
      <c r="F3208" t="s">
        <v>1879</v>
      </c>
      <c r="G3208" t="s">
        <v>1880</v>
      </c>
      <c r="I3208" t="s">
        <v>119</v>
      </c>
      <c r="J3208" t="s">
        <v>36</v>
      </c>
      <c r="K3208">
        <v>490</v>
      </c>
      <c r="O3208" t="s">
        <v>37</v>
      </c>
      <c r="P3208" t="s">
        <v>45</v>
      </c>
      <c r="U3208" s="9" t="s">
        <v>706</v>
      </c>
      <c r="V3208" t="s">
        <v>1843</v>
      </c>
      <c r="W3208" t="s">
        <v>138</v>
      </c>
      <c r="Y3208" t="s">
        <v>179</v>
      </c>
      <c r="Z3208" t="s">
        <v>113</v>
      </c>
      <c r="AB3208" t="str">
        <f t="shared" si="150"/>
        <v>04231</v>
      </c>
    </row>
    <row r="3209" ht="14.25" spans="1:28">
      <c r="A3209" s="5" t="s">
        <v>28</v>
      </c>
      <c r="B3209" s="5" t="s">
        <v>697</v>
      </c>
      <c r="C3209" s="5">
        <v>2027</v>
      </c>
      <c r="D3209" s="5" t="s">
        <v>30</v>
      </c>
      <c r="E3209" t="s">
        <v>1878</v>
      </c>
      <c r="F3209" t="s">
        <v>1879</v>
      </c>
      <c r="G3209" t="s">
        <v>1880</v>
      </c>
      <c r="I3209" t="s">
        <v>119</v>
      </c>
      <c r="J3209" t="s">
        <v>36</v>
      </c>
      <c r="K3209">
        <v>490</v>
      </c>
      <c r="O3209" t="s">
        <v>37</v>
      </c>
      <c r="P3209" t="s">
        <v>46</v>
      </c>
      <c r="U3209" s="9" t="s">
        <v>706</v>
      </c>
      <c r="V3209" t="s">
        <v>1843</v>
      </c>
      <c r="W3209" t="s">
        <v>138</v>
      </c>
      <c r="Y3209" t="s">
        <v>179</v>
      </c>
      <c r="Z3209" t="s">
        <v>113</v>
      </c>
      <c r="AB3209" t="str">
        <f t="shared" si="150"/>
        <v>04231</v>
      </c>
    </row>
    <row r="3210" ht="14.25" spans="1:28">
      <c r="A3210" s="5" t="s">
        <v>28</v>
      </c>
      <c r="B3210" s="5" t="s">
        <v>697</v>
      </c>
      <c r="C3210" s="5">
        <v>2027</v>
      </c>
      <c r="D3210" s="5" t="s">
        <v>30</v>
      </c>
      <c r="E3210" t="s">
        <v>1881</v>
      </c>
      <c r="F3210" t="s">
        <v>245</v>
      </c>
      <c r="G3210" t="s">
        <v>1882</v>
      </c>
      <c r="H3210" t="s">
        <v>1883</v>
      </c>
      <c r="I3210" t="s">
        <v>119</v>
      </c>
      <c r="J3210" t="s">
        <v>36</v>
      </c>
      <c r="K3210">
        <v>590</v>
      </c>
      <c r="O3210" t="s">
        <v>176</v>
      </c>
      <c r="P3210" t="s">
        <v>177</v>
      </c>
      <c r="R3210">
        <f t="shared" si="151"/>
        <v>0</v>
      </c>
      <c r="S3210">
        <f>SUMIFS([1]Sheet1!$T:$T,[1]Sheet1!$I:$I,E3210,[1]Sheet1!$C:$C,A3210)</f>
        <v>0</v>
      </c>
      <c r="T3210">
        <f t="shared" si="152"/>
        <v>0</v>
      </c>
      <c r="U3210" s="9" t="s">
        <v>148</v>
      </c>
      <c r="V3210" t="s">
        <v>184</v>
      </c>
      <c r="W3210" t="s">
        <v>178</v>
      </c>
      <c r="Y3210" t="s">
        <v>179</v>
      </c>
      <c r="Z3210" t="s">
        <v>247</v>
      </c>
      <c r="AB3210" t="str">
        <f t="shared" si="150"/>
        <v>40587</v>
      </c>
    </row>
    <row r="3211" ht="14.25" spans="1:28">
      <c r="A3211" s="5" t="s">
        <v>28</v>
      </c>
      <c r="B3211" s="5" t="s">
        <v>697</v>
      </c>
      <c r="C3211" s="5">
        <v>2027</v>
      </c>
      <c r="D3211" s="5" t="s">
        <v>30</v>
      </c>
      <c r="E3211" t="s">
        <v>1881</v>
      </c>
      <c r="F3211" t="s">
        <v>245</v>
      </c>
      <c r="G3211" t="s">
        <v>1882</v>
      </c>
      <c r="H3211" t="s">
        <v>1883</v>
      </c>
      <c r="I3211" t="s">
        <v>119</v>
      </c>
      <c r="J3211" t="s">
        <v>36</v>
      </c>
      <c r="K3211">
        <v>590</v>
      </c>
      <c r="O3211" t="s">
        <v>176</v>
      </c>
      <c r="P3211" t="s">
        <v>38</v>
      </c>
      <c r="U3211" s="9" t="s">
        <v>148</v>
      </c>
      <c r="V3211" t="s">
        <v>184</v>
      </c>
      <c r="W3211" t="s">
        <v>178</v>
      </c>
      <c r="Y3211" t="s">
        <v>179</v>
      </c>
      <c r="Z3211" t="s">
        <v>247</v>
      </c>
      <c r="AB3211" t="str">
        <f t="shared" si="150"/>
        <v>40587</v>
      </c>
    </row>
    <row r="3212" ht="14.25" spans="1:28">
      <c r="A3212" s="5" t="s">
        <v>28</v>
      </c>
      <c r="B3212" s="5" t="s">
        <v>697</v>
      </c>
      <c r="C3212" s="5">
        <v>2027</v>
      </c>
      <c r="D3212" s="5" t="s">
        <v>30</v>
      </c>
      <c r="E3212" t="s">
        <v>1881</v>
      </c>
      <c r="F3212" t="s">
        <v>245</v>
      </c>
      <c r="G3212" t="s">
        <v>1882</v>
      </c>
      <c r="H3212" t="s">
        <v>1883</v>
      </c>
      <c r="I3212" t="s">
        <v>119</v>
      </c>
      <c r="J3212" t="s">
        <v>36</v>
      </c>
      <c r="K3212">
        <v>590</v>
      </c>
      <c r="O3212" t="s">
        <v>176</v>
      </c>
      <c r="P3212" t="s">
        <v>42</v>
      </c>
      <c r="U3212" s="9" t="s">
        <v>148</v>
      </c>
      <c r="V3212" t="s">
        <v>184</v>
      </c>
      <c r="W3212" t="s">
        <v>178</v>
      </c>
      <c r="Y3212" t="s">
        <v>179</v>
      </c>
      <c r="Z3212" t="s">
        <v>247</v>
      </c>
      <c r="AB3212" t="str">
        <f t="shared" si="150"/>
        <v>40587</v>
      </c>
    </row>
    <row r="3213" ht="14.25" spans="1:28">
      <c r="A3213" s="5" t="s">
        <v>28</v>
      </c>
      <c r="B3213" s="5" t="s">
        <v>697</v>
      </c>
      <c r="C3213" s="5">
        <v>2027</v>
      </c>
      <c r="D3213" s="5" t="s">
        <v>30</v>
      </c>
      <c r="E3213" t="s">
        <v>1881</v>
      </c>
      <c r="F3213" t="s">
        <v>245</v>
      </c>
      <c r="G3213" t="s">
        <v>1882</v>
      </c>
      <c r="H3213" t="s">
        <v>1883</v>
      </c>
      <c r="I3213" t="s">
        <v>119</v>
      </c>
      <c r="J3213" t="s">
        <v>36</v>
      </c>
      <c r="K3213">
        <v>590</v>
      </c>
      <c r="O3213" t="s">
        <v>176</v>
      </c>
      <c r="P3213" t="s">
        <v>43</v>
      </c>
      <c r="U3213" s="9" t="s">
        <v>148</v>
      </c>
      <c r="V3213" t="s">
        <v>184</v>
      </c>
      <c r="W3213" t="s">
        <v>178</v>
      </c>
      <c r="Y3213" t="s">
        <v>179</v>
      </c>
      <c r="Z3213" t="s">
        <v>247</v>
      </c>
      <c r="AB3213" t="str">
        <f t="shared" si="150"/>
        <v>40587</v>
      </c>
    </row>
    <row r="3214" ht="14.25" spans="1:28">
      <c r="A3214" s="5" t="s">
        <v>28</v>
      </c>
      <c r="B3214" s="5" t="s">
        <v>697</v>
      </c>
      <c r="C3214" s="5">
        <v>2027</v>
      </c>
      <c r="D3214" s="5" t="s">
        <v>30</v>
      </c>
      <c r="E3214" t="s">
        <v>1881</v>
      </c>
      <c r="F3214" t="s">
        <v>245</v>
      </c>
      <c r="G3214" t="s">
        <v>1882</v>
      </c>
      <c r="H3214" t="s">
        <v>1883</v>
      </c>
      <c r="I3214" t="s">
        <v>119</v>
      </c>
      <c r="J3214" t="s">
        <v>36</v>
      </c>
      <c r="K3214">
        <v>590</v>
      </c>
      <c r="O3214" t="s">
        <v>176</v>
      </c>
      <c r="P3214" t="s">
        <v>44</v>
      </c>
      <c r="U3214" s="9" t="s">
        <v>148</v>
      </c>
      <c r="V3214" t="s">
        <v>184</v>
      </c>
      <c r="W3214" t="s">
        <v>178</v>
      </c>
      <c r="Y3214" t="s">
        <v>179</v>
      </c>
      <c r="Z3214" t="s">
        <v>247</v>
      </c>
      <c r="AB3214" t="str">
        <f t="shared" si="150"/>
        <v>40587</v>
      </c>
    </row>
    <row r="3215" ht="14.25" spans="1:28">
      <c r="A3215" s="5" t="s">
        <v>28</v>
      </c>
      <c r="B3215" s="5" t="s">
        <v>697</v>
      </c>
      <c r="C3215" s="5">
        <v>2027</v>
      </c>
      <c r="D3215" s="5" t="s">
        <v>30</v>
      </c>
      <c r="E3215" t="s">
        <v>1881</v>
      </c>
      <c r="F3215" t="s">
        <v>245</v>
      </c>
      <c r="G3215" t="s">
        <v>1882</v>
      </c>
      <c r="H3215" t="s">
        <v>1883</v>
      </c>
      <c r="I3215" t="s">
        <v>119</v>
      </c>
      <c r="J3215" t="s">
        <v>36</v>
      </c>
      <c r="K3215">
        <v>590</v>
      </c>
      <c r="O3215" t="s">
        <v>176</v>
      </c>
      <c r="P3215" t="s">
        <v>45</v>
      </c>
      <c r="U3215" s="9" t="s">
        <v>148</v>
      </c>
      <c r="V3215" t="s">
        <v>184</v>
      </c>
      <c r="W3215" t="s">
        <v>178</v>
      </c>
      <c r="Y3215" t="s">
        <v>179</v>
      </c>
      <c r="Z3215" t="s">
        <v>247</v>
      </c>
      <c r="AB3215" t="str">
        <f t="shared" si="150"/>
        <v>40587</v>
      </c>
    </row>
    <row r="3216" ht="14.25" spans="1:28">
      <c r="A3216" s="5" t="s">
        <v>28</v>
      </c>
      <c r="B3216" s="5" t="s">
        <v>697</v>
      </c>
      <c r="C3216" s="5">
        <v>2027</v>
      </c>
      <c r="D3216" s="5" t="s">
        <v>30</v>
      </c>
      <c r="E3216" t="s">
        <v>1884</v>
      </c>
      <c r="F3216" t="s">
        <v>245</v>
      </c>
      <c r="G3216" t="s">
        <v>1194</v>
      </c>
      <c r="H3216" t="s">
        <v>1885</v>
      </c>
      <c r="I3216" t="s">
        <v>147</v>
      </c>
      <c r="J3216" t="s">
        <v>36</v>
      </c>
      <c r="K3216">
        <v>590</v>
      </c>
      <c r="O3216" t="s">
        <v>176</v>
      </c>
      <c r="P3216" t="s">
        <v>177</v>
      </c>
      <c r="R3216">
        <f t="shared" si="151"/>
        <v>0</v>
      </c>
      <c r="S3216">
        <f>SUMIFS([1]Sheet1!$T:$T,[1]Sheet1!$I:$I,E3216,[1]Sheet1!$C:$C,A3216)</f>
        <v>0</v>
      </c>
      <c r="T3216">
        <f t="shared" si="152"/>
        <v>0</v>
      </c>
      <c r="U3216" s="9" t="s">
        <v>148</v>
      </c>
      <c r="V3216" t="s">
        <v>184</v>
      </c>
      <c r="W3216" t="s">
        <v>178</v>
      </c>
      <c r="X3216" t="s">
        <v>503</v>
      </c>
      <c r="Y3216" t="s">
        <v>179</v>
      </c>
      <c r="Z3216" t="s">
        <v>247</v>
      </c>
      <c r="AB3216" t="str">
        <f t="shared" si="150"/>
        <v>40587</v>
      </c>
    </row>
    <row r="3217" ht="14.25" spans="1:28">
      <c r="A3217" s="5" t="s">
        <v>28</v>
      </c>
      <c r="B3217" s="5" t="s">
        <v>697</v>
      </c>
      <c r="C3217" s="5">
        <v>2027</v>
      </c>
      <c r="D3217" s="5" t="s">
        <v>30</v>
      </c>
      <c r="E3217" t="s">
        <v>1884</v>
      </c>
      <c r="F3217" t="s">
        <v>245</v>
      </c>
      <c r="G3217" t="s">
        <v>1194</v>
      </c>
      <c r="H3217" t="s">
        <v>1885</v>
      </c>
      <c r="I3217" t="s">
        <v>147</v>
      </c>
      <c r="J3217" t="s">
        <v>36</v>
      </c>
      <c r="K3217">
        <v>590</v>
      </c>
      <c r="O3217" t="s">
        <v>176</v>
      </c>
      <c r="P3217" t="s">
        <v>38</v>
      </c>
      <c r="U3217" s="9" t="s">
        <v>148</v>
      </c>
      <c r="V3217" t="s">
        <v>184</v>
      </c>
      <c r="W3217" t="s">
        <v>178</v>
      </c>
      <c r="X3217" t="s">
        <v>503</v>
      </c>
      <c r="Y3217" t="s">
        <v>179</v>
      </c>
      <c r="Z3217" t="s">
        <v>247</v>
      </c>
      <c r="AB3217" t="str">
        <f t="shared" si="150"/>
        <v>40587</v>
      </c>
    </row>
    <row r="3218" ht="14.25" spans="1:28">
      <c r="A3218" s="5" t="s">
        <v>28</v>
      </c>
      <c r="B3218" s="5" t="s">
        <v>697</v>
      </c>
      <c r="C3218" s="5">
        <v>2027</v>
      </c>
      <c r="D3218" s="5" t="s">
        <v>30</v>
      </c>
      <c r="E3218" t="s">
        <v>1884</v>
      </c>
      <c r="F3218" t="s">
        <v>245</v>
      </c>
      <c r="G3218" t="s">
        <v>1194</v>
      </c>
      <c r="H3218" t="s">
        <v>1885</v>
      </c>
      <c r="I3218" t="s">
        <v>147</v>
      </c>
      <c r="J3218" t="s">
        <v>36</v>
      </c>
      <c r="K3218">
        <v>590</v>
      </c>
      <c r="O3218" t="s">
        <v>176</v>
      </c>
      <c r="P3218" t="s">
        <v>42</v>
      </c>
      <c r="U3218" s="9" t="s">
        <v>148</v>
      </c>
      <c r="V3218" t="s">
        <v>184</v>
      </c>
      <c r="W3218" t="s">
        <v>178</v>
      </c>
      <c r="X3218" t="s">
        <v>503</v>
      </c>
      <c r="Y3218" t="s">
        <v>179</v>
      </c>
      <c r="Z3218" t="s">
        <v>247</v>
      </c>
      <c r="AB3218" t="str">
        <f t="shared" si="150"/>
        <v>40587</v>
      </c>
    </row>
    <row r="3219" ht="14.25" spans="1:28">
      <c r="A3219" s="5" t="s">
        <v>28</v>
      </c>
      <c r="B3219" s="5" t="s">
        <v>697</v>
      </c>
      <c r="C3219" s="5">
        <v>2027</v>
      </c>
      <c r="D3219" s="5" t="s">
        <v>30</v>
      </c>
      <c r="E3219" t="s">
        <v>1884</v>
      </c>
      <c r="F3219" t="s">
        <v>245</v>
      </c>
      <c r="G3219" t="s">
        <v>1194</v>
      </c>
      <c r="H3219" t="s">
        <v>1885</v>
      </c>
      <c r="I3219" t="s">
        <v>147</v>
      </c>
      <c r="J3219" t="s">
        <v>36</v>
      </c>
      <c r="K3219">
        <v>590</v>
      </c>
      <c r="O3219" t="s">
        <v>176</v>
      </c>
      <c r="P3219" t="s">
        <v>43</v>
      </c>
      <c r="U3219" s="9" t="s">
        <v>148</v>
      </c>
      <c r="V3219" t="s">
        <v>184</v>
      </c>
      <c r="W3219" t="s">
        <v>178</v>
      </c>
      <c r="X3219" t="s">
        <v>503</v>
      </c>
      <c r="Y3219" t="s">
        <v>179</v>
      </c>
      <c r="Z3219" t="s">
        <v>247</v>
      </c>
      <c r="AB3219" t="str">
        <f t="shared" si="150"/>
        <v>40587</v>
      </c>
    </row>
    <row r="3220" ht="14.25" spans="1:28">
      <c r="A3220" s="5" t="s">
        <v>28</v>
      </c>
      <c r="B3220" s="5" t="s">
        <v>697</v>
      </c>
      <c r="C3220" s="5">
        <v>2027</v>
      </c>
      <c r="D3220" s="5" t="s">
        <v>30</v>
      </c>
      <c r="E3220" t="s">
        <v>1884</v>
      </c>
      <c r="F3220" t="s">
        <v>245</v>
      </c>
      <c r="G3220" t="s">
        <v>1194</v>
      </c>
      <c r="H3220" t="s">
        <v>1885</v>
      </c>
      <c r="I3220" t="s">
        <v>147</v>
      </c>
      <c r="J3220" t="s">
        <v>36</v>
      </c>
      <c r="K3220">
        <v>590</v>
      </c>
      <c r="O3220" t="s">
        <v>176</v>
      </c>
      <c r="P3220" t="s">
        <v>44</v>
      </c>
      <c r="U3220" s="9" t="s">
        <v>148</v>
      </c>
      <c r="V3220" t="s">
        <v>184</v>
      </c>
      <c r="W3220" t="s">
        <v>178</v>
      </c>
      <c r="X3220" t="s">
        <v>503</v>
      </c>
      <c r="Y3220" t="s">
        <v>179</v>
      </c>
      <c r="Z3220" t="s">
        <v>247</v>
      </c>
      <c r="AB3220" t="str">
        <f t="shared" si="150"/>
        <v>40587</v>
      </c>
    </row>
    <row r="3221" ht="14.25" spans="1:28">
      <c r="A3221" s="5" t="s">
        <v>28</v>
      </c>
      <c r="B3221" s="5" t="s">
        <v>697</v>
      </c>
      <c r="C3221" s="5">
        <v>2027</v>
      </c>
      <c r="D3221" s="5" t="s">
        <v>30</v>
      </c>
      <c r="E3221" t="s">
        <v>1884</v>
      </c>
      <c r="F3221" t="s">
        <v>245</v>
      </c>
      <c r="G3221" t="s">
        <v>1194</v>
      </c>
      <c r="H3221" t="s">
        <v>1885</v>
      </c>
      <c r="I3221" t="s">
        <v>147</v>
      </c>
      <c r="J3221" t="s">
        <v>36</v>
      </c>
      <c r="K3221">
        <v>590</v>
      </c>
      <c r="O3221" t="s">
        <v>176</v>
      </c>
      <c r="P3221" t="s">
        <v>45</v>
      </c>
      <c r="U3221" s="9" t="s">
        <v>148</v>
      </c>
      <c r="V3221" t="s">
        <v>184</v>
      </c>
      <c r="W3221" t="s">
        <v>178</v>
      </c>
      <c r="X3221" t="s">
        <v>503</v>
      </c>
      <c r="Y3221" t="s">
        <v>179</v>
      </c>
      <c r="Z3221" t="s">
        <v>247</v>
      </c>
      <c r="AB3221" t="str">
        <f t="shared" si="150"/>
        <v>40587</v>
      </c>
    </row>
    <row r="3222" ht="14.25" spans="1:28">
      <c r="A3222" s="5" t="s">
        <v>28</v>
      </c>
      <c r="B3222" s="5" t="s">
        <v>697</v>
      </c>
      <c r="C3222" s="5">
        <v>2027</v>
      </c>
      <c r="D3222" s="5" t="s">
        <v>30</v>
      </c>
      <c r="E3222" t="s">
        <v>244</v>
      </c>
      <c r="F3222" t="s">
        <v>245</v>
      </c>
      <c r="G3222" t="s">
        <v>189</v>
      </c>
      <c r="H3222" t="s">
        <v>246</v>
      </c>
      <c r="I3222" t="s">
        <v>147</v>
      </c>
      <c r="J3222" t="s">
        <v>36</v>
      </c>
      <c r="K3222">
        <v>590</v>
      </c>
      <c r="O3222" t="s">
        <v>176</v>
      </c>
      <c r="P3222" t="s">
        <v>177</v>
      </c>
      <c r="R3222">
        <f t="shared" si="151"/>
        <v>0</v>
      </c>
      <c r="S3222">
        <f>SUMIFS([1]Sheet1!$T:$T,[1]Sheet1!$I:$I,E3222,[1]Sheet1!$C:$C,A3222)</f>
        <v>0</v>
      </c>
      <c r="T3222">
        <f t="shared" si="152"/>
        <v>0</v>
      </c>
      <c r="U3222" s="9" t="s">
        <v>148</v>
      </c>
      <c r="V3222" t="s">
        <v>184</v>
      </c>
      <c r="W3222" t="s">
        <v>178</v>
      </c>
      <c r="X3222" t="s">
        <v>191</v>
      </c>
      <c r="Y3222" t="s">
        <v>179</v>
      </c>
      <c r="Z3222" t="s">
        <v>247</v>
      </c>
      <c r="AB3222" t="str">
        <f t="shared" si="150"/>
        <v>40587</v>
      </c>
    </row>
    <row r="3223" ht="14.25" spans="1:28">
      <c r="A3223" s="5" t="s">
        <v>28</v>
      </c>
      <c r="B3223" s="5" t="s">
        <v>697</v>
      </c>
      <c r="C3223" s="5">
        <v>2027</v>
      </c>
      <c r="D3223" s="5" t="s">
        <v>30</v>
      </c>
      <c r="E3223" t="s">
        <v>244</v>
      </c>
      <c r="F3223" t="s">
        <v>245</v>
      </c>
      <c r="G3223" t="s">
        <v>189</v>
      </c>
      <c r="H3223" t="s">
        <v>246</v>
      </c>
      <c r="I3223" t="s">
        <v>147</v>
      </c>
      <c r="J3223" t="s">
        <v>36</v>
      </c>
      <c r="K3223">
        <v>590</v>
      </c>
      <c r="O3223" t="s">
        <v>176</v>
      </c>
      <c r="P3223" t="s">
        <v>38</v>
      </c>
      <c r="U3223" s="9" t="s">
        <v>148</v>
      </c>
      <c r="V3223" t="s">
        <v>184</v>
      </c>
      <c r="W3223" t="s">
        <v>178</v>
      </c>
      <c r="X3223" t="s">
        <v>191</v>
      </c>
      <c r="Y3223" t="s">
        <v>179</v>
      </c>
      <c r="Z3223" t="s">
        <v>247</v>
      </c>
      <c r="AB3223" t="str">
        <f t="shared" si="150"/>
        <v>40587</v>
      </c>
    </row>
    <row r="3224" ht="14.25" spans="1:28">
      <c r="A3224" s="5" t="s">
        <v>28</v>
      </c>
      <c r="B3224" s="5" t="s">
        <v>697</v>
      </c>
      <c r="C3224" s="5">
        <v>2027</v>
      </c>
      <c r="D3224" s="5" t="s">
        <v>30</v>
      </c>
      <c r="E3224" t="s">
        <v>244</v>
      </c>
      <c r="F3224" t="s">
        <v>245</v>
      </c>
      <c r="G3224" t="s">
        <v>189</v>
      </c>
      <c r="H3224" t="s">
        <v>246</v>
      </c>
      <c r="I3224" t="s">
        <v>147</v>
      </c>
      <c r="J3224" t="s">
        <v>36</v>
      </c>
      <c r="K3224">
        <v>590</v>
      </c>
      <c r="O3224" t="s">
        <v>176</v>
      </c>
      <c r="P3224" t="s">
        <v>42</v>
      </c>
      <c r="U3224" s="9" t="s">
        <v>148</v>
      </c>
      <c r="V3224" t="s">
        <v>184</v>
      </c>
      <c r="W3224" t="s">
        <v>178</v>
      </c>
      <c r="X3224" t="s">
        <v>191</v>
      </c>
      <c r="Y3224" t="s">
        <v>179</v>
      </c>
      <c r="Z3224" t="s">
        <v>247</v>
      </c>
      <c r="AB3224" t="str">
        <f t="shared" si="150"/>
        <v>40587</v>
      </c>
    </row>
    <row r="3225" ht="14.25" spans="1:28">
      <c r="A3225" s="5" t="s">
        <v>28</v>
      </c>
      <c r="B3225" s="5" t="s">
        <v>697</v>
      </c>
      <c r="C3225" s="5">
        <v>2027</v>
      </c>
      <c r="D3225" s="5" t="s">
        <v>30</v>
      </c>
      <c r="E3225" t="s">
        <v>244</v>
      </c>
      <c r="F3225" t="s">
        <v>245</v>
      </c>
      <c r="G3225" t="s">
        <v>189</v>
      </c>
      <c r="H3225" t="s">
        <v>246</v>
      </c>
      <c r="I3225" t="s">
        <v>147</v>
      </c>
      <c r="J3225" t="s">
        <v>36</v>
      </c>
      <c r="K3225">
        <v>590</v>
      </c>
      <c r="O3225" t="s">
        <v>176</v>
      </c>
      <c r="P3225" t="s">
        <v>43</v>
      </c>
      <c r="U3225" s="9" t="s">
        <v>148</v>
      </c>
      <c r="V3225" t="s">
        <v>184</v>
      </c>
      <c r="W3225" t="s">
        <v>178</v>
      </c>
      <c r="X3225" t="s">
        <v>191</v>
      </c>
      <c r="Y3225" t="s">
        <v>179</v>
      </c>
      <c r="Z3225" t="s">
        <v>247</v>
      </c>
      <c r="AB3225" t="str">
        <f t="shared" si="150"/>
        <v>40587</v>
      </c>
    </row>
    <row r="3226" ht="14.25" spans="1:28">
      <c r="A3226" s="5" t="s">
        <v>28</v>
      </c>
      <c r="B3226" s="5" t="s">
        <v>697</v>
      </c>
      <c r="C3226" s="5">
        <v>2027</v>
      </c>
      <c r="D3226" s="5" t="s">
        <v>30</v>
      </c>
      <c r="E3226" t="s">
        <v>244</v>
      </c>
      <c r="F3226" t="s">
        <v>245</v>
      </c>
      <c r="G3226" t="s">
        <v>189</v>
      </c>
      <c r="H3226" t="s">
        <v>246</v>
      </c>
      <c r="I3226" t="s">
        <v>147</v>
      </c>
      <c r="J3226" t="s">
        <v>36</v>
      </c>
      <c r="K3226">
        <v>590</v>
      </c>
      <c r="O3226" t="s">
        <v>176</v>
      </c>
      <c r="P3226" t="s">
        <v>44</v>
      </c>
      <c r="U3226" s="9" t="s">
        <v>148</v>
      </c>
      <c r="V3226" t="s">
        <v>184</v>
      </c>
      <c r="W3226" t="s">
        <v>178</v>
      </c>
      <c r="X3226" t="s">
        <v>191</v>
      </c>
      <c r="Y3226" t="s">
        <v>179</v>
      </c>
      <c r="Z3226" t="s">
        <v>247</v>
      </c>
      <c r="AB3226" t="str">
        <f t="shared" si="150"/>
        <v>40587</v>
      </c>
    </row>
    <row r="3227" ht="14.25" spans="1:28">
      <c r="A3227" s="5" t="s">
        <v>28</v>
      </c>
      <c r="B3227" s="5" t="s">
        <v>697</v>
      </c>
      <c r="C3227" s="5">
        <v>2027</v>
      </c>
      <c r="D3227" s="5" t="s">
        <v>30</v>
      </c>
      <c r="E3227" t="s">
        <v>244</v>
      </c>
      <c r="F3227" t="s">
        <v>245</v>
      </c>
      <c r="G3227" t="s">
        <v>189</v>
      </c>
      <c r="H3227" t="s">
        <v>246</v>
      </c>
      <c r="I3227" t="s">
        <v>147</v>
      </c>
      <c r="J3227" t="s">
        <v>36</v>
      </c>
      <c r="K3227">
        <v>590</v>
      </c>
      <c r="O3227" t="s">
        <v>176</v>
      </c>
      <c r="P3227" t="s">
        <v>45</v>
      </c>
      <c r="U3227" s="9" t="s">
        <v>148</v>
      </c>
      <c r="V3227" t="s">
        <v>184</v>
      </c>
      <c r="W3227" t="s">
        <v>178</v>
      </c>
      <c r="X3227" t="s">
        <v>191</v>
      </c>
      <c r="Y3227" t="s">
        <v>179</v>
      </c>
      <c r="Z3227" t="s">
        <v>247</v>
      </c>
      <c r="AB3227" t="str">
        <f t="shared" si="150"/>
        <v>40587</v>
      </c>
    </row>
    <row r="3228" ht="14.25" spans="1:28">
      <c r="A3228" s="5" t="s">
        <v>28</v>
      </c>
      <c r="B3228" s="5" t="s">
        <v>697</v>
      </c>
      <c r="C3228" s="5">
        <v>2027</v>
      </c>
      <c r="D3228" s="5" t="s">
        <v>30</v>
      </c>
      <c r="E3228" t="s">
        <v>1886</v>
      </c>
      <c r="F3228" t="s">
        <v>1887</v>
      </c>
      <c r="G3228" t="s">
        <v>182</v>
      </c>
      <c r="H3228" t="s">
        <v>1888</v>
      </c>
      <c r="I3228" t="s">
        <v>119</v>
      </c>
      <c r="J3228" t="s">
        <v>36</v>
      </c>
      <c r="K3228">
        <v>1390</v>
      </c>
      <c r="O3228" t="s">
        <v>176</v>
      </c>
      <c r="P3228" t="s">
        <v>177</v>
      </c>
      <c r="R3228">
        <f t="shared" si="151"/>
        <v>0</v>
      </c>
      <c r="S3228">
        <f>SUMIFS([1]Sheet1!$T:$T,[1]Sheet1!$I:$I,E3228,[1]Sheet1!$C:$C,A3228)</f>
        <v>150</v>
      </c>
      <c r="T3228">
        <f t="shared" si="152"/>
        <v>-150</v>
      </c>
      <c r="U3228" s="9" t="s">
        <v>148</v>
      </c>
      <c r="V3228" t="s">
        <v>164</v>
      </c>
      <c r="W3228" t="s">
        <v>178</v>
      </c>
      <c r="X3228" t="s">
        <v>102</v>
      </c>
      <c r="Y3228" t="s">
        <v>179</v>
      </c>
      <c r="Z3228" t="s">
        <v>41</v>
      </c>
      <c r="AB3228" t="str">
        <f t="shared" si="150"/>
        <v>54822</v>
      </c>
    </row>
    <row r="3229" ht="14.25" spans="1:28">
      <c r="A3229" s="5" t="s">
        <v>28</v>
      </c>
      <c r="B3229" s="5" t="s">
        <v>697</v>
      </c>
      <c r="C3229" s="5">
        <v>2027</v>
      </c>
      <c r="D3229" s="5" t="s">
        <v>30</v>
      </c>
      <c r="E3229" t="s">
        <v>1886</v>
      </c>
      <c r="F3229" t="s">
        <v>1887</v>
      </c>
      <c r="G3229" t="s">
        <v>182</v>
      </c>
      <c r="H3229" t="s">
        <v>1888</v>
      </c>
      <c r="I3229" t="s">
        <v>119</v>
      </c>
      <c r="J3229" t="s">
        <v>36</v>
      </c>
      <c r="K3229">
        <v>1390</v>
      </c>
      <c r="O3229" t="s">
        <v>176</v>
      </c>
      <c r="P3229" t="s">
        <v>38</v>
      </c>
      <c r="U3229" s="9" t="s">
        <v>148</v>
      </c>
      <c r="V3229" t="s">
        <v>164</v>
      </c>
      <c r="W3229" t="s">
        <v>178</v>
      </c>
      <c r="X3229" t="s">
        <v>102</v>
      </c>
      <c r="Y3229" t="s">
        <v>179</v>
      </c>
      <c r="Z3229" t="s">
        <v>41</v>
      </c>
      <c r="AB3229" t="str">
        <f t="shared" si="150"/>
        <v>54822</v>
      </c>
    </row>
    <row r="3230" ht="14.25" spans="1:28">
      <c r="A3230" s="5" t="s">
        <v>28</v>
      </c>
      <c r="B3230" s="5" t="s">
        <v>697</v>
      </c>
      <c r="C3230" s="5">
        <v>2027</v>
      </c>
      <c r="D3230" s="5" t="s">
        <v>30</v>
      </c>
      <c r="E3230" t="s">
        <v>1886</v>
      </c>
      <c r="F3230" t="s">
        <v>1887</v>
      </c>
      <c r="G3230" t="s">
        <v>182</v>
      </c>
      <c r="H3230" t="s">
        <v>1888</v>
      </c>
      <c r="I3230" t="s">
        <v>119</v>
      </c>
      <c r="J3230" t="s">
        <v>36</v>
      </c>
      <c r="K3230">
        <v>1390</v>
      </c>
      <c r="O3230" t="s">
        <v>176</v>
      </c>
      <c r="P3230" t="s">
        <v>42</v>
      </c>
      <c r="U3230" s="9" t="s">
        <v>148</v>
      </c>
      <c r="V3230" t="s">
        <v>164</v>
      </c>
      <c r="W3230" t="s">
        <v>178</v>
      </c>
      <c r="X3230" t="s">
        <v>102</v>
      </c>
      <c r="Y3230" t="s">
        <v>179</v>
      </c>
      <c r="Z3230" t="s">
        <v>41</v>
      </c>
      <c r="AB3230" t="str">
        <f t="shared" si="150"/>
        <v>54822</v>
      </c>
    </row>
    <row r="3231" ht="14.25" spans="1:28">
      <c r="A3231" s="5" t="s">
        <v>28</v>
      </c>
      <c r="B3231" s="5" t="s">
        <v>697</v>
      </c>
      <c r="C3231" s="5">
        <v>2027</v>
      </c>
      <c r="D3231" s="5" t="s">
        <v>30</v>
      </c>
      <c r="E3231" t="s">
        <v>1886</v>
      </c>
      <c r="F3231" t="s">
        <v>1887</v>
      </c>
      <c r="G3231" t="s">
        <v>182</v>
      </c>
      <c r="H3231" t="s">
        <v>1888</v>
      </c>
      <c r="I3231" t="s">
        <v>119</v>
      </c>
      <c r="J3231" t="s">
        <v>36</v>
      </c>
      <c r="K3231">
        <v>1390</v>
      </c>
      <c r="O3231" t="s">
        <v>176</v>
      </c>
      <c r="P3231" t="s">
        <v>43</v>
      </c>
      <c r="U3231" s="9" t="s">
        <v>148</v>
      </c>
      <c r="V3231" t="s">
        <v>164</v>
      </c>
      <c r="W3231" t="s">
        <v>178</v>
      </c>
      <c r="X3231" t="s">
        <v>102</v>
      </c>
      <c r="Y3231" t="s">
        <v>179</v>
      </c>
      <c r="Z3231" t="s">
        <v>41</v>
      </c>
      <c r="AB3231" t="str">
        <f t="shared" si="150"/>
        <v>54822</v>
      </c>
    </row>
    <row r="3232" ht="14.25" spans="1:28">
      <c r="A3232" s="5" t="s">
        <v>28</v>
      </c>
      <c r="B3232" s="5" t="s">
        <v>697</v>
      </c>
      <c r="C3232" s="5">
        <v>2027</v>
      </c>
      <c r="D3232" s="5" t="s">
        <v>30</v>
      </c>
      <c r="E3232" t="s">
        <v>1886</v>
      </c>
      <c r="F3232" t="s">
        <v>1887</v>
      </c>
      <c r="G3232" t="s">
        <v>182</v>
      </c>
      <c r="H3232" t="s">
        <v>1888</v>
      </c>
      <c r="I3232" t="s">
        <v>119</v>
      </c>
      <c r="J3232" t="s">
        <v>36</v>
      </c>
      <c r="K3232">
        <v>1390</v>
      </c>
      <c r="O3232" t="s">
        <v>176</v>
      </c>
      <c r="P3232" t="s">
        <v>44</v>
      </c>
      <c r="U3232" s="9" t="s">
        <v>148</v>
      </c>
      <c r="V3232" t="s">
        <v>164</v>
      </c>
      <c r="W3232" t="s">
        <v>178</v>
      </c>
      <c r="X3232" t="s">
        <v>102</v>
      </c>
      <c r="Y3232" t="s">
        <v>179</v>
      </c>
      <c r="Z3232" t="s">
        <v>41</v>
      </c>
      <c r="AB3232" t="str">
        <f t="shared" si="150"/>
        <v>54822</v>
      </c>
    </row>
    <row r="3233" ht="14.25" spans="1:28">
      <c r="A3233" s="5" t="s">
        <v>28</v>
      </c>
      <c r="B3233" s="5" t="s">
        <v>697</v>
      </c>
      <c r="C3233" s="5">
        <v>2027</v>
      </c>
      <c r="D3233" s="5" t="s">
        <v>30</v>
      </c>
      <c r="E3233" t="s">
        <v>1886</v>
      </c>
      <c r="F3233" t="s">
        <v>1887</v>
      </c>
      <c r="G3233" t="s">
        <v>182</v>
      </c>
      <c r="H3233" t="s">
        <v>1888</v>
      </c>
      <c r="I3233" t="s">
        <v>119</v>
      </c>
      <c r="J3233" t="s">
        <v>36</v>
      </c>
      <c r="K3233">
        <v>1390</v>
      </c>
      <c r="O3233" t="s">
        <v>176</v>
      </c>
      <c r="P3233" t="s">
        <v>45</v>
      </c>
      <c r="U3233" s="9" t="s">
        <v>148</v>
      </c>
      <c r="V3233" t="s">
        <v>164</v>
      </c>
      <c r="W3233" t="s">
        <v>178</v>
      </c>
      <c r="X3233" t="s">
        <v>102</v>
      </c>
      <c r="Y3233" t="s">
        <v>179</v>
      </c>
      <c r="Z3233" t="s">
        <v>41</v>
      </c>
      <c r="AB3233" t="str">
        <f t="shared" si="150"/>
        <v>54822</v>
      </c>
    </row>
    <row r="3234" ht="14.25" spans="1:28">
      <c r="A3234" s="5" t="s">
        <v>28</v>
      </c>
      <c r="B3234" s="5" t="s">
        <v>697</v>
      </c>
      <c r="C3234" s="5">
        <v>2027</v>
      </c>
      <c r="D3234" s="5" t="s">
        <v>30</v>
      </c>
      <c r="E3234" t="s">
        <v>1889</v>
      </c>
      <c r="F3234" t="s">
        <v>1887</v>
      </c>
      <c r="G3234" t="s">
        <v>1890</v>
      </c>
      <c r="H3234" t="s">
        <v>1891</v>
      </c>
      <c r="I3234" t="s">
        <v>119</v>
      </c>
      <c r="J3234" t="s">
        <v>36</v>
      </c>
      <c r="K3234">
        <v>1390</v>
      </c>
      <c r="O3234" t="s">
        <v>176</v>
      </c>
      <c r="P3234" t="s">
        <v>177</v>
      </c>
      <c r="R3234">
        <f t="shared" si="151"/>
        <v>0</v>
      </c>
      <c r="S3234">
        <f>SUMIFS([1]Sheet1!$T:$T,[1]Sheet1!$I:$I,E3234,[1]Sheet1!$C:$C,A3234)</f>
        <v>150</v>
      </c>
      <c r="T3234">
        <f t="shared" si="152"/>
        <v>-150</v>
      </c>
      <c r="U3234" s="9" t="s">
        <v>148</v>
      </c>
      <c r="V3234" t="s">
        <v>164</v>
      </c>
      <c r="W3234" t="s">
        <v>178</v>
      </c>
      <c r="X3234" t="s">
        <v>94</v>
      </c>
      <c r="Y3234" t="s">
        <v>179</v>
      </c>
      <c r="Z3234" t="s">
        <v>41</v>
      </c>
      <c r="AB3234" t="str">
        <f t="shared" si="150"/>
        <v>54822</v>
      </c>
    </row>
    <row r="3235" ht="14.25" spans="1:28">
      <c r="A3235" s="5" t="s">
        <v>28</v>
      </c>
      <c r="B3235" s="5" t="s">
        <v>697</v>
      </c>
      <c r="C3235" s="5">
        <v>2027</v>
      </c>
      <c r="D3235" s="5" t="s">
        <v>30</v>
      </c>
      <c r="E3235" t="s">
        <v>1889</v>
      </c>
      <c r="F3235" t="s">
        <v>1887</v>
      </c>
      <c r="G3235" t="s">
        <v>1890</v>
      </c>
      <c r="H3235" t="s">
        <v>1891</v>
      </c>
      <c r="I3235" t="s">
        <v>119</v>
      </c>
      <c r="J3235" t="s">
        <v>36</v>
      </c>
      <c r="K3235">
        <v>1390</v>
      </c>
      <c r="O3235" t="s">
        <v>176</v>
      </c>
      <c r="P3235" t="s">
        <v>38</v>
      </c>
      <c r="U3235" s="9" t="s">
        <v>148</v>
      </c>
      <c r="V3235" t="s">
        <v>164</v>
      </c>
      <c r="W3235" t="s">
        <v>178</v>
      </c>
      <c r="X3235" t="s">
        <v>94</v>
      </c>
      <c r="Y3235" t="s">
        <v>179</v>
      </c>
      <c r="Z3235" t="s">
        <v>41</v>
      </c>
      <c r="AB3235" t="str">
        <f t="shared" si="150"/>
        <v>54822</v>
      </c>
    </row>
    <row r="3236" ht="14.25" spans="1:28">
      <c r="A3236" s="5" t="s">
        <v>28</v>
      </c>
      <c r="B3236" s="5" t="s">
        <v>697</v>
      </c>
      <c r="C3236" s="5">
        <v>2027</v>
      </c>
      <c r="D3236" s="5" t="s">
        <v>30</v>
      </c>
      <c r="E3236" t="s">
        <v>1889</v>
      </c>
      <c r="F3236" t="s">
        <v>1887</v>
      </c>
      <c r="G3236" t="s">
        <v>1890</v>
      </c>
      <c r="H3236" t="s">
        <v>1891</v>
      </c>
      <c r="I3236" t="s">
        <v>119</v>
      </c>
      <c r="J3236" t="s">
        <v>36</v>
      </c>
      <c r="K3236">
        <v>1390</v>
      </c>
      <c r="O3236" t="s">
        <v>176</v>
      </c>
      <c r="P3236" t="s">
        <v>42</v>
      </c>
      <c r="U3236" s="9" t="s">
        <v>148</v>
      </c>
      <c r="V3236" t="s">
        <v>164</v>
      </c>
      <c r="W3236" t="s">
        <v>178</v>
      </c>
      <c r="X3236" t="s">
        <v>94</v>
      </c>
      <c r="Y3236" t="s">
        <v>179</v>
      </c>
      <c r="Z3236" t="s">
        <v>41</v>
      </c>
      <c r="AB3236" t="str">
        <f t="shared" si="150"/>
        <v>54822</v>
      </c>
    </row>
    <row r="3237" ht="14.25" spans="1:28">
      <c r="A3237" s="5" t="s">
        <v>28</v>
      </c>
      <c r="B3237" s="5" t="s">
        <v>697</v>
      </c>
      <c r="C3237" s="5">
        <v>2027</v>
      </c>
      <c r="D3237" s="5" t="s">
        <v>30</v>
      </c>
      <c r="E3237" t="s">
        <v>1889</v>
      </c>
      <c r="F3237" t="s">
        <v>1887</v>
      </c>
      <c r="G3237" t="s">
        <v>1890</v>
      </c>
      <c r="H3237" t="s">
        <v>1891</v>
      </c>
      <c r="I3237" t="s">
        <v>119</v>
      </c>
      <c r="J3237" t="s">
        <v>36</v>
      </c>
      <c r="K3237">
        <v>1390</v>
      </c>
      <c r="O3237" t="s">
        <v>176</v>
      </c>
      <c r="P3237" t="s">
        <v>43</v>
      </c>
      <c r="U3237" s="9" t="s">
        <v>148</v>
      </c>
      <c r="V3237" t="s">
        <v>164</v>
      </c>
      <c r="W3237" t="s">
        <v>178</v>
      </c>
      <c r="X3237" t="s">
        <v>94</v>
      </c>
      <c r="Y3237" t="s">
        <v>179</v>
      </c>
      <c r="Z3237" t="s">
        <v>41</v>
      </c>
      <c r="AB3237" t="str">
        <f t="shared" si="150"/>
        <v>54822</v>
      </c>
    </row>
    <row r="3238" ht="14.25" spans="1:28">
      <c r="A3238" s="5" t="s">
        <v>28</v>
      </c>
      <c r="B3238" s="5" t="s">
        <v>697</v>
      </c>
      <c r="C3238" s="5">
        <v>2027</v>
      </c>
      <c r="D3238" s="5" t="s">
        <v>30</v>
      </c>
      <c r="E3238" t="s">
        <v>1889</v>
      </c>
      <c r="F3238" t="s">
        <v>1887</v>
      </c>
      <c r="G3238" t="s">
        <v>1890</v>
      </c>
      <c r="H3238" t="s">
        <v>1891</v>
      </c>
      <c r="I3238" t="s">
        <v>119</v>
      </c>
      <c r="J3238" t="s">
        <v>36</v>
      </c>
      <c r="K3238">
        <v>1390</v>
      </c>
      <c r="O3238" t="s">
        <v>176</v>
      </c>
      <c r="P3238" t="s">
        <v>44</v>
      </c>
      <c r="U3238" s="9" t="s">
        <v>148</v>
      </c>
      <c r="V3238" t="s">
        <v>164</v>
      </c>
      <c r="W3238" t="s">
        <v>178</v>
      </c>
      <c r="X3238" t="s">
        <v>94</v>
      </c>
      <c r="Y3238" t="s">
        <v>179</v>
      </c>
      <c r="Z3238" t="s">
        <v>41</v>
      </c>
      <c r="AB3238" t="str">
        <f t="shared" si="150"/>
        <v>54822</v>
      </c>
    </row>
    <row r="3239" ht="14.25" spans="1:28">
      <c r="A3239" s="5" t="s">
        <v>28</v>
      </c>
      <c r="B3239" s="5" t="s">
        <v>697</v>
      </c>
      <c r="C3239" s="5">
        <v>2027</v>
      </c>
      <c r="D3239" s="5" t="s">
        <v>30</v>
      </c>
      <c r="E3239" t="s">
        <v>1889</v>
      </c>
      <c r="F3239" t="s">
        <v>1887</v>
      </c>
      <c r="G3239" t="s">
        <v>1890</v>
      </c>
      <c r="H3239" t="s">
        <v>1891</v>
      </c>
      <c r="I3239" t="s">
        <v>119</v>
      </c>
      <c r="J3239" t="s">
        <v>36</v>
      </c>
      <c r="K3239">
        <v>1390</v>
      </c>
      <c r="O3239" t="s">
        <v>176</v>
      </c>
      <c r="P3239" t="s">
        <v>45</v>
      </c>
      <c r="U3239" s="9" t="s">
        <v>148</v>
      </c>
      <c r="V3239" t="s">
        <v>164</v>
      </c>
      <c r="W3239" t="s">
        <v>178</v>
      </c>
      <c r="X3239" t="s">
        <v>94</v>
      </c>
      <c r="Y3239" t="s">
        <v>179</v>
      </c>
      <c r="Z3239" t="s">
        <v>41</v>
      </c>
      <c r="AB3239" t="str">
        <f t="shared" si="150"/>
        <v>54822</v>
      </c>
    </row>
    <row r="3240" ht="14.25" spans="1:28">
      <c r="A3240" s="5" t="s">
        <v>28</v>
      </c>
      <c r="B3240" s="5" t="s">
        <v>697</v>
      </c>
      <c r="C3240" s="5">
        <v>2027</v>
      </c>
      <c r="D3240" s="5" t="s">
        <v>30</v>
      </c>
      <c r="E3240" t="s">
        <v>1892</v>
      </c>
      <c r="F3240" t="s">
        <v>1887</v>
      </c>
      <c r="G3240" t="s">
        <v>1893</v>
      </c>
      <c r="H3240" t="s">
        <v>1894</v>
      </c>
      <c r="I3240" t="s">
        <v>119</v>
      </c>
      <c r="J3240" t="s">
        <v>36</v>
      </c>
      <c r="K3240">
        <v>1390</v>
      </c>
      <c r="O3240" t="s">
        <v>176</v>
      </c>
      <c r="P3240" t="s">
        <v>177</v>
      </c>
      <c r="R3240">
        <f t="shared" si="151"/>
        <v>0</v>
      </c>
      <c r="S3240">
        <f>SUMIFS([1]Sheet1!$T:$T,[1]Sheet1!$I:$I,E3240,[1]Sheet1!$C:$C,A3240)</f>
        <v>60</v>
      </c>
      <c r="T3240">
        <f t="shared" si="152"/>
        <v>-60</v>
      </c>
      <c r="U3240" s="9" t="s">
        <v>148</v>
      </c>
      <c r="V3240" t="s">
        <v>164</v>
      </c>
      <c r="W3240" t="s">
        <v>178</v>
      </c>
      <c r="X3240" t="s">
        <v>1895</v>
      </c>
      <c r="Y3240" t="s">
        <v>179</v>
      </c>
      <c r="Z3240" t="s">
        <v>41</v>
      </c>
      <c r="AB3240" t="str">
        <f t="shared" si="150"/>
        <v>54822</v>
      </c>
    </row>
    <row r="3241" ht="14.25" spans="1:28">
      <c r="A3241" s="5" t="s">
        <v>28</v>
      </c>
      <c r="B3241" s="5" t="s">
        <v>697</v>
      </c>
      <c r="C3241" s="5">
        <v>2027</v>
      </c>
      <c r="D3241" s="5" t="s">
        <v>30</v>
      </c>
      <c r="E3241" t="s">
        <v>1892</v>
      </c>
      <c r="F3241" t="s">
        <v>1887</v>
      </c>
      <c r="G3241" t="s">
        <v>1893</v>
      </c>
      <c r="H3241" t="s">
        <v>1894</v>
      </c>
      <c r="I3241" t="s">
        <v>119</v>
      </c>
      <c r="J3241" t="s">
        <v>36</v>
      </c>
      <c r="K3241">
        <v>1390</v>
      </c>
      <c r="O3241" t="s">
        <v>176</v>
      </c>
      <c r="P3241" t="s">
        <v>38</v>
      </c>
      <c r="U3241" s="9" t="s">
        <v>148</v>
      </c>
      <c r="V3241" t="s">
        <v>164</v>
      </c>
      <c r="W3241" t="s">
        <v>178</v>
      </c>
      <c r="X3241" t="s">
        <v>1895</v>
      </c>
      <c r="Y3241" t="s">
        <v>179</v>
      </c>
      <c r="Z3241" t="s">
        <v>41</v>
      </c>
      <c r="AB3241" t="str">
        <f t="shared" si="150"/>
        <v>54822</v>
      </c>
    </row>
    <row r="3242" ht="14.25" spans="1:28">
      <c r="A3242" s="5" t="s">
        <v>28</v>
      </c>
      <c r="B3242" s="5" t="s">
        <v>697</v>
      </c>
      <c r="C3242" s="5">
        <v>2027</v>
      </c>
      <c r="D3242" s="5" t="s">
        <v>30</v>
      </c>
      <c r="E3242" t="s">
        <v>1892</v>
      </c>
      <c r="F3242" t="s">
        <v>1887</v>
      </c>
      <c r="G3242" t="s">
        <v>1893</v>
      </c>
      <c r="H3242" t="s">
        <v>1894</v>
      </c>
      <c r="I3242" t="s">
        <v>119</v>
      </c>
      <c r="J3242" t="s">
        <v>36</v>
      </c>
      <c r="K3242">
        <v>1390</v>
      </c>
      <c r="O3242" t="s">
        <v>176</v>
      </c>
      <c r="P3242" t="s">
        <v>42</v>
      </c>
      <c r="U3242" s="9" t="s">
        <v>148</v>
      </c>
      <c r="V3242" t="s">
        <v>164</v>
      </c>
      <c r="W3242" t="s">
        <v>178</v>
      </c>
      <c r="X3242" t="s">
        <v>1895</v>
      </c>
      <c r="Y3242" t="s">
        <v>179</v>
      </c>
      <c r="Z3242" t="s">
        <v>41</v>
      </c>
      <c r="AB3242" t="str">
        <f t="shared" si="150"/>
        <v>54822</v>
      </c>
    </row>
    <row r="3243" ht="14.25" spans="1:28">
      <c r="A3243" s="5" t="s">
        <v>28</v>
      </c>
      <c r="B3243" s="5" t="s">
        <v>697</v>
      </c>
      <c r="C3243" s="5">
        <v>2027</v>
      </c>
      <c r="D3243" s="5" t="s">
        <v>30</v>
      </c>
      <c r="E3243" t="s">
        <v>1892</v>
      </c>
      <c r="F3243" t="s">
        <v>1887</v>
      </c>
      <c r="G3243" t="s">
        <v>1893</v>
      </c>
      <c r="H3243" t="s">
        <v>1894</v>
      </c>
      <c r="I3243" t="s">
        <v>119</v>
      </c>
      <c r="J3243" t="s">
        <v>36</v>
      </c>
      <c r="K3243">
        <v>1390</v>
      </c>
      <c r="O3243" t="s">
        <v>176</v>
      </c>
      <c r="P3243" t="s">
        <v>43</v>
      </c>
      <c r="U3243" s="9" t="s">
        <v>148</v>
      </c>
      <c r="V3243" t="s">
        <v>164</v>
      </c>
      <c r="W3243" t="s">
        <v>178</v>
      </c>
      <c r="X3243" t="s">
        <v>1895</v>
      </c>
      <c r="Y3243" t="s">
        <v>179</v>
      </c>
      <c r="Z3243" t="s">
        <v>41</v>
      </c>
      <c r="AB3243" t="str">
        <f t="shared" si="150"/>
        <v>54822</v>
      </c>
    </row>
    <row r="3244" ht="14.25" spans="1:28">
      <c r="A3244" s="5" t="s">
        <v>28</v>
      </c>
      <c r="B3244" s="5" t="s">
        <v>697</v>
      </c>
      <c r="C3244" s="5">
        <v>2027</v>
      </c>
      <c r="D3244" s="5" t="s">
        <v>30</v>
      </c>
      <c r="E3244" t="s">
        <v>1892</v>
      </c>
      <c r="F3244" t="s">
        <v>1887</v>
      </c>
      <c r="G3244" t="s">
        <v>1893</v>
      </c>
      <c r="H3244" t="s">
        <v>1894</v>
      </c>
      <c r="I3244" t="s">
        <v>119</v>
      </c>
      <c r="J3244" t="s">
        <v>36</v>
      </c>
      <c r="K3244">
        <v>1390</v>
      </c>
      <c r="O3244" t="s">
        <v>176</v>
      </c>
      <c r="P3244" t="s">
        <v>44</v>
      </c>
      <c r="U3244" s="9" t="s">
        <v>148</v>
      </c>
      <c r="V3244" t="s">
        <v>164</v>
      </c>
      <c r="W3244" t="s">
        <v>178</v>
      </c>
      <c r="X3244" t="s">
        <v>1895</v>
      </c>
      <c r="Y3244" t="s">
        <v>179</v>
      </c>
      <c r="Z3244" t="s">
        <v>41</v>
      </c>
      <c r="AB3244" t="str">
        <f t="shared" si="150"/>
        <v>54822</v>
      </c>
    </row>
    <row r="3245" ht="14.25" spans="1:28">
      <c r="A3245" s="5" t="s">
        <v>28</v>
      </c>
      <c r="B3245" s="5" t="s">
        <v>697</v>
      </c>
      <c r="C3245" s="5">
        <v>2027</v>
      </c>
      <c r="D3245" s="5" t="s">
        <v>30</v>
      </c>
      <c r="E3245" t="s">
        <v>1892</v>
      </c>
      <c r="F3245" t="s">
        <v>1887</v>
      </c>
      <c r="G3245" t="s">
        <v>1893</v>
      </c>
      <c r="H3245" t="s">
        <v>1894</v>
      </c>
      <c r="I3245" t="s">
        <v>119</v>
      </c>
      <c r="J3245" t="s">
        <v>36</v>
      </c>
      <c r="K3245">
        <v>1390</v>
      </c>
      <c r="O3245" t="s">
        <v>176</v>
      </c>
      <c r="P3245" t="s">
        <v>45</v>
      </c>
      <c r="U3245" s="9" t="s">
        <v>148</v>
      </c>
      <c r="V3245" t="s">
        <v>164</v>
      </c>
      <c r="W3245" t="s">
        <v>178</v>
      </c>
      <c r="X3245" t="s">
        <v>1895</v>
      </c>
      <c r="Y3245" t="s">
        <v>179</v>
      </c>
      <c r="Z3245" t="s">
        <v>41</v>
      </c>
      <c r="AB3245" t="str">
        <f t="shared" si="150"/>
        <v>54822</v>
      </c>
    </row>
    <row r="3246" ht="14.25" spans="1:28">
      <c r="A3246" s="5" t="s">
        <v>28</v>
      </c>
      <c r="B3246" s="5" t="s">
        <v>697</v>
      </c>
      <c r="C3246" s="5">
        <v>2027</v>
      </c>
      <c r="D3246" s="5" t="s">
        <v>30</v>
      </c>
      <c r="E3246" t="s">
        <v>1896</v>
      </c>
      <c r="F3246" t="s">
        <v>1897</v>
      </c>
      <c r="G3246" t="s">
        <v>1898</v>
      </c>
      <c r="H3246" t="s">
        <v>1899</v>
      </c>
      <c r="I3246" t="s">
        <v>147</v>
      </c>
      <c r="J3246" t="s">
        <v>36</v>
      </c>
      <c r="K3246">
        <v>1390</v>
      </c>
      <c r="O3246" t="s">
        <v>176</v>
      </c>
      <c r="P3246" t="s">
        <v>177</v>
      </c>
      <c r="R3246">
        <f t="shared" si="151"/>
        <v>0</v>
      </c>
      <c r="S3246">
        <f>SUMIFS([1]Sheet1!$T:$T,[1]Sheet1!$I:$I,E3246,[1]Sheet1!$C:$C,A3246)</f>
        <v>40</v>
      </c>
      <c r="T3246">
        <f t="shared" si="152"/>
        <v>-40</v>
      </c>
      <c r="U3246" s="9" t="s">
        <v>148</v>
      </c>
      <c r="V3246" t="s">
        <v>184</v>
      </c>
      <c r="W3246" t="s">
        <v>178</v>
      </c>
      <c r="X3246" t="s">
        <v>58</v>
      </c>
      <c r="Y3246" t="s">
        <v>179</v>
      </c>
      <c r="Z3246" t="s">
        <v>41</v>
      </c>
      <c r="AB3246" t="str">
        <f t="shared" si="150"/>
        <v>54826</v>
      </c>
    </row>
    <row r="3247" ht="14.25" spans="1:28">
      <c r="A3247" s="5" t="s">
        <v>28</v>
      </c>
      <c r="B3247" s="5" t="s">
        <v>697</v>
      </c>
      <c r="C3247" s="5">
        <v>2027</v>
      </c>
      <c r="D3247" s="5" t="s">
        <v>30</v>
      </c>
      <c r="E3247" t="s">
        <v>1896</v>
      </c>
      <c r="F3247" t="s">
        <v>1897</v>
      </c>
      <c r="G3247" t="s">
        <v>1898</v>
      </c>
      <c r="H3247" t="s">
        <v>1899</v>
      </c>
      <c r="I3247" t="s">
        <v>147</v>
      </c>
      <c r="J3247" t="s">
        <v>36</v>
      </c>
      <c r="K3247">
        <v>1390</v>
      </c>
      <c r="O3247" t="s">
        <v>176</v>
      </c>
      <c r="P3247" t="s">
        <v>38</v>
      </c>
      <c r="U3247" s="9" t="s">
        <v>148</v>
      </c>
      <c r="V3247" t="s">
        <v>184</v>
      </c>
      <c r="W3247" t="s">
        <v>178</v>
      </c>
      <c r="X3247" t="s">
        <v>58</v>
      </c>
      <c r="Y3247" t="s">
        <v>179</v>
      </c>
      <c r="Z3247" t="s">
        <v>41</v>
      </c>
      <c r="AB3247" t="str">
        <f t="shared" si="150"/>
        <v>54826</v>
      </c>
    </row>
    <row r="3248" ht="14.25" spans="1:28">
      <c r="A3248" s="5" t="s">
        <v>28</v>
      </c>
      <c r="B3248" s="5" t="s">
        <v>697</v>
      </c>
      <c r="C3248" s="5">
        <v>2027</v>
      </c>
      <c r="D3248" s="5" t="s">
        <v>30</v>
      </c>
      <c r="E3248" t="s">
        <v>1896</v>
      </c>
      <c r="F3248" t="s">
        <v>1897</v>
      </c>
      <c r="G3248" t="s">
        <v>1898</v>
      </c>
      <c r="H3248" t="s">
        <v>1899</v>
      </c>
      <c r="I3248" t="s">
        <v>147</v>
      </c>
      <c r="J3248" t="s">
        <v>36</v>
      </c>
      <c r="K3248">
        <v>1390</v>
      </c>
      <c r="O3248" t="s">
        <v>176</v>
      </c>
      <c r="P3248" t="s">
        <v>42</v>
      </c>
      <c r="U3248" s="9" t="s">
        <v>148</v>
      </c>
      <c r="V3248" t="s">
        <v>184</v>
      </c>
      <c r="W3248" t="s">
        <v>178</v>
      </c>
      <c r="X3248" t="s">
        <v>58</v>
      </c>
      <c r="Y3248" t="s">
        <v>179</v>
      </c>
      <c r="Z3248" t="s">
        <v>41</v>
      </c>
      <c r="AB3248" t="str">
        <f t="shared" si="150"/>
        <v>54826</v>
      </c>
    </row>
    <row r="3249" ht="14.25" spans="1:28">
      <c r="A3249" s="5" t="s">
        <v>28</v>
      </c>
      <c r="B3249" s="5" t="s">
        <v>697</v>
      </c>
      <c r="C3249" s="5">
        <v>2027</v>
      </c>
      <c r="D3249" s="5" t="s">
        <v>30</v>
      </c>
      <c r="E3249" t="s">
        <v>1896</v>
      </c>
      <c r="F3249" t="s">
        <v>1897</v>
      </c>
      <c r="G3249" t="s">
        <v>1898</v>
      </c>
      <c r="H3249" t="s">
        <v>1899</v>
      </c>
      <c r="I3249" t="s">
        <v>147</v>
      </c>
      <c r="J3249" t="s">
        <v>36</v>
      </c>
      <c r="K3249">
        <v>1390</v>
      </c>
      <c r="O3249" t="s">
        <v>176</v>
      </c>
      <c r="P3249" t="s">
        <v>43</v>
      </c>
      <c r="U3249" s="9" t="s">
        <v>148</v>
      </c>
      <c r="V3249" t="s">
        <v>184</v>
      </c>
      <c r="W3249" t="s">
        <v>178</v>
      </c>
      <c r="X3249" t="s">
        <v>58</v>
      </c>
      <c r="Y3249" t="s">
        <v>179</v>
      </c>
      <c r="Z3249" t="s">
        <v>41</v>
      </c>
      <c r="AB3249" t="str">
        <f t="shared" si="150"/>
        <v>54826</v>
      </c>
    </row>
    <row r="3250" ht="14.25" spans="1:28">
      <c r="A3250" s="5" t="s">
        <v>28</v>
      </c>
      <c r="B3250" s="5" t="s">
        <v>697</v>
      </c>
      <c r="C3250" s="5">
        <v>2027</v>
      </c>
      <c r="D3250" s="5" t="s">
        <v>30</v>
      </c>
      <c r="E3250" t="s">
        <v>1896</v>
      </c>
      <c r="F3250" t="s">
        <v>1897</v>
      </c>
      <c r="G3250" t="s">
        <v>1898</v>
      </c>
      <c r="H3250" t="s">
        <v>1899</v>
      </c>
      <c r="I3250" t="s">
        <v>147</v>
      </c>
      <c r="J3250" t="s">
        <v>36</v>
      </c>
      <c r="K3250">
        <v>1390</v>
      </c>
      <c r="O3250" t="s">
        <v>176</v>
      </c>
      <c r="P3250" t="s">
        <v>44</v>
      </c>
      <c r="U3250" s="9" t="s">
        <v>148</v>
      </c>
      <c r="V3250" t="s">
        <v>184</v>
      </c>
      <c r="W3250" t="s">
        <v>178</v>
      </c>
      <c r="X3250" t="s">
        <v>58</v>
      </c>
      <c r="Y3250" t="s">
        <v>179</v>
      </c>
      <c r="Z3250" t="s">
        <v>41</v>
      </c>
      <c r="AB3250" t="str">
        <f t="shared" si="150"/>
        <v>54826</v>
      </c>
    </row>
    <row r="3251" ht="14.25" spans="1:28">
      <c r="A3251" s="5" t="s">
        <v>28</v>
      </c>
      <c r="B3251" s="5" t="s">
        <v>697</v>
      </c>
      <c r="C3251" s="5">
        <v>2027</v>
      </c>
      <c r="D3251" s="5" t="s">
        <v>30</v>
      </c>
      <c r="E3251" t="s">
        <v>1896</v>
      </c>
      <c r="F3251" t="s">
        <v>1897</v>
      </c>
      <c r="G3251" t="s">
        <v>1898</v>
      </c>
      <c r="H3251" t="s">
        <v>1899</v>
      </c>
      <c r="I3251" t="s">
        <v>147</v>
      </c>
      <c r="J3251" t="s">
        <v>36</v>
      </c>
      <c r="K3251">
        <v>1390</v>
      </c>
      <c r="O3251" t="s">
        <v>176</v>
      </c>
      <c r="P3251" t="s">
        <v>45</v>
      </c>
      <c r="U3251" s="9" t="s">
        <v>148</v>
      </c>
      <c r="V3251" t="s">
        <v>184</v>
      </c>
      <c r="W3251" t="s">
        <v>178</v>
      </c>
      <c r="X3251" t="s">
        <v>58</v>
      </c>
      <c r="Y3251" t="s">
        <v>179</v>
      </c>
      <c r="Z3251" t="s">
        <v>41</v>
      </c>
      <c r="AB3251" t="str">
        <f t="shared" ref="AB3251:AB3314" si="153">MID(E3251,6,5)</f>
        <v>54826</v>
      </c>
    </row>
    <row r="3252" ht="14.25" spans="1:28">
      <c r="A3252" s="5" t="s">
        <v>28</v>
      </c>
      <c r="B3252" s="5" t="s">
        <v>697</v>
      </c>
      <c r="C3252" s="5">
        <v>2027</v>
      </c>
      <c r="D3252" s="5" t="s">
        <v>30</v>
      </c>
      <c r="E3252" t="s">
        <v>1900</v>
      </c>
      <c r="F3252" t="s">
        <v>1897</v>
      </c>
      <c r="G3252" t="s">
        <v>1901</v>
      </c>
      <c r="H3252" t="s">
        <v>1902</v>
      </c>
      <c r="I3252" t="s">
        <v>119</v>
      </c>
      <c r="J3252" t="s">
        <v>36</v>
      </c>
      <c r="K3252">
        <v>1390</v>
      </c>
      <c r="O3252" t="s">
        <v>176</v>
      </c>
      <c r="P3252" t="s">
        <v>177</v>
      </c>
      <c r="R3252">
        <f t="shared" si="151"/>
        <v>0</v>
      </c>
      <c r="S3252">
        <f>SUMIFS([1]Sheet1!$T:$T,[1]Sheet1!$I:$I,E3252,[1]Sheet1!$C:$C,A3252)</f>
        <v>40</v>
      </c>
      <c r="T3252">
        <f t="shared" si="152"/>
        <v>-40</v>
      </c>
      <c r="U3252" s="9" t="s">
        <v>148</v>
      </c>
      <c r="V3252" t="s">
        <v>184</v>
      </c>
      <c r="W3252" t="s">
        <v>178</v>
      </c>
      <c r="X3252" t="s">
        <v>1131</v>
      </c>
      <c r="Y3252" t="s">
        <v>179</v>
      </c>
      <c r="Z3252" t="s">
        <v>41</v>
      </c>
      <c r="AB3252" t="str">
        <f t="shared" si="153"/>
        <v>54826</v>
      </c>
    </row>
    <row r="3253" ht="14.25" spans="1:28">
      <c r="A3253" s="5" t="s">
        <v>28</v>
      </c>
      <c r="B3253" s="5" t="s">
        <v>697</v>
      </c>
      <c r="C3253" s="5">
        <v>2027</v>
      </c>
      <c r="D3253" s="5" t="s">
        <v>30</v>
      </c>
      <c r="E3253" t="s">
        <v>1900</v>
      </c>
      <c r="F3253" t="s">
        <v>1897</v>
      </c>
      <c r="G3253" t="s">
        <v>1901</v>
      </c>
      <c r="H3253" t="s">
        <v>1902</v>
      </c>
      <c r="I3253" t="s">
        <v>119</v>
      </c>
      <c r="J3253" t="s">
        <v>36</v>
      </c>
      <c r="K3253">
        <v>1390</v>
      </c>
      <c r="O3253" t="s">
        <v>176</v>
      </c>
      <c r="P3253" t="s">
        <v>38</v>
      </c>
      <c r="U3253" s="9" t="s">
        <v>148</v>
      </c>
      <c r="V3253" t="s">
        <v>184</v>
      </c>
      <c r="W3253" t="s">
        <v>178</v>
      </c>
      <c r="X3253" t="s">
        <v>1131</v>
      </c>
      <c r="Y3253" t="s">
        <v>179</v>
      </c>
      <c r="Z3253" t="s">
        <v>41</v>
      </c>
      <c r="AB3253" t="str">
        <f t="shared" si="153"/>
        <v>54826</v>
      </c>
    </row>
    <row r="3254" ht="14.25" spans="1:28">
      <c r="A3254" s="5" t="s">
        <v>28</v>
      </c>
      <c r="B3254" s="5" t="s">
        <v>697</v>
      </c>
      <c r="C3254" s="5">
        <v>2027</v>
      </c>
      <c r="D3254" s="5" t="s">
        <v>30</v>
      </c>
      <c r="E3254" t="s">
        <v>1900</v>
      </c>
      <c r="F3254" t="s">
        <v>1897</v>
      </c>
      <c r="G3254" t="s">
        <v>1901</v>
      </c>
      <c r="H3254" t="s">
        <v>1902</v>
      </c>
      <c r="I3254" t="s">
        <v>119</v>
      </c>
      <c r="J3254" t="s">
        <v>36</v>
      </c>
      <c r="K3254">
        <v>1390</v>
      </c>
      <c r="O3254" t="s">
        <v>176</v>
      </c>
      <c r="P3254" t="s">
        <v>42</v>
      </c>
      <c r="U3254" s="9" t="s">
        <v>148</v>
      </c>
      <c r="V3254" t="s">
        <v>184</v>
      </c>
      <c r="W3254" t="s">
        <v>178</v>
      </c>
      <c r="X3254" t="s">
        <v>1131</v>
      </c>
      <c r="Y3254" t="s">
        <v>179</v>
      </c>
      <c r="Z3254" t="s">
        <v>41</v>
      </c>
      <c r="AB3254" t="str">
        <f t="shared" si="153"/>
        <v>54826</v>
      </c>
    </row>
    <row r="3255" ht="14.25" spans="1:28">
      <c r="A3255" s="5" t="s">
        <v>28</v>
      </c>
      <c r="B3255" s="5" t="s">
        <v>697</v>
      </c>
      <c r="C3255" s="5">
        <v>2027</v>
      </c>
      <c r="D3255" s="5" t="s">
        <v>30</v>
      </c>
      <c r="E3255" t="s">
        <v>1900</v>
      </c>
      <c r="F3255" t="s">
        <v>1897</v>
      </c>
      <c r="G3255" t="s">
        <v>1901</v>
      </c>
      <c r="H3255" t="s">
        <v>1902</v>
      </c>
      <c r="I3255" t="s">
        <v>119</v>
      </c>
      <c r="J3255" t="s">
        <v>36</v>
      </c>
      <c r="K3255">
        <v>1390</v>
      </c>
      <c r="O3255" t="s">
        <v>176</v>
      </c>
      <c r="P3255" t="s">
        <v>43</v>
      </c>
      <c r="U3255" s="9" t="s">
        <v>148</v>
      </c>
      <c r="V3255" t="s">
        <v>184</v>
      </c>
      <c r="W3255" t="s">
        <v>178</v>
      </c>
      <c r="X3255" t="s">
        <v>1131</v>
      </c>
      <c r="Y3255" t="s">
        <v>179</v>
      </c>
      <c r="Z3255" t="s">
        <v>41</v>
      </c>
      <c r="AB3255" t="str">
        <f t="shared" si="153"/>
        <v>54826</v>
      </c>
    </row>
    <row r="3256" ht="14.25" spans="1:28">
      <c r="A3256" s="5" t="s">
        <v>28</v>
      </c>
      <c r="B3256" s="5" t="s">
        <v>697</v>
      </c>
      <c r="C3256" s="5">
        <v>2027</v>
      </c>
      <c r="D3256" s="5" t="s">
        <v>30</v>
      </c>
      <c r="E3256" t="s">
        <v>1900</v>
      </c>
      <c r="F3256" t="s">
        <v>1897</v>
      </c>
      <c r="G3256" t="s">
        <v>1901</v>
      </c>
      <c r="H3256" t="s">
        <v>1902</v>
      </c>
      <c r="I3256" t="s">
        <v>119</v>
      </c>
      <c r="J3256" t="s">
        <v>36</v>
      </c>
      <c r="K3256">
        <v>1390</v>
      </c>
      <c r="O3256" t="s">
        <v>176</v>
      </c>
      <c r="P3256" t="s">
        <v>44</v>
      </c>
      <c r="U3256" s="9" t="s">
        <v>148</v>
      </c>
      <c r="V3256" t="s">
        <v>184</v>
      </c>
      <c r="W3256" t="s">
        <v>178</v>
      </c>
      <c r="X3256" t="s">
        <v>1131</v>
      </c>
      <c r="Y3256" t="s">
        <v>179</v>
      </c>
      <c r="Z3256" t="s">
        <v>41</v>
      </c>
      <c r="AB3256" t="str">
        <f t="shared" si="153"/>
        <v>54826</v>
      </c>
    </row>
    <row r="3257" ht="14.25" spans="1:28">
      <c r="A3257" s="5" t="s">
        <v>28</v>
      </c>
      <c r="B3257" s="5" t="s">
        <v>697</v>
      </c>
      <c r="C3257" s="5">
        <v>2027</v>
      </c>
      <c r="D3257" s="5" t="s">
        <v>30</v>
      </c>
      <c r="E3257" t="s">
        <v>1900</v>
      </c>
      <c r="F3257" t="s">
        <v>1897</v>
      </c>
      <c r="G3257" t="s">
        <v>1901</v>
      </c>
      <c r="H3257" t="s">
        <v>1902</v>
      </c>
      <c r="I3257" t="s">
        <v>119</v>
      </c>
      <c r="J3257" t="s">
        <v>36</v>
      </c>
      <c r="K3257">
        <v>1390</v>
      </c>
      <c r="O3257" t="s">
        <v>176</v>
      </c>
      <c r="P3257" t="s">
        <v>45</v>
      </c>
      <c r="U3257" s="9" t="s">
        <v>148</v>
      </c>
      <c r="V3257" t="s">
        <v>184</v>
      </c>
      <c r="W3257" t="s">
        <v>178</v>
      </c>
      <c r="X3257" t="s">
        <v>1131</v>
      </c>
      <c r="Y3257" t="s">
        <v>179</v>
      </c>
      <c r="Z3257" t="s">
        <v>41</v>
      </c>
      <c r="AB3257" t="str">
        <f t="shared" si="153"/>
        <v>54826</v>
      </c>
    </row>
    <row r="3258" ht="14.25" spans="1:28">
      <c r="A3258" s="5" t="s">
        <v>28</v>
      </c>
      <c r="B3258" s="5" t="s">
        <v>697</v>
      </c>
      <c r="C3258" s="5">
        <v>2027</v>
      </c>
      <c r="D3258" s="5" t="s">
        <v>30</v>
      </c>
      <c r="E3258" t="s">
        <v>1903</v>
      </c>
      <c r="F3258" t="s">
        <v>1904</v>
      </c>
      <c r="G3258" t="s">
        <v>1905</v>
      </c>
      <c r="H3258" t="s">
        <v>1906</v>
      </c>
      <c r="I3258" t="s">
        <v>112</v>
      </c>
      <c r="J3258" t="s">
        <v>36</v>
      </c>
      <c r="K3258">
        <v>490</v>
      </c>
      <c r="O3258" t="s">
        <v>176</v>
      </c>
      <c r="P3258" t="s">
        <v>177</v>
      </c>
      <c r="R3258">
        <f t="shared" si="151"/>
        <v>0</v>
      </c>
      <c r="S3258">
        <f>SUMIFS([1]Sheet1!$T:$T,[1]Sheet1!$I:$I,E3258,[1]Sheet1!$C:$C,A3258)</f>
        <v>150</v>
      </c>
      <c r="T3258">
        <f t="shared" si="152"/>
        <v>-150</v>
      </c>
      <c r="U3258" s="9" t="s">
        <v>148</v>
      </c>
      <c r="V3258" t="s">
        <v>184</v>
      </c>
      <c r="W3258" t="s">
        <v>178</v>
      </c>
      <c r="X3258" t="s">
        <v>1455</v>
      </c>
      <c r="Y3258" t="s">
        <v>179</v>
      </c>
      <c r="Z3258" t="s">
        <v>41</v>
      </c>
      <c r="AB3258" t="str">
        <f t="shared" si="153"/>
        <v>41893</v>
      </c>
    </row>
    <row r="3259" ht="14.25" spans="1:28">
      <c r="A3259" s="5" t="s">
        <v>28</v>
      </c>
      <c r="B3259" s="5" t="s">
        <v>697</v>
      </c>
      <c r="C3259" s="5">
        <v>2027</v>
      </c>
      <c r="D3259" s="5" t="s">
        <v>30</v>
      </c>
      <c r="E3259" t="s">
        <v>1903</v>
      </c>
      <c r="F3259" t="s">
        <v>1904</v>
      </c>
      <c r="G3259" t="s">
        <v>1905</v>
      </c>
      <c r="H3259" t="s">
        <v>1906</v>
      </c>
      <c r="I3259" t="s">
        <v>112</v>
      </c>
      <c r="J3259" t="s">
        <v>36</v>
      </c>
      <c r="K3259">
        <v>490</v>
      </c>
      <c r="O3259" t="s">
        <v>176</v>
      </c>
      <c r="P3259" t="s">
        <v>38</v>
      </c>
      <c r="U3259" s="9" t="s">
        <v>148</v>
      </c>
      <c r="V3259" t="s">
        <v>184</v>
      </c>
      <c r="W3259" t="s">
        <v>178</v>
      </c>
      <c r="X3259" t="s">
        <v>1455</v>
      </c>
      <c r="Y3259" t="s">
        <v>179</v>
      </c>
      <c r="Z3259" t="s">
        <v>41</v>
      </c>
      <c r="AB3259" t="str">
        <f t="shared" si="153"/>
        <v>41893</v>
      </c>
    </row>
    <row r="3260" ht="14.25" spans="1:28">
      <c r="A3260" s="5" t="s">
        <v>28</v>
      </c>
      <c r="B3260" s="5" t="s">
        <v>697</v>
      </c>
      <c r="C3260" s="5">
        <v>2027</v>
      </c>
      <c r="D3260" s="5" t="s">
        <v>30</v>
      </c>
      <c r="E3260" t="s">
        <v>1903</v>
      </c>
      <c r="F3260" t="s">
        <v>1904</v>
      </c>
      <c r="G3260" t="s">
        <v>1905</v>
      </c>
      <c r="H3260" t="s">
        <v>1906</v>
      </c>
      <c r="I3260" t="s">
        <v>112</v>
      </c>
      <c r="J3260" t="s">
        <v>36</v>
      </c>
      <c r="K3260">
        <v>490</v>
      </c>
      <c r="O3260" t="s">
        <v>176</v>
      </c>
      <c r="P3260" t="s">
        <v>42</v>
      </c>
      <c r="U3260" s="9" t="s">
        <v>148</v>
      </c>
      <c r="V3260" t="s">
        <v>184</v>
      </c>
      <c r="W3260" t="s">
        <v>178</v>
      </c>
      <c r="X3260" t="s">
        <v>1455</v>
      </c>
      <c r="Y3260" t="s">
        <v>179</v>
      </c>
      <c r="Z3260" t="s">
        <v>41</v>
      </c>
      <c r="AB3260" t="str">
        <f t="shared" si="153"/>
        <v>41893</v>
      </c>
    </row>
    <row r="3261" ht="14.25" spans="1:28">
      <c r="A3261" s="5" t="s">
        <v>28</v>
      </c>
      <c r="B3261" s="5" t="s">
        <v>697</v>
      </c>
      <c r="C3261" s="5">
        <v>2027</v>
      </c>
      <c r="D3261" s="5" t="s">
        <v>30</v>
      </c>
      <c r="E3261" t="s">
        <v>1903</v>
      </c>
      <c r="F3261" t="s">
        <v>1904</v>
      </c>
      <c r="G3261" t="s">
        <v>1905</v>
      </c>
      <c r="H3261" t="s">
        <v>1906</v>
      </c>
      <c r="I3261" t="s">
        <v>112</v>
      </c>
      <c r="J3261" t="s">
        <v>36</v>
      </c>
      <c r="K3261">
        <v>490</v>
      </c>
      <c r="O3261" t="s">
        <v>176</v>
      </c>
      <c r="P3261" t="s">
        <v>43</v>
      </c>
      <c r="U3261" s="9" t="s">
        <v>148</v>
      </c>
      <c r="V3261" t="s">
        <v>184</v>
      </c>
      <c r="W3261" t="s">
        <v>178</v>
      </c>
      <c r="X3261" t="s">
        <v>1455</v>
      </c>
      <c r="Y3261" t="s">
        <v>179</v>
      </c>
      <c r="Z3261" t="s">
        <v>41</v>
      </c>
      <c r="AB3261" t="str">
        <f t="shared" si="153"/>
        <v>41893</v>
      </c>
    </row>
    <row r="3262" ht="14.25" spans="1:28">
      <c r="A3262" s="5" t="s">
        <v>28</v>
      </c>
      <c r="B3262" s="5" t="s">
        <v>697</v>
      </c>
      <c r="C3262" s="5">
        <v>2027</v>
      </c>
      <c r="D3262" s="5" t="s">
        <v>30</v>
      </c>
      <c r="E3262" t="s">
        <v>1903</v>
      </c>
      <c r="F3262" t="s">
        <v>1904</v>
      </c>
      <c r="G3262" t="s">
        <v>1905</v>
      </c>
      <c r="H3262" t="s">
        <v>1906</v>
      </c>
      <c r="I3262" t="s">
        <v>112</v>
      </c>
      <c r="J3262" t="s">
        <v>36</v>
      </c>
      <c r="K3262">
        <v>490</v>
      </c>
      <c r="O3262" t="s">
        <v>176</v>
      </c>
      <c r="P3262" t="s">
        <v>44</v>
      </c>
      <c r="U3262" s="9" t="s">
        <v>148</v>
      </c>
      <c r="V3262" t="s">
        <v>184</v>
      </c>
      <c r="W3262" t="s">
        <v>178</v>
      </c>
      <c r="X3262" t="s">
        <v>1455</v>
      </c>
      <c r="Y3262" t="s">
        <v>179</v>
      </c>
      <c r="Z3262" t="s">
        <v>41</v>
      </c>
      <c r="AB3262" t="str">
        <f t="shared" si="153"/>
        <v>41893</v>
      </c>
    </row>
    <row r="3263" ht="14.25" spans="1:28">
      <c r="A3263" s="5" t="s">
        <v>28</v>
      </c>
      <c r="B3263" s="5" t="s">
        <v>697</v>
      </c>
      <c r="C3263" s="5">
        <v>2027</v>
      </c>
      <c r="D3263" s="5" t="s">
        <v>30</v>
      </c>
      <c r="E3263" t="s">
        <v>1903</v>
      </c>
      <c r="F3263" t="s">
        <v>1904</v>
      </c>
      <c r="G3263" t="s">
        <v>1905</v>
      </c>
      <c r="H3263" t="s">
        <v>1906</v>
      </c>
      <c r="I3263" t="s">
        <v>112</v>
      </c>
      <c r="J3263" t="s">
        <v>36</v>
      </c>
      <c r="K3263">
        <v>490</v>
      </c>
      <c r="O3263" t="s">
        <v>176</v>
      </c>
      <c r="P3263" t="s">
        <v>45</v>
      </c>
      <c r="U3263" s="9" t="s">
        <v>148</v>
      </c>
      <c r="V3263" t="s">
        <v>184</v>
      </c>
      <c r="W3263" t="s">
        <v>178</v>
      </c>
      <c r="X3263" t="s">
        <v>1455</v>
      </c>
      <c r="Y3263" t="s">
        <v>179</v>
      </c>
      <c r="Z3263" t="s">
        <v>41</v>
      </c>
      <c r="AB3263" t="str">
        <f t="shared" si="153"/>
        <v>41893</v>
      </c>
    </row>
    <row r="3264" ht="14.25" spans="1:28">
      <c r="A3264" s="5" t="s">
        <v>28</v>
      </c>
      <c r="B3264" s="5" t="s">
        <v>697</v>
      </c>
      <c r="C3264" s="5">
        <v>2027</v>
      </c>
      <c r="D3264" s="5" t="s">
        <v>30</v>
      </c>
      <c r="E3264" t="s">
        <v>1907</v>
      </c>
      <c r="F3264" t="s">
        <v>1904</v>
      </c>
      <c r="G3264" t="s">
        <v>1064</v>
      </c>
      <c r="H3264" t="s">
        <v>1908</v>
      </c>
      <c r="I3264" t="s">
        <v>112</v>
      </c>
      <c r="J3264" t="s">
        <v>36</v>
      </c>
      <c r="K3264">
        <v>490</v>
      </c>
      <c r="O3264" t="s">
        <v>176</v>
      </c>
      <c r="P3264" t="s">
        <v>177</v>
      </c>
      <c r="R3264">
        <f t="shared" si="151"/>
        <v>0</v>
      </c>
      <c r="S3264">
        <f>SUMIFS([1]Sheet1!$T:$T,[1]Sheet1!$I:$I,E3264,[1]Sheet1!$C:$C,A3264)</f>
        <v>200</v>
      </c>
      <c r="T3264">
        <f t="shared" si="152"/>
        <v>-200</v>
      </c>
      <c r="U3264" s="9" t="s">
        <v>148</v>
      </c>
      <c r="V3264" t="s">
        <v>184</v>
      </c>
      <c r="W3264" t="s">
        <v>178</v>
      </c>
      <c r="X3264" t="s">
        <v>62</v>
      </c>
      <c r="Y3264" t="s">
        <v>179</v>
      </c>
      <c r="Z3264" t="s">
        <v>41</v>
      </c>
      <c r="AB3264" t="str">
        <f t="shared" si="153"/>
        <v>41893</v>
      </c>
    </row>
    <row r="3265" ht="14.25" spans="1:28">
      <c r="A3265" s="5" t="s">
        <v>28</v>
      </c>
      <c r="B3265" s="5" t="s">
        <v>697</v>
      </c>
      <c r="C3265" s="5">
        <v>2027</v>
      </c>
      <c r="D3265" s="5" t="s">
        <v>30</v>
      </c>
      <c r="E3265" t="s">
        <v>1907</v>
      </c>
      <c r="F3265" t="s">
        <v>1904</v>
      </c>
      <c r="G3265" t="s">
        <v>1064</v>
      </c>
      <c r="H3265" t="s">
        <v>1908</v>
      </c>
      <c r="I3265" t="s">
        <v>112</v>
      </c>
      <c r="J3265" t="s">
        <v>36</v>
      </c>
      <c r="K3265">
        <v>490</v>
      </c>
      <c r="O3265" t="s">
        <v>176</v>
      </c>
      <c r="P3265" t="s">
        <v>38</v>
      </c>
      <c r="U3265" s="9" t="s">
        <v>148</v>
      </c>
      <c r="V3265" t="s">
        <v>184</v>
      </c>
      <c r="W3265" t="s">
        <v>178</v>
      </c>
      <c r="X3265" t="s">
        <v>62</v>
      </c>
      <c r="Y3265" t="s">
        <v>179</v>
      </c>
      <c r="Z3265" t="s">
        <v>41</v>
      </c>
      <c r="AB3265" t="str">
        <f t="shared" si="153"/>
        <v>41893</v>
      </c>
    </row>
    <row r="3266" ht="14.25" spans="1:28">
      <c r="A3266" s="5" t="s">
        <v>28</v>
      </c>
      <c r="B3266" s="5" t="s">
        <v>697</v>
      </c>
      <c r="C3266" s="5">
        <v>2027</v>
      </c>
      <c r="D3266" s="5" t="s">
        <v>30</v>
      </c>
      <c r="E3266" t="s">
        <v>1907</v>
      </c>
      <c r="F3266" t="s">
        <v>1904</v>
      </c>
      <c r="G3266" t="s">
        <v>1064</v>
      </c>
      <c r="H3266" t="s">
        <v>1908</v>
      </c>
      <c r="I3266" t="s">
        <v>112</v>
      </c>
      <c r="J3266" t="s">
        <v>36</v>
      </c>
      <c r="K3266">
        <v>490</v>
      </c>
      <c r="O3266" t="s">
        <v>176</v>
      </c>
      <c r="P3266" t="s">
        <v>42</v>
      </c>
      <c r="U3266" s="9" t="s">
        <v>148</v>
      </c>
      <c r="V3266" t="s">
        <v>184</v>
      </c>
      <c r="W3266" t="s">
        <v>178</v>
      </c>
      <c r="X3266" t="s">
        <v>62</v>
      </c>
      <c r="Y3266" t="s">
        <v>179</v>
      </c>
      <c r="Z3266" t="s">
        <v>41</v>
      </c>
      <c r="AB3266" t="str">
        <f t="shared" si="153"/>
        <v>41893</v>
      </c>
    </row>
    <row r="3267" ht="14.25" spans="1:28">
      <c r="A3267" s="5" t="s">
        <v>28</v>
      </c>
      <c r="B3267" s="5" t="s">
        <v>697</v>
      </c>
      <c r="C3267" s="5">
        <v>2027</v>
      </c>
      <c r="D3267" s="5" t="s">
        <v>30</v>
      </c>
      <c r="E3267" t="s">
        <v>1907</v>
      </c>
      <c r="F3267" t="s">
        <v>1904</v>
      </c>
      <c r="G3267" t="s">
        <v>1064</v>
      </c>
      <c r="H3267" t="s">
        <v>1908</v>
      </c>
      <c r="I3267" t="s">
        <v>112</v>
      </c>
      <c r="J3267" t="s">
        <v>36</v>
      </c>
      <c r="K3267">
        <v>490</v>
      </c>
      <c r="O3267" t="s">
        <v>176</v>
      </c>
      <c r="P3267" t="s">
        <v>43</v>
      </c>
      <c r="U3267" s="9" t="s">
        <v>148</v>
      </c>
      <c r="V3267" t="s">
        <v>184</v>
      </c>
      <c r="W3267" t="s">
        <v>178</v>
      </c>
      <c r="X3267" t="s">
        <v>62</v>
      </c>
      <c r="Y3267" t="s">
        <v>179</v>
      </c>
      <c r="Z3267" t="s">
        <v>41</v>
      </c>
      <c r="AB3267" t="str">
        <f t="shared" si="153"/>
        <v>41893</v>
      </c>
    </row>
    <row r="3268" ht="14.25" spans="1:28">
      <c r="A3268" s="5" t="s">
        <v>28</v>
      </c>
      <c r="B3268" s="5" t="s">
        <v>697</v>
      </c>
      <c r="C3268" s="5">
        <v>2027</v>
      </c>
      <c r="D3268" s="5" t="s">
        <v>30</v>
      </c>
      <c r="E3268" t="s">
        <v>1907</v>
      </c>
      <c r="F3268" t="s">
        <v>1904</v>
      </c>
      <c r="G3268" t="s">
        <v>1064</v>
      </c>
      <c r="H3268" t="s">
        <v>1908</v>
      </c>
      <c r="I3268" t="s">
        <v>112</v>
      </c>
      <c r="J3268" t="s">
        <v>36</v>
      </c>
      <c r="K3268">
        <v>490</v>
      </c>
      <c r="O3268" t="s">
        <v>176</v>
      </c>
      <c r="P3268" t="s">
        <v>44</v>
      </c>
      <c r="U3268" s="9" t="s">
        <v>148</v>
      </c>
      <c r="V3268" t="s">
        <v>184</v>
      </c>
      <c r="W3268" t="s">
        <v>178</v>
      </c>
      <c r="X3268" t="s">
        <v>62</v>
      </c>
      <c r="Y3268" t="s">
        <v>179</v>
      </c>
      <c r="Z3268" t="s">
        <v>41</v>
      </c>
      <c r="AB3268" t="str">
        <f t="shared" si="153"/>
        <v>41893</v>
      </c>
    </row>
    <row r="3269" ht="14.25" spans="1:28">
      <c r="A3269" s="5" t="s">
        <v>28</v>
      </c>
      <c r="B3269" s="5" t="s">
        <v>697</v>
      </c>
      <c r="C3269" s="5">
        <v>2027</v>
      </c>
      <c r="D3269" s="5" t="s">
        <v>30</v>
      </c>
      <c r="E3269" t="s">
        <v>1907</v>
      </c>
      <c r="F3269" t="s">
        <v>1904</v>
      </c>
      <c r="G3269" t="s">
        <v>1064</v>
      </c>
      <c r="H3269" t="s">
        <v>1908</v>
      </c>
      <c r="I3269" t="s">
        <v>112</v>
      </c>
      <c r="J3269" t="s">
        <v>36</v>
      </c>
      <c r="K3269">
        <v>490</v>
      </c>
      <c r="O3269" t="s">
        <v>176</v>
      </c>
      <c r="P3269" t="s">
        <v>45</v>
      </c>
      <c r="U3269" s="9" t="s">
        <v>148</v>
      </c>
      <c r="V3269" t="s">
        <v>184</v>
      </c>
      <c r="W3269" t="s">
        <v>178</v>
      </c>
      <c r="X3269" t="s">
        <v>62</v>
      </c>
      <c r="Y3269" t="s">
        <v>179</v>
      </c>
      <c r="Z3269" t="s">
        <v>41</v>
      </c>
      <c r="AB3269" t="str">
        <f t="shared" si="153"/>
        <v>41893</v>
      </c>
    </row>
    <row r="3270" ht="14.25" spans="1:28">
      <c r="A3270" s="5" t="s">
        <v>28</v>
      </c>
      <c r="B3270" s="5" t="s">
        <v>697</v>
      </c>
      <c r="C3270" s="5">
        <v>2027</v>
      </c>
      <c r="D3270" s="5" t="s">
        <v>30</v>
      </c>
      <c r="E3270" t="s">
        <v>1909</v>
      </c>
      <c r="F3270" t="s">
        <v>1910</v>
      </c>
      <c r="G3270" t="s">
        <v>1911</v>
      </c>
      <c r="H3270" t="s">
        <v>1912</v>
      </c>
      <c r="I3270" t="s">
        <v>119</v>
      </c>
      <c r="J3270" t="s">
        <v>36</v>
      </c>
      <c r="K3270">
        <v>990</v>
      </c>
      <c r="O3270" t="s">
        <v>176</v>
      </c>
      <c r="P3270" t="s">
        <v>177</v>
      </c>
      <c r="R3270">
        <f t="shared" ref="R3266:R3329" si="154">SUMIFS(Q:Q,E:E,E3270)</f>
        <v>0</v>
      </c>
      <c r="S3270">
        <f>SUMIFS([1]Sheet1!$T:$T,[1]Sheet1!$I:$I,E3270,[1]Sheet1!$C:$C,A3270)</f>
        <v>0</v>
      </c>
      <c r="T3270">
        <f t="shared" ref="T3266:T3329" si="155">R3270-S3270</f>
        <v>0</v>
      </c>
      <c r="U3270" s="9" t="s">
        <v>148</v>
      </c>
      <c r="V3270" t="s">
        <v>164</v>
      </c>
      <c r="W3270" t="s">
        <v>178</v>
      </c>
      <c r="X3270" t="s">
        <v>1455</v>
      </c>
      <c r="Y3270" t="s">
        <v>179</v>
      </c>
      <c r="Z3270" t="s">
        <v>41</v>
      </c>
      <c r="AB3270" t="str">
        <f t="shared" si="153"/>
        <v>43224</v>
      </c>
    </row>
    <row r="3271" ht="14.25" spans="1:28">
      <c r="A3271" s="5" t="s">
        <v>28</v>
      </c>
      <c r="B3271" s="5" t="s">
        <v>697</v>
      </c>
      <c r="C3271" s="5">
        <v>2027</v>
      </c>
      <c r="D3271" s="5" t="s">
        <v>30</v>
      </c>
      <c r="E3271" t="s">
        <v>1909</v>
      </c>
      <c r="F3271" t="s">
        <v>1910</v>
      </c>
      <c r="G3271" t="s">
        <v>1911</v>
      </c>
      <c r="H3271" t="s">
        <v>1912</v>
      </c>
      <c r="I3271" t="s">
        <v>119</v>
      </c>
      <c r="J3271" t="s">
        <v>36</v>
      </c>
      <c r="K3271">
        <v>990</v>
      </c>
      <c r="O3271" t="s">
        <v>176</v>
      </c>
      <c r="P3271" t="s">
        <v>38</v>
      </c>
      <c r="U3271" s="9" t="s">
        <v>148</v>
      </c>
      <c r="V3271" t="s">
        <v>164</v>
      </c>
      <c r="W3271" t="s">
        <v>178</v>
      </c>
      <c r="X3271" t="s">
        <v>1455</v>
      </c>
      <c r="Y3271" t="s">
        <v>179</v>
      </c>
      <c r="Z3271" t="s">
        <v>41</v>
      </c>
      <c r="AB3271" t="str">
        <f t="shared" si="153"/>
        <v>43224</v>
      </c>
    </row>
    <row r="3272" ht="14.25" spans="1:28">
      <c r="A3272" s="5" t="s">
        <v>28</v>
      </c>
      <c r="B3272" s="5" t="s">
        <v>697</v>
      </c>
      <c r="C3272" s="5">
        <v>2027</v>
      </c>
      <c r="D3272" s="5" t="s">
        <v>30</v>
      </c>
      <c r="E3272" t="s">
        <v>1909</v>
      </c>
      <c r="F3272" t="s">
        <v>1910</v>
      </c>
      <c r="G3272" t="s">
        <v>1911</v>
      </c>
      <c r="H3272" t="s">
        <v>1912</v>
      </c>
      <c r="I3272" t="s">
        <v>119</v>
      </c>
      <c r="J3272" t="s">
        <v>36</v>
      </c>
      <c r="K3272">
        <v>990</v>
      </c>
      <c r="O3272" t="s">
        <v>176</v>
      </c>
      <c r="P3272" t="s">
        <v>42</v>
      </c>
      <c r="U3272" s="9" t="s">
        <v>148</v>
      </c>
      <c r="V3272" t="s">
        <v>164</v>
      </c>
      <c r="W3272" t="s">
        <v>178</v>
      </c>
      <c r="X3272" t="s">
        <v>1455</v>
      </c>
      <c r="Y3272" t="s">
        <v>179</v>
      </c>
      <c r="Z3272" t="s">
        <v>41</v>
      </c>
      <c r="AB3272" t="str">
        <f t="shared" si="153"/>
        <v>43224</v>
      </c>
    </row>
    <row r="3273" ht="14.25" spans="1:28">
      <c r="A3273" s="5" t="s">
        <v>28</v>
      </c>
      <c r="B3273" s="5" t="s">
        <v>697</v>
      </c>
      <c r="C3273" s="5">
        <v>2027</v>
      </c>
      <c r="D3273" s="5" t="s">
        <v>30</v>
      </c>
      <c r="E3273" t="s">
        <v>1909</v>
      </c>
      <c r="F3273" t="s">
        <v>1910</v>
      </c>
      <c r="G3273" t="s">
        <v>1911</v>
      </c>
      <c r="H3273" t="s">
        <v>1912</v>
      </c>
      <c r="I3273" t="s">
        <v>119</v>
      </c>
      <c r="J3273" t="s">
        <v>36</v>
      </c>
      <c r="K3273">
        <v>990</v>
      </c>
      <c r="O3273" t="s">
        <v>176</v>
      </c>
      <c r="P3273" t="s">
        <v>43</v>
      </c>
      <c r="U3273" s="9" t="s">
        <v>148</v>
      </c>
      <c r="V3273" t="s">
        <v>164</v>
      </c>
      <c r="W3273" t="s">
        <v>178</v>
      </c>
      <c r="X3273" t="s">
        <v>1455</v>
      </c>
      <c r="Y3273" t="s">
        <v>179</v>
      </c>
      <c r="Z3273" t="s">
        <v>41</v>
      </c>
      <c r="AB3273" t="str">
        <f t="shared" si="153"/>
        <v>43224</v>
      </c>
    </row>
    <row r="3274" ht="14.25" spans="1:28">
      <c r="A3274" s="5" t="s">
        <v>28</v>
      </c>
      <c r="B3274" s="5" t="s">
        <v>697</v>
      </c>
      <c r="C3274" s="5">
        <v>2027</v>
      </c>
      <c r="D3274" s="5" t="s">
        <v>30</v>
      </c>
      <c r="E3274" t="s">
        <v>1909</v>
      </c>
      <c r="F3274" t="s">
        <v>1910</v>
      </c>
      <c r="G3274" t="s">
        <v>1911</v>
      </c>
      <c r="H3274" t="s">
        <v>1912</v>
      </c>
      <c r="I3274" t="s">
        <v>119</v>
      </c>
      <c r="J3274" t="s">
        <v>36</v>
      </c>
      <c r="K3274">
        <v>990</v>
      </c>
      <c r="O3274" t="s">
        <v>176</v>
      </c>
      <c r="P3274" t="s">
        <v>44</v>
      </c>
      <c r="U3274" s="9" t="s">
        <v>148</v>
      </c>
      <c r="V3274" t="s">
        <v>164</v>
      </c>
      <c r="W3274" t="s">
        <v>178</v>
      </c>
      <c r="X3274" t="s">
        <v>1455</v>
      </c>
      <c r="Y3274" t="s">
        <v>179</v>
      </c>
      <c r="Z3274" t="s">
        <v>41</v>
      </c>
      <c r="AB3274" t="str">
        <f t="shared" si="153"/>
        <v>43224</v>
      </c>
    </row>
    <row r="3275" ht="14.25" spans="1:28">
      <c r="A3275" s="5" t="s">
        <v>28</v>
      </c>
      <c r="B3275" s="5" t="s">
        <v>697</v>
      </c>
      <c r="C3275" s="5">
        <v>2027</v>
      </c>
      <c r="D3275" s="5" t="s">
        <v>30</v>
      </c>
      <c r="E3275" t="s">
        <v>1909</v>
      </c>
      <c r="F3275" t="s">
        <v>1910</v>
      </c>
      <c r="G3275" t="s">
        <v>1911</v>
      </c>
      <c r="H3275" t="s">
        <v>1912</v>
      </c>
      <c r="I3275" t="s">
        <v>119</v>
      </c>
      <c r="J3275" t="s">
        <v>36</v>
      </c>
      <c r="K3275">
        <v>990</v>
      </c>
      <c r="O3275" t="s">
        <v>176</v>
      </c>
      <c r="P3275" t="s">
        <v>45</v>
      </c>
      <c r="U3275" s="9" t="s">
        <v>148</v>
      </c>
      <c r="V3275" t="s">
        <v>164</v>
      </c>
      <c r="W3275" t="s">
        <v>178</v>
      </c>
      <c r="X3275" t="s">
        <v>1455</v>
      </c>
      <c r="Y3275" t="s">
        <v>179</v>
      </c>
      <c r="Z3275" t="s">
        <v>41</v>
      </c>
      <c r="AB3275" t="str">
        <f t="shared" si="153"/>
        <v>43224</v>
      </c>
    </row>
    <row r="3276" ht="14.25" spans="1:28">
      <c r="A3276" s="5" t="s">
        <v>28</v>
      </c>
      <c r="B3276" s="5" t="s">
        <v>697</v>
      </c>
      <c r="C3276" s="5">
        <v>2027</v>
      </c>
      <c r="D3276" s="5" t="s">
        <v>30</v>
      </c>
      <c r="E3276" t="s">
        <v>1913</v>
      </c>
      <c r="F3276" t="s">
        <v>1910</v>
      </c>
      <c r="G3276" t="s">
        <v>1914</v>
      </c>
      <c r="H3276" t="s">
        <v>1915</v>
      </c>
      <c r="I3276" t="s">
        <v>147</v>
      </c>
      <c r="J3276" t="s">
        <v>36</v>
      </c>
      <c r="K3276">
        <v>990</v>
      </c>
      <c r="O3276" t="s">
        <v>176</v>
      </c>
      <c r="P3276" t="s">
        <v>177</v>
      </c>
      <c r="R3276">
        <f t="shared" si="154"/>
        <v>0</v>
      </c>
      <c r="S3276">
        <f>SUMIFS([1]Sheet1!$T:$T,[1]Sheet1!$I:$I,E3276,[1]Sheet1!$C:$C,A3276)</f>
        <v>0</v>
      </c>
      <c r="T3276">
        <f t="shared" si="155"/>
        <v>0</v>
      </c>
      <c r="U3276" s="9" t="s">
        <v>148</v>
      </c>
      <c r="V3276" t="s">
        <v>164</v>
      </c>
      <c r="W3276" t="s">
        <v>178</v>
      </c>
      <c r="Y3276" t="s">
        <v>179</v>
      </c>
      <c r="Z3276" t="s">
        <v>41</v>
      </c>
      <c r="AB3276" t="str">
        <f t="shared" si="153"/>
        <v>43224</v>
      </c>
    </row>
    <row r="3277" ht="14.25" spans="1:28">
      <c r="A3277" s="5" t="s">
        <v>28</v>
      </c>
      <c r="B3277" s="5" t="s">
        <v>697</v>
      </c>
      <c r="C3277" s="5">
        <v>2027</v>
      </c>
      <c r="D3277" s="5" t="s">
        <v>30</v>
      </c>
      <c r="E3277" t="s">
        <v>1913</v>
      </c>
      <c r="F3277" t="s">
        <v>1910</v>
      </c>
      <c r="G3277" t="s">
        <v>1914</v>
      </c>
      <c r="H3277" t="s">
        <v>1915</v>
      </c>
      <c r="I3277" t="s">
        <v>147</v>
      </c>
      <c r="J3277" t="s">
        <v>36</v>
      </c>
      <c r="K3277">
        <v>990</v>
      </c>
      <c r="O3277" t="s">
        <v>176</v>
      </c>
      <c r="P3277" t="s">
        <v>38</v>
      </c>
      <c r="U3277" s="9" t="s">
        <v>148</v>
      </c>
      <c r="V3277" t="s">
        <v>164</v>
      </c>
      <c r="W3277" t="s">
        <v>178</v>
      </c>
      <c r="Y3277" t="s">
        <v>179</v>
      </c>
      <c r="Z3277" t="s">
        <v>41</v>
      </c>
      <c r="AB3277" t="str">
        <f t="shared" si="153"/>
        <v>43224</v>
      </c>
    </row>
    <row r="3278" ht="14.25" spans="1:28">
      <c r="A3278" s="5" t="s">
        <v>28</v>
      </c>
      <c r="B3278" s="5" t="s">
        <v>697</v>
      </c>
      <c r="C3278" s="5">
        <v>2027</v>
      </c>
      <c r="D3278" s="5" t="s">
        <v>30</v>
      </c>
      <c r="E3278" t="s">
        <v>1913</v>
      </c>
      <c r="F3278" t="s">
        <v>1910</v>
      </c>
      <c r="G3278" t="s">
        <v>1914</v>
      </c>
      <c r="H3278" t="s">
        <v>1915</v>
      </c>
      <c r="I3278" t="s">
        <v>147</v>
      </c>
      <c r="J3278" t="s">
        <v>36</v>
      </c>
      <c r="K3278">
        <v>990</v>
      </c>
      <c r="O3278" t="s">
        <v>176</v>
      </c>
      <c r="P3278" t="s">
        <v>42</v>
      </c>
      <c r="U3278" s="9" t="s">
        <v>148</v>
      </c>
      <c r="V3278" t="s">
        <v>164</v>
      </c>
      <c r="W3278" t="s">
        <v>178</v>
      </c>
      <c r="Y3278" t="s">
        <v>179</v>
      </c>
      <c r="Z3278" t="s">
        <v>41</v>
      </c>
      <c r="AB3278" t="str">
        <f t="shared" si="153"/>
        <v>43224</v>
      </c>
    </row>
    <row r="3279" ht="14.25" spans="1:28">
      <c r="A3279" s="5" t="s">
        <v>28</v>
      </c>
      <c r="B3279" s="5" t="s">
        <v>697</v>
      </c>
      <c r="C3279" s="5">
        <v>2027</v>
      </c>
      <c r="D3279" s="5" t="s">
        <v>30</v>
      </c>
      <c r="E3279" t="s">
        <v>1913</v>
      </c>
      <c r="F3279" t="s">
        <v>1910</v>
      </c>
      <c r="G3279" t="s">
        <v>1914</v>
      </c>
      <c r="H3279" t="s">
        <v>1915</v>
      </c>
      <c r="I3279" t="s">
        <v>147</v>
      </c>
      <c r="J3279" t="s">
        <v>36</v>
      </c>
      <c r="K3279">
        <v>990</v>
      </c>
      <c r="O3279" t="s">
        <v>176</v>
      </c>
      <c r="P3279" t="s">
        <v>43</v>
      </c>
      <c r="U3279" s="9" t="s">
        <v>148</v>
      </c>
      <c r="V3279" t="s">
        <v>164</v>
      </c>
      <c r="W3279" t="s">
        <v>178</v>
      </c>
      <c r="Y3279" t="s">
        <v>179</v>
      </c>
      <c r="Z3279" t="s">
        <v>41</v>
      </c>
      <c r="AB3279" t="str">
        <f t="shared" si="153"/>
        <v>43224</v>
      </c>
    </row>
    <row r="3280" ht="14.25" spans="1:28">
      <c r="A3280" s="5" t="s">
        <v>28</v>
      </c>
      <c r="B3280" s="5" t="s">
        <v>697</v>
      </c>
      <c r="C3280" s="5">
        <v>2027</v>
      </c>
      <c r="D3280" s="5" t="s">
        <v>30</v>
      </c>
      <c r="E3280" t="s">
        <v>1913</v>
      </c>
      <c r="F3280" t="s">
        <v>1910</v>
      </c>
      <c r="G3280" t="s">
        <v>1914</v>
      </c>
      <c r="H3280" t="s">
        <v>1915</v>
      </c>
      <c r="I3280" t="s">
        <v>147</v>
      </c>
      <c r="J3280" t="s">
        <v>36</v>
      </c>
      <c r="K3280">
        <v>990</v>
      </c>
      <c r="O3280" t="s">
        <v>176</v>
      </c>
      <c r="P3280" t="s">
        <v>44</v>
      </c>
      <c r="U3280" s="9" t="s">
        <v>148</v>
      </c>
      <c r="V3280" t="s">
        <v>164</v>
      </c>
      <c r="W3280" t="s">
        <v>178</v>
      </c>
      <c r="Y3280" t="s">
        <v>179</v>
      </c>
      <c r="Z3280" t="s">
        <v>41</v>
      </c>
      <c r="AB3280" t="str">
        <f t="shared" si="153"/>
        <v>43224</v>
      </c>
    </row>
    <row r="3281" ht="14.25" spans="1:28">
      <c r="A3281" s="5" t="s">
        <v>28</v>
      </c>
      <c r="B3281" s="5" t="s">
        <v>697</v>
      </c>
      <c r="C3281" s="5">
        <v>2027</v>
      </c>
      <c r="D3281" s="5" t="s">
        <v>30</v>
      </c>
      <c r="E3281" t="s">
        <v>1913</v>
      </c>
      <c r="F3281" t="s">
        <v>1910</v>
      </c>
      <c r="G3281" t="s">
        <v>1914</v>
      </c>
      <c r="H3281" t="s">
        <v>1915</v>
      </c>
      <c r="I3281" t="s">
        <v>147</v>
      </c>
      <c r="J3281" t="s">
        <v>36</v>
      </c>
      <c r="K3281">
        <v>990</v>
      </c>
      <c r="O3281" t="s">
        <v>176</v>
      </c>
      <c r="P3281" t="s">
        <v>45</v>
      </c>
      <c r="U3281" s="9" t="s">
        <v>148</v>
      </c>
      <c r="V3281" t="s">
        <v>164</v>
      </c>
      <c r="W3281" t="s">
        <v>178</v>
      </c>
      <c r="Y3281" t="s">
        <v>179</v>
      </c>
      <c r="Z3281" t="s">
        <v>41</v>
      </c>
      <c r="AB3281" t="str">
        <f t="shared" si="153"/>
        <v>43224</v>
      </c>
    </row>
    <row r="3282" ht="14.25" spans="1:28">
      <c r="A3282" s="5" t="s">
        <v>28</v>
      </c>
      <c r="B3282" s="5" t="s">
        <v>697</v>
      </c>
      <c r="C3282" s="5">
        <v>2027</v>
      </c>
      <c r="D3282" s="5" t="s">
        <v>30</v>
      </c>
      <c r="E3282" t="s">
        <v>1916</v>
      </c>
      <c r="F3282" t="s">
        <v>1910</v>
      </c>
      <c r="G3282" t="s">
        <v>1905</v>
      </c>
      <c r="H3282" t="s">
        <v>1917</v>
      </c>
      <c r="I3282" t="s">
        <v>119</v>
      </c>
      <c r="J3282" t="s">
        <v>36</v>
      </c>
      <c r="K3282">
        <v>990</v>
      </c>
      <c r="O3282" t="s">
        <v>176</v>
      </c>
      <c r="P3282" t="s">
        <v>177</v>
      </c>
      <c r="R3282">
        <f t="shared" si="154"/>
        <v>0</v>
      </c>
      <c r="S3282">
        <f>SUMIFS([1]Sheet1!$T:$T,[1]Sheet1!$I:$I,E3282,[1]Sheet1!$C:$C,A3282)</f>
        <v>0</v>
      </c>
      <c r="T3282">
        <f t="shared" si="155"/>
        <v>0</v>
      </c>
      <c r="U3282" s="9" t="s">
        <v>148</v>
      </c>
      <c r="V3282" t="s">
        <v>164</v>
      </c>
      <c r="W3282" t="s">
        <v>178</v>
      </c>
      <c r="X3282" t="s">
        <v>1455</v>
      </c>
      <c r="Y3282" t="s">
        <v>179</v>
      </c>
      <c r="Z3282" t="s">
        <v>41</v>
      </c>
      <c r="AB3282" t="str">
        <f t="shared" si="153"/>
        <v>43224</v>
      </c>
    </row>
    <row r="3283" ht="14.25" spans="1:28">
      <c r="A3283" s="5" t="s">
        <v>28</v>
      </c>
      <c r="B3283" s="5" t="s">
        <v>697</v>
      </c>
      <c r="C3283" s="5">
        <v>2027</v>
      </c>
      <c r="D3283" s="5" t="s">
        <v>30</v>
      </c>
      <c r="E3283" t="s">
        <v>1916</v>
      </c>
      <c r="F3283" t="s">
        <v>1910</v>
      </c>
      <c r="G3283" t="s">
        <v>1905</v>
      </c>
      <c r="H3283" t="s">
        <v>1917</v>
      </c>
      <c r="I3283" t="s">
        <v>119</v>
      </c>
      <c r="J3283" t="s">
        <v>36</v>
      </c>
      <c r="K3283">
        <v>990</v>
      </c>
      <c r="O3283" t="s">
        <v>176</v>
      </c>
      <c r="P3283" t="s">
        <v>38</v>
      </c>
      <c r="U3283" s="9" t="s">
        <v>148</v>
      </c>
      <c r="V3283" t="s">
        <v>164</v>
      </c>
      <c r="W3283" t="s">
        <v>178</v>
      </c>
      <c r="X3283" t="s">
        <v>1455</v>
      </c>
      <c r="Y3283" t="s">
        <v>179</v>
      </c>
      <c r="Z3283" t="s">
        <v>41</v>
      </c>
      <c r="AB3283" t="str">
        <f t="shared" si="153"/>
        <v>43224</v>
      </c>
    </row>
    <row r="3284" ht="14.25" spans="1:28">
      <c r="A3284" s="5" t="s">
        <v>28</v>
      </c>
      <c r="B3284" s="5" t="s">
        <v>697</v>
      </c>
      <c r="C3284" s="5">
        <v>2027</v>
      </c>
      <c r="D3284" s="5" t="s">
        <v>30</v>
      </c>
      <c r="E3284" t="s">
        <v>1916</v>
      </c>
      <c r="F3284" t="s">
        <v>1910</v>
      </c>
      <c r="G3284" t="s">
        <v>1905</v>
      </c>
      <c r="H3284" t="s">
        <v>1917</v>
      </c>
      <c r="I3284" t="s">
        <v>119</v>
      </c>
      <c r="J3284" t="s">
        <v>36</v>
      </c>
      <c r="K3284">
        <v>990</v>
      </c>
      <c r="O3284" t="s">
        <v>176</v>
      </c>
      <c r="P3284" t="s">
        <v>42</v>
      </c>
      <c r="U3284" s="9" t="s">
        <v>148</v>
      </c>
      <c r="V3284" t="s">
        <v>164</v>
      </c>
      <c r="W3284" t="s">
        <v>178</v>
      </c>
      <c r="X3284" t="s">
        <v>1455</v>
      </c>
      <c r="Y3284" t="s">
        <v>179</v>
      </c>
      <c r="Z3284" t="s">
        <v>41</v>
      </c>
      <c r="AB3284" t="str">
        <f t="shared" si="153"/>
        <v>43224</v>
      </c>
    </row>
    <row r="3285" ht="14.25" spans="1:28">
      <c r="A3285" s="5" t="s">
        <v>28</v>
      </c>
      <c r="B3285" s="5" t="s">
        <v>697</v>
      </c>
      <c r="C3285" s="5">
        <v>2027</v>
      </c>
      <c r="D3285" s="5" t="s">
        <v>30</v>
      </c>
      <c r="E3285" t="s">
        <v>1916</v>
      </c>
      <c r="F3285" t="s">
        <v>1910</v>
      </c>
      <c r="G3285" t="s">
        <v>1905</v>
      </c>
      <c r="H3285" t="s">
        <v>1917</v>
      </c>
      <c r="I3285" t="s">
        <v>119</v>
      </c>
      <c r="J3285" t="s">
        <v>36</v>
      </c>
      <c r="K3285">
        <v>990</v>
      </c>
      <c r="O3285" t="s">
        <v>176</v>
      </c>
      <c r="P3285" t="s">
        <v>43</v>
      </c>
      <c r="U3285" s="9" t="s">
        <v>148</v>
      </c>
      <c r="V3285" t="s">
        <v>164</v>
      </c>
      <c r="W3285" t="s">
        <v>178</v>
      </c>
      <c r="X3285" t="s">
        <v>1455</v>
      </c>
      <c r="Y3285" t="s">
        <v>179</v>
      </c>
      <c r="Z3285" t="s">
        <v>41</v>
      </c>
      <c r="AB3285" t="str">
        <f t="shared" si="153"/>
        <v>43224</v>
      </c>
    </row>
    <row r="3286" ht="14.25" spans="1:28">
      <c r="A3286" s="5" t="s">
        <v>28</v>
      </c>
      <c r="B3286" s="5" t="s">
        <v>697</v>
      </c>
      <c r="C3286" s="5">
        <v>2027</v>
      </c>
      <c r="D3286" s="5" t="s">
        <v>30</v>
      </c>
      <c r="E3286" t="s">
        <v>1916</v>
      </c>
      <c r="F3286" t="s">
        <v>1910</v>
      </c>
      <c r="G3286" t="s">
        <v>1905</v>
      </c>
      <c r="H3286" t="s">
        <v>1917</v>
      </c>
      <c r="I3286" t="s">
        <v>119</v>
      </c>
      <c r="J3286" t="s">
        <v>36</v>
      </c>
      <c r="K3286">
        <v>990</v>
      </c>
      <c r="O3286" t="s">
        <v>176</v>
      </c>
      <c r="P3286" t="s">
        <v>44</v>
      </c>
      <c r="U3286" s="9" t="s">
        <v>148</v>
      </c>
      <c r="V3286" t="s">
        <v>164</v>
      </c>
      <c r="W3286" t="s">
        <v>178</v>
      </c>
      <c r="X3286" t="s">
        <v>1455</v>
      </c>
      <c r="Y3286" t="s">
        <v>179</v>
      </c>
      <c r="Z3286" t="s">
        <v>41</v>
      </c>
      <c r="AB3286" t="str">
        <f t="shared" si="153"/>
        <v>43224</v>
      </c>
    </row>
    <row r="3287" ht="14.25" spans="1:28">
      <c r="A3287" s="5" t="s">
        <v>28</v>
      </c>
      <c r="B3287" s="5" t="s">
        <v>697</v>
      </c>
      <c r="C3287" s="5">
        <v>2027</v>
      </c>
      <c r="D3287" s="5" t="s">
        <v>30</v>
      </c>
      <c r="E3287" t="s">
        <v>1916</v>
      </c>
      <c r="F3287" t="s">
        <v>1910</v>
      </c>
      <c r="G3287" t="s">
        <v>1905</v>
      </c>
      <c r="H3287" t="s">
        <v>1917</v>
      </c>
      <c r="I3287" t="s">
        <v>119</v>
      </c>
      <c r="J3287" t="s">
        <v>36</v>
      </c>
      <c r="K3287">
        <v>990</v>
      </c>
      <c r="O3287" t="s">
        <v>176</v>
      </c>
      <c r="P3287" t="s">
        <v>45</v>
      </c>
      <c r="U3287" s="9" t="s">
        <v>148</v>
      </c>
      <c r="V3287" t="s">
        <v>164</v>
      </c>
      <c r="W3287" t="s">
        <v>178</v>
      </c>
      <c r="X3287" t="s">
        <v>1455</v>
      </c>
      <c r="Y3287" t="s">
        <v>179</v>
      </c>
      <c r="Z3287" t="s">
        <v>41</v>
      </c>
      <c r="AB3287" t="str">
        <f t="shared" si="153"/>
        <v>43224</v>
      </c>
    </row>
    <row r="3288" ht="14.25" spans="1:28">
      <c r="A3288" s="5" t="s">
        <v>28</v>
      </c>
      <c r="B3288" s="5" t="s">
        <v>697</v>
      </c>
      <c r="C3288" s="5">
        <v>2027</v>
      </c>
      <c r="D3288" s="5" t="s">
        <v>30</v>
      </c>
      <c r="E3288" t="s">
        <v>1918</v>
      </c>
      <c r="F3288" t="s">
        <v>1919</v>
      </c>
      <c r="G3288" t="s">
        <v>1920</v>
      </c>
      <c r="H3288" t="s">
        <v>1921</v>
      </c>
      <c r="I3288" t="s">
        <v>147</v>
      </c>
      <c r="J3288" t="s">
        <v>36</v>
      </c>
      <c r="K3288">
        <v>1390</v>
      </c>
      <c r="O3288" t="s">
        <v>195</v>
      </c>
      <c r="P3288" t="s">
        <v>74</v>
      </c>
      <c r="R3288">
        <f t="shared" si="154"/>
        <v>0</v>
      </c>
      <c r="S3288">
        <f>SUMIFS([1]Sheet1!$T:$T,[1]Sheet1!$I:$I,E3288,[1]Sheet1!$C:$C,A3288)</f>
        <v>80</v>
      </c>
      <c r="T3288">
        <f t="shared" si="155"/>
        <v>-80</v>
      </c>
      <c r="U3288" s="9" t="s">
        <v>148</v>
      </c>
      <c r="V3288" t="s">
        <v>233</v>
      </c>
      <c r="W3288" t="s">
        <v>178</v>
      </c>
      <c r="X3288" t="s">
        <v>94</v>
      </c>
      <c r="Y3288" t="s">
        <v>179</v>
      </c>
      <c r="Z3288" t="s">
        <v>104</v>
      </c>
      <c r="AB3288" t="str">
        <f t="shared" si="153"/>
        <v>44679</v>
      </c>
    </row>
    <row r="3289" ht="14.25" spans="1:28">
      <c r="A3289" s="5" t="s">
        <v>28</v>
      </c>
      <c r="B3289" s="5" t="s">
        <v>697</v>
      </c>
      <c r="C3289" s="5">
        <v>2027</v>
      </c>
      <c r="D3289" s="5" t="s">
        <v>30</v>
      </c>
      <c r="E3289" t="s">
        <v>1918</v>
      </c>
      <c r="F3289" t="s">
        <v>1919</v>
      </c>
      <c r="G3289" t="s">
        <v>1920</v>
      </c>
      <c r="H3289" t="s">
        <v>1921</v>
      </c>
      <c r="I3289" t="s">
        <v>147</v>
      </c>
      <c r="J3289" t="s">
        <v>36</v>
      </c>
      <c r="K3289">
        <v>1390</v>
      </c>
      <c r="O3289" t="s">
        <v>195</v>
      </c>
      <c r="P3289" t="s">
        <v>76</v>
      </c>
      <c r="U3289" s="9" t="s">
        <v>148</v>
      </c>
      <c r="V3289" t="s">
        <v>233</v>
      </c>
      <c r="W3289" t="s">
        <v>178</v>
      </c>
      <c r="X3289" t="s">
        <v>94</v>
      </c>
      <c r="Y3289" t="s">
        <v>179</v>
      </c>
      <c r="Z3289" t="s">
        <v>104</v>
      </c>
      <c r="AB3289" t="str">
        <f t="shared" si="153"/>
        <v>44679</v>
      </c>
    </row>
    <row r="3290" ht="14.25" spans="1:28">
      <c r="A3290" s="5" t="s">
        <v>28</v>
      </c>
      <c r="B3290" s="5" t="s">
        <v>697</v>
      </c>
      <c r="C3290" s="5">
        <v>2027</v>
      </c>
      <c r="D3290" s="5" t="s">
        <v>30</v>
      </c>
      <c r="E3290" t="s">
        <v>1918</v>
      </c>
      <c r="F3290" t="s">
        <v>1919</v>
      </c>
      <c r="G3290" t="s">
        <v>1920</v>
      </c>
      <c r="H3290" t="s">
        <v>1921</v>
      </c>
      <c r="I3290" t="s">
        <v>147</v>
      </c>
      <c r="J3290" t="s">
        <v>36</v>
      </c>
      <c r="K3290">
        <v>1390</v>
      </c>
      <c r="O3290" t="s">
        <v>195</v>
      </c>
      <c r="P3290" t="s">
        <v>77</v>
      </c>
      <c r="U3290" s="9" t="s">
        <v>148</v>
      </c>
      <c r="V3290" t="s">
        <v>233</v>
      </c>
      <c r="W3290" t="s">
        <v>178</v>
      </c>
      <c r="X3290" t="s">
        <v>94</v>
      </c>
      <c r="Y3290" t="s">
        <v>179</v>
      </c>
      <c r="Z3290" t="s">
        <v>104</v>
      </c>
      <c r="AB3290" t="str">
        <f t="shared" si="153"/>
        <v>44679</v>
      </c>
    </row>
    <row r="3291" ht="14.25" spans="1:28">
      <c r="A3291" s="5" t="s">
        <v>28</v>
      </c>
      <c r="B3291" s="5" t="s">
        <v>697</v>
      </c>
      <c r="C3291" s="5">
        <v>2027</v>
      </c>
      <c r="D3291" s="5" t="s">
        <v>30</v>
      </c>
      <c r="E3291" t="s">
        <v>1918</v>
      </c>
      <c r="F3291" t="s">
        <v>1919</v>
      </c>
      <c r="G3291" t="s">
        <v>1920</v>
      </c>
      <c r="H3291" t="s">
        <v>1921</v>
      </c>
      <c r="I3291" t="s">
        <v>147</v>
      </c>
      <c r="J3291" t="s">
        <v>36</v>
      </c>
      <c r="K3291">
        <v>1390</v>
      </c>
      <c r="O3291" t="s">
        <v>195</v>
      </c>
      <c r="P3291" t="s">
        <v>78</v>
      </c>
      <c r="U3291" s="9" t="s">
        <v>148</v>
      </c>
      <c r="V3291" t="s">
        <v>233</v>
      </c>
      <c r="W3291" t="s">
        <v>178</v>
      </c>
      <c r="X3291" t="s">
        <v>94</v>
      </c>
      <c r="Y3291" t="s">
        <v>179</v>
      </c>
      <c r="Z3291" t="s">
        <v>104</v>
      </c>
      <c r="AB3291" t="str">
        <f t="shared" si="153"/>
        <v>44679</v>
      </c>
    </row>
    <row r="3292" ht="14.25" spans="1:28">
      <c r="A3292" s="5" t="s">
        <v>28</v>
      </c>
      <c r="B3292" s="5" t="s">
        <v>697</v>
      </c>
      <c r="C3292" s="5">
        <v>2027</v>
      </c>
      <c r="D3292" s="5" t="s">
        <v>30</v>
      </c>
      <c r="E3292" t="s">
        <v>1918</v>
      </c>
      <c r="F3292" t="s">
        <v>1919</v>
      </c>
      <c r="G3292" t="s">
        <v>1920</v>
      </c>
      <c r="H3292" t="s">
        <v>1921</v>
      </c>
      <c r="I3292" t="s">
        <v>147</v>
      </c>
      <c r="J3292" t="s">
        <v>36</v>
      </c>
      <c r="K3292">
        <v>1390</v>
      </c>
      <c r="O3292" t="s">
        <v>195</v>
      </c>
      <c r="P3292" t="s">
        <v>79</v>
      </c>
      <c r="U3292" s="9" t="s">
        <v>148</v>
      </c>
      <c r="V3292" t="s">
        <v>233</v>
      </c>
      <c r="W3292" t="s">
        <v>178</v>
      </c>
      <c r="X3292" t="s">
        <v>94</v>
      </c>
      <c r="Y3292" t="s">
        <v>179</v>
      </c>
      <c r="Z3292" t="s">
        <v>104</v>
      </c>
      <c r="AB3292" t="str">
        <f t="shared" si="153"/>
        <v>44679</v>
      </c>
    </row>
    <row r="3293" ht="14.25" spans="1:28">
      <c r="A3293" s="5" t="s">
        <v>28</v>
      </c>
      <c r="B3293" s="5" t="s">
        <v>697</v>
      </c>
      <c r="C3293" s="5">
        <v>2027</v>
      </c>
      <c r="D3293" s="5" t="s">
        <v>30</v>
      </c>
      <c r="E3293" t="s">
        <v>1922</v>
      </c>
      <c r="F3293" t="s">
        <v>1919</v>
      </c>
      <c r="G3293" t="s">
        <v>1923</v>
      </c>
      <c r="H3293" t="s">
        <v>1924</v>
      </c>
      <c r="I3293" t="s">
        <v>147</v>
      </c>
      <c r="J3293" t="s">
        <v>36</v>
      </c>
      <c r="K3293">
        <v>1390</v>
      </c>
      <c r="O3293" t="s">
        <v>195</v>
      </c>
      <c r="P3293" t="s">
        <v>74</v>
      </c>
      <c r="R3293">
        <f t="shared" si="154"/>
        <v>0</v>
      </c>
      <c r="S3293">
        <f>SUMIFS([1]Sheet1!$T:$T,[1]Sheet1!$I:$I,E3293,[1]Sheet1!$C:$C,A3293)</f>
        <v>40</v>
      </c>
      <c r="T3293">
        <f t="shared" si="155"/>
        <v>-40</v>
      </c>
      <c r="U3293" s="9" t="s">
        <v>148</v>
      </c>
      <c r="V3293" t="s">
        <v>233</v>
      </c>
      <c r="W3293" t="s">
        <v>178</v>
      </c>
      <c r="X3293" t="s">
        <v>58</v>
      </c>
      <c r="Y3293" t="s">
        <v>179</v>
      </c>
      <c r="Z3293" t="s">
        <v>104</v>
      </c>
      <c r="AB3293" t="str">
        <f t="shared" si="153"/>
        <v>44679</v>
      </c>
    </row>
    <row r="3294" ht="14.25" spans="1:28">
      <c r="A3294" s="5" t="s">
        <v>28</v>
      </c>
      <c r="B3294" s="5" t="s">
        <v>697</v>
      </c>
      <c r="C3294" s="5">
        <v>2027</v>
      </c>
      <c r="D3294" s="5" t="s">
        <v>30</v>
      </c>
      <c r="E3294" t="s">
        <v>1922</v>
      </c>
      <c r="F3294" t="s">
        <v>1919</v>
      </c>
      <c r="G3294" t="s">
        <v>1923</v>
      </c>
      <c r="H3294" t="s">
        <v>1924</v>
      </c>
      <c r="I3294" t="s">
        <v>147</v>
      </c>
      <c r="J3294" t="s">
        <v>36</v>
      </c>
      <c r="K3294">
        <v>1390</v>
      </c>
      <c r="O3294" t="s">
        <v>195</v>
      </c>
      <c r="P3294" t="s">
        <v>76</v>
      </c>
      <c r="U3294" s="9" t="s">
        <v>148</v>
      </c>
      <c r="V3294" t="s">
        <v>233</v>
      </c>
      <c r="W3294" t="s">
        <v>178</v>
      </c>
      <c r="X3294" t="s">
        <v>58</v>
      </c>
      <c r="Y3294" t="s">
        <v>179</v>
      </c>
      <c r="Z3294" t="s">
        <v>104</v>
      </c>
      <c r="AB3294" t="str">
        <f t="shared" si="153"/>
        <v>44679</v>
      </c>
    </row>
    <row r="3295" ht="14.25" spans="1:28">
      <c r="A3295" s="5" t="s">
        <v>28</v>
      </c>
      <c r="B3295" s="5" t="s">
        <v>697</v>
      </c>
      <c r="C3295" s="5">
        <v>2027</v>
      </c>
      <c r="D3295" s="5" t="s">
        <v>30</v>
      </c>
      <c r="E3295" t="s">
        <v>1922</v>
      </c>
      <c r="F3295" t="s">
        <v>1919</v>
      </c>
      <c r="G3295" t="s">
        <v>1923</v>
      </c>
      <c r="H3295" t="s">
        <v>1924</v>
      </c>
      <c r="I3295" t="s">
        <v>147</v>
      </c>
      <c r="J3295" t="s">
        <v>36</v>
      </c>
      <c r="K3295">
        <v>1390</v>
      </c>
      <c r="O3295" t="s">
        <v>195</v>
      </c>
      <c r="P3295" t="s">
        <v>77</v>
      </c>
      <c r="U3295" s="9" t="s">
        <v>148</v>
      </c>
      <c r="V3295" t="s">
        <v>233</v>
      </c>
      <c r="W3295" t="s">
        <v>178</v>
      </c>
      <c r="X3295" t="s">
        <v>58</v>
      </c>
      <c r="Y3295" t="s">
        <v>179</v>
      </c>
      <c r="Z3295" t="s">
        <v>104</v>
      </c>
      <c r="AB3295" t="str">
        <f t="shared" si="153"/>
        <v>44679</v>
      </c>
    </row>
    <row r="3296" ht="14.25" spans="1:28">
      <c r="A3296" s="5" t="s">
        <v>28</v>
      </c>
      <c r="B3296" s="5" t="s">
        <v>697</v>
      </c>
      <c r="C3296" s="5">
        <v>2027</v>
      </c>
      <c r="D3296" s="5" t="s">
        <v>30</v>
      </c>
      <c r="E3296" t="s">
        <v>1922</v>
      </c>
      <c r="F3296" t="s">
        <v>1919</v>
      </c>
      <c r="G3296" t="s">
        <v>1923</v>
      </c>
      <c r="H3296" t="s">
        <v>1924</v>
      </c>
      <c r="I3296" t="s">
        <v>147</v>
      </c>
      <c r="J3296" t="s">
        <v>36</v>
      </c>
      <c r="K3296">
        <v>1390</v>
      </c>
      <c r="O3296" t="s">
        <v>195</v>
      </c>
      <c r="P3296" t="s">
        <v>78</v>
      </c>
      <c r="U3296" s="9" t="s">
        <v>148</v>
      </c>
      <c r="V3296" t="s">
        <v>233</v>
      </c>
      <c r="W3296" t="s">
        <v>178</v>
      </c>
      <c r="X3296" t="s">
        <v>58</v>
      </c>
      <c r="Y3296" t="s">
        <v>179</v>
      </c>
      <c r="Z3296" t="s">
        <v>104</v>
      </c>
      <c r="AB3296" t="str">
        <f t="shared" si="153"/>
        <v>44679</v>
      </c>
    </row>
    <row r="3297" ht="14.25" spans="1:28">
      <c r="A3297" s="5" t="s">
        <v>28</v>
      </c>
      <c r="B3297" s="5" t="s">
        <v>697</v>
      </c>
      <c r="C3297" s="5">
        <v>2027</v>
      </c>
      <c r="D3297" s="5" t="s">
        <v>30</v>
      </c>
      <c r="E3297" t="s">
        <v>1922</v>
      </c>
      <c r="F3297" t="s">
        <v>1919</v>
      </c>
      <c r="G3297" t="s">
        <v>1923</v>
      </c>
      <c r="H3297" t="s">
        <v>1924</v>
      </c>
      <c r="I3297" t="s">
        <v>147</v>
      </c>
      <c r="J3297" t="s">
        <v>36</v>
      </c>
      <c r="K3297">
        <v>1390</v>
      </c>
      <c r="O3297" t="s">
        <v>195</v>
      </c>
      <c r="P3297" t="s">
        <v>79</v>
      </c>
      <c r="U3297" s="9" t="s">
        <v>148</v>
      </c>
      <c r="V3297" t="s">
        <v>233</v>
      </c>
      <c r="W3297" t="s">
        <v>178</v>
      </c>
      <c r="X3297" t="s">
        <v>58</v>
      </c>
      <c r="Y3297" t="s">
        <v>179</v>
      </c>
      <c r="Z3297" t="s">
        <v>104</v>
      </c>
      <c r="AB3297" t="str">
        <f t="shared" si="153"/>
        <v>44679</v>
      </c>
    </row>
    <row r="3298" ht="14.25" spans="1:28">
      <c r="A3298" s="5" t="s">
        <v>28</v>
      </c>
      <c r="B3298" s="5" t="s">
        <v>697</v>
      </c>
      <c r="C3298" s="5">
        <v>2027</v>
      </c>
      <c r="D3298" s="5" t="s">
        <v>30</v>
      </c>
      <c r="E3298" t="s">
        <v>1925</v>
      </c>
      <c r="F3298" t="s">
        <v>1919</v>
      </c>
      <c r="G3298" t="s">
        <v>1926</v>
      </c>
      <c r="H3298" t="s">
        <v>1927</v>
      </c>
      <c r="I3298" t="s">
        <v>147</v>
      </c>
      <c r="J3298" t="s">
        <v>36</v>
      </c>
      <c r="K3298">
        <v>1390</v>
      </c>
      <c r="O3298" t="s">
        <v>195</v>
      </c>
      <c r="P3298" t="s">
        <v>74</v>
      </c>
      <c r="R3298">
        <f t="shared" si="154"/>
        <v>0</v>
      </c>
      <c r="S3298">
        <f>SUMIFS([1]Sheet1!$T:$T,[1]Sheet1!$I:$I,E3298,[1]Sheet1!$C:$C,A3298)</f>
        <v>60</v>
      </c>
      <c r="T3298">
        <f t="shared" si="155"/>
        <v>-60</v>
      </c>
      <c r="U3298" s="9" t="s">
        <v>148</v>
      </c>
      <c r="V3298" t="s">
        <v>233</v>
      </c>
      <c r="W3298" t="s">
        <v>178</v>
      </c>
      <c r="X3298" t="s">
        <v>1131</v>
      </c>
      <c r="Y3298" t="s">
        <v>179</v>
      </c>
      <c r="Z3298" t="s">
        <v>104</v>
      </c>
      <c r="AB3298" t="str">
        <f t="shared" si="153"/>
        <v>44679</v>
      </c>
    </row>
    <row r="3299" ht="14.25" spans="1:28">
      <c r="A3299" s="5" t="s">
        <v>28</v>
      </c>
      <c r="B3299" s="5" t="s">
        <v>697</v>
      </c>
      <c r="C3299" s="5">
        <v>2027</v>
      </c>
      <c r="D3299" s="5" t="s">
        <v>30</v>
      </c>
      <c r="E3299" t="s">
        <v>1925</v>
      </c>
      <c r="F3299" t="s">
        <v>1919</v>
      </c>
      <c r="G3299" t="s">
        <v>1926</v>
      </c>
      <c r="H3299" t="s">
        <v>1927</v>
      </c>
      <c r="I3299" t="s">
        <v>147</v>
      </c>
      <c r="J3299" t="s">
        <v>36</v>
      </c>
      <c r="K3299">
        <v>1390</v>
      </c>
      <c r="O3299" t="s">
        <v>195</v>
      </c>
      <c r="P3299" t="s">
        <v>76</v>
      </c>
      <c r="U3299" s="9" t="s">
        <v>148</v>
      </c>
      <c r="V3299" t="s">
        <v>233</v>
      </c>
      <c r="W3299" t="s">
        <v>178</v>
      </c>
      <c r="X3299" t="s">
        <v>1131</v>
      </c>
      <c r="Y3299" t="s">
        <v>179</v>
      </c>
      <c r="Z3299" t="s">
        <v>104</v>
      </c>
      <c r="AB3299" t="str">
        <f t="shared" si="153"/>
        <v>44679</v>
      </c>
    </row>
    <row r="3300" ht="14.25" spans="1:28">
      <c r="A3300" s="5" t="s">
        <v>28</v>
      </c>
      <c r="B3300" s="5" t="s">
        <v>697</v>
      </c>
      <c r="C3300" s="5">
        <v>2027</v>
      </c>
      <c r="D3300" s="5" t="s">
        <v>30</v>
      </c>
      <c r="E3300" t="s">
        <v>1925</v>
      </c>
      <c r="F3300" t="s">
        <v>1919</v>
      </c>
      <c r="G3300" t="s">
        <v>1926</v>
      </c>
      <c r="H3300" t="s">
        <v>1927</v>
      </c>
      <c r="I3300" t="s">
        <v>147</v>
      </c>
      <c r="J3300" t="s">
        <v>36</v>
      </c>
      <c r="K3300">
        <v>1390</v>
      </c>
      <c r="O3300" t="s">
        <v>195</v>
      </c>
      <c r="P3300" t="s">
        <v>77</v>
      </c>
      <c r="U3300" s="9" t="s">
        <v>148</v>
      </c>
      <c r="V3300" t="s">
        <v>233</v>
      </c>
      <c r="W3300" t="s">
        <v>178</v>
      </c>
      <c r="X3300" t="s">
        <v>1131</v>
      </c>
      <c r="Y3300" t="s">
        <v>179</v>
      </c>
      <c r="Z3300" t="s">
        <v>104</v>
      </c>
      <c r="AB3300" t="str">
        <f t="shared" si="153"/>
        <v>44679</v>
      </c>
    </row>
    <row r="3301" ht="14.25" spans="1:28">
      <c r="A3301" s="5" t="s">
        <v>28</v>
      </c>
      <c r="B3301" s="5" t="s">
        <v>697</v>
      </c>
      <c r="C3301" s="5">
        <v>2027</v>
      </c>
      <c r="D3301" s="5" t="s">
        <v>30</v>
      </c>
      <c r="E3301" t="s">
        <v>1925</v>
      </c>
      <c r="F3301" t="s">
        <v>1919</v>
      </c>
      <c r="G3301" t="s">
        <v>1926</v>
      </c>
      <c r="H3301" t="s">
        <v>1927</v>
      </c>
      <c r="I3301" t="s">
        <v>147</v>
      </c>
      <c r="J3301" t="s">
        <v>36</v>
      </c>
      <c r="K3301">
        <v>1390</v>
      </c>
      <c r="O3301" t="s">
        <v>195</v>
      </c>
      <c r="P3301" t="s">
        <v>78</v>
      </c>
      <c r="U3301" s="9" t="s">
        <v>148</v>
      </c>
      <c r="V3301" t="s">
        <v>233</v>
      </c>
      <c r="W3301" t="s">
        <v>178</v>
      </c>
      <c r="X3301" t="s">
        <v>1131</v>
      </c>
      <c r="Y3301" t="s">
        <v>179</v>
      </c>
      <c r="Z3301" t="s">
        <v>104</v>
      </c>
      <c r="AB3301" t="str">
        <f t="shared" si="153"/>
        <v>44679</v>
      </c>
    </row>
    <row r="3302" ht="14.25" spans="1:28">
      <c r="A3302" s="5" t="s">
        <v>28</v>
      </c>
      <c r="B3302" s="5" t="s">
        <v>697</v>
      </c>
      <c r="C3302" s="5">
        <v>2027</v>
      </c>
      <c r="D3302" s="5" t="s">
        <v>30</v>
      </c>
      <c r="E3302" t="s">
        <v>1925</v>
      </c>
      <c r="F3302" t="s">
        <v>1919</v>
      </c>
      <c r="G3302" t="s">
        <v>1926</v>
      </c>
      <c r="H3302" t="s">
        <v>1927</v>
      </c>
      <c r="I3302" t="s">
        <v>147</v>
      </c>
      <c r="J3302" t="s">
        <v>36</v>
      </c>
      <c r="K3302">
        <v>1390</v>
      </c>
      <c r="O3302" t="s">
        <v>195</v>
      </c>
      <c r="P3302" t="s">
        <v>79</v>
      </c>
      <c r="U3302" s="9" t="s">
        <v>148</v>
      </c>
      <c r="V3302" t="s">
        <v>233</v>
      </c>
      <c r="W3302" t="s">
        <v>178</v>
      </c>
      <c r="X3302" t="s">
        <v>1131</v>
      </c>
      <c r="Y3302" t="s">
        <v>179</v>
      </c>
      <c r="Z3302" t="s">
        <v>104</v>
      </c>
      <c r="AB3302" t="str">
        <f t="shared" si="153"/>
        <v>44679</v>
      </c>
    </row>
    <row r="3303" ht="14.25" spans="1:28">
      <c r="A3303" s="5" t="s">
        <v>28</v>
      </c>
      <c r="B3303" s="5" t="s">
        <v>697</v>
      </c>
      <c r="C3303" s="5">
        <v>2027</v>
      </c>
      <c r="D3303" s="5" t="s">
        <v>30</v>
      </c>
      <c r="E3303" t="s">
        <v>1928</v>
      </c>
      <c r="F3303" t="s">
        <v>1919</v>
      </c>
      <c r="G3303" t="s">
        <v>1929</v>
      </c>
      <c r="H3303" t="s">
        <v>1930</v>
      </c>
      <c r="I3303" t="s">
        <v>147</v>
      </c>
      <c r="J3303" t="s">
        <v>36</v>
      </c>
      <c r="K3303">
        <v>1390</v>
      </c>
      <c r="O3303" t="s">
        <v>195</v>
      </c>
      <c r="P3303" t="s">
        <v>74</v>
      </c>
      <c r="R3303">
        <f t="shared" si="154"/>
        <v>0</v>
      </c>
      <c r="S3303">
        <f>SUMIFS([1]Sheet1!$T:$T,[1]Sheet1!$I:$I,E3303,[1]Sheet1!$C:$C,A3303)</f>
        <v>250</v>
      </c>
      <c r="T3303">
        <f t="shared" si="155"/>
        <v>-250</v>
      </c>
      <c r="U3303" s="9" t="s">
        <v>148</v>
      </c>
      <c r="V3303" t="s">
        <v>233</v>
      </c>
      <c r="W3303" t="s">
        <v>178</v>
      </c>
      <c r="X3303" t="s">
        <v>70</v>
      </c>
      <c r="Y3303" t="s">
        <v>179</v>
      </c>
      <c r="Z3303" t="s">
        <v>104</v>
      </c>
      <c r="AB3303" t="str">
        <f t="shared" si="153"/>
        <v>44679</v>
      </c>
    </row>
    <row r="3304" ht="14.25" spans="1:28">
      <c r="A3304" s="5" t="s">
        <v>28</v>
      </c>
      <c r="B3304" s="5" t="s">
        <v>697</v>
      </c>
      <c r="C3304" s="5">
        <v>2027</v>
      </c>
      <c r="D3304" s="5" t="s">
        <v>30</v>
      </c>
      <c r="E3304" t="s">
        <v>1928</v>
      </c>
      <c r="F3304" t="s">
        <v>1919</v>
      </c>
      <c r="G3304" t="s">
        <v>1929</v>
      </c>
      <c r="H3304" t="s">
        <v>1930</v>
      </c>
      <c r="I3304" t="s">
        <v>147</v>
      </c>
      <c r="J3304" t="s">
        <v>36</v>
      </c>
      <c r="K3304">
        <v>1390</v>
      </c>
      <c r="O3304" t="s">
        <v>195</v>
      </c>
      <c r="P3304" t="s">
        <v>76</v>
      </c>
      <c r="U3304" s="9" t="s">
        <v>148</v>
      </c>
      <c r="V3304" t="s">
        <v>233</v>
      </c>
      <c r="W3304" t="s">
        <v>178</v>
      </c>
      <c r="X3304" t="s">
        <v>70</v>
      </c>
      <c r="Y3304" t="s">
        <v>179</v>
      </c>
      <c r="Z3304" t="s">
        <v>104</v>
      </c>
      <c r="AB3304" t="str">
        <f t="shared" si="153"/>
        <v>44679</v>
      </c>
    </row>
    <row r="3305" ht="14.25" spans="1:28">
      <c r="A3305" s="5" t="s">
        <v>28</v>
      </c>
      <c r="B3305" s="5" t="s">
        <v>697</v>
      </c>
      <c r="C3305" s="5">
        <v>2027</v>
      </c>
      <c r="D3305" s="5" t="s">
        <v>30</v>
      </c>
      <c r="E3305" t="s">
        <v>1928</v>
      </c>
      <c r="F3305" t="s">
        <v>1919</v>
      </c>
      <c r="G3305" t="s">
        <v>1929</v>
      </c>
      <c r="H3305" t="s">
        <v>1930</v>
      </c>
      <c r="I3305" t="s">
        <v>147</v>
      </c>
      <c r="J3305" t="s">
        <v>36</v>
      </c>
      <c r="K3305">
        <v>1390</v>
      </c>
      <c r="O3305" t="s">
        <v>195</v>
      </c>
      <c r="P3305" t="s">
        <v>77</v>
      </c>
      <c r="U3305" s="9" t="s">
        <v>148</v>
      </c>
      <c r="V3305" t="s">
        <v>233</v>
      </c>
      <c r="W3305" t="s">
        <v>178</v>
      </c>
      <c r="X3305" t="s">
        <v>70</v>
      </c>
      <c r="Y3305" t="s">
        <v>179</v>
      </c>
      <c r="Z3305" t="s">
        <v>104</v>
      </c>
      <c r="AB3305" t="str">
        <f t="shared" si="153"/>
        <v>44679</v>
      </c>
    </row>
    <row r="3306" ht="14.25" spans="1:28">
      <c r="A3306" s="5" t="s">
        <v>28</v>
      </c>
      <c r="B3306" s="5" t="s">
        <v>697</v>
      </c>
      <c r="C3306" s="5">
        <v>2027</v>
      </c>
      <c r="D3306" s="5" t="s">
        <v>30</v>
      </c>
      <c r="E3306" t="s">
        <v>1928</v>
      </c>
      <c r="F3306" t="s">
        <v>1919</v>
      </c>
      <c r="G3306" t="s">
        <v>1929</v>
      </c>
      <c r="H3306" t="s">
        <v>1930</v>
      </c>
      <c r="I3306" t="s">
        <v>147</v>
      </c>
      <c r="J3306" t="s">
        <v>36</v>
      </c>
      <c r="K3306">
        <v>1390</v>
      </c>
      <c r="O3306" t="s">
        <v>195</v>
      </c>
      <c r="P3306" t="s">
        <v>78</v>
      </c>
      <c r="U3306" s="9" t="s">
        <v>148</v>
      </c>
      <c r="V3306" t="s">
        <v>233</v>
      </c>
      <c r="W3306" t="s">
        <v>178</v>
      </c>
      <c r="X3306" t="s">
        <v>70</v>
      </c>
      <c r="Y3306" t="s">
        <v>179</v>
      </c>
      <c r="Z3306" t="s">
        <v>104</v>
      </c>
      <c r="AB3306" t="str">
        <f t="shared" si="153"/>
        <v>44679</v>
      </c>
    </row>
    <row r="3307" ht="14.25" spans="1:28">
      <c r="A3307" s="5" t="s">
        <v>28</v>
      </c>
      <c r="B3307" s="5" t="s">
        <v>697</v>
      </c>
      <c r="C3307" s="5">
        <v>2027</v>
      </c>
      <c r="D3307" s="5" t="s">
        <v>30</v>
      </c>
      <c r="E3307" t="s">
        <v>1928</v>
      </c>
      <c r="F3307" t="s">
        <v>1919</v>
      </c>
      <c r="G3307" t="s">
        <v>1929</v>
      </c>
      <c r="H3307" t="s">
        <v>1930</v>
      </c>
      <c r="I3307" t="s">
        <v>147</v>
      </c>
      <c r="J3307" t="s">
        <v>36</v>
      </c>
      <c r="K3307">
        <v>1390</v>
      </c>
      <c r="O3307" t="s">
        <v>195</v>
      </c>
      <c r="P3307" t="s">
        <v>79</v>
      </c>
      <c r="U3307" s="9" t="s">
        <v>148</v>
      </c>
      <c r="V3307" t="s">
        <v>233</v>
      </c>
      <c r="W3307" t="s">
        <v>178</v>
      </c>
      <c r="X3307" t="s">
        <v>70</v>
      </c>
      <c r="Y3307" t="s">
        <v>179</v>
      </c>
      <c r="Z3307" t="s">
        <v>104</v>
      </c>
      <c r="AB3307" t="str">
        <f t="shared" si="153"/>
        <v>44679</v>
      </c>
    </row>
    <row r="3308" ht="14.25" spans="1:28">
      <c r="A3308" s="5" t="s">
        <v>28</v>
      </c>
      <c r="B3308" s="5" t="s">
        <v>697</v>
      </c>
      <c r="C3308" s="5">
        <v>2027</v>
      </c>
      <c r="D3308" s="5" t="s">
        <v>30</v>
      </c>
      <c r="E3308" t="s">
        <v>1931</v>
      </c>
      <c r="F3308" t="s">
        <v>1919</v>
      </c>
      <c r="G3308" t="s">
        <v>1932</v>
      </c>
      <c r="H3308" t="s">
        <v>1933</v>
      </c>
      <c r="I3308" t="s">
        <v>147</v>
      </c>
      <c r="J3308" t="s">
        <v>36</v>
      </c>
      <c r="K3308">
        <v>1390</v>
      </c>
      <c r="O3308" t="s">
        <v>195</v>
      </c>
      <c r="P3308" t="s">
        <v>74</v>
      </c>
      <c r="R3308">
        <f t="shared" si="154"/>
        <v>0</v>
      </c>
      <c r="S3308">
        <f>SUMIFS([1]Sheet1!$T:$T,[1]Sheet1!$I:$I,E3308,[1]Sheet1!$C:$C,A3308)</f>
        <v>150</v>
      </c>
      <c r="T3308">
        <f t="shared" si="155"/>
        <v>-150</v>
      </c>
      <c r="U3308" s="9" t="s">
        <v>148</v>
      </c>
      <c r="V3308" t="s">
        <v>233</v>
      </c>
      <c r="W3308" t="s">
        <v>178</v>
      </c>
      <c r="X3308" t="s">
        <v>94</v>
      </c>
      <c r="Y3308" t="s">
        <v>179</v>
      </c>
      <c r="Z3308" t="s">
        <v>104</v>
      </c>
      <c r="AB3308" t="str">
        <f t="shared" si="153"/>
        <v>44679</v>
      </c>
    </row>
    <row r="3309" ht="14.25" spans="1:28">
      <c r="A3309" s="5" t="s">
        <v>28</v>
      </c>
      <c r="B3309" s="5" t="s">
        <v>697</v>
      </c>
      <c r="C3309" s="5">
        <v>2027</v>
      </c>
      <c r="D3309" s="5" t="s">
        <v>30</v>
      </c>
      <c r="E3309" t="s">
        <v>1931</v>
      </c>
      <c r="F3309" t="s">
        <v>1919</v>
      </c>
      <c r="G3309" t="s">
        <v>1932</v>
      </c>
      <c r="H3309" t="s">
        <v>1933</v>
      </c>
      <c r="I3309" t="s">
        <v>147</v>
      </c>
      <c r="J3309" t="s">
        <v>36</v>
      </c>
      <c r="K3309">
        <v>1390</v>
      </c>
      <c r="O3309" t="s">
        <v>195</v>
      </c>
      <c r="P3309" t="s">
        <v>76</v>
      </c>
      <c r="U3309" s="9" t="s">
        <v>148</v>
      </c>
      <c r="V3309" t="s">
        <v>233</v>
      </c>
      <c r="W3309" t="s">
        <v>178</v>
      </c>
      <c r="X3309" t="s">
        <v>94</v>
      </c>
      <c r="Y3309" t="s">
        <v>179</v>
      </c>
      <c r="Z3309" t="s">
        <v>104</v>
      </c>
      <c r="AB3309" t="str">
        <f t="shared" si="153"/>
        <v>44679</v>
      </c>
    </row>
    <row r="3310" ht="14.25" spans="1:28">
      <c r="A3310" s="5" t="s">
        <v>28</v>
      </c>
      <c r="B3310" s="5" t="s">
        <v>697</v>
      </c>
      <c r="C3310" s="5">
        <v>2027</v>
      </c>
      <c r="D3310" s="5" t="s">
        <v>30</v>
      </c>
      <c r="E3310" t="s">
        <v>1931</v>
      </c>
      <c r="F3310" t="s">
        <v>1919</v>
      </c>
      <c r="G3310" t="s">
        <v>1932</v>
      </c>
      <c r="H3310" t="s">
        <v>1933</v>
      </c>
      <c r="I3310" t="s">
        <v>147</v>
      </c>
      <c r="J3310" t="s">
        <v>36</v>
      </c>
      <c r="K3310">
        <v>1390</v>
      </c>
      <c r="O3310" t="s">
        <v>195</v>
      </c>
      <c r="P3310" t="s">
        <v>77</v>
      </c>
      <c r="U3310" s="9" t="s">
        <v>148</v>
      </c>
      <c r="V3310" t="s">
        <v>233</v>
      </c>
      <c r="W3310" t="s">
        <v>178</v>
      </c>
      <c r="X3310" t="s">
        <v>94</v>
      </c>
      <c r="Y3310" t="s">
        <v>179</v>
      </c>
      <c r="Z3310" t="s">
        <v>104</v>
      </c>
      <c r="AB3310" t="str">
        <f t="shared" si="153"/>
        <v>44679</v>
      </c>
    </row>
    <row r="3311" ht="14.25" spans="1:28">
      <c r="A3311" s="5" t="s">
        <v>28</v>
      </c>
      <c r="B3311" s="5" t="s">
        <v>697</v>
      </c>
      <c r="C3311" s="5">
        <v>2027</v>
      </c>
      <c r="D3311" s="5" t="s">
        <v>30</v>
      </c>
      <c r="E3311" t="s">
        <v>1931</v>
      </c>
      <c r="F3311" t="s">
        <v>1919</v>
      </c>
      <c r="G3311" t="s">
        <v>1932</v>
      </c>
      <c r="H3311" t="s">
        <v>1933</v>
      </c>
      <c r="I3311" t="s">
        <v>147</v>
      </c>
      <c r="J3311" t="s">
        <v>36</v>
      </c>
      <c r="K3311">
        <v>1390</v>
      </c>
      <c r="O3311" t="s">
        <v>195</v>
      </c>
      <c r="P3311" t="s">
        <v>78</v>
      </c>
      <c r="U3311" s="9" t="s">
        <v>148</v>
      </c>
      <c r="V3311" t="s">
        <v>233</v>
      </c>
      <c r="W3311" t="s">
        <v>178</v>
      </c>
      <c r="X3311" t="s">
        <v>94</v>
      </c>
      <c r="Y3311" t="s">
        <v>179</v>
      </c>
      <c r="Z3311" t="s">
        <v>104</v>
      </c>
      <c r="AB3311" t="str">
        <f t="shared" si="153"/>
        <v>44679</v>
      </c>
    </row>
    <row r="3312" ht="14.25" spans="1:28">
      <c r="A3312" s="5" t="s">
        <v>28</v>
      </c>
      <c r="B3312" s="5" t="s">
        <v>697</v>
      </c>
      <c r="C3312" s="5">
        <v>2027</v>
      </c>
      <c r="D3312" s="5" t="s">
        <v>30</v>
      </c>
      <c r="E3312" t="s">
        <v>1931</v>
      </c>
      <c r="F3312" t="s">
        <v>1919</v>
      </c>
      <c r="G3312" t="s">
        <v>1932</v>
      </c>
      <c r="H3312" t="s">
        <v>1933</v>
      </c>
      <c r="I3312" t="s">
        <v>147</v>
      </c>
      <c r="J3312" t="s">
        <v>36</v>
      </c>
      <c r="K3312">
        <v>1390</v>
      </c>
      <c r="O3312" t="s">
        <v>195</v>
      </c>
      <c r="P3312" t="s">
        <v>79</v>
      </c>
      <c r="U3312" s="9" t="s">
        <v>148</v>
      </c>
      <c r="V3312" t="s">
        <v>233</v>
      </c>
      <c r="W3312" t="s">
        <v>178</v>
      </c>
      <c r="X3312" t="s">
        <v>94</v>
      </c>
      <c r="Y3312" t="s">
        <v>179</v>
      </c>
      <c r="Z3312" t="s">
        <v>104</v>
      </c>
      <c r="AB3312" t="str">
        <f t="shared" si="153"/>
        <v>44679</v>
      </c>
    </row>
    <row r="3313" ht="14.25" spans="1:28">
      <c r="A3313" s="5" t="s">
        <v>28</v>
      </c>
      <c r="B3313" s="5" t="s">
        <v>697</v>
      </c>
      <c r="C3313" s="5">
        <v>2027</v>
      </c>
      <c r="D3313" s="5" t="s">
        <v>30</v>
      </c>
      <c r="E3313" t="s">
        <v>1934</v>
      </c>
      <c r="F3313" t="s">
        <v>1919</v>
      </c>
      <c r="G3313" t="s">
        <v>1867</v>
      </c>
      <c r="H3313" t="s">
        <v>1935</v>
      </c>
      <c r="I3313" t="s">
        <v>147</v>
      </c>
      <c r="J3313" t="s">
        <v>36</v>
      </c>
      <c r="K3313">
        <v>1390</v>
      </c>
      <c r="O3313" t="s">
        <v>195</v>
      </c>
      <c r="P3313" t="s">
        <v>74</v>
      </c>
      <c r="R3313">
        <f t="shared" si="154"/>
        <v>0</v>
      </c>
      <c r="S3313">
        <f>SUMIFS([1]Sheet1!$T:$T,[1]Sheet1!$I:$I,E3313,[1]Sheet1!$C:$C,A3313)</f>
        <v>40</v>
      </c>
      <c r="T3313">
        <f t="shared" si="155"/>
        <v>-40</v>
      </c>
      <c r="U3313" s="9" t="s">
        <v>148</v>
      </c>
      <c r="V3313" t="s">
        <v>233</v>
      </c>
      <c r="W3313" t="s">
        <v>178</v>
      </c>
      <c r="X3313" t="s">
        <v>102</v>
      </c>
      <c r="Y3313" t="s">
        <v>179</v>
      </c>
      <c r="Z3313" t="s">
        <v>104</v>
      </c>
      <c r="AB3313" t="str">
        <f t="shared" si="153"/>
        <v>44679</v>
      </c>
    </row>
    <row r="3314" ht="14.25" spans="1:28">
      <c r="A3314" s="5" t="s">
        <v>28</v>
      </c>
      <c r="B3314" s="5" t="s">
        <v>697</v>
      </c>
      <c r="C3314" s="5">
        <v>2027</v>
      </c>
      <c r="D3314" s="5" t="s">
        <v>30</v>
      </c>
      <c r="E3314" t="s">
        <v>1934</v>
      </c>
      <c r="F3314" t="s">
        <v>1919</v>
      </c>
      <c r="G3314" t="s">
        <v>1867</v>
      </c>
      <c r="H3314" t="s">
        <v>1935</v>
      </c>
      <c r="I3314" t="s">
        <v>147</v>
      </c>
      <c r="J3314" t="s">
        <v>36</v>
      </c>
      <c r="K3314">
        <v>1390</v>
      </c>
      <c r="O3314" t="s">
        <v>195</v>
      </c>
      <c r="P3314" t="s">
        <v>76</v>
      </c>
      <c r="U3314" s="9" t="s">
        <v>148</v>
      </c>
      <c r="V3314" t="s">
        <v>233</v>
      </c>
      <c r="W3314" t="s">
        <v>178</v>
      </c>
      <c r="X3314" t="s">
        <v>102</v>
      </c>
      <c r="Y3314" t="s">
        <v>179</v>
      </c>
      <c r="Z3314" t="s">
        <v>104</v>
      </c>
      <c r="AB3314" t="str">
        <f t="shared" si="153"/>
        <v>44679</v>
      </c>
    </row>
    <row r="3315" ht="14.25" spans="1:28">
      <c r="A3315" s="5" t="s">
        <v>28</v>
      </c>
      <c r="B3315" s="5" t="s">
        <v>697</v>
      </c>
      <c r="C3315" s="5">
        <v>2027</v>
      </c>
      <c r="D3315" s="5" t="s">
        <v>30</v>
      </c>
      <c r="E3315" t="s">
        <v>1934</v>
      </c>
      <c r="F3315" t="s">
        <v>1919</v>
      </c>
      <c r="G3315" t="s">
        <v>1867</v>
      </c>
      <c r="H3315" t="s">
        <v>1935</v>
      </c>
      <c r="I3315" t="s">
        <v>147</v>
      </c>
      <c r="J3315" t="s">
        <v>36</v>
      </c>
      <c r="K3315">
        <v>1390</v>
      </c>
      <c r="O3315" t="s">
        <v>195</v>
      </c>
      <c r="P3315" t="s">
        <v>77</v>
      </c>
      <c r="U3315" s="9" t="s">
        <v>148</v>
      </c>
      <c r="V3315" t="s">
        <v>233</v>
      </c>
      <c r="W3315" t="s">
        <v>178</v>
      </c>
      <c r="X3315" t="s">
        <v>102</v>
      </c>
      <c r="Y3315" t="s">
        <v>179</v>
      </c>
      <c r="Z3315" t="s">
        <v>104</v>
      </c>
      <c r="AB3315" t="str">
        <f t="shared" ref="AB3315:AB3378" si="156">MID(E3315,6,5)</f>
        <v>44679</v>
      </c>
    </row>
    <row r="3316" ht="14.25" spans="1:28">
      <c r="A3316" s="5" t="s">
        <v>28</v>
      </c>
      <c r="B3316" s="5" t="s">
        <v>697</v>
      </c>
      <c r="C3316" s="5">
        <v>2027</v>
      </c>
      <c r="D3316" s="5" t="s">
        <v>30</v>
      </c>
      <c r="E3316" t="s">
        <v>1934</v>
      </c>
      <c r="F3316" t="s">
        <v>1919</v>
      </c>
      <c r="G3316" t="s">
        <v>1867</v>
      </c>
      <c r="H3316" t="s">
        <v>1935</v>
      </c>
      <c r="I3316" t="s">
        <v>147</v>
      </c>
      <c r="J3316" t="s">
        <v>36</v>
      </c>
      <c r="K3316">
        <v>1390</v>
      </c>
      <c r="O3316" t="s">
        <v>195</v>
      </c>
      <c r="P3316" t="s">
        <v>78</v>
      </c>
      <c r="U3316" s="9" t="s">
        <v>148</v>
      </c>
      <c r="V3316" t="s">
        <v>233</v>
      </c>
      <c r="W3316" t="s">
        <v>178</v>
      </c>
      <c r="X3316" t="s">
        <v>102</v>
      </c>
      <c r="Y3316" t="s">
        <v>179</v>
      </c>
      <c r="Z3316" t="s">
        <v>104</v>
      </c>
      <c r="AB3316" t="str">
        <f t="shared" si="156"/>
        <v>44679</v>
      </c>
    </row>
    <row r="3317" ht="14.25" spans="1:28">
      <c r="A3317" s="5" t="s">
        <v>28</v>
      </c>
      <c r="B3317" s="5" t="s">
        <v>697</v>
      </c>
      <c r="C3317" s="5">
        <v>2027</v>
      </c>
      <c r="D3317" s="5" t="s">
        <v>30</v>
      </c>
      <c r="E3317" t="s">
        <v>1934</v>
      </c>
      <c r="F3317" t="s">
        <v>1919</v>
      </c>
      <c r="G3317" t="s">
        <v>1867</v>
      </c>
      <c r="H3317" t="s">
        <v>1935</v>
      </c>
      <c r="I3317" t="s">
        <v>147</v>
      </c>
      <c r="J3317" t="s">
        <v>36</v>
      </c>
      <c r="K3317">
        <v>1390</v>
      </c>
      <c r="O3317" t="s">
        <v>195</v>
      </c>
      <c r="P3317" t="s">
        <v>79</v>
      </c>
      <c r="U3317" s="9" t="s">
        <v>148</v>
      </c>
      <c r="V3317" t="s">
        <v>233</v>
      </c>
      <c r="W3317" t="s">
        <v>178</v>
      </c>
      <c r="X3317" t="s">
        <v>102</v>
      </c>
      <c r="Y3317" t="s">
        <v>179</v>
      </c>
      <c r="Z3317" t="s">
        <v>104</v>
      </c>
      <c r="AB3317" t="str">
        <f t="shared" si="156"/>
        <v>44679</v>
      </c>
    </row>
    <row r="3318" ht="14.25" spans="1:28">
      <c r="A3318" s="5" t="s">
        <v>28</v>
      </c>
      <c r="B3318" s="5" t="s">
        <v>697</v>
      </c>
      <c r="C3318" s="5">
        <v>2027</v>
      </c>
      <c r="D3318" s="5" t="s">
        <v>30</v>
      </c>
      <c r="E3318" t="s">
        <v>1936</v>
      </c>
      <c r="F3318" t="s">
        <v>1919</v>
      </c>
      <c r="G3318" t="s">
        <v>1937</v>
      </c>
      <c r="H3318" t="s">
        <v>1938</v>
      </c>
      <c r="I3318" t="s">
        <v>147</v>
      </c>
      <c r="J3318" t="s">
        <v>36</v>
      </c>
      <c r="K3318">
        <v>1390</v>
      </c>
      <c r="O3318" t="s">
        <v>195</v>
      </c>
      <c r="P3318" t="s">
        <v>74</v>
      </c>
      <c r="R3318">
        <f t="shared" si="154"/>
        <v>0</v>
      </c>
      <c r="S3318">
        <f>SUMIFS([1]Sheet1!$T:$T,[1]Sheet1!$I:$I,E3318,[1]Sheet1!$C:$C,A3318)</f>
        <v>60</v>
      </c>
      <c r="T3318">
        <f t="shared" si="155"/>
        <v>-60</v>
      </c>
      <c r="U3318" s="9" t="s">
        <v>148</v>
      </c>
      <c r="V3318" t="s">
        <v>233</v>
      </c>
      <c r="W3318" t="s">
        <v>178</v>
      </c>
      <c r="X3318" t="s">
        <v>1106</v>
      </c>
      <c r="Y3318" t="s">
        <v>179</v>
      </c>
      <c r="Z3318" t="s">
        <v>104</v>
      </c>
      <c r="AB3318" t="str">
        <f t="shared" si="156"/>
        <v>44679</v>
      </c>
    </row>
    <row r="3319" ht="14.25" spans="1:28">
      <c r="A3319" s="5" t="s">
        <v>28</v>
      </c>
      <c r="B3319" s="5" t="s">
        <v>697</v>
      </c>
      <c r="C3319" s="5">
        <v>2027</v>
      </c>
      <c r="D3319" s="5" t="s">
        <v>30</v>
      </c>
      <c r="E3319" t="s">
        <v>1936</v>
      </c>
      <c r="F3319" t="s">
        <v>1919</v>
      </c>
      <c r="G3319" t="s">
        <v>1937</v>
      </c>
      <c r="H3319" t="s">
        <v>1938</v>
      </c>
      <c r="I3319" t="s">
        <v>147</v>
      </c>
      <c r="J3319" t="s">
        <v>36</v>
      </c>
      <c r="K3319">
        <v>1390</v>
      </c>
      <c r="O3319" t="s">
        <v>195</v>
      </c>
      <c r="P3319" t="s">
        <v>76</v>
      </c>
      <c r="U3319" s="9" t="s">
        <v>148</v>
      </c>
      <c r="V3319" t="s">
        <v>233</v>
      </c>
      <c r="W3319" t="s">
        <v>178</v>
      </c>
      <c r="X3319" t="s">
        <v>1106</v>
      </c>
      <c r="Y3319" t="s">
        <v>179</v>
      </c>
      <c r="Z3319" t="s">
        <v>104</v>
      </c>
      <c r="AB3319" t="str">
        <f t="shared" si="156"/>
        <v>44679</v>
      </c>
    </row>
    <row r="3320" ht="14.25" spans="1:28">
      <c r="A3320" s="5" t="s">
        <v>28</v>
      </c>
      <c r="B3320" s="5" t="s">
        <v>697</v>
      </c>
      <c r="C3320" s="5">
        <v>2027</v>
      </c>
      <c r="D3320" s="5" t="s">
        <v>30</v>
      </c>
      <c r="E3320" t="s">
        <v>1936</v>
      </c>
      <c r="F3320" t="s">
        <v>1919</v>
      </c>
      <c r="G3320" t="s">
        <v>1937</v>
      </c>
      <c r="H3320" t="s">
        <v>1938</v>
      </c>
      <c r="I3320" t="s">
        <v>147</v>
      </c>
      <c r="J3320" t="s">
        <v>36</v>
      </c>
      <c r="K3320">
        <v>1390</v>
      </c>
      <c r="O3320" t="s">
        <v>195</v>
      </c>
      <c r="P3320" t="s">
        <v>77</v>
      </c>
      <c r="U3320" s="9" t="s">
        <v>148</v>
      </c>
      <c r="V3320" t="s">
        <v>233</v>
      </c>
      <c r="W3320" t="s">
        <v>178</v>
      </c>
      <c r="X3320" t="s">
        <v>1106</v>
      </c>
      <c r="Y3320" t="s">
        <v>179</v>
      </c>
      <c r="Z3320" t="s">
        <v>104</v>
      </c>
      <c r="AB3320" t="str">
        <f t="shared" si="156"/>
        <v>44679</v>
      </c>
    </row>
    <row r="3321" ht="14.25" spans="1:28">
      <c r="A3321" s="5" t="s">
        <v>28</v>
      </c>
      <c r="B3321" s="5" t="s">
        <v>697</v>
      </c>
      <c r="C3321" s="5">
        <v>2027</v>
      </c>
      <c r="D3321" s="5" t="s">
        <v>30</v>
      </c>
      <c r="E3321" t="s">
        <v>1936</v>
      </c>
      <c r="F3321" t="s">
        <v>1919</v>
      </c>
      <c r="G3321" t="s">
        <v>1937</v>
      </c>
      <c r="H3321" t="s">
        <v>1938</v>
      </c>
      <c r="I3321" t="s">
        <v>147</v>
      </c>
      <c r="J3321" t="s">
        <v>36</v>
      </c>
      <c r="K3321">
        <v>1390</v>
      </c>
      <c r="O3321" t="s">
        <v>195</v>
      </c>
      <c r="P3321" t="s">
        <v>78</v>
      </c>
      <c r="U3321" s="9" t="s">
        <v>148</v>
      </c>
      <c r="V3321" t="s">
        <v>233</v>
      </c>
      <c r="W3321" t="s">
        <v>178</v>
      </c>
      <c r="X3321" t="s">
        <v>1106</v>
      </c>
      <c r="Y3321" t="s">
        <v>179</v>
      </c>
      <c r="Z3321" t="s">
        <v>104</v>
      </c>
      <c r="AB3321" t="str">
        <f t="shared" si="156"/>
        <v>44679</v>
      </c>
    </row>
    <row r="3322" ht="14.25" spans="1:28">
      <c r="A3322" s="5" t="s">
        <v>28</v>
      </c>
      <c r="B3322" s="5" t="s">
        <v>697</v>
      </c>
      <c r="C3322" s="5">
        <v>2027</v>
      </c>
      <c r="D3322" s="5" t="s">
        <v>30</v>
      </c>
      <c r="E3322" t="s">
        <v>1936</v>
      </c>
      <c r="F3322" t="s">
        <v>1919</v>
      </c>
      <c r="G3322" t="s">
        <v>1937</v>
      </c>
      <c r="H3322" t="s">
        <v>1938</v>
      </c>
      <c r="I3322" t="s">
        <v>147</v>
      </c>
      <c r="J3322" t="s">
        <v>36</v>
      </c>
      <c r="K3322">
        <v>1390</v>
      </c>
      <c r="O3322" t="s">
        <v>195</v>
      </c>
      <c r="P3322" t="s">
        <v>79</v>
      </c>
      <c r="U3322" s="9" t="s">
        <v>148</v>
      </c>
      <c r="V3322" t="s">
        <v>233</v>
      </c>
      <c r="W3322" t="s">
        <v>178</v>
      </c>
      <c r="X3322" t="s">
        <v>1106</v>
      </c>
      <c r="Y3322" t="s">
        <v>179</v>
      </c>
      <c r="Z3322" t="s">
        <v>104</v>
      </c>
      <c r="AB3322" t="str">
        <f t="shared" si="156"/>
        <v>44679</v>
      </c>
    </row>
    <row r="3323" ht="14.25" spans="1:28">
      <c r="A3323" s="5" t="s">
        <v>28</v>
      </c>
      <c r="B3323" s="5" t="s">
        <v>697</v>
      </c>
      <c r="C3323" s="5">
        <v>2027</v>
      </c>
      <c r="D3323" s="5" t="s">
        <v>30</v>
      </c>
      <c r="E3323" t="s">
        <v>1939</v>
      </c>
      <c r="F3323" t="s">
        <v>1919</v>
      </c>
      <c r="G3323" t="s">
        <v>346</v>
      </c>
      <c r="H3323" t="s">
        <v>1940</v>
      </c>
      <c r="I3323" t="s">
        <v>147</v>
      </c>
      <c r="J3323" t="s">
        <v>36</v>
      </c>
      <c r="K3323">
        <v>1390</v>
      </c>
      <c r="O3323" t="s">
        <v>195</v>
      </c>
      <c r="P3323" t="s">
        <v>74</v>
      </c>
      <c r="R3323">
        <f t="shared" si="154"/>
        <v>0</v>
      </c>
      <c r="S3323">
        <f>SUMIFS([1]Sheet1!$T:$T,[1]Sheet1!$I:$I,E3323,[1]Sheet1!$C:$C,A3323)</f>
        <v>350</v>
      </c>
      <c r="T3323">
        <f t="shared" si="155"/>
        <v>-350</v>
      </c>
      <c r="U3323" s="9" t="s">
        <v>148</v>
      </c>
      <c r="V3323" t="s">
        <v>233</v>
      </c>
      <c r="W3323" t="s">
        <v>178</v>
      </c>
      <c r="X3323" t="s">
        <v>191</v>
      </c>
      <c r="Y3323" t="s">
        <v>179</v>
      </c>
      <c r="Z3323" t="s">
        <v>104</v>
      </c>
      <c r="AB3323" t="str">
        <f t="shared" si="156"/>
        <v>44679</v>
      </c>
    </row>
    <row r="3324" ht="14.25" spans="1:28">
      <c r="A3324" s="5" t="s">
        <v>28</v>
      </c>
      <c r="B3324" s="5" t="s">
        <v>697</v>
      </c>
      <c r="C3324" s="5">
        <v>2027</v>
      </c>
      <c r="D3324" s="5" t="s">
        <v>30</v>
      </c>
      <c r="E3324" t="s">
        <v>1939</v>
      </c>
      <c r="F3324" t="s">
        <v>1919</v>
      </c>
      <c r="G3324" t="s">
        <v>346</v>
      </c>
      <c r="H3324" t="s">
        <v>1940</v>
      </c>
      <c r="I3324" t="s">
        <v>147</v>
      </c>
      <c r="J3324" t="s">
        <v>36</v>
      </c>
      <c r="K3324">
        <v>1390</v>
      </c>
      <c r="O3324" t="s">
        <v>195</v>
      </c>
      <c r="P3324" t="s">
        <v>76</v>
      </c>
      <c r="U3324" s="9" t="s">
        <v>148</v>
      </c>
      <c r="V3324" t="s">
        <v>233</v>
      </c>
      <c r="W3324" t="s">
        <v>178</v>
      </c>
      <c r="X3324" t="s">
        <v>191</v>
      </c>
      <c r="Y3324" t="s">
        <v>179</v>
      </c>
      <c r="Z3324" t="s">
        <v>104</v>
      </c>
      <c r="AB3324" t="str">
        <f t="shared" si="156"/>
        <v>44679</v>
      </c>
    </row>
    <row r="3325" ht="14.25" spans="1:28">
      <c r="A3325" s="5" t="s">
        <v>28</v>
      </c>
      <c r="B3325" s="5" t="s">
        <v>697</v>
      </c>
      <c r="C3325" s="5">
        <v>2027</v>
      </c>
      <c r="D3325" s="5" t="s">
        <v>30</v>
      </c>
      <c r="E3325" t="s">
        <v>1939</v>
      </c>
      <c r="F3325" t="s">
        <v>1919</v>
      </c>
      <c r="G3325" t="s">
        <v>346</v>
      </c>
      <c r="H3325" t="s">
        <v>1940</v>
      </c>
      <c r="I3325" t="s">
        <v>147</v>
      </c>
      <c r="J3325" t="s">
        <v>36</v>
      </c>
      <c r="K3325">
        <v>1390</v>
      </c>
      <c r="O3325" t="s">
        <v>195</v>
      </c>
      <c r="P3325" t="s">
        <v>77</v>
      </c>
      <c r="U3325" s="9" t="s">
        <v>148</v>
      </c>
      <c r="V3325" t="s">
        <v>233</v>
      </c>
      <c r="W3325" t="s">
        <v>178</v>
      </c>
      <c r="X3325" t="s">
        <v>191</v>
      </c>
      <c r="Y3325" t="s">
        <v>179</v>
      </c>
      <c r="Z3325" t="s">
        <v>104</v>
      </c>
      <c r="AB3325" t="str">
        <f t="shared" si="156"/>
        <v>44679</v>
      </c>
    </row>
    <row r="3326" ht="14.25" spans="1:28">
      <c r="A3326" s="5" t="s">
        <v>28</v>
      </c>
      <c r="B3326" s="5" t="s">
        <v>697</v>
      </c>
      <c r="C3326" s="5">
        <v>2027</v>
      </c>
      <c r="D3326" s="5" t="s">
        <v>30</v>
      </c>
      <c r="E3326" t="s">
        <v>1939</v>
      </c>
      <c r="F3326" t="s">
        <v>1919</v>
      </c>
      <c r="G3326" t="s">
        <v>346</v>
      </c>
      <c r="H3326" t="s">
        <v>1940</v>
      </c>
      <c r="I3326" t="s">
        <v>147</v>
      </c>
      <c r="J3326" t="s">
        <v>36</v>
      </c>
      <c r="K3326">
        <v>1390</v>
      </c>
      <c r="O3326" t="s">
        <v>195</v>
      </c>
      <c r="P3326" t="s">
        <v>78</v>
      </c>
      <c r="U3326" s="9" t="s">
        <v>148</v>
      </c>
      <c r="V3326" t="s">
        <v>233</v>
      </c>
      <c r="W3326" t="s">
        <v>178</v>
      </c>
      <c r="X3326" t="s">
        <v>191</v>
      </c>
      <c r="Y3326" t="s">
        <v>179</v>
      </c>
      <c r="Z3326" t="s">
        <v>104</v>
      </c>
      <c r="AB3326" t="str">
        <f t="shared" si="156"/>
        <v>44679</v>
      </c>
    </row>
    <row r="3327" ht="14.25" spans="1:28">
      <c r="A3327" s="5" t="s">
        <v>28</v>
      </c>
      <c r="B3327" s="5" t="s">
        <v>697</v>
      </c>
      <c r="C3327" s="5">
        <v>2027</v>
      </c>
      <c r="D3327" s="5" t="s">
        <v>30</v>
      </c>
      <c r="E3327" t="s">
        <v>1939</v>
      </c>
      <c r="F3327" t="s">
        <v>1919</v>
      </c>
      <c r="G3327" t="s">
        <v>346</v>
      </c>
      <c r="H3327" t="s">
        <v>1940</v>
      </c>
      <c r="I3327" t="s">
        <v>147</v>
      </c>
      <c r="J3327" t="s">
        <v>36</v>
      </c>
      <c r="K3327">
        <v>1390</v>
      </c>
      <c r="O3327" t="s">
        <v>195</v>
      </c>
      <c r="P3327" t="s">
        <v>79</v>
      </c>
      <c r="U3327" s="9" t="s">
        <v>148</v>
      </c>
      <c r="V3327" t="s">
        <v>233</v>
      </c>
      <c r="W3327" t="s">
        <v>178</v>
      </c>
      <c r="X3327" t="s">
        <v>191</v>
      </c>
      <c r="Y3327" t="s">
        <v>179</v>
      </c>
      <c r="Z3327" t="s">
        <v>104</v>
      </c>
      <c r="AB3327" t="str">
        <f t="shared" si="156"/>
        <v>44679</v>
      </c>
    </row>
    <row r="3328" ht="14.25" spans="1:28">
      <c r="A3328" s="5" t="s">
        <v>28</v>
      </c>
      <c r="B3328" s="5" t="s">
        <v>697</v>
      </c>
      <c r="C3328" s="5">
        <v>2027</v>
      </c>
      <c r="D3328" s="5" t="s">
        <v>30</v>
      </c>
      <c r="E3328" t="s">
        <v>1941</v>
      </c>
      <c r="F3328" t="s">
        <v>1942</v>
      </c>
      <c r="G3328" t="s">
        <v>65</v>
      </c>
      <c r="H3328" t="s">
        <v>1943</v>
      </c>
      <c r="I3328" t="s">
        <v>119</v>
      </c>
      <c r="J3328" t="s">
        <v>36</v>
      </c>
      <c r="K3328">
        <v>1190</v>
      </c>
      <c r="O3328" t="s">
        <v>195</v>
      </c>
      <c r="P3328" t="s">
        <v>74</v>
      </c>
      <c r="R3328">
        <f t="shared" si="154"/>
        <v>0</v>
      </c>
      <c r="S3328">
        <f>SUMIFS([1]Sheet1!$T:$T,[1]Sheet1!$I:$I,E3328,[1]Sheet1!$C:$C,A3328)</f>
        <v>0</v>
      </c>
      <c r="T3328">
        <f t="shared" si="155"/>
        <v>0</v>
      </c>
      <c r="U3328" s="9" t="s">
        <v>136</v>
      </c>
      <c r="V3328" t="s">
        <v>656</v>
      </c>
      <c r="W3328" t="s">
        <v>178</v>
      </c>
      <c r="X3328" t="s">
        <v>70</v>
      </c>
      <c r="Y3328" t="s">
        <v>179</v>
      </c>
      <c r="Z3328" t="s">
        <v>1944</v>
      </c>
      <c r="AB3328" t="str">
        <f t="shared" si="156"/>
        <v>44739</v>
      </c>
    </row>
    <row r="3329" ht="14.25" spans="1:28">
      <c r="A3329" s="5" t="s">
        <v>28</v>
      </c>
      <c r="B3329" s="5" t="s">
        <v>697</v>
      </c>
      <c r="C3329" s="5">
        <v>2027</v>
      </c>
      <c r="D3329" s="5" t="s">
        <v>30</v>
      </c>
      <c r="E3329" t="s">
        <v>1941</v>
      </c>
      <c r="F3329" t="s">
        <v>1942</v>
      </c>
      <c r="G3329" t="s">
        <v>65</v>
      </c>
      <c r="H3329" t="s">
        <v>1943</v>
      </c>
      <c r="I3329" t="s">
        <v>119</v>
      </c>
      <c r="J3329" t="s">
        <v>36</v>
      </c>
      <c r="K3329">
        <v>1190</v>
      </c>
      <c r="O3329" t="s">
        <v>195</v>
      </c>
      <c r="P3329" t="s">
        <v>76</v>
      </c>
      <c r="U3329" s="9" t="s">
        <v>136</v>
      </c>
      <c r="V3329" t="s">
        <v>656</v>
      </c>
      <c r="W3329" t="s">
        <v>178</v>
      </c>
      <c r="X3329" t="s">
        <v>70</v>
      </c>
      <c r="Y3329" t="s">
        <v>179</v>
      </c>
      <c r="Z3329" t="s">
        <v>1944</v>
      </c>
      <c r="AB3329" t="str">
        <f t="shared" si="156"/>
        <v>44739</v>
      </c>
    </row>
    <row r="3330" ht="14.25" spans="1:28">
      <c r="A3330" s="5" t="s">
        <v>28</v>
      </c>
      <c r="B3330" s="5" t="s">
        <v>697</v>
      </c>
      <c r="C3330" s="5">
        <v>2027</v>
      </c>
      <c r="D3330" s="5" t="s">
        <v>30</v>
      </c>
      <c r="E3330" t="s">
        <v>1941</v>
      </c>
      <c r="F3330" t="s">
        <v>1942</v>
      </c>
      <c r="G3330" t="s">
        <v>65</v>
      </c>
      <c r="H3330" t="s">
        <v>1943</v>
      </c>
      <c r="I3330" t="s">
        <v>119</v>
      </c>
      <c r="J3330" t="s">
        <v>36</v>
      </c>
      <c r="K3330">
        <v>1190</v>
      </c>
      <c r="O3330" t="s">
        <v>195</v>
      </c>
      <c r="P3330" t="s">
        <v>77</v>
      </c>
      <c r="U3330" s="9" t="s">
        <v>136</v>
      </c>
      <c r="V3330" t="s">
        <v>656</v>
      </c>
      <c r="W3330" t="s">
        <v>178</v>
      </c>
      <c r="X3330" t="s">
        <v>70</v>
      </c>
      <c r="Y3330" t="s">
        <v>179</v>
      </c>
      <c r="Z3330" t="s">
        <v>1944</v>
      </c>
      <c r="AB3330" t="str">
        <f t="shared" si="156"/>
        <v>44739</v>
      </c>
    </row>
    <row r="3331" ht="14.25" spans="1:28">
      <c r="A3331" s="5" t="s">
        <v>28</v>
      </c>
      <c r="B3331" s="5" t="s">
        <v>697</v>
      </c>
      <c r="C3331" s="5">
        <v>2027</v>
      </c>
      <c r="D3331" s="5" t="s">
        <v>30</v>
      </c>
      <c r="E3331" t="s">
        <v>1941</v>
      </c>
      <c r="F3331" t="s">
        <v>1942</v>
      </c>
      <c r="G3331" t="s">
        <v>65</v>
      </c>
      <c r="H3331" t="s">
        <v>1943</v>
      </c>
      <c r="I3331" t="s">
        <v>119</v>
      </c>
      <c r="J3331" t="s">
        <v>36</v>
      </c>
      <c r="K3331">
        <v>1190</v>
      </c>
      <c r="O3331" t="s">
        <v>195</v>
      </c>
      <c r="P3331" t="s">
        <v>78</v>
      </c>
      <c r="U3331" s="9" t="s">
        <v>136</v>
      </c>
      <c r="V3331" t="s">
        <v>656</v>
      </c>
      <c r="W3331" t="s">
        <v>178</v>
      </c>
      <c r="X3331" t="s">
        <v>70</v>
      </c>
      <c r="Y3331" t="s">
        <v>179</v>
      </c>
      <c r="Z3331" t="s">
        <v>1944</v>
      </c>
      <c r="AB3331" t="str">
        <f t="shared" si="156"/>
        <v>44739</v>
      </c>
    </row>
    <row r="3332" ht="14.25" spans="1:28">
      <c r="A3332" s="5" t="s">
        <v>28</v>
      </c>
      <c r="B3332" s="5" t="s">
        <v>697</v>
      </c>
      <c r="C3332" s="5">
        <v>2027</v>
      </c>
      <c r="D3332" s="5" t="s">
        <v>30</v>
      </c>
      <c r="E3332" t="s">
        <v>1941</v>
      </c>
      <c r="F3332" t="s">
        <v>1942</v>
      </c>
      <c r="G3332" t="s">
        <v>65</v>
      </c>
      <c r="H3332" t="s">
        <v>1943</v>
      </c>
      <c r="I3332" t="s">
        <v>119</v>
      </c>
      <c r="J3332" t="s">
        <v>36</v>
      </c>
      <c r="K3332">
        <v>1190</v>
      </c>
      <c r="O3332" t="s">
        <v>195</v>
      </c>
      <c r="P3332" t="s">
        <v>79</v>
      </c>
      <c r="U3332" s="9" t="s">
        <v>136</v>
      </c>
      <c r="V3332" t="s">
        <v>656</v>
      </c>
      <c r="W3332" t="s">
        <v>178</v>
      </c>
      <c r="X3332" t="s">
        <v>70</v>
      </c>
      <c r="Y3332" t="s">
        <v>179</v>
      </c>
      <c r="Z3332" t="s">
        <v>1944</v>
      </c>
      <c r="AB3332" t="str">
        <f t="shared" si="156"/>
        <v>44739</v>
      </c>
    </row>
    <row r="3333" ht="14.25" spans="1:28">
      <c r="A3333" s="5" t="s">
        <v>28</v>
      </c>
      <c r="B3333" s="5" t="s">
        <v>697</v>
      </c>
      <c r="C3333" s="5">
        <v>2027</v>
      </c>
      <c r="D3333" s="5" t="s">
        <v>30</v>
      </c>
      <c r="E3333" t="s">
        <v>1945</v>
      </c>
      <c r="F3333" t="s">
        <v>1942</v>
      </c>
      <c r="G3333" t="s">
        <v>182</v>
      </c>
      <c r="H3333" t="s">
        <v>1946</v>
      </c>
      <c r="I3333" t="s">
        <v>119</v>
      </c>
      <c r="J3333" t="s">
        <v>36</v>
      </c>
      <c r="K3333">
        <v>1190</v>
      </c>
      <c r="O3333" t="s">
        <v>195</v>
      </c>
      <c r="P3333" t="s">
        <v>74</v>
      </c>
      <c r="R3333">
        <f t="shared" ref="R3330:R3393" si="157">SUMIFS(Q:Q,E:E,E3333)</f>
        <v>0</v>
      </c>
      <c r="S3333">
        <f>SUMIFS([1]Sheet1!$T:$T,[1]Sheet1!$I:$I,E3333,[1]Sheet1!$C:$C,A3333)</f>
        <v>0</v>
      </c>
      <c r="T3333">
        <f t="shared" ref="T3330:T3393" si="158">R3333-S3333</f>
        <v>0</v>
      </c>
      <c r="U3333" s="9" t="s">
        <v>136</v>
      </c>
      <c r="V3333" t="s">
        <v>656</v>
      </c>
      <c r="W3333" t="s">
        <v>178</v>
      </c>
      <c r="X3333" t="s">
        <v>102</v>
      </c>
      <c r="Y3333" t="s">
        <v>179</v>
      </c>
      <c r="Z3333" t="s">
        <v>1944</v>
      </c>
      <c r="AB3333" t="str">
        <f t="shared" si="156"/>
        <v>44739</v>
      </c>
    </row>
    <row r="3334" ht="14.25" spans="1:28">
      <c r="A3334" s="5" t="s">
        <v>28</v>
      </c>
      <c r="B3334" s="5" t="s">
        <v>697</v>
      </c>
      <c r="C3334" s="5">
        <v>2027</v>
      </c>
      <c r="D3334" s="5" t="s">
        <v>30</v>
      </c>
      <c r="E3334" t="s">
        <v>1945</v>
      </c>
      <c r="F3334" t="s">
        <v>1942</v>
      </c>
      <c r="G3334" t="s">
        <v>182</v>
      </c>
      <c r="H3334" t="s">
        <v>1946</v>
      </c>
      <c r="I3334" t="s">
        <v>119</v>
      </c>
      <c r="J3334" t="s">
        <v>36</v>
      </c>
      <c r="K3334">
        <v>1190</v>
      </c>
      <c r="O3334" t="s">
        <v>195</v>
      </c>
      <c r="P3334" t="s">
        <v>76</v>
      </c>
      <c r="U3334" s="9" t="s">
        <v>136</v>
      </c>
      <c r="V3334" t="s">
        <v>656</v>
      </c>
      <c r="W3334" t="s">
        <v>178</v>
      </c>
      <c r="X3334" t="s">
        <v>102</v>
      </c>
      <c r="Y3334" t="s">
        <v>179</v>
      </c>
      <c r="Z3334" t="s">
        <v>1944</v>
      </c>
      <c r="AB3334" t="str">
        <f t="shared" si="156"/>
        <v>44739</v>
      </c>
    </row>
    <row r="3335" ht="14.25" spans="1:28">
      <c r="A3335" s="5" t="s">
        <v>28</v>
      </c>
      <c r="B3335" s="5" t="s">
        <v>697</v>
      </c>
      <c r="C3335" s="5">
        <v>2027</v>
      </c>
      <c r="D3335" s="5" t="s">
        <v>30</v>
      </c>
      <c r="E3335" t="s">
        <v>1945</v>
      </c>
      <c r="F3335" t="s">
        <v>1942</v>
      </c>
      <c r="G3335" t="s">
        <v>182</v>
      </c>
      <c r="H3335" t="s">
        <v>1946</v>
      </c>
      <c r="I3335" t="s">
        <v>119</v>
      </c>
      <c r="J3335" t="s">
        <v>36</v>
      </c>
      <c r="K3335">
        <v>1190</v>
      </c>
      <c r="O3335" t="s">
        <v>195</v>
      </c>
      <c r="P3335" t="s">
        <v>77</v>
      </c>
      <c r="U3335" s="9" t="s">
        <v>136</v>
      </c>
      <c r="V3335" t="s">
        <v>656</v>
      </c>
      <c r="W3335" t="s">
        <v>178</v>
      </c>
      <c r="X3335" t="s">
        <v>102</v>
      </c>
      <c r="Y3335" t="s">
        <v>179</v>
      </c>
      <c r="Z3335" t="s">
        <v>1944</v>
      </c>
      <c r="AB3335" t="str">
        <f t="shared" si="156"/>
        <v>44739</v>
      </c>
    </row>
    <row r="3336" ht="14.25" spans="1:28">
      <c r="A3336" s="5" t="s">
        <v>28</v>
      </c>
      <c r="B3336" s="5" t="s">
        <v>697</v>
      </c>
      <c r="C3336" s="5">
        <v>2027</v>
      </c>
      <c r="D3336" s="5" t="s">
        <v>30</v>
      </c>
      <c r="E3336" t="s">
        <v>1945</v>
      </c>
      <c r="F3336" t="s">
        <v>1942</v>
      </c>
      <c r="G3336" t="s">
        <v>182</v>
      </c>
      <c r="H3336" t="s">
        <v>1946</v>
      </c>
      <c r="I3336" t="s">
        <v>119</v>
      </c>
      <c r="J3336" t="s">
        <v>36</v>
      </c>
      <c r="K3336">
        <v>1190</v>
      </c>
      <c r="O3336" t="s">
        <v>195</v>
      </c>
      <c r="P3336" t="s">
        <v>78</v>
      </c>
      <c r="U3336" s="9" t="s">
        <v>136</v>
      </c>
      <c r="V3336" t="s">
        <v>656</v>
      </c>
      <c r="W3336" t="s">
        <v>178</v>
      </c>
      <c r="X3336" t="s">
        <v>102</v>
      </c>
      <c r="Y3336" t="s">
        <v>179</v>
      </c>
      <c r="Z3336" t="s">
        <v>1944</v>
      </c>
      <c r="AB3336" t="str">
        <f t="shared" si="156"/>
        <v>44739</v>
      </c>
    </row>
    <row r="3337" ht="14.25" spans="1:28">
      <c r="A3337" s="5" t="s">
        <v>28</v>
      </c>
      <c r="B3337" s="5" t="s">
        <v>697</v>
      </c>
      <c r="C3337" s="5">
        <v>2027</v>
      </c>
      <c r="D3337" s="5" t="s">
        <v>30</v>
      </c>
      <c r="E3337" t="s">
        <v>1945</v>
      </c>
      <c r="F3337" t="s">
        <v>1942</v>
      </c>
      <c r="G3337" t="s">
        <v>182</v>
      </c>
      <c r="H3337" t="s">
        <v>1946</v>
      </c>
      <c r="I3337" t="s">
        <v>119</v>
      </c>
      <c r="J3337" t="s">
        <v>36</v>
      </c>
      <c r="K3337">
        <v>1190</v>
      </c>
      <c r="O3337" t="s">
        <v>195</v>
      </c>
      <c r="P3337" t="s">
        <v>79</v>
      </c>
      <c r="U3337" s="9" t="s">
        <v>136</v>
      </c>
      <c r="V3337" t="s">
        <v>656</v>
      </c>
      <c r="W3337" t="s">
        <v>178</v>
      </c>
      <c r="X3337" t="s">
        <v>102</v>
      </c>
      <c r="Y3337" t="s">
        <v>179</v>
      </c>
      <c r="Z3337" t="s">
        <v>1944</v>
      </c>
      <c r="AB3337" t="str">
        <f t="shared" si="156"/>
        <v>44739</v>
      </c>
    </row>
    <row r="3338" ht="14.25" spans="1:28">
      <c r="A3338" s="5" t="s">
        <v>28</v>
      </c>
      <c r="B3338" s="5" t="s">
        <v>697</v>
      </c>
      <c r="C3338" s="5">
        <v>2027</v>
      </c>
      <c r="D3338" s="5" t="s">
        <v>30</v>
      </c>
      <c r="E3338" t="s">
        <v>1947</v>
      </c>
      <c r="F3338" t="s">
        <v>1948</v>
      </c>
      <c r="G3338" t="s">
        <v>65</v>
      </c>
      <c r="H3338" t="s">
        <v>1949</v>
      </c>
      <c r="I3338" t="s">
        <v>119</v>
      </c>
      <c r="J3338" t="s">
        <v>36</v>
      </c>
      <c r="K3338">
        <v>1190</v>
      </c>
      <c r="O3338" t="s">
        <v>195</v>
      </c>
      <c r="P3338" t="s">
        <v>74</v>
      </c>
      <c r="R3338">
        <f t="shared" si="157"/>
        <v>0</v>
      </c>
      <c r="S3338">
        <f>SUMIFS([1]Sheet1!$T:$T,[1]Sheet1!$I:$I,E3338,[1]Sheet1!$C:$C,A3338)</f>
        <v>0</v>
      </c>
      <c r="T3338">
        <f t="shared" si="158"/>
        <v>0</v>
      </c>
      <c r="U3338" s="9" t="s">
        <v>136</v>
      </c>
      <c r="V3338" t="s">
        <v>1150</v>
      </c>
      <c r="W3338" t="s">
        <v>178</v>
      </c>
      <c r="X3338" t="s">
        <v>70</v>
      </c>
      <c r="Y3338" t="s">
        <v>179</v>
      </c>
      <c r="Z3338" t="s">
        <v>247</v>
      </c>
      <c r="AB3338" t="str">
        <f t="shared" si="156"/>
        <v>44770</v>
      </c>
    </row>
    <row r="3339" ht="14.25" spans="1:28">
      <c r="A3339" s="5" t="s">
        <v>28</v>
      </c>
      <c r="B3339" s="5" t="s">
        <v>697</v>
      </c>
      <c r="C3339" s="5">
        <v>2027</v>
      </c>
      <c r="D3339" s="5" t="s">
        <v>30</v>
      </c>
      <c r="E3339" t="s">
        <v>1947</v>
      </c>
      <c r="F3339" t="s">
        <v>1948</v>
      </c>
      <c r="G3339" t="s">
        <v>65</v>
      </c>
      <c r="H3339" t="s">
        <v>1949</v>
      </c>
      <c r="I3339" t="s">
        <v>119</v>
      </c>
      <c r="J3339" t="s">
        <v>36</v>
      </c>
      <c r="K3339">
        <v>1190</v>
      </c>
      <c r="O3339" t="s">
        <v>195</v>
      </c>
      <c r="P3339" t="s">
        <v>76</v>
      </c>
      <c r="U3339" s="9" t="s">
        <v>136</v>
      </c>
      <c r="V3339" t="s">
        <v>1150</v>
      </c>
      <c r="W3339" t="s">
        <v>178</v>
      </c>
      <c r="X3339" t="s">
        <v>70</v>
      </c>
      <c r="Y3339" t="s">
        <v>179</v>
      </c>
      <c r="Z3339" t="s">
        <v>247</v>
      </c>
      <c r="AB3339" t="str">
        <f t="shared" si="156"/>
        <v>44770</v>
      </c>
    </row>
    <row r="3340" ht="14.25" spans="1:28">
      <c r="A3340" s="5" t="s">
        <v>28</v>
      </c>
      <c r="B3340" s="5" t="s">
        <v>697</v>
      </c>
      <c r="C3340" s="5">
        <v>2027</v>
      </c>
      <c r="D3340" s="5" t="s">
        <v>30</v>
      </c>
      <c r="E3340" t="s">
        <v>1947</v>
      </c>
      <c r="F3340" t="s">
        <v>1948</v>
      </c>
      <c r="G3340" t="s">
        <v>65</v>
      </c>
      <c r="H3340" t="s">
        <v>1949</v>
      </c>
      <c r="I3340" t="s">
        <v>119</v>
      </c>
      <c r="J3340" t="s">
        <v>36</v>
      </c>
      <c r="K3340">
        <v>1190</v>
      </c>
      <c r="O3340" t="s">
        <v>195</v>
      </c>
      <c r="P3340" t="s">
        <v>77</v>
      </c>
      <c r="U3340" s="9" t="s">
        <v>136</v>
      </c>
      <c r="V3340" t="s">
        <v>1150</v>
      </c>
      <c r="W3340" t="s">
        <v>178</v>
      </c>
      <c r="X3340" t="s">
        <v>70</v>
      </c>
      <c r="Y3340" t="s">
        <v>179</v>
      </c>
      <c r="Z3340" t="s">
        <v>247</v>
      </c>
      <c r="AB3340" t="str">
        <f t="shared" si="156"/>
        <v>44770</v>
      </c>
    </row>
    <row r="3341" ht="14.25" spans="1:28">
      <c r="A3341" s="5" t="s">
        <v>28</v>
      </c>
      <c r="B3341" s="5" t="s">
        <v>697</v>
      </c>
      <c r="C3341" s="5">
        <v>2027</v>
      </c>
      <c r="D3341" s="5" t="s">
        <v>30</v>
      </c>
      <c r="E3341" t="s">
        <v>1947</v>
      </c>
      <c r="F3341" t="s">
        <v>1948</v>
      </c>
      <c r="G3341" t="s">
        <v>65</v>
      </c>
      <c r="H3341" t="s">
        <v>1949</v>
      </c>
      <c r="I3341" t="s">
        <v>119</v>
      </c>
      <c r="J3341" t="s">
        <v>36</v>
      </c>
      <c r="K3341">
        <v>1190</v>
      </c>
      <c r="O3341" t="s">
        <v>195</v>
      </c>
      <c r="P3341" t="s">
        <v>78</v>
      </c>
      <c r="U3341" s="9" t="s">
        <v>136</v>
      </c>
      <c r="V3341" t="s">
        <v>1150</v>
      </c>
      <c r="W3341" t="s">
        <v>178</v>
      </c>
      <c r="X3341" t="s">
        <v>70</v>
      </c>
      <c r="Y3341" t="s">
        <v>179</v>
      </c>
      <c r="Z3341" t="s">
        <v>247</v>
      </c>
      <c r="AB3341" t="str">
        <f t="shared" si="156"/>
        <v>44770</v>
      </c>
    </row>
    <row r="3342" ht="14.25" spans="1:28">
      <c r="A3342" s="5" t="s">
        <v>28</v>
      </c>
      <c r="B3342" s="5" t="s">
        <v>697</v>
      </c>
      <c r="C3342" s="5">
        <v>2027</v>
      </c>
      <c r="D3342" s="5" t="s">
        <v>30</v>
      </c>
      <c r="E3342" t="s">
        <v>1947</v>
      </c>
      <c r="F3342" t="s">
        <v>1948</v>
      </c>
      <c r="G3342" t="s">
        <v>65</v>
      </c>
      <c r="H3342" t="s">
        <v>1949</v>
      </c>
      <c r="I3342" t="s">
        <v>119</v>
      </c>
      <c r="J3342" t="s">
        <v>36</v>
      </c>
      <c r="K3342">
        <v>1190</v>
      </c>
      <c r="O3342" t="s">
        <v>195</v>
      </c>
      <c r="P3342" t="s">
        <v>79</v>
      </c>
      <c r="U3342" s="9" t="s">
        <v>136</v>
      </c>
      <c r="V3342" t="s">
        <v>1150</v>
      </c>
      <c r="W3342" t="s">
        <v>178</v>
      </c>
      <c r="X3342" t="s">
        <v>70</v>
      </c>
      <c r="Y3342" t="s">
        <v>179</v>
      </c>
      <c r="Z3342" t="s">
        <v>247</v>
      </c>
      <c r="AB3342" t="str">
        <f t="shared" si="156"/>
        <v>44770</v>
      </c>
    </row>
    <row r="3343" ht="14.25" spans="1:28">
      <c r="A3343" s="5" t="s">
        <v>28</v>
      </c>
      <c r="B3343" s="5" t="s">
        <v>697</v>
      </c>
      <c r="C3343" s="5">
        <v>2027</v>
      </c>
      <c r="D3343" s="5" t="s">
        <v>30</v>
      </c>
      <c r="E3343" t="s">
        <v>1950</v>
      </c>
      <c r="F3343" t="s">
        <v>1948</v>
      </c>
      <c r="G3343" t="s">
        <v>182</v>
      </c>
      <c r="H3343" t="s">
        <v>1951</v>
      </c>
      <c r="I3343" t="s">
        <v>119</v>
      </c>
      <c r="J3343" t="s">
        <v>36</v>
      </c>
      <c r="K3343">
        <v>1190</v>
      </c>
      <c r="O3343" t="s">
        <v>195</v>
      </c>
      <c r="P3343" t="s">
        <v>74</v>
      </c>
      <c r="R3343">
        <f t="shared" si="157"/>
        <v>0</v>
      </c>
      <c r="S3343">
        <f>SUMIFS([1]Sheet1!$T:$T,[1]Sheet1!$I:$I,E3343,[1]Sheet1!$C:$C,A3343)</f>
        <v>0</v>
      </c>
      <c r="T3343">
        <f t="shared" si="158"/>
        <v>0</v>
      </c>
      <c r="U3343" s="9" t="s">
        <v>136</v>
      </c>
      <c r="V3343" t="s">
        <v>1150</v>
      </c>
      <c r="W3343" t="s">
        <v>178</v>
      </c>
      <c r="X3343" t="s">
        <v>102</v>
      </c>
      <c r="Y3343" t="s">
        <v>179</v>
      </c>
      <c r="Z3343" t="s">
        <v>247</v>
      </c>
      <c r="AB3343" t="str">
        <f t="shared" si="156"/>
        <v>44770</v>
      </c>
    </row>
    <row r="3344" ht="14.25" spans="1:28">
      <c r="A3344" s="5" t="s">
        <v>28</v>
      </c>
      <c r="B3344" s="5" t="s">
        <v>697</v>
      </c>
      <c r="C3344" s="5">
        <v>2027</v>
      </c>
      <c r="D3344" s="5" t="s">
        <v>30</v>
      </c>
      <c r="E3344" t="s">
        <v>1950</v>
      </c>
      <c r="F3344" t="s">
        <v>1948</v>
      </c>
      <c r="G3344" t="s">
        <v>182</v>
      </c>
      <c r="H3344" t="s">
        <v>1951</v>
      </c>
      <c r="I3344" t="s">
        <v>119</v>
      </c>
      <c r="J3344" t="s">
        <v>36</v>
      </c>
      <c r="K3344">
        <v>1190</v>
      </c>
      <c r="O3344" t="s">
        <v>195</v>
      </c>
      <c r="P3344" t="s">
        <v>76</v>
      </c>
      <c r="U3344" s="9" t="s">
        <v>136</v>
      </c>
      <c r="V3344" t="s">
        <v>1150</v>
      </c>
      <c r="W3344" t="s">
        <v>178</v>
      </c>
      <c r="X3344" t="s">
        <v>102</v>
      </c>
      <c r="Y3344" t="s">
        <v>179</v>
      </c>
      <c r="Z3344" t="s">
        <v>247</v>
      </c>
      <c r="AB3344" t="str">
        <f t="shared" si="156"/>
        <v>44770</v>
      </c>
    </row>
    <row r="3345" ht="14.25" spans="1:28">
      <c r="A3345" s="5" t="s">
        <v>28</v>
      </c>
      <c r="B3345" s="5" t="s">
        <v>697</v>
      </c>
      <c r="C3345" s="5">
        <v>2027</v>
      </c>
      <c r="D3345" s="5" t="s">
        <v>30</v>
      </c>
      <c r="E3345" t="s">
        <v>1950</v>
      </c>
      <c r="F3345" t="s">
        <v>1948</v>
      </c>
      <c r="G3345" t="s">
        <v>182</v>
      </c>
      <c r="H3345" t="s">
        <v>1951</v>
      </c>
      <c r="I3345" t="s">
        <v>119</v>
      </c>
      <c r="J3345" t="s">
        <v>36</v>
      </c>
      <c r="K3345">
        <v>1190</v>
      </c>
      <c r="O3345" t="s">
        <v>195</v>
      </c>
      <c r="P3345" t="s">
        <v>77</v>
      </c>
      <c r="U3345" s="9" t="s">
        <v>136</v>
      </c>
      <c r="V3345" t="s">
        <v>1150</v>
      </c>
      <c r="W3345" t="s">
        <v>178</v>
      </c>
      <c r="X3345" t="s">
        <v>102</v>
      </c>
      <c r="Y3345" t="s">
        <v>179</v>
      </c>
      <c r="Z3345" t="s">
        <v>247</v>
      </c>
      <c r="AB3345" t="str">
        <f t="shared" si="156"/>
        <v>44770</v>
      </c>
    </row>
    <row r="3346" ht="14.25" spans="1:28">
      <c r="A3346" s="5" t="s">
        <v>28</v>
      </c>
      <c r="B3346" s="5" t="s">
        <v>697</v>
      </c>
      <c r="C3346" s="5">
        <v>2027</v>
      </c>
      <c r="D3346" s="5" t="s">
        <v>30</v>
      </c>
      <c r="E3346" t="s">
        <v>1950</v>
      </c>
      <c r="F3346" t="s">
        <v>1948</v>
      </c>
      <c r="G3346" t="s">
        <v>182</v>
      </c>
      <c r="H3346" t="s">
        <v>1951</v>
      </c>
      <c r="I3346" t="s">
        <v>119</v>
      </c>
      <c r="J3346" t="s">
        <v>36</v>
      </c>
      <c r="K3346">
        <v>1190</v>
      </c>
      <c r="O3346" t="s">
        <v>195</v>
      </c>
      <c r="P3346" t="s">
        <v>78</v>
      </c>
      <c r="U3346" s="9" t="s">
        <v>136</v>
      </c>
      <c r="V3346" t="s">
        <v>1150</v>
      </c>
      <c r="W3346" t="s">
        <v>178</v>
      </c>
      <c r="X3346" t="s">
        <v>102</v>
      </c>
      <c r="Y3346" t="s">
        <v>179</v>
      </c>
      <c r="Z3346" t="s">
        <v>247</v>
      </c>
      <c r="AB3346" t="str">
        <f t="shared" si="156"/>
        <v>44770</v>
      </c>
    </row>
    <row r="3347" ht="14.25" spans="1:28">
      <c r="A3347" s="5" t="s">
        <v>28</v>
      </c>
      <c r="B3347" s="5" t="s">
        <v>697</v>
      </c>
      <c r="C3347" s="5">
        <v>2027</v>
      </c>
      <c r="D3347" s="5" t="s">
        <v>30</v>
      </c>
      <c r="E3347" t="s">
        <v>1950</v>
      </c>
      <c r="F3347" t="s">
        <v>1948</v>
      </c>
      <c r="G3347" t="s">
        <v>182</v>
      </c>
      <c r="H3347" t="s">
        <v>1951</v>
      </c>
      <c r="I3347" t="s">
        <v>119</v>
      </c>
      <c r="J3347" t="s">
        <v>36</v>
      </c>
      <c r="K3347">
        <v>1190</v>
      </c>
      <c r="O3347" t="s">
        <v>195</v>
      </c>
      <c r="P3347" t="s">
        <v>79</v>
      </c>
      <c r="U3347" s="9" t="s">
        <v>136</v>
      </c>
      <c r="V3347" t="s">
        <v>1150</v>
      </c>
      <c r="W3347" t="s">
        <v>178</v>
      </c>
      <c r="X3347" t="s">
        <v>102</v>
      </c>
      <c r="Y3347" t="s">
        <v>179</v>
      </c>
      <c r="Z3347" t="s">
        <v>247</v>
      </c>
      <c r="AB3347" t="str">
        <f t="shared" si="156"/>
        <v>44770</v>
      </c>
    </row>
    <row r="3348" ht="14.25" spans="1:28">
      <c r="A3348" s="5" t="s">
        <v>28</v>
      </c>
      <c r="B3348" s="5" t="s">
        <v>697</v>
      </c>
      <c r="C3348" s="5">
        <v>2027</v>
      </c>
      <c r="D3348" s="5" t="s">
        <v>30</v>
      </c>
      <c r="E3348" t="s">
        <v>248</v>
      </c>
      <c r="F3348" t="s">
        <v>249</v>
      </c>
      <c r="G3348" t="s">
        <v>250</v>
      </c>
      <c r="H3348" t="s">
        <v>251</v>
      </c>
      <c r="I3348" t="s">
        <v>119</v>
      </c>
      <c r="J3348" t="s">
        <v>36</v>
      </c>
      <c r="K3348">
        <v>1190</v>
      </c>
      <c r="O3348" t="s">
        <v>195</v>
      </c>
      <c r="P3348" t="s">
        <v>74</v>
      </c>
      <c r="R3348">
        <f t="shared" si="157"/>
        <v>0</v>
      </c>
      <c r="S3348">
        <f>SUMIFS([1]Sheet1!$T:$T,[1]Sheet1!$I:$I,E3348,[1]Sheet1!$C:$C,A3348)</f>
        <v>0</v>
      </c>
      <c r="T3348">
        <f t="shared" si="158"/>
        <v>0</v>
      </c>
      <c r="U3348" s="9" t="s">
        <v>148</v>
      </c>
      <c r="V3348" t="s">
        <v>233</v>
      </c>
      <c r="W3348" t="s">
        <v>178</v>
      </c>
      <c r="Y3348" t="s">
        <v>179</v>
      </c>
      <c r="Z3348" t="s">
        <v>104</v>
      </c>
      <c r="AB3348" t="str">
        <f t="shared" si="156"/>
        <v>45612</v>
      </c>
    </row>
    <row r="3349" ht="14.25" spans="1:28">
      <c r="A3349" s="5" t="s">
        <v>28</v>
      </c>
      <c r="B3349" s="5" t="s">
        <v>697</v>
      </c>
      <c r="C3349" s="5">
        <v>2027</v>
      </c>
      <c r="D3349" s="5" t="s">
        <v>30</v>
      </c>
      <c r="E3349" t="s">
        <v>248</v>
      </c>
      <c r="F3349" t="s">
        <v>249</v>
      </c>
      <c r="G3349" t="s">
        <v>250</v>
      </c>
      <c r="H3349" t="s">
        <v>251</v>
      </c>
      <c r="I3349" t="s">
        <v>119</v>
      </c>
      <c r="J3349" t="s">
        <v>36</v>
      </c>
      <c r="K3349">
        <v>1190</v>
      </c>
      <c r="O3349" t="s">
        <v>195</v>
      </c>
      <c r="P3349" t="s">
        <v>76</v>
      </c>
      <c r="U3349" s="9" t="s">
        <v>148</v>
      </c>
      <c r="V3349" t="s">
        <v>233</v>
      </c>
      <c r="W3349" t="s">
        <v>178</v>
      </c>
      <c r="Y3349" t="s">
        <v>179</v>
      </c>
      <c r="Z3349" t="s">
        <v>104</v>
      </c>
      <c r="AB3349" t="str">
        <f t="shared" si="156"/>
        <v>45612</v>
      </c>
    </row>
    <row r="3350" ht="14.25" spans="1:28">
      <c r="A3350" s="5" t="s">
        <v>28</v>
      </c>
      <c r="B3350" s="5" t="s">
        <v>697</v>
      </c>
      <c r="C3350" s="5">
        <v>2027</v>
      </c>
      <c r="D3350" s="5" t="s">
        <v>30</v>
      </c>
      <c r="E3350" t="s">
        <v>248</v>
      </c>
      <c r="F3350" t="s">
        <v>249</v>
      </c>
      <c r="G3350" t="s">
        <v>250</v>
      </c>
      <c r="H3350" t="s">
        <v>251</v>
      </c>
      <c r="I3350" t="s">
        <v>119</v>
      </c>
      <c r="J3350" t="s">
        <v>36</v>
      </c>
      <c r="K3350">
        <v>1190</v>
      </c>
      <c r="O3350" t="s">
        <v>195</v>
      </c>
      <c r="P3350" t="s">
        <v>77</v>
      </c>
      <c r="U3350" s="9" t="s">
        <v>148</v>
      </c>
      <c r="V3350" t="s">
        <v>233</v>
      </c>
      <c r="W3350" t="s">
        <v>178</v>
      </c>
      <c r="Y3350" t="s">
        <v>179</v>
      </c>
      <c r="Z3350" t="s">
        <v>104</v>
      </c>
      <c r="AB3350" t="str">
        <f t="shared" si="156"/>
        <v>45612</v>
      </c>
    </row>
    <row r="3351" ht="14.25" spans="1:28">
      <c r="A3351" s="5" t="s">
        <v>28</v>
      </c>
      <c r="B3351" s="5" t="s">
        <v>697</v>
      </c>
      <c r="C3351" s="5">
        <v>2027</v>
      </c>
      <c r="D3351" s="5" t="s">
        <v>30</v>
      </c>
      <c r="E3351" t="s">
        <v>248</v>
      </c>
      <c r="F3351" t="s">
        <v>249</v>
      </c>
      <c r="G3351" t="s">
        <v>250</v>
      </c>
      <c r="H3351" t="s">
        <v>251</v>
      </c>
      <c r="I3351" t="s">
        <v>119</v>
      </c>
      <c r="J3351" t="s">
        <v>36</v>
      </c>
      <c r="K3351">
        <v>1190</v>
      </c>
      <c r="O3351" t="s">
        <v>195</v>
      </c>
      <c r="P3351" t="s">
        <v>78</v>
      </c>
      <c r="U3351" s="9" t="s">
        <v>148</v>
      </c>
      <c r="V3351" t="s">
        <v>233</v>
      </c>
      <c r="W3351" t="s">
        <v>178</v>
      </c>
      <c r="Y3351" t="s">
        <v>179</v>
      </c>
      <c r="Z3351" t="s">
        <v>104</v>
      </c>
      <c r="AB3351" t="str">
        <f t="shared" si="156"/>
        <v>45612</v>
      </c>
    </row>
    <row r="3352" ht="14.25" spans="1:28">
      <c r="A3352" s="5" t="s">
        <v>28</v>
      </c>
      <c r="B3352" s="5" t="s">
        <v>697</v>
      </c>
      <c r="C3352" s="5">
        <v>2027</v>
      </c>
      <c r="D3352" s="5" t="s">
        <v>30</v>
      </c>
      <c r="E3352" t="s">
        <v>248</v>
      </c>
      <c r="F3352" t="s">
        <v>249</v>
      </c>
      <c r="G3352" t="s">
        <v>250</v>
      </c>
      <c r="H3352" t="s">
        <v>251</v>
      </c>
      <c r="I3352" t="s">
        <v>119</v>
      </c>
      <c r="J3352" t="s">
        <v>36</v>
      </c>
      <c r="K3352">
        <v>1190</v>
      </c>
      <c r="O3352" t="s">
        <v>195</v>
      </c>
      <c r="P3352" t="s">
        <v>79</v>
      </c>
      <c r="U3352" s="9" t="s">
        <v>148</v>
      </c>
      <c r="V3352" t="s">
        <v>233</v>
      </c>
      <c r="W3352" t="s">
        <v>178</v>
      </c>
      <c r="Y3352" t="s">
        <v>179</v>
      </c>
      <c r="Z3352" t="s">
        <v>104</v>
      </c>
      <c r="AB3352" t="str">
        <f t="shared" si="156"/>
        <v>45612</v>
      </c>
    </row>
    <row r="3353" ht="14.25" spans="1:28">
      <c r="A3353" s="5" t="s">
        <v>28</v>
      </c>
      <c r="B3353" s="5" t="s">
        <v>697</v>
      </c>
      <c r="C3353" s="5">
        <v>2027</v>
      </c>
      <c r="D3353" s="5" t="s">
        <v>30</v>
      </c>
      <c r="E3353" t="s">
        <v>1952</v>
      </c>
      <c r="F3353" t="s">
        <v>1953</v>
      </c>
      <c r="G3353" t="s">
        <v>182</v>
      </c>
      <c r="H3353" t="s">
        <v>1954</v>
      </c>
      <c r="I3353" t="s">
        <v>119</v>
      </c>
      <c r="J3353" t="s">
        <v>36</v>
      </c>
      <c r="K3353">
        <v>1390</v>
      </c>
      <c r="O3353" t="s">
        <v>176</v>
      </c>
      <c r="P3353" t="s">
        <v>177</v>
      </c>
      <c r="R3353">
        <f t="shared" si="157"/>
        <v>0</v>
      </c>
      <c r="S3353">
        <f>SUMIFS([1]Sheet1!$T:$T,[1]Sheet1!$I:$I,E3353,[1]Sheet1!$C:$C,A3353)</f>
        <v>120</v>
      </c>
      <c r="T3353">
        <f t="shared" si="158"/>
        <v>-120</v>
      </c>
      <c r="U3353" s="9" t="s">
        <v>148</v>
      </c>
      <c r="V3353" t="s">
        <v>184</v>
      </c>
      <c r="W3353" t="s">
        <v>178</v>
      </c>
      <c r="X3353" t="s">
        <v>102</v>
      </c>
      <c r="Y3353" t="s">
        <v>179</v>
      </c>
      <c r="Z3353" t="s">
        <v>41</v>
      </c>
      <c r="AB3353" t="str">
        <f t="shared" si="156"/>
        <v>45707</v>
      </c>
    </row>
    <row r="3354" ht="14.25" spans="1:28">
      <c r="A3354" s="5" t="s">
        <v>28</v>
      </c>
      <c r="B3354" s="5" t="s">
        <v>697</v>
      </c>
      <c r="C3354" s="5">
        <v>2027</v>
      </c>
      <c r="D3354" s="5" t="s">
        <v>30</v>
      </c>
      <c r="E3354" t="s">
        <v>1952</v>
      </c>
      <c r="F3354" t="s">
        <v>1953</v>
      </c>
      <c r="G3354" t="s">
        <v>182</v>
      </c>
      <c r="H3354" t="s">
        <v>1954</v>
      </c>
      <c r="I3354" t="s">
        <v>119</v>
      </c>
      <c r="J3354" t="s">
        <v>36</v>
      </c>
      <c r="K3354">
        <v>1390</v>
      </c>
      <c r="O3354" t="s">
        <v>176</v>
      </c>
      <c r="P3354" t="s">
        <v>38</v>
      </c>
      <c r="U3354" s="9" t="s">
        <v>148</v>
      </c>
      <c r="V3354" t="s">
        <v>184</v>
      </c>
      <c r="W3354" t="s">
        <v>178</v>
      </c>
      <c r="X3354" t="s">
        <v>102</v>
      </c>
      <c r="Y3354" t="s">
        <v>179</v>
      </c>
      <c r="Z3354" t="s">
        <v>41</v>
      </c>
      <c r="AB3354" t="str">
        <f t="shared" si="156"/>
        <v>45707</v>
      </c>
    </row>
    <row r="3355" ht="14.25" spans="1:28">
      <c r="A3355" s="5" t="s">
        <v>28</v>
      </c>
      <c r="B3355" s="5" t="s">
        <v>697</v>
      </c>
      <c r="C3355" s="5">
        <v>2027</v>
      </c>
      <c r="D3355" s="5" t="s">
        <v>30</v>
      </c>
      <c r="E3355" t="s">
        <v>1952</v>
      </c>
      <c r="F3355" t="s">
        <v>1953</v>
      </c>
      <c r="G3355" t="s">
        <v>182</v>
      </c>
      <c r="H3355" t="s">
        <v>1954</v>
      </c>
      <c r="I3355" t="s">
        <v>119</v>
      </c>
      <c r="J3355" t="s">
        <v>36</v>
      </c>
      <c r="K3355">
        <v>1390</v>
      </c>
      <c r="O3355" t="s">
        <v>176</v>
      </c>
      <c r="P3355" t="s">
        <v>42</v>
      </c>
      <c r="U3355" s="9" t="s">
        <v>148</v>
      </c>
      <c r="V3355" t="s">
        <v>184</v>
      </c>
      <c r="W3355" t="s">
        <v>178</v>
      </c>
      <c r="X3355" t="s">
        <v>102</v>
      </c>
      <c r="Y3355" t="s">
        <v>179</v>
      </c>
      <c r="Z3355" t="s">
        <v>41</v>
      </c>
      <c r="AB3355" t="str">
        <f t="shared" si="156"/>
        <v>45707</v>
      </c>
    </row>
    <row r="3356" ht="14.25" spans="1:28">
      <c r="A3356" s="5" t="s">
        <v>28</v>
      </c>
      <c r="B3356" s="5" t="s">
        <v>697</v>
      </c>
      <c r="C3356" s="5">
        <v>2027</v>
      </c>
      <c r="D3356" s="5" t="s">
        <v>30</v>
      </c>
      <c r="E3356" t="s">
        <v>1952</v>
      </c>
      <c r="F3356" t="s">
        <v>1953</v>
      </c>
      <c r="G3356" t="s">
        <v>182</v>
      </c>
      <c r="H3356" t="s">
        <v>1954</v>
      </c>
      <c r="I3356" t="s">
        <v>119</v>
      </c>
      <c r="J3356" t="s">
        <v>36</v>
      </c>
      <c r="K3356">
        <v>1390</v>
      </c>
      <c r="O3356" t="s">
        <v>176</v>
      </c>
      <c r="P3356" t="s">
        <v>43</v>
      </c>
      <c r="U3356" s="9" t="s">
        <v>148</v>
      </c>
      <c r="V3356" t="s">
        <v>184</v>
      </c>
      <c r="W3356" t="s">
        <v>178</v>
      </c>
      <c r="X3356" t="s">
        <v>102</v>
      </c>
      <c r="Y3356" t="s">
        <v>179</v>
      </c>
      <c r="Z3356" t="s">
        <v>41</v>
      </c>
      <c r="AB3356" t="str">
        <f t="shared" si="156"/>
        <v>45707</v>
      </c>
    </row>
    <row r="3357" ht="14.25" spans="1:28">
      <c r="A3357" s="5" t="s">
        <v>28</v>
      </c>
      <c r="B3357" s="5" t="s">
        <v>697</v>
      </c>
      <c r="C3357" s="5">
        <v>2027</v>
      </c>
      <c r="D3357" s="5" t="s">
        <v>30</v>
      </c>
      <c r="E3357" t="s">
        <v>1952</v>
      </c>
      <c r="F3357" t="s">
        <v>1953</v>
      </c>
      <c r="G3357" t="s">
        <v>182</v>
      </c>
      <c r="H3357" t="s">
        <v>1954</v>
      </c>
      <c r="I3357" t="s">
        <v>119</v>
      </c>
      <c r="J3357" t="s">
        <v>36</v>
      </c>
      <c r="K3357">
        <v>1390</v>
      </c>
      <c r="O3357" t="s">
        <v>176</v>
      </c>
      <c r="P3357" t="s">
        <v>44</v>
      </c>
      <c r="U3357" s="9" t="s">
        <v>148</v>
      </c>
      <c r="V3357" t="s">
        <v>184</v>
      </c>
      <c r="W3357" t="s">
        <v>178</v>
      </c>
      <c r="X3357" t="s">
        <v>102</v>
      </c>
      <c r="Y3357" t="s">
        <v>179</v>
      </c>
      <c r="Z3357" t="s">
        <v>41</v>
      </c>
      <c r="AB3357" t="str">
        <f t="shared" si="156"/>
        <v>45707</v>
      </c>
    </row>
    <row r="3358" ht="14.25" spans="1:28">
      <c r="A3358" s="5" t="s">
        <v>28</v>
      </c>
      <c r="B3358" s="5" t="s">
        <v>697</v>
      </c>
      <c r="C3358" s="5">
        <v>2027</v>
      </c>
      <c r="D3358" s="5" t="s">
        <v>30</v>
      </c>
      <c r="E3358" t="s">
        <v>1952</v>
      </c>
      <c r="F3358" t="s">
        <v>1953</v>
      </c>
      <c r="G3358" t="s">
        <v>182</v>
      </c>
      <c r="H3358" t="s">
        <v>1954</v>
      </c>
      <c r="I3358" t="s">
        <v>119</v>
      </c>
      <c r="J3358" t="s">
        <v>36</v>
      </c>
      <c r="K3358">
        <v>1390</v>
      </c>
      <c r="O3358" t="s">
        <v>176</v>
      </c>
      <c r="P3358" t="s">
        <v>45</v>
      </c>
      <c r="U3358" s="9" t="s">
        <v>148</v>
      </c>
      <c r="V3358" t="s">
        <v>184</v>
      </c>
      <c r="W3358" t="s">
        <v>178</v>
      </c>
      <c r="X3358" t="s">
        <v>102</v>
      </c>
      <c r="Y3358" t="s">
        <v>179</v>
      </c>
      <c r="Z3358" t="s">
        <v>41</v>
      </c>
      <c r="AB3358" t="str">
        <f t="shared" si="156"/>
        <v>45707</v>
      </c>
    </row>
    <row r="3359" ht="14.25" spans="1:28">
      <c r="A3359" s="5" t="s">
        <v>28</v>
      </c>
      <c r="B3359" s="5" t="s">
        <v>697</v>
      </c>
      <c r="C3359" s="5">
        <v>2027</v>
      </c>
      <c r="D3359" s="5" t="s">
        <v>30</v>
      </c>
      <c r="E3359" t="s">
        <v>1955</v>
      </c>
      <c r="F3359" t="s">
        <v>1953</v>
      </c>
      <c r="G3359" t="s">
        <v>1890</v>
      </c>
      <c r="H3359" t="s">
        <v>1956</v>
      </c>
      <c r="I3359" t="s">
        <v>119</v>
      </c>
      <c r="J3359" t="s">
        <v>36</v>
      </c>
      <c r="K3359">
        <v>1390</v>
      </c>
      <c r="O3359" t="s">
        <v>176</v>
      </c>
      <c r="P3359" t="s">
        <v>177</v>
      </c>
      <c r="R3359">
        <f t="shared" si="157"/>
        <v>0</v>
      </c>
      <c r="S3359">
        <f>SUMIFS([1]Sheet1!$T:$T,[1]Sheet1!$I:$I,E3359,[1]Sheet1!$C:$C,A3359)</f>
        <v>150</v>
      </c>
      <c r="T3359">
        <f t="shared" si="158"/>
        <v>-150</v>
      </c>
      <c r="U3359" s="9" t="s">
        <v>148</v>
      </c>
      <c r="V3359" t="s">
        <v>184</v>
      </c>
      <c r="W3359" t="s">
        <v>178</v>
      </c>
      <c r="X3359" t="s">
        <v>94</v>
      </c>
      <c r="Y3359" t="s">
        <v>179</v>
      </c>
      <c r="Z3359" t="s">
        <v>41</v>
      </c>
      <c r="AB3359" t="str">
        <f t="shared" si="156"/>
        <v>45707</v>
      </c>
    </row>
    <row r="3360" ht="14.25" spans="1:28">
      <c r="A3360" s="5" t="s">
        <v>28</v>
      </c>
      <c r="B3360" s="5" t="s">
        <v>697</v>
      </c>
      <c r="C3360" s="5">
        <v>2027</v>
      </c>
      <c r="D3360" s="5" t="s">
        <v>30</v>
      </c>
      <c r="E3360" t="s">
        <v>1955</v>
      </c>
      <c r="F3360" t="s">
        <v>1953</v>
      </c>
      <c r="G3360" t="s">
        <v>1890</v>
      </c>
      <c r="H3360" t="s">
        <v>1956</v>
      </c>
      <c r="I3360" t="s">
        <v>119</v>
      </c>
      <c r="J3360" t="s">
        <v>36</v>
      </c>
      <c r="K3360">
        <v>1390</v>
      </c>
      <c r="O3360" t="s">
        <v>176</v>
      </c>
      <c r="P3360" t="s">
        <v>38</v>
      </c>
      <c r="U3360" s="9" t="s">
        <v>148</v>
      </c>
      <c r="V3360" t="s">
        <v>184</v>
      </c>
      <c r="W3360" t="s">
        <v>178</v>
      </c>
      <c r="X3360" t="s">
        <v>94</v>
      </c>
      <c r="Y3360" t="s">
        <v>179</v>
      </c>
      <c r="Z3360" t="s">
        <v>41</v>
      </c>
      <c r="AB3360" t="str">
        <f t="shared" si="156"/>
        <v>45707</v>
      </c>
    </row>
    <row r="3361" ht="14.25" spans="1:28">
      <c r="A3361" s="5" t="s">
        <v>28</v>
      </c>
      <c r="B3361" s="5" t="s">
        <v>697</v>
      </c>
      <c r="C3361" s="5">
        <v>2027</v>
      </c>
      <c r="D3361" s="5" t="s">
        <v>30</v>
      </c>
      <c r="E3361" t="s">
        <v>1955</v>
      </c>
      <c r="F3361" t="s">
        <v>1953</v>
      </c>
      <c r="G3361" t="s">
        <v>1890</v>
      </c>
      <c r="H3361" t="s">
        <v>1956</v>
      </c>
      <c r="I3361" t="s">
        <v>119</v>
      </c>
      <c r="J3361" t="s">
        <v>36</v>
      </c>
      <c r="K3361">
        <v>1390</v>
      </c>
      <c r="O3361" t="s">
        <v>176</v>
      </c>
      <c r="P3361" t="s">
        <v>42</v>
      </c>
      <c r="U3361" s="9" t="s">
        <v>148</v>
      </c>
      <c r="V3361" t="s">
        <v>184</v>
      </c>
      <c r="W3361" t="s">
        <v>178</v>
      </c>
      <c r="X3361" t="s">
        <v>94</v>
      </c>
      <c r="Y3361" t="s">
        <v>179</v>
      </c>
      <c r="Z3361" t="s">
        <v>41</v>
      </c>
      <c r="AB3361" t="str">
        <f t="shared" si="156"/>
        <v>45707</v>
      </c>
    </row>
    <row r="3362" ht="14.25" spans="1:28">
      <c r="A3362" s="5" t="s">
        <v>28</v>
      </c>
      <c r="B3362" s="5" t="s">
        <v>697</v>
      </c>
      <c r="C3362" s="5">
        <v>2027</v>
      </c>
      <c r="D3362" s="5" t="s">
        <v>30</v>
      </c>
      <c r="E3362" t="s">
        <v>1955</v>
      </c>
      <c r="F3362" t="s">
        <v>1953</v>
      </c>
      <c r="G3362" t="s">
        <v>1890</v>
      </c>
      <c r="H3362" t="s">
        <v>1956</v>
      </c>
      <c r="I3362" t="s">
        <v>119</v>
      </c>
      <c r="J3362" t="s">
        <v>36</v>
      </c>
      <c r="K3362">
        <v>1390</v>
      </c>
      <c r="O3362" t="s">
        <v>176</v>
      </c>
      <c r="P3362" t="s">
        <v>43</v>
      </c>
      <c r="U3362" s="9" t="s">
        <v>148</v>
      </c>
      <c r="V3362" t="s">
        <v>184</v>
      </c>
      <c r="W3362" t="s">
        <v>178</v>
      </c>
      <c r="X3362" t="s">
        <v>94</v>
      </c>
      <c r="Y3362" t="s">
        <v>179</v>
      </c>
      <c r="Z3362" t="s">
        <v>41</v>
      </c>
      <c r="AB3362" t="str">
        <f t="shared" si="156"/>
        <v>45707</v>
      </c>
    </row>
    <row r="3363" ht="14.25" spans="1:28">
      <c r="A3363" s="5" t="s">
        <v>28</v>
      </c>
      <c r="B3363" s="5" t="s">
        <v>697</v>
      </c>
      <c r="C3363" s="5">
        <v>2027</v>
      </c>
      <c r="D3363" s="5" t="s">
        <v>30</v>
      </c>
      <c r="E3363" t="s">
        <v>1955</v>
      </c>
      <c r="F3363" t="s">
        <v>1953</v>
      </c>
      <c r="G3363" t="s">
        <v>1890</v>
      </c>
      <c r="H3363" t="s">
        <v>1956</v>
      </c>
      <c r="I3363" t="s">
        <v>119</v>
      </c>
      <c r="J3363" t="s">
        <v>36</v>
      </c>
      <c r="K3363">
        <v>1390</v>
      </c>
      <c r="O3363" t="s">
        <v>176</v>
      </c>
      <c r="P3363" t="s">
        <v>44</v>
      </c>
      <c r="U3363" s="9" t="s">
        <v>148</v>
      </c>
      <c r="V3363" t="s">
        <v>184</v>
      </c>
      <c r="W3363" t="s">
        <v>178</v>
      </c>
      <c r="X3363" t="s">
        <v>94</v>
      </c>
      <c r="Y3363" t="s">
        <v>179</v>
      </c>
      <c r="Z3363" t="s">
        <v>41</v>
      </c>
      <c r="AB3363" t="str">
        <f t="shared" si="156"/>
        <v>45707</v>
      </c>
    </row>
    <row r="3364" ht="14.25" spans="1:28">
      <c r="A3364" s="5" t="s">
        <v>28</v>
      </c>
      <c r="B3364" s="5" t="s">
        <v>697</v>
      </c>
      <c r="C3364" s="5">
        <v>2027</v>
      </c>
      <c r="D3364" s="5" t="s">
        <v>30</v>
      </c>
      <c r="E3364" t="s">
        <v>1955</v>
      </c>
      <c r="F3364" t="s">
        <v>1953</v>
      </c>
      <c r="G3364" t="s">
        <v>1890</v>
      </c>
      <c r="H3364" t="s">
        <v>1956</v>
      </c>
      <c r="I3364" t="s">
        <v>119</v>
      </c>
      <c r="J3364" t="s">
        <v>36</v>
      </c>
      <c r="K3364">
        <v>1390</v>
      </c>
      <c r="O3364" t="s">
        <v>176</v>
      </c>
      <c r="P3364" t="s">
        <v>45</v>
      </c>
      <c r="U3364" s="9" t="s">
        <v>148</v>
      </c>
      <c r="V3364" t="s">
        <v>184</v>
      </c>
      <c r="W3364" t="s">
        <v>178</v>
      </c>
      <c r="X3364" t="s">
        <v>94</v>
      </c>
      <c r="Y3364" t="s">
        <v>179</v>
      </c>
      <c r="Z3364" t="s">
        <v>41</v>
      </c>
      <c r="AB3364" t="str">
        <f t="shared" si="156"/>
        <v>45707</v>
      </c>
    </row>
    <row r="3365" ht="14.25" spans="1:28">
      <c r="A3365" s="5" t="s">
        <v>28</v>
      </c>
      <c r="B3365" s="5" t="s">
        <v>697</v>
      </c>
      <c r="C3365" s="5">
        <v>2027</v>
      </c>
      <c r="D3365" s="5" t="s">
        <v>30</v>
      </c>
      <c r="E3365" t="s">
        <v>1957</v>
      </c>
      <c r="F3365" t="s">
        <v>1953</v>
      </c>
      <c r="G3365" t="s">
        <v>254</v>
      </c>
      <c r="H3365" t="s">
        <v>1958</v>
      </c>
      <c r="I3365" t="s">
        <v>119</v>
      </c>
      <c r="J3365" t="s">
        <v>36</v>
      </c>
      <c r="K3365">
        <v>1390</v>
      </c>
      <c r="O3365" t="s">
        <v>176</v>
      </c>
      <c r="P3365" t="s">
        <v>177</v>
      </c>
      <c r="R3365">
        <f t="shared" si="157"/>
        <v>0</v>
      </c>
      <c r="S3365">
        <f>SUMIFS([1]Sheet1!$T:$T,[1]Sheet1!$I:$I,E3365,[1]Sheet1!$C:$C,A3365)</f>
        <v>150</v>
      </c>
      <c r="T3365">
        <f t="shared" si="158"/>
        <v>-150</v>
      </c>
      <c r="U3365" s="9" t="s">
        <v>148</v>
      </c>
      <c r="V3365" t="s">
        <v>184</v>
      </c>
      <c r="W3365" t="s">
        <v>178</v>
      </c>
      <c r="X3365" t="s">
        <v>86</v>
      </c>
      <c r="Y3365" t="s">
        <v>179</v>
      </c>
      <c r="Z3365" t="s">
        <v>41</v>
      </c>
      <c r="AB3365" t="str">
        <f t="shared" si="156"/>
        <v>45707</v>
      </c>
    </row>
    <row r="3366" ht="14.25" spans="1:28">
      <c r="A3366" s="5" t="s">
        <v>28</v>
      </c>
      <c r="B3366" s="5" t="s">
        <v>697</v>
      </c>
      <c r="C3366" s="5">
        <v>2027</v>
      </c>
      <c r="D3366" s="5" t="s">
        <v>30</v>
      </c>
      <c r="E3366" t="s">
        <v>1957</v>
      </c>
      <c r="F3366" t="s">
        <v>1953</v>
      </c>
      <c r="G3366" t="s">
        <v>254</v>
      </c>
      <c r="H3366" t="s">
        <v>1958</v>
      </c>
      <c r="I3366" t="s">
        <v>119</v>
      </c>
      <c r="J3366" t="s">
        <v>36</v>
      </c>
      <c r="K3366">
        <v>1390</v>
      </c>
      <c r="O3366" t="s">
        <v>176</v>
      </c>
      <c r="P3366" t="s">
        <v>38</v>
      </c>
      <c r="U3366" s="9" t="s">
        <v>148</v>
      </c>
      <c r="V3366" t="s">
        <v>184</v>
      </c>
      <c r="W3366" t="s">
        <v>178</v>
      </c>
      <c r="X3366" t="s">
        <v>86</v>
      </c>
      <c r="Y3366" t="s">
        <v>179</v>
      </c>
      <c r="Z3366" t="s">
        <v>41</v>
      </c>
      <c r="AB3366" t="str">
        <f t="shared" si="156"/>
        <v>45707</v>
      </c>
    </row>
    <row r="3367" ht="14.25" spans="1:28">
      <c r="A3367" s="5" t="s">
        <v>28</v>
      </c>
      <c r="B3367" s="5" t="s">
        <v>697</v>
      </c>
      <c r="C3367" s="5">
        <v>2027</v>
      </c>
      <c r="D3367" s="5" t="s">
        <v>30</v>
      </c>
      <c r="E3367" t="s">
        <v>1957</v>
      </c>
      <c r="F3367" t="s">
        <v>1953</v>
      </c>
      <c r="G3367" t="s">
        <v>254</v>
      </c>
      <c r="H3367" t="s">
        <v>1958</v>
      </c>
      <c r="I3367" t="s">
        <v>119</v>
      </c>
      <c r="J3367" t="s">
        <v>36</v>
      </c>
      <c r="K3367">
        <v>1390</v>
      </c>
      <c r="O3367" t="s">
        <v>176</v>
      </c>
      <c r="P3367" t="s">
        <v>42</v>
      </c>
      <c r="U3367" s="9" t="s">
        <v>148</v>
      </c>
      <c r="V3367" t="s">
        <v>184</v>
      </c>
      <c r="W3367" t="s">
        <v>178</v>
      </c>
      <c r="X3367" t="s">
        <v>86</v>
      </c>
      <c r="Y3367" t="s">
        <v>179</v>
      </c>
      <c r="Z3367" t="s">
        <v>41</v>
      </c>
      <c r="AB3367" t="str">
        <f t="shared" si="156"/>
        <v>45707</v>
      </c>
    </row>
    <row r="3368" ht="14.25" spans="1:28">
      <c r="A3368" s="5" t="s">
        <v>28</v>
      </c>
      <c r="B3368" s="5" t="s">
        <v>697</v>
      </c>
      <c r="C3368" s="5">
        <v>2027</v>
      </c>
      <c r="D3368" s="5" t="s">
        <v>30</v>
      </c>
      <c r="E3368" t="s">
        <v>1957</v>
      </c>
      <c r="F3368" t="s">
        <v>1953</v>
      </c>
      <c r="G3368" t="s">
        <v>254</v>
      </c>
      <c r="H3368" t="s">
        <v>1958</v>
      </c>
      <c r="I3368" t="s">
        <v>119</v>
      </c>
      <c r="J3368" t="s">
        <v>36</v>
      </c>
      <c r="K3368">
        <v>1390</v>
      </c>
      <c r="O3368" t="s">
        <v>176</v>
      </c>
      <c r="P3368" t="s">
        <v>43</v>
      </c>
      <c r="U3368" s="9" t="s">
        <v>148</v>
      </c>
      <c r="V3368" t="s">
        <v>184</v>
      </c>
      <c r="W3368" t="s">
        <v>178</v>
      </c>
      <c r="X3368" t="s">
        <v>86</v>
      </c>
      <c r="Y3368" t="s">
        <v>179</v>
      </c>
      <c r="Z3368" t="s">
        <v>41</v>
      </c>
      <c r="AB3368" t="str">
        <f t="shared" si="156"/>
        <v>45707</v>
      </c>
    </row>
    <row r="3369" ht="14.25" spans="1:28">
      <c r="A3369" s="5" t="s">
        <v>28</v>
      </c>
      <c r="B3369" s="5" t="s">
        <v>697</v>
      </c>
      <c r="C3369" s="5">
        <v>2027</v>
      </c>
      <c r="D3369" s="5" t="s">
        <v>30</v>
      </c>
      <c r="E3369" t="s">
        <v>1957</v>
      </c>
      <c r="F3369" t="s">
        <v>1953</v>
      </c>
      <c r="G3369" t="s">
        <v>254</v>
      </c>
      <c r="H3369" t="s">
        <v>1958</v>
      </c>
      <c r="I3369" t="s">
        <v>119</v>
      </c>
      <c r="J3369" t="s">
        <v>36</v>
      </c>
      <c r="K3369">
        <v>1390</v>
      </c>
      <c r="O3369" t="s">
        <v>176</v>
      </c>
      <c r="P3369" t="s">
        <v>44</v>
      </c>
      <c r="U3369" s="9" t="s">
        <v>148</v>
      </c>
      <c r="V3369" t="s">
        <v>184</v>
      </c>
      <c r="W3369" t="s">
        <v>178</v>
      </c>
      <c r="X3369" t="s">
        <v>86</v>
      </c>
      <c r="Y3369" t="s">
        <v>179</v>
      </c>
      <c r="Z3369" t="s">
        <v>41</v>
      </c>
      <c r="AB3369" t="str">
        <f t="shared" si="156"/>
        <v>45707</v>
      </c>
    </row>
    <row r="3370" ht="14.25" spans="1:28">
      <c r="A3370" s="5" t="s">
        <v>28</v>
      </c>
      <c r="B3370" s="5" t="s">
        <v>697</v>
      </c>
      <c r="C3370" s="5">
        <v>2027</v>
      </c>
      <c r="D3370" s="5" t="s">
        <v>30</v>
      </c>
      <c r="E3370" t="s">
        <v>1957</v>
      </c>
      <c r="F3370" t="s">
        <v>1953</v>
      </c>
      <c r="G3370" t="s">
        <v>254</v>
      </c>
      <c r="H3370" t="s">
        <v>1958</v>
      </c>
      <c r="I3370" t="s">
        <v>119</v>
      </c>
      <c r="J3370" t="s">
        <v>36</v>
      </c>
      <c r="K3370">
        <v>1390</v>
      </c>
      <c r="O3370" t="s">
        <v>176</v>
      </c>
      <c r="P3370" t="s">
        <v>45</v>
      </c>
      <c r="U3370" s="9" t="s">
        <v>148</v>
      </c>
      <c r="V3370" t="s">
        <v>184</v>
      </c>
      <c r="W3370" t="s">
        <v>178</v>
      </c>
      <c r="X3370" t="s">
        <v>86</v>
      </c>
      <c r="Y3370" t="s">
        <v>179</v>
      </c>
      <c r="Z3370" t="s">
        <v>41</v>
      </c>
      <c r="AB3370" t="str">
        <f t="shared" si="156"/>
        <v>45707</v>
      </c>
    </row>
    <row r="3371" ht="14.25" spans="1:28">
      <c r="A3371" s="5" t="s">
        <v>28</v>
      </c>
      <c r="B3371" s="5" t="s">
        <v>697</v>
      </c>
      <c r="C3371" s="5">
        <v>2027</v>
      </c>
      <c r="D3371" s="5" t="s">
        <v>30</v>
      </c>
      <c r="E3371" t="s">
        <v>1959</v>
      </c>
      <c r="F3371" t="s">
        <v>1960</v>
      </c>
      <c r="G3371" t="s">
        <v>182</v>
      </c>
      <c r="H3371" t="s">
        <v>1961</v>
      </c>
      <c r="I3371" t="s">
        <v>119</v>
      </c>
      <c r="J3371" t="s">
        <v>36</v>
      </c>
      <c r="K3371">
        <v>2190</v>
      </c>
      <c r="O3371" t="s">
        <v>176</v>
      </c>
      <c r="P3371" t="s">
        <v>177</v>
      </c>
      <c r="R3371">
        <f t="shared" si="157"/>
        <v>0</v>
      </c>
      <c r="S3371">
        <f>SUMIFS([1]Sheet1!$T:$T,[1]Sheet1!$I:$I,E3371,[1]Sheet1!$C:$C,A3371)</f>
        <v>80</v>
      </c>
      <c r="T3371">
        <f t="shared" si="158"/>
        <v>-80</v>
      </c>
      <c r="U3371" s="9" t="s">
        <v>242</v>
      </c>
      <c r="V3371" t="s">
        <v>242</v>
      </c>
      <c r="W3371" t="s">
        <v>178</v>
      </c>
      <c r="X3371" t="s">
        <v>102</v>
      </c>
      <c r="Y3371" t="s">
        <v>179</v>
      </c>
      <c r="Z3371" t="s">
        <v>41</v>
      </c>
      <c r="AB3371" t="str">
        <f t="shared" si="156"/>
        <v>45725</v>
      </c>
    </row>
    <row r="3372" ht="14.25" spans="1:28">
      <c r="A3372" s="5" t="s">
        <v>28</v>
      </c>
      <c r="B3372" s="5" t="s">
        <v>697</v>
      </c>
      <c r="C3372" s="5">
        <v>2027</v>
      </c>
      <c r="D3372" s="5" t="s">
        <v>30</v>
      </c>
      <c r="E3372" t="s">
        <v>1959</v>
      </c>
      <c r="F3372" t="s">
        <v>1960</v>
      </c>
      <c r="G3372" t="s">
        <v>182</v>
      </c>
      <c r="H3372" t="s">
        <v>1961</v>
      </c>
      <c r="I3372" t="s">
        <v>119</v>
      </c>
      <c r="J3372" t="s">
        <v>36</v>
      </c>
      <c r="K3372">
        <v>2190</v>
      </c>
      <c r="O3372" t="s">
        <v>176</v>
      </c>
      <c r="P3372" t="s">
        <v>38</v>
      </c>
      <c r="U3372" s="9" t="s">
        <v>242</v>
      </c>
      <c r="V3372" t="s">
        <v>242</v>
      </c>
      <c r="W3372" t="s">
        <v>178</v>
      </c>
      <c r="X3372" t="s">
        <v>102</v>
      </c>
      <c r="Y3372" t="s">
        <v>179</v>
      </c>
      <c r="Z3372" t="s">
        <v>41</v>
      </c>
      <c r="AB3372" t="str">
        <f t="shared" si="156"/>
        <v>45725</v>
      </c>
    </row>
    <row r="3373" ht="14.25" spans="1:28">
      <c r="A3373" s="5" t="s">
        <v>28</v>
      </c>
      <c r="B3373" s="5" t="s">
        <v>697</v>
      </c>
      <c r="C3373" s="5">
        <v>2027</v>
      </c>
      <c r="D3373" s="5" t="s">
        <v>30</v>
      </c>
      <c r="E3373" t="s">
        <v>1959</v>
      </c>
      <c r="F3373" t="s">
        <v>1960</v>
      </c>
      <c r="G3373" t="s">
        <v>182</v>
      </c>
      <c r="H3373" t="s">
        <v>1961</v>
      </c>
      <c r="I3373" t="s">
        <v>119</v>
      </c>
      <c r="J3373" t="s">
        <v>36</v>
      </c>
      <c r="K3373">
        <v>2190</v>
      </c>
      <c r="O3373" t="s">
        <v>176</v>
      </c>
      <c r="P3373" t="s">
        <v>42</v>
      </c>
      <c r="U3373" s="9" t="s">
        <v>242</v>
      </c>
      <c r="V3373" t="s">
        <v>242</v>
      </c>
      <c r="W3373" t="s">
        <v>178</v>
      </c>
      <c r="X3373" t="s">
        <v>102</v>
      </c>
      <c r="Y3373" t="s">
        <v>179</v>
      </c>
      <c r="Z3373" t="s">
        <v>41</v>
      </c>
      <c r="AB3373" t="str">
        <f t="shared" si="156"/>
        <v>45725</v>
      </c>
    </row>
    <row r="3374" ht="14.25" spans="1:28">
      <c r="A3374" s="5" t="s">
        <v>28</v>
      </c>
      <c r="B3374" s="5" t="s">
        <v>697</v>
      </c>
      <c r="C3374" s="5">
        <v>2027</v>
      </c>
      <c r="D3374" s="5" t="s">
        <v>30</v>
      </c>
      <c r="E3374" t="s">
        <v>1959</v>
      </c>
      <c r="F3374" t="s">
        <v>1960</v>
      </c>
      <c r="G3374" t="s">
        <v>182</v>
      </c>
      <c r="H3374" t="s">
        <v>1961</v>
      </c>
      <c r="I3374" t="s">
        <v>119</v>
      </c>
      <c r="J3374" t="s">
        <v>36</v>
      </c>
      <c r="K3374">
        <v>2190</v>
      </c>
      <c r="O3374" t="s">
        <v>176</v>
      </c>
      <c r="P3374" t="s">
        <v>43</v>
      </c>
      <c r="U3374" s="9" t="s">
        <v>242</v>
      </c>
      <c r="V3374" t="s">
        <v>242</v>
      </c>
      <c r="W3374" t="s">
        <v>178</v>
      </c>
      <c r="X3374" t="s">
        <v>102</v>
      </c>
      <c r="Y3374" t="s">
        <v>179</v>
      </c>
      <c r="Z3374" t="s">
        <v>41</v>
      </c>
      <c r="AB3374" t="str">
        <f t="shared" si="156"/>
        <v>45725</v>
      </c>
    </row>
    <row r="3375" ht="14.25" spans="1:28">
      <c r="A3375" s="5" t="s">
        <v>28</v>
      </c>
      <c r="B3375" s="5" t="s">
        <v>697</v>
      </c>
      <c r="C3375" s="5">
        <v>2027</v>
      </c>
      <c r="D3375" s="5" t="s">
        <v>30</v>
      </c>
      <c r="E3375" t="s">
        <v>1959</v>
      </c>
      <c r="F3375" t="s">
        <v>1960</v>
      </c>
      <c r="G3375" t="s">
        <v>182</v>
      </c>
      <c r="H3375" t="s">
        <v>1961</v>
      </c>
      <c r="I3375" t="s">
        <v>119</v>
      </c>
      <c r="J3375" t="s">
        <v>36</v>
      </c>
      <c r="K3375">
        <v>2190</v>
      </c>
      <c r="O3375" t="s">
        <v>176</v>
      </c>
      <c r="P3375" t="s">
        <v>44</v>
      </c>
      <c r="U3375" s="9" t="s">
        <v>242</v>
      </c>
      <c r="V3375" t="s">
        <v>242</v>
      </c>
      <c r="W3375" t="s">
        <v>178</v>
      </c>
      <c r="X3375" t="s">
        <v>102</v>
      </c>
      <c r="Y3375" t="s">
        <v>179</v>
      </c>
      <c r="Z3375" t="s">
        <v>41</v>
      </c>
      <c r="AB3375" t="str">
        <f t="shared" si="156"/>
        <v>45725</v>
      </c>
    </row>
    <row r="3376" ht="14.25" spans="1:28">
      <c r="A3376" s="5" t="s">
        <v>28</v>
      </c>
      <c r="B3376" s="5" t="s">
        <v>697</v>
      </c>
      <c r="C3376" s="5">
        <v>2027</v>
      </c>
      <c r="D3376" s="5" t="s">
        <v>30</v>
      </c>
      <c r="E3376" t="s">
        <v>1959</v>
      </c>
      <c r="F3376" t="s">
        <v>1960</v>
      </c>
      <c r="G3376" t="s">
        <v>182</v>
      </c>
      <c r="H3376" t="s">
        <v>1961</v>
      </c>
      <c r="I3376" t="s">
        <v>119</v>
      </c>
      <c r="J3376" t="s">
        <v>36</v>
      </c>
      <c r="K3376">
        <v>2190</v>
      </c>
      <c r="O3376" t="s">
        <v>176</v>
      </c>
      <c r="P3376" t="s">
        <v>45</v>
      </c>
      <c r="U3376" s="9" t="s">
        <v>242</v>
      </c>
      <c r="V3376" t="s">
        <v>242</v>
      </c>
      <c r="W3376" t="s">
        <v>178</v>
      </c>
      <c r="X3376" t="s">
        <v>102</v>
      </c>
      <c r="Y3376" t="s">
        <v>179</v>
      </c>
      <c r="Z3376" t="s">
        <v>41</v>
      </c>
      <c r="AB3376" t="str">
        <f t="shared" si="156"/>
        <v>45725</v>
      </c>
    </row>
    <row r="3377" ht="14.25" spans="1:28">
      <c r="A3377" s="5" t="s">
        <v>28</v>
      </c>
      <c r="B3377" s="5" t="s">
        <v>697</v>
      </c>
      <c r="C3377" s="5">
        <v>2027</v>
      </c>
      <c r="D3377" s="5" t="s">
        <v>30</v>
      </c>
      <c r="E3377" t="s">
        <v>1962</v>
      </c>
      <c r="F3377" t="s">
        <v>1960</v>
      </c>
      <c r="G3377" t="s">
        <v>1157</v>
      </c>
      <c r="H3377" t="s">
        <v>1963</v>
      </c>
      <c r="I3377" t="s">
        <v>119</v>
      </c>
      <c r="J3377" t="s">
        <v>36</v>
      </c>
      <c r="K3377">
        <v>2190</v>
      </c>
      <c r="O3377" t="s">
        <v>176</v>
      </c>
      <c r="P3377" t="s">
        <v>177</v>
      </c>
      <c r="R3377">
        <f t="shared" si="157"/>
        <v>0</v>
      </c>
      <c r="S3377">
        <f>SUMIFS([1]Sheet1!$T:$T,[1]Sheet1!$I:$I,E3377,[1]Sheet1!$C:$C,A3377)</f>
        <v>0</v>
      </c>
      <c r="T3377">
        <f t="shared" si="158"/>
        <v>0</v>
      </c>
      <c r="U3377" s="9" t="s">
        <v>242</v>
      </c>
      <c r="V3377" t="s">
        <v>242</v>
      </c>
      <c r="W3377" t="s">
        <v>178</v>
      </c>
      <c r="X3377" t="s">
        <v>70</v>
      </c>
      <c r="Y3377" t="s">
        <v>179</v>
      </c>
      <c r="Z3377" t="s">
        <v>41</v>
      </c>
      <c r="AB3377" t="str">
        <f t="shared" si="156"/>
        <v>45725</v>
      </c>
    </row>
    <row r="3378" ht="14.25" spans="1:28">
      <c r="A3378" s="5" t="s">
        <v>28</v>
      </c>
      <c r="B3378" s="5" t="s">
        <v>697</v>
      </c>
      <c r="C3378" s="5">
        <v>2027</v>
      </c>
      <c r="D3378" s="5" t="s">
        <v>30</v>
      </c>
      <c r="E3378" t="s">
        <v>1962</v>
      </c>
      <c r="F3378" t="s">
        <v>1960</v>
      </c>
      <c r="G3378" t="s">
        <v>1157</v>
      </c>
      <c r="H3378" t="s">
        <v>1963</v>
      </c>
      <c r="I3378" t="s">
        <v>119</v>
      </c>
      <c r="J3378" t="s">
        <v>36</v>
      </c>
      <c r="K3378">
        <v>2190</v>
      </c>
      <c r="O3378" t="s">
        <v>176</v>
      </c>
      <c r="P3378" t="s">
        <v>38</v>
      </c>
      <c r="U3378" s="9" t="s">
        <v>242</v>
      </c>
      <c r="V3378" t="s">
        <v>242</v>
      </c>
      <c r="W3378" t="s">
        <v>178</v>
      </c>
      <c r="X3378" t="s">
        <v>70</v>
      </c>
      <c r="Y3378" t="s">
        <v>179</v>
      </c>
      <c r="Z3378" t="s">
        <v>41</v>
      </c>
      <c r="AB3378" t="str">
        <f t="shared" si="156"/>
        <v>45725</v>
      </c>
    </row>
    <row r="3379" ht="14.25" spans="1:28">
      <c r="A3379" s="5" t="s">
        <v>28</v>
      </c>
      <c r="B3379" s="5" t="s">
        <v>697</v>
      </c>
      <c r="C3379" s="5">
        <v>2027</v>
      </c>
      <c r="D3379" s="5" t="s">
        <v>30</v>
      </c>
      <c r="E3379" t="s">
        <v>1962</v>
      </c>
      <c r="F3379" t="s">
        <v>1960</v>
      </c>
      <c r="G3379" t="s">
        <v>1157</v>
      </c>
      <c r="H3379" t="s">
        <v>1963</v>
      </c>
      <c r="I3379" t="s">
        <v>119</v>
      </c>
      <c r="J3379" t="s">
        <v>36</v>
      </c>
      <c r="K3379">
        <v>2190</v>
      </c>
      <c r="O3379" t="s">
        <v>176</v>
      </c>
      <c r="P3379" t="s">
        <v>42</v>
      </c>
      <c r="U3379" s="9" t="s">
        <v>242</v>
      </c>
      <c r="V3379" t="s">
        <v>242</v>
      </c>
      <c r="W3379" t="s">
        <v>178</v>
      </c>
      <c r="X3379" t="s">
        <v>70</v>
      </c>
      <c r="Y3379" t="s">
        <v>179</v>
      </c>
      <c r="Z3379" t="s">
        <v>41</v>
      </c>
      <c r="AB3379" t="str">
        <f t="shared" ref="AB3379:AB3442" si="159">MID(E3379,6,5)</f>
        <v>45725</v>
      </c>
    </row>
    <row r="3380" ht="14.25" spans="1:28">
      <c r="A3380" s="5" t="s">
        <v>28</v>
      </c>
      <c r="B3380" s="5" t="s">
        <v>697</v>
      </c>
      <c r="C3380" s="5">
        <v>2027</v>
      </c>
      <c r="D3380" s="5" t="s">
        <v>30</v>
      </c>
      <c r="E3380" t="s">
        <v>1962</v>
      </c>
      <c r="F3380" t="s">
        <v>1960</v>
      </c>
      <c r="G3380" t="s">
        <v>1157</v>
      </c>
      <c r="H3380" t="s">
        <v>1963</v>
      </c>
      <c r="I3380" t="s">
        <v>119</v>
      </c>
      <c r="J3380" t="s">
        <v>36</v>
      </c>
      <c r="K3380">
        <v>2190</v>
      </c>
      <c r="O3380" t="s">
        <v>176</v>
      </c>
      <c r="P3380" t="s">
        <v>43</v>
      </c>
      <c r="U3380" s="9" t="s">
        <v>242</v>
      </c>
      <c r="V3380" t="s">
        <v>242</v>
      </c>
      <c r="W3380" t="s">
        <v>178</v>
      </c>
      <c r="X3380" t="s">
        <v>70</v>
      </c>
      <c r="Y3380" t="s">
        <v>179</v>
      </c>
      <c r="Z3380" t="s">
        <v>41</v>
      </c>
      <c r="AB3380" t="str">
        <f t="shared" si="159"/>
        <v>45725</v>
      </c>
    </row>
    <row r="3381" ht="14.25" spans="1:28">
      <c r="A3381" s="5" t="s">
        <v>28</v>
      </c>
      <c r="B3381" s="5" t="s">
        <v>697</v>
      </c>
      <c r="C3381" s="5">
        <v>2027</v>
      </c>
      <c r="D3381" s="5" t="s">
        <v>30</v>
      </c>
      <c r="E3381" t="s">
        <v>1962</v>
      </c>
      <c r="F3381" t="s">
        <v>1960</v>
      </c>
      <c r="G3381" t="s">
        <v>1157</v>
      </c>
      <c r="H3381" t="s">
        <v>1963</v>
      </c>
      <c r="I3381" t="s">
        <v>119</v>
      </c>
      <c r="J3381" t="s">
        <v>36</v>
      </c>
      <c r="K3381">
        <v>2190</v>
      </c>
      <c r="O3381" t="s">
        <v>176</v>
      </c>
      <c r="P3381" t="s">
        <v>44</v>
      </c>
      <c r="U3381" s="9" t="s">
        <v>242</v>
      </c>
      <c r="V3381" t="s">
        <v>242</v>
      </c>
      <c r="W3381" t="s">
        <v>178</v>
      </c>
      <c r="X3381" t="s">
        <v>70</v>
      </c>
      <c r="Y3381" t="s">
        <v>179</v>
      </c>
      <c r="Z3381" t="s">
        <v>41</v>
      </c>
      <c r="AB3381" t="str">
        <f t="shared" si="159"/>
        <v>45725</v>
      </c>
    </row>
    <row r="3382" ht="14.25" spans="1:28">
      <c r="A3382" s="5" t="s">
        <v>28</v>
      </c>
      <c r="B3382" s="5" t="s">
        <v>697</v>
      </c>
      <c r="C3382" s="5">
        <v>2027</v>
      </c>
      <c r="D3382" s="5" t="s">
        <v>30</v>
      </c>
      <c r="E3382" t="s">
        <v>1962</v>
      </c>
      <c r="F3382" t="s">
        <v>1960</v>
      </c>
      <c r="G3382" t="s">
        <v>1157</v>
      </c>
      <c r="H3382" t="s">
        <v>1963</v>
      </c>
      <c r="I3382" t="s">
        <v>119</v>
      </c>
      <c r="J3382" t="s">
        <v>36</v>
      </c>
      <c r="K3382">
        <v>2190</v>
      </c>
      <c r="O3382" t="s">
        <v>176</v>
      </c>
      <c r="P3382" t="s">
        <v>45</v>
      </c>
      <c r="U3382" s="9" t="s">
        <v>242</v>
      </c>
      <c r="V3382" t="s">
        <v>242</v>
      </c>
      <c r="W3382" t="s">
        <v>178</v>
      </c>
      <c r="X3382" t="s">
        <v>70</v>
      </c>
      <c r="Y3382" t="s">
        <v>179</v>
      </c>
      <c r="Z3382" t="s">
        <v>41</v>
      </c>
      <c r="AB3382" t="str">
        <f t="shared" si="159"/>
        <v>45725</v>
      </c>
    </row>
    <row r="3383" ht="14.25" spans="1:28">
      <c r="A3383" s="5" t="s">
        <v>28</v>
      </c>
      <c r="B3383" s="5" t="s">
        <v>697</v>
      </c>
      <c r="C3383" s="5">
        <v>2027</v>
      </c>
      <c r="D3383" s="5" t="s">
        <v>30</v>
      </c>
      <c r="E3383" t="s">
        <v>1964</v>
      </c>
      <c r="F3383" t="s">
        <v>1965</v>
      </c>
      <c r="G3383" t="s">
        <v>1064</v>
      </c>
      <c r="H3383" t="s">
        <v>1966</v>
      </c>
      <c r="I3383" t="s">
        <v>119</v>
      </c>
      <c r="J3383" t="s">
        <v>36</v>
      </c>
      <c r="K3383">
        <v>990</v>
      </c>
      <c r="O3383" t="s">
        <v>195</v>
      </c>
      <c r="P3383" t="s">
        <v>74</v>
      </c>
      <c r="R3383">
        <f t="shared" si="157"/>
        <v>0</v>
      </c>
      <c r="S3383">
        <f>SUMIFS([1]Sheet1!$T:$T,[1]Sheet1!$I:$I,E3383,[1]Sheet1!$C:$C,A3383)</f>
        <v>0</v>
      </c>
      <c r="T3383">
        <f t="shared" si="158"/>
        <v>0</v>
      </c>
      <c r="U3383" s="9" t="s">
        <v>148</v>
      </c>
      <c r="V3383" t="s">
        <v>233</v>
      </c>
      <c r="W3383" t="s">
        <v>178</v>
      </c>
      <c r="X3383" t="s">
        <v>62</v>
      </c>
      <c r="Y3383" t="s">
        <v>179</v>
      </c>
      <c r="Z3383" t="s">
        <v>104</v>
      </c>
      <c r="AB3383" t="str">
        <f t="shared" si="159"/>
        <v>46111</v>
      </c>
    </row>
    <row r="3384" ht="14.25" spans="1:28">
      <c r="A3384" s="5" t="s">
        <v>28</v>
      </c>
      <c r="B3384" s="5" t="s">
        <v>697</v>
      </c>
      <c r="C3384" s="5">
        <v>2027</v>
      </c>
      <c r="D3384" s="5" t="s">
        <v>30</v>
      </c>
      <c r="E3384" t="s">
        <v>1964</v>
      </c>
      <c r="F3384" t="s">
        <v>1965</v>
      </c>
      <c r="G3384" t="s">
        <v>1064</v>
      </c>
      <c r="H3384" t="s">
        <v>1966</v>
      </c>
      <c r="I3384" t="s">
        <v>119</v>
      </c>
      <c r="J3384" t="s">
        <v>36</v>
      </c>
      <c r="K3384">
        <v>990</v>
      </c>
      <c r="O3384" t="s">
        <v>195</v>
      </c>
      <c r="P3384" t="s">
        <v>76</v>
      </c>
      <c r="U3384" s="9" t="s">
        <v>148</v>
      </c>
      <c r="V3384" t="s">
        <v>233</v>
      </c>
      <c r="W3384" t="s">
        <v>178</v>
      </c>
      <c r="X3384" t="s">
        <v>62</v>
      </c>
      <c r="Y3384" t="s">
        <v>179</v>
      </c>
      <c r="Z3384" t="s">
        <v>104</v>
      </c>
      <c r="AB3384" t="str">
        <f t="shared" si="159"/>
        <v>46111</v>
      </c>
    </row>
    <row r="3385" ht="14.25" spans="1:28">
      <c r="A3385" s="5" t="s">
        <v>28</v>
      </c>
      <c r="B3385" s="5" t="s">
        <v>697</v>
      </c>
      <c r="C3385" s="5">
        <v>2027</v>
      </c>
      <c r="D3385" s="5" t="s">
        <v>30</v>
      </c>
      <c r="E3385" t="s">
        <v>1964</v>
      </c>
      <c r="F3385" t="s">
        <v>1965</v>
      </c>
      <c r="G3385" t="s">
        <v>1064</v>
      </c>
      <c r="H3385" t="s">
        <v>1966</v>
      </c>
      <c r="I3385" t="s">
        <v>119</v>
      </c>
      <c r="J3385" t="s">
        <v>36</v>
      </c>
      <c r="K3385">
        <v>990</v>
      </c>
      <c r="O3385" t="s">
        <v>195</v>
      </c>
      <c r="P3385" t="s">
        <v>77</v>
      </c>
      <c r="U3385" s="9" t="s">
        <v>148</v>
      </c>
      <c r="V3385" t="s">
        <v>233</v>
      </c>
      <c r="W3385" t="s">
        <v>178</v>
      </c>
      <c r="X3385" t="s">
        <v>62</v>
      </c>
      <c r="Y3385" t="s">
        <v>179</v>
      </c>
      <c r="Z3385" t="s">
        <v>104</v>
      </c>
      <c r="AB3385" t="str">
        <f t="shared" si="159"/>
        <v>46111</v>
      </c>
    </row>
    <row r="3386" ht="14.25" spans="1:28">
      <c r="A3386" s="5" t="s">
        <v>28</v>
      </c>
      <c r="B3386" s="5" t="s">
        <v>697</v>
      </c>
      <c r="C3386" s="5">
        <v>2027</v>
      </c>
      <c r="D3386" s="5" t="s">
        <v>30</v>
      </c>
      <c r="E3386" t="s">
        <v>1964</v>
      </c>
      <c r="F3386" t="s">
        <v>1965</v>
      </c>
      <c r="G3386" t="s">
        <v>1064</v>
      </c>
      <c r="H3386" t="s">
        <v>1966</v>
      </c>
      <c r="I3386" t="s">
        <v>119</v>
      </c>
      <c r="J3386" t="s">
        <v>36</v>
      </c>
      <c r="K3386">
        <v>990</v>
      </c>
      <c r="O3386" t="s">
        <v>195</v>
      </c>
      <c r="P3386" t="s">
        <v>78</v>
      </c>
      <c r="U3386" s="9" t="s">
        <v>148</v>
      </c>
      <c r="V3386" t="s">
        <v>233</v>
      </c>
      <c r="W3386" t="s">
        <v>178</v>
      </c>
      <c r="X3386" t="s">
        <v>62</v>
      </c>
      <c r="Y3386" t="s">
        <v>179</v>
      </c>
      <c r="Z3386" t="s">
        <v>104</v>
      </c>
      <c r="AB3386" t="str">
        <f t="shared" si="159"/>
        <v>46111</v>
      </c>
    </row>
    <row r="3387" ht="14.25" spans="1:28">
      <c r="A3387" s="5" t="s">
        <v>28</v>
      </c>
      <c r="B3387" s="5" t="s">
        <v>697</v>
      </c>
      <c r="C3387" s="5">
        <v>2027</v>
      </c>
      <c r="D3387" s="5" t="s">
        <v>30</v>
      </c>
      <c r="E3387" t="s">
        <v>1964</v>
      </c>
      <c r="F3387" t="s">
        <v>1965</v>
      </c>
      <c r="G3387" t="s">
        <v>1064</v>
      </c>
      <c r="H3387" t="s">
        <v>1966</v>
      </c>
      <c r="I3387" t="s">
        <v>119</v>
      </c>
      <c r="J3387" t="s">
        <v>36</v>
      </c>
      <c r="K3387">
        <v>990</v>
      </c>
      <c r="O3387" t="s">
        <v>195</v>
      </c>
      <c r="P3387" t="s">
        <v>79</v>
      </c>
      <c r="U3387" s="9" t="s">
        <v>148</v>
      </c>
      <c r="V3387" t="s">
        <v>233</v>
      </c>
      <c r="W3387" t="s">
        <v>178</v>
      </c>
      <c r="X3387" t="s">
        <v>62</v>
      </c>
      <c r="Y3387" t="s">
        <v>179</v>
      </c>
      <c r="Z3387" t="s">
        <v>104</v>
      </c>
      <c r="AB3387" t="str">
        <f t="shared" si="159"/>
        <v>46111</v>
      </c>
    </row>
    <row r="3388" ht="14.25" spans="1:28">
      <c r="A3388" s="5" t="s">
        <v>28</v>
      </c>
      <c r="B3388" s="5" t="s">
        <v>697</v>
      </c>
      <c r="C3388" s="5">
        <v>2027</v>
      </c>
      <c r="D3388" s="5" t="s">
        <v>30</v>
      </c>
      <c r="E3388" t="s">
        <v>1967</v>
      </c>
      <c r="F3388" t="s">
        <v>1968</v>
      </c>
      <c r="G3388" t="s">
        <v>1969</v>
      </c>
      <c r="H3388" t="s">
        <v>1970</v>
      </c>
      <c r="I3388" t="s">
        <v>119</v>
      </c>
      <c r="J3388" t="s">
        <v>36</v>
      </c>
      <c r="K3388">
        <v>990</v>
      </c>
      <c r="O3388" t="s">
        <v>195</v>
      </c>
      <c r="P3388" t="s">
        <v>74</v>
      </c>
      <c r="R3388">
        <f t="shared" si="157"/>
        <v>0</v>
      </c>
      <c r="S3388">
        <f>SUMIFS([1]Sheet1!$T:$T,[1]Sheet1!$I:$I,E3388,[1]Sheet1!$C:$C,A3388)</f>
        <v>20</v>
      </c>
      <c r="T3388">
        <f t="shared" si="158"/>
        <v>-20</v>
      </c>
      <c r="U3388" s="9" t="s">
        <v>148</v>
      </c>
      <c r="V3388" t="s">
        <v>233</v>
      </c>
      <c r="W3388" t="s">
        <v>178</v>
      </c>
      <c r="X3388" t="s">
        <v>94</v>
      </c>
      <c r="Y3388" t="s">
        <v>179</v>
      </c>
      <c r="Z3388" t="s">
        <v>104</v>
      </c>
      <c r="AB3388" t="str">
        <f t="shared" si="159"/>
        <v>47263</v>
      </c>
    </row>
    <row r="3389" ht="14.25" spans="1:28">
      <c r="A3389" s="5" t="s">
        <v>28</v>
      </c>
      <c r="B3389" s="5" t="s">
        <v>697</v>
      </c>
      <c r="C3389" s="5">
        <v>2027</v>
      </c>
      <c r="D3389" s="5" t="s">
        <v>30</v>
      </c>
      <c r="E3389" t="s">
        <v>1967</v>
      </c>
      <c r="F3389" t="s">
        <v>1968</v>
      </c>
      <c r="G3389" t="s">
        <v>1969</v>
      </c>
      <c r="H3389" t="s">
        <v>1970</v>
      </c>
      <c r="I3389" t="s">
        <v>119</v>
      </c>
      <c r="J3389" t="s">
        <v>36</v>
      </c>
      <c r="K3389">
        <v>990</v>
      </c>
      <c r="O3389" t="s">
        <v>195</v>
      </c>
      <c r="P3389" t="s">
        <v>76</v>
      </c>
      <c r="U3389" s="9" t="s">
        <v>148</v>
      </c>
      <c r="V3389" t="s">
        <v>233</v>
      </c>
      <c r="W3389" t="s">
        <v>178</v>
      </c>
      <c r="X3389" t="s">
        <v>94</v>
      </c>
      <c r="Y3389" t="s">
        <v>179</v>
      </c>
      <c r="Z3389" t="s">
        <v>104</v>
      </c>
      <c r="AB3389" t="str">
        <f t="shared" si="159"/>
        <v>47263</v>
      </c>
    </row>
    <row r="3390" ht="14.25" spans="1:28">
      <c r="A3390" s="5" t="s">
        <v>28</v>
      </c>
      <c r="B3390" s="5" t="s">
        <v>697</v>
      </c>
      <c r="C3390" s="5">
        <v>2027</v>
      </c>
      <c r="D3390" s="5" t="s">
        <v>30</v>
      </c>
      <c r="E3390" t="s">
        <v>1967</v>
      </c>
      <c r="F3390" t="s">
        <v>1968</v>
      </c>
      <c r="G3390" t="s">
        <v>1969</v>
      </c>
      <c r="H3390" t="s">
        <v>1970</v>
      </c>
      <c r="I3390" t="s">
        <v>119</v>
      </c>
      <c r="J3390" t="s">
        <v>36</v>
      </c>
      <c r="K3390">
        <v>990</v>
      </c>
      <c r="O3390" t="s">
        <v>195</v>
      </c>
      <c r="P3390" t="s">
        <v>77</v>
      </c>
      <c r="U3390" s="9" t="s">
        <v>148</v>
      </c>
      <c r="V3390" t="s">
        <v>233</v>
      </c>
      <c r="W3390" t="s">
        <v>178</v>
      </c>
      <c r="X3390" t="s">
        <v>94</v>
      </c>
      <c r="Y3390" t="s">
        <v>179</v>
      </c>
      <c r="Z3390" t="s">
        <v>104</v>
      </c>
      <c r="AB3390" t="str">
        <f t="shared" si="159"/>
        <v>47263</v>
      </c>
    </row>
    <row r="3391" ht="14.25" spans="1:28">
      <c r="A3391" s="5" t="s">
        <v>28</v>
      </c>
      <c r="B3391" s="5" t="s">
        <v>697</v>
      </c>
      <c r="C3391" s="5">
        <v>2027</v>
      </c>
      <c r="D3391" s="5" t="s">
        <v>30</v>
      </c>
      <c r="E3391" t="s">
        <v>1967</v>
      </c>
      <c r="F3391" t="s">
        <v>1968</v>
      </c>
      <c r="G3391" t="s">
        <v>1969</v>
      </c>
      <c r="H3391" t="s">
        <v>1970</v>
      </c>
      <c r="I3391" t="s">
        <v>119</v>
      </c>
      <c r="J3391" t="s">
        <v>36</v>
      </c>
      <c r="K3391">
        <v>990</v>
      </c>
      <c r="O3391" t="s">
        <v>195</v>
      </c>
      <c r="P3391" t="s">
        <v>78</v>
      </c>
      <c r="U3391" s="9" t="s">
        <v>148</v>
      </c>
      <c r="V3391" t="s">
        <v>233</v>
      </c>
      <c r="W3391" t="s">
        <v>178</v>
      </c>
      <c r="X3391" t="s">
        <v>94</v>
      </c>
      <c r="Y3391" t="s">
        <v>179</v>
      </c>
      <c r="Z3391" t="s">
        <v>104</v>
      </c>
      <c r="AB3391" t="str">
        <f t="shared" si="159"/>
        <v>47263</v>
      </c>
    </row>
    <row r="3392" ht="14.25" spans="1:28">
      <c r="A3392" s="5" t="s">
        <v>28</v>
      </c>
      <c r="B3392" s="5" t="s">
        <v>697</v>
      </c>
      <c r="C3392" s="5">
        <v>2027</v>
      </c>
      <c r="D3392" s="5" t="s">
        <v>30</v>
      </c>
      <c r="E3392" t="s">
        <v>1967</v>
      </c>
      <c r="F3392" t="s">
        <v>1968</v>
      </c>
      <c r="G3392" t="s">
        <v>1969</v>
      </c>
      <c r="H3392" t="s">
        <v>1970</v>
      </c>
      <c r="I3392" t="s">
        <v>119</v>
      </c>
      <c r="J3392" t="s">
        <v>36</v>
      </c>
      <c r="K3392">
        <v>990</v>
      </c>
      <c r="O3392" t="s">
        <v>195</v>
      </c>
      <c r="P3392" t="s">
        <v>79</v>
      </c>
      <c r="U3392" s="9" t="s">
        <v>148</v>
      </c>
      <c r="V3392" t="s">
        <v>233</v>
      </c>
      <c r="W3392" t="s">
        <v>178</v>
      </c>
      <c r="X3392" t="s">
        <v>94</v>
      </c>
      <c r="Y3392" t="s">
        <v>179</v>
      </c>
      <c r="Z3392" t="s">
        <v>104</v>
      </c>
      <c r="AB3392" t="str">
        <f t="shared" si="159"/>
        <v>47263</v>
      </c>
    </row>
    <row r="3393" ht="14.25" spans="1:28">
      <c r="A3393" s="5" t="s">
        <v>28</v>
      </c>
      <c r="B3393" s="5" t="s">
        <v>697</v>
      </c>
      <c r="C3393" s="5">
        <v>2027</v>
      </c>
      <c r="D3393" s="5" t="s">
        <v>30</v>
      </c>
      <c r="E3393" t="s">
        <v>1971</v>
      </c>
      <c r="F3393" t="s">
        <v>1968</v>
      </c>
      <c r="G3393" t="s">
        <v>1972</v>
      </c>
      <c r="H3393" t="s">
        <v>1973</v>
      </c>
      <c r="I3393" t="s">
        <v>119</v>
      </c>
      <c r="J3393" t="s">
        <v>36</v>
      </c>
      <c r="K3393">
        <v>990</v>
      </c>
      <c r="O3393" t="s">
        <v>195</v>
      </c>
      <c r="P3393" t="s">
        <v>74</v>
      </c>
      <c r="R3393">
        <f t="shared" si="157"/>
        <v>0</v>
      </c>
      <c r="S3393">
        <f>SUMIFS([1]Sheet1!$T:$T,[1]Sheet1!$I:$I,E3393,[1]Sheet1!$C:$C,A3393)</f>
        <v>40</v>
      </c>
      <c r="T3393">
        <f t="shared" si="158"/>
        <v>-40</v>
      </c>
      <c r="U3393" s="9" t="s">
        <v>148</v>
      </c>
      <c r="V3393" t="s">
        <v>233</v>
      </c>
      <c r="W3393" t="s">
        <v>178</v>
      </c>
      <c r="X3393" t="s">
        <v>1131</v>
      </c>
      <c r="Y3393" t="s">
        <v>179</v>
      </c>
      <c r="Z3393" t="s">
        <v>104</v>
      </c>
      <c r="AB3393" t="str">
        <f t="shared" si="159"/>
        <v>47263</v>
      </c>
    </row>
    <row r="3394" ht="14.25" spans="1:28">
      <c r="A3394" s="5" t="s">
        <v>28</v>
      </c>
      <c r="B3394" s="5" t="s">
        <v>697</v>
      </c>
      <c r="C3394" s="5">
        <v>2027</v>
      </c>
      <c r="D3394" s="5" t="s">
        <v>30</v>
      </c>
      <c r="E3394" t="s">
        <v>1971</v>
      </c>
      <c r="F3394" t="s">
        <v>1968</v>
      </c>
      <c r="G3394" t="s">
        <v>1972</v>
      </c>
      <c r="H3394" t="s">
        <v>1973</v>
      </c>
      <c r="I3394" t="s">
        <v>119</v>
      </c>
      <c r="J3394" t="s">
        <v>36</v>
      </c>
      <c r="K3394">
        <v>990</v>
      </c>
      <c r="O3394" t="s">
        <v>195</v>
      </c>
      <c r="P3394" t="s">
        <v>76</v>
      </c>
      <c r="U3394" s="9" t="s">
        <v>148</v>
      </c>
      <c r="V3394" t="s">
        <v>233</v>
      </c>
      <c r="W3394" t="s">
        <v>178</v>
      </c>
      <c r="X3394" t="s">
        <v>1131</v>
      </c>
      <c r="Y3394" t="s">
        <v>179</v>
      </c>
      <c r="Z3394" t="s">
        <v>104</v>
      </c>
      <c r="AB3394" t="str">
        <f t="shared" si="159"/>
        <v>47263</v>
      </c>
    </row>
    <row r="3395" ht="14.25" spans="1:28">
      <c r="A3395" s="5" t="s">
        <v>28</v>
      </c>
      <c r="B3395" s="5" t="s">
        <v>697</v>
      </c>
      <c r="C3395" s="5">
        <v>2027</v>
      </c>
      <c r="D3395" s="5" t="s">
        <v>30</v>
      </c>
      <c r="E3395" t="s">
        <v>1971</v>
      </c>
      <c r="F3395" t="s">
        <v>1968</v>
      </c>
      <c r="G3395" t="s">
        <v>1972</v>
      </c>
      <c r="H3395" t="s">
        <v>1973</v>
      </c>
      <c r="I3395" t="s">
        <v>119</v>
      </c>
      <c r="J3395" t="s">
        <v>36</v>
      </c>
      <c r="K3395">
        <v>990</v>
      </c>
      <c r="O3395" t="s">
        <v>195</v>
      </c>
      <c r="P3395" t="s">
        <v>77</v>
      </c>
      <c r="U3395" s="9" t="s">
        <v>148</v>
      </c>
      <c r="V3395" t="s">
        <v>233</v>
      </c>
      <c r="W3395" t="s">
        <v>178</v>
      </c>
      <c r="X3395" t="s">
        <v>1131</v>
      </c>
      <c r="Y3395" t="s">
        <v>179</v>
      </c>
      <c r="Z3395" t="s">
        <v>104</v>
      </c>
      <c r="AB3395" t="str">
        <f t="shared" si="159"/>
        <v>47263</v>
      </c>
    </row>
    <row r="3396" ht="14.25" spans="1:28">
      <c r="A3396" s="5" t="s">
        <v>28</v>
      </c>
      <c r="B3396" s="5" t="s">
        <v>697</v>
      </c>
      <c r="C3396" s="5">
        <v>2027</v>
      </c>
      <c r="D3396" s="5" t="s">
        <v>30</v>
      </c>
      <c r="E3396" t="s">
        <v>1971</v>
      </c>
      <c r="F3396" t="s">
        <v>1968</v>
      </c>
      <c r="G3396" t="s">
        <v>1972</v>
      </c>
      <c r="H3396" t="s">
        <v>1973</v>
      </c>
      <c r="I3396" t="s">
        <v>119</v>
      </c>
      <c r="J3396" t="s">
        <v>36</v>
      </c>
      <c r="K3396">
        <v>990</v>
      </c>
      <c r="O3396" t="s">
        <v>195</v>
      </c>
      <c r="P3396" t="s">
        <v>78</v>
      </c>
      <c r="U3396" s="9" t="s">
        <v>148</v>
      </c>
      <c r="V3396" t="s">
        <v>233</v>
      </c>
      <c r="W3396" t="s">
        <v>178</v>
      </c>
      <c r="X3396" t="s">
        <v>1131</v>
      </c>
      <c r="Y3396" t="s">
        <v>179</v>
      </c>
      <c r="Z3396" t="s">
        <v>104</v>
      </c>
      <c r="AB3396" t="str">
        <f t="shared" si="159"/>
        <v>47263</v>
      </c>
    </row>
    <row r="3397" ht="14.25" spans="1:28">
      <c r="A3397" s="5" t="s">
        <v>28</v>
      </c>
      <c r="B3397" s="5" t="s">
        <v>697</v>
      </c>
      <c r="C3397" s="5">
        <v>2027</v>
      </c>
      <c r="D3397" s="5" t="s">
        <v>30</v>
      </c>
      <c r="E3397" t="s">
        <v>1971</v>
      </c>
      <c r="F3397" t="s">
        <v>1968</v>
      </c>
      <c r="G3397" t="s">
        <v>1972</v>
      </c>
      <c r="H3397" t="s">
        <v>1973</v>
      </c>
      <c r="I3397" t="s">
        <v>119</v>
      </c>
      <c r="J3397" t="s">
        <v>36</v>
      </c>
      <c r="K3397">
        <v>990</v>
      </c>
      <c r="O3397" t="s">
        <v>195</v>
      </c>
      <c r="P3397" t="s">
        <v>79</v>
      </c>
      <c r="U3397" s="9" t="s">
        <v>148</v>
      </c>
      <c r="V3397" t="s">
        <v>233</v>
      </c>
      <c r="W3397" t="s">
        <v>178</v>
      </c>
      <c r="X3397" t="s">
        <v>1131</v>
      </c>
      <c r="Y3397" t="s">
        <v>179</v>
      </c>
      <c r="Z3397" t="s">
        <v>104</v>
      </c>
      <c r="AB3397" t="str">
        <f t="shared" si="159"/>
        <v>47263</v>
      </c>
    </row>
    <row r="3398" ht="14.25" spans="1:28">
      <c r="A3398" s="5" t="s">
        <v>28</v>
      </c>
      <c r="B3398" s="5" t="s">
        <v>697</v>
      </c>
      <c r="C3398" s="5">
        <v>2027</v>
      </c>
      <c r="D3398" s="5" t="s">
        <v>30</v>
      </c>
      <c r="E3398" t="s">
        <v>1974</v>
      </c>
      <c r="F3398" t="s">
        <v>1975</v>
      </c>
      <c r="G3398" t="s">
        <v>1976</v>
      </c>
      <c r="H3398" t="s">
        <v>1977</v>
      </c>
      <c r="I3398" t="s">
        <v>147</v>
      </c>
      <c r="J3398" t="s">
        <v>36</v>
      </c>
      <c r="K3398">
        <v>1390</v>
      </c>
      <c r="O3398" t="s">
        <v>176</v>
      </c>
      <c r="P3398" t="s">
        <v>177</v>
      </c>
      <c r="R3398">
        <f t="shared" ref="R3394:R3457" si="160">SUMIFS(Q:Q,E:E,E3398)</f>
        <v>0</v>
      </c>
      <c r="S3398">
        <f>SUMIFS([1]Sheet1!$T:$T,[1]Sheet1!$I:$I,E3398,[1]Sheet1!$C:$C,A3398)</f>
        <v>40</v>
      </c>
      <c r="T3398">
        <f t="shared" ref="T3394:T3457" si="161">R3398-S3398</f>
        <v>-40</v>
      </c>
      <c r="U3398" s="9" t="s">
        <v>136</v>
      </c>
      <c r="V3398" t="s">
        <v>656</v>
      </c>
      <c r="W3398" t="s">
        <v>178</v>
      </c>
      <c r="X3398" t="s">
        <v>94</v>
      </c>
      <c r="Y3398" t="s">
        <v>179</v>
      </c>
      <c r="Z3398" t="s">
        <v>1978</v>
      </c>
      <c r="AB3398" t="str">
        <f t="shared" si="159"/>
        <v>48936</v>
      </c>
    </row>
    <row r="3399" ht="14.25" spans="1:28">
      <c r="A3399" s="5" t="s">
        <v>28</v>
      </c>
      <c r="B3399" s="5" t="s">
        <v>697</v>
      </c>
      <c r="C3399" s="5">
        <v>2027</v>
      </c>
      <c r="D3399" s="5" t="s">
        <v>30</v>
      </c>
      <c r="E3399" t="s">
        <v>1974</v>
      </c>
      <c r="F3399" t="s">
        <v>1975</v>
      </c>
      <c r="G3399" t="s">
        <v>1976</v>
      </c>
      <c r="H3399" t="s">
        <v>1977</v>
      </c>
      <c r="I3399" t="s">
        <v>147</v>
      </c>
      <c r="J3399" t="s">
        <v>36</v>
      </c>
      <c r="K3399">
        <v>1390</v>
      </c>
      <c r="O3399" t="s">
        <v>176</v>
      </c>
      <c r="P3399" t="s">
        <v>38</v>
      </c>
      <c r="U3399" s="9" t="s">
        <v>136</v>
      </c>
      <c r="V3399" t="s">
        <v>656</v>
      </c>
      <c r="W3399" t="s">
        <v>178</v>
      </c>
      <c r="X3399" t="s">
        <v>94</v>
      </c>
      <c r="Y3399" t="s">
        <v>179</v>
      </c>
      <c r="Z3399" t="s">
        <v>1978</v>
      </c>
      <c r="AB3399" t="str">
        <f t="shared" si="159"/>
        <v>48936</v>
      </c>
    </row>
    <row r="3400" ht="14.25" spans="1:28">
      <c r="A3400" s="5" t="s">
        <v>28</v>
      </c>
      <c r="B3400" s="5" t="s">
        <v>697</v>
      </c>
      <c r="C3400" s="5">
        <v>2027</v>
      </c>
      <c r="D3400" s="5" t="s">
        <v>30</v>
      </c>
      <c r="E3400" t="s">
        <v>1974</v>
      </c>
      <c r="F3400" t="s">
        <v>1975</v>
      </c>
      <c r="G3400" t="s">
        <v>1976</v>
      </c>
      <c r="H3400" t="s">
        <v>1977</v>
      </c>
      <c r="I3400" t="s">
        <v>147</v>
      </c>
      <c r="J3400" t="s">
        <v>36</v>
      </c>
      <c r="K3400">
        <v>1390</v>
      </c>
      <c r="O3400" t="s">
        <v>176</v>
      </c>
      <c r="P3400" t="s">
        <v>42</v>
      </c>
      <c r="U3400" s="9" t="s">
        <v>136</v>
      </c>
      <c r="V3400" t="s">
        <v>656</v>
      </c>
      <c r="W3400" t="s">
        <v>178</v>
      </c>
      <c r="X3400" t="s">
        <v>94</v>
      </c>
      <c r="Y3400" t="s">
        <v>179</v>
      </c>
      <c r="Z3400" t="s">
        <v>1978</v>
      </c>
      <c r="AB3400" t="str">
        <f t="shared" si="159"/>
        <v>48936</v>
      </c>
    </row>
    <row r="3401" ht="14.25" spans="1:28">
      <c r="A3401" s="5" t="s">
        <v>28</v>
      </c>
      <c r="B3401" s="5" t="s">
        <v>697</v>
      </c>
      <c r="C3401" s="5">
        <v>2027</v>
      </c>
      <c r="D3401" s="5" t="s">
        <v>30</v>
      </c>
      <c r="E3401" t="s">
        <v>1974</v>
      </c>
      <c r="F3401" t="s">
        <v>1975</v>
      </c>
      <c r="G3401" t="s">
        <v>1976</v>
      </c>
      <c r="H3401" t="s">
        <v>1977</v>
      </c>
      <c r="I3401" t="s">
        <v>147</v>
      </c>
      <c r="J3401" t="s">
        <v>36</v>
      </c>
      <c r="K3401">
        <v>1390</v>
      </c>
      <c r="O3401" t="s">
        <v>176</v>
      </c>
      <c r="P3401" t="s">
        <v>43</v>
      </c>
      <c r="U3401" s="9" t="s">
        <v>136</v>
      </c>
      <c r="V3401" t="s">
        <v>656</v>
      </c>
      <c r="W3401" t="s">
        <v>178</v>
      </c>
      <c r="X3401" t="s">
        <v>94</v>
      </c>
      <c r="Y3401" t="s">
        <v>179</v>
      </c>
      <c r="Z3401" t="s">
        <v>1978</v>
      </c>
      <c r="AB3401" t="str">
        <f t="shared" si="159"/>
        <v>48936</v>
      </c>
    </row>
    <row r="3402" ht="14.25" spans="1:28">
      <c r="A3402" s="5" t="s">
        <v>28</v>
      </c>
      <c r="B3402" s="5" t="s">
        <v>697</v>
      </c>
      <c r="C3402" s="5">
        <v>2027</v>
      </c>
      <c r="D3402" s="5" t="s">
        <v>30</v>
      </c>
      <c r="E3402" t="s">
        <v>1974</v>
      </c>
      <c r="F3402" t="s">
        <v>1975</v>
      </c>
      <c r="G3402" t="s">
        <v>1976</v>
      </c>
      <c r="H3402" t="s">
        <v>1977</v>
      </c>
      <c r="I3402" t="s">
        <v>147</v>
      </c>
      <c r="J3402" t="s">
        <v>36</v>
      </c>
      <c r="K3402">
        <v>1390</v>
      </c>
      <c r="O3402" t="s">
        <v>176</v>
      </c>
      <c r="P3402" t="s">
        <v>44</v>
      </c>
      <c r="U3402" s="9" t="s">
        <v>136</v>
      </c>
      <c r="V3402" t="s">
        <v>656</v>
      </c>
      <c r="W3402" t="s">
        <v>178</v>
      </c>
      <c r="X3402" t="s">
        <v>94</v>
      </c>
      <c r="Y3402" t="s">
        <v>179</v>
      </c>
      <c r="Z3402" t="s">
        <v>1978</v>
      </c>
      <c r="AB3402" t="str">
        <f t="shared" si="159"/>
        <v>48936</v>
      </c>
    </row>
    <row r="3403" ht="14.25" spans="1:28">
      <c r="A3403" s="5" t="s">
        <v>28</v>
      </c>
      <c r="B3403" s="5" t="s">
        <v>697</v>
      </c>
      <c r="C3403" s="5">
        <v>2027</v>
      </c>
      <c r="D3403" s="5" t="s">
        <v>30</v>
      </c>
      <c r="E3403" t="s">
        <v>1974</v>
      </c>
      <c r="F3403" t="s">
        <v>1975</v>
      </c>
      <c r="G3403" t="s">
        <v>1976</v>
      </c>
      <c r="H3403" t="s">
        <v>1977</v>
      </c>
      <c r="I3403" t="s">
        <v>147</v>
      </c>
      <c r="J3403" t="s">
        <v>36</v>
      </c>
      <c r="K3403">
        <v>1390</v>
      </c>
      <c r="O3403" t="s">
        <v>176</v>
      </c>
      <c r="P3403" t="s">
        <v>45</v>
      </c>
      <c r="U3403" s="9" t="s">
        <v>136</v>
      </c>
      <c r="V3403" t="s">
        <v>656</v>
      </c>
      <c r="W3403" t="s">
        <v>178</v>
      </c>
      <c r="X3403" t="s">
        <v>94</v>
      </c>
      <c r="Y3403" t="s">
        <v>179</v>
      </c>
      <c r="Z3403" t="s">
        <v>1978</v>
      </c>
      <c r="AB3403" t="str">
        <f t="shared" si="159"/>
        <v>48936</v>
      </c>
    </row>
    <row r="3404" ht="14.25" spans="1:28">
      <c r="A3404" s="5" t="s">
        <v>28</v>
      </c>
      <c r="B3404" s="5" t="s">
        <v>697</v>
      </c>
      <c r="C3404" s="5">
        <v>2027</v>
      </c>
      <c r="D3404" s="5" t="s">
        <v>30</v>
      </c>
      <c r="E3404" t="s">
        <v>1979</v>
      </c>
      <c r="F3404" t="s">
        <v>1980</v>
      </c>
      <c r="G3404" t="s">
        <v>65</v>
      </c>
      <c r="H3404" t="s">
        <v>1981</v>
      </c>
      <c r="I3404" t="s">
        <v>119</v>
      </c>
      <c r="J3404" t="s">
        <v>36</v>
      </c>
      <c r="K3404">
        <v>1390</v>
      </c>
      <c r="O3404" t="s">
        <v>195</v>
      </c>
      <c r="P3404" t="s">
        <v>74</v>
      </c>
      <c r="R3404">
        <f t="shared" si="160"/>
        <v>0</v>
      </c>
      <c r="S3404">
        <f>SUMIFS([1]Sheet1!$T:$T,[1]Sheet1!$I:$I,E3404,[1]Sheet1!$C:$C,A3404)</f>
        <v>0</v>
      </c>
      <c r="T3404">
        <f t="shared" si="161"/>
        <v>0</v>
      </c>
      <c r="U3404" s="9" t="s">
        <v>136</v>
      </c>
      <c r="V3404" t="s">
        <v>137</v>
      </c>
      <c r="W3404" t="s">
        <v>178</v>
      </c>
      <c r="X3404" t="s">
        <v>70</v>
      </c>
      <c r="Y3404" t="s">
        <v>179</v>
      </c>
      <c r="Z3404" t="s">
        <v>247</v>
      </c>
      <c r="AB3404" t="str">
        <f t="shared" si="159"/>
        <v>49783</v>
      </c>
    </row>
    <row r="3405" ht="14.25" spans="1:28">
      <c r="A3405" s="5" t="s">
        <v>28</v>
      </c>
      <c r="B3405" s="5" t="s">
        <v>697</v>
      </c>
      <c r="C3405" s="5">
        <v>2027</v>
      </c>
      <c r="D3405" s="5" t="s">
        <v>30</v>
      </c>
      <c r="E3405" t="s">
        <v>1979</v>
      </c>
      <c r="F3405" t="s">
        <v>1980</v>
      </c>
      <c r="G3405" t="s">
        <v>65</v>
      </c>
      <c r="H3405" t="s">
        <v>1981</v>
      </c>
      <c r="I3405" t="s">
        <v>119</v>
      </c>
      <c r="J3405" t="s">
        <v>36</v>
      </c>
      <c r="K3405">
        <v>1390</v>
      </c>
      <c r="O3405" t="s">
        <v>195</v>
      </c>
      <c r="P3405" t="s">
        <v>76</v>
      </c>
      <c r="U3405" s="9" t="s">
        <v>136</v>
      </c>
      <c r="V3405" t="s">
        <v>137</v>
      </c>
      <c r="W3405" t="s">
        <v>178</v>
      </c>
      <c r="X3405" t="s">
        <v>70</v>
      </c>
      <c r="Y3405" t="s">
        <v>179</v>
      </c>
      <c r="Z3405" t="s">
        <v>247</v>
      </c>
      <c r="AB3405" t="str">
        <f t="shared" si="159"/>
        <v>49783</v>
      </c>
    </row>
    <row r="3406" ht="14.25" spans="1:28">
      <c r="A3406" s="5" t="s">
        <v>28</v>
      </c>
      <c r="B3406" s="5" t="s">
        <v>697</v>
      </c>
      <c r="C3406" s="5">
        <v>2027</v>
      </c>
      <c r="D3406" s="5" t="s">
        <v>30</v>
      </c>
      <c r="E3406" t="s">
        <v>1979</v>
      </c>
      <c r="F3406" t="s">
        <v>1980</v>
      </c>
      <c r="G3406" t="s">
        <v>65</v>
      </c>
      <c r="H3406" t="s">
        <v>1981</v>
      </c>
      <c r="I3406" t="s">
        <v>119</v>
      </c>
      <c r="J3406" t="s">
        <v>36</v>
      </c>
      <c r="K3406">
        <v>1390</v>
      </c>
      <c r="O3406" t="s">
        <v>195</v>
      </c>
      <c r="P3406" t="s">
        <v>77</v>
      </c>
      <c r="U3406" s="9" t="s">
        <v>136</v>
      </c>
      <c r="V3406" t="s">
        <v>137</v>
      </c>
      <c r="W3406" t="s">
        <v>178</v>
      </c>
      <c r="X3406" t="s">
        <v>70</v>
      </c>
      <c r="Y3406" t="s">
        <v>179</v>
      </c>
      <c r="Z3406" t="s">
        <v>247</v>
      </c>
      <c r="AB3406" t="str">
        <f t="shared" si="159"/>
        <v>49783</v>
      </c>
    </row>
    <row r="3407" ht="14.25" spans="1:28">
      <c r="A3407" s="5" t="s">
        <v>28</v>
      </c>
      <c r="B3407" s="5" t="s">
        <v>697</v>
      </c>
      <c r="C3407" s="5">
        <v>2027</v>
      </c>
      <c r="D3407" s="5" t="s">
        <v>30</v>
      </c>
      <c r="E3407" t="s">
        <v>1979</v>
      </c>
      <c r="F3407" t="s">
        <v>1980</v>
      </c>
      <c r="G3407" t="s">
        <v>65</v>
      </c>
      <c r="H3407" t="s">
        <v>1981</v>
      </c>
      <c r="I3407" t="s">
        <v>119</v>
      </c>
      <c r="J3407" t="s">
        <v>36</v>
      </c>
      <c r="K3407">
        <v>1390</v>
      </c>
      <c r="O3407" t="s">
        <v>195</v>
      </c>
      <c r="P3407" t="s">
        <v>78</v>
      </c>
      <c r="U3407" s="9" t="s">
        <v>136</v>
      </c>
      <c r="V3407" t="s">
        <v>137</v>
      </c>
      <c r="W3407" t="s">
        <v>178</v>
      </c>
      <c r="X3407" t="s">
        <v>70</v>
      </c>
      <c r="Y3407" t="s">
        <v>179</v>
      </c>
      <c r="Z3407" t="s">
        <v>247</v>
      </c>
      <c r="AB3407" t="str">
        <f t="shared" si="159"/>
        <v>49783</v>
      </c>
    </row>
    <row r="3408" ht="14.25" spans="1:28">
      <c r="A3408" s="5" t="s">
        <v>28</v>
      </c>
      <c r="B3408" s="5" t="s">
        <v>697</v>
      </c>
      <c r="C3408" s="5">
        <v>2027</v>
      </c>
      <c r="D3408" s="5" t="s">
        <v>30</v>
      </c>
      <c r="E3408" t="s">
        <v>1979</v>
      </c>
      <c r="F3408" t="s">
        <v>1980</v>
      </c>
      <c r="G3408" t="s">
        <v>65</v>
      </c>
      <c r="H3408" t="s">
        <v>1981</v>
      </c>
      <c r="I3408" t="s">
        <v>119</v>
      </c>
      <c r="J3408" t="s">
        <v>36</v>
      </c>
      <c r="K3408">
        <v>1390</v>
      </c>
      <c r="O3408" t="s">
        <v>195</v>
      </c>
      <c r="P3408" t="s">
        <v>79</v>
      </c>
      <c r="U3408" s="9" t="s">
        <v>136</v>
      </c>
      <c r="V3408" t="s">
        <v>137</v>
      </c>
      <c r="W3408" t="s">
        <v>178</v>
      </c>
      <c r="X3408" t="s">
        <v>70</v>
      </c>
      <c r="Y3408" t="s">
        <v>179</v>
      </c>
      <c r="Z3408" t="s">
        <v>247</v>
      </c>
      <c r="AB3408" t="str">
        <f t="shared" si="159"/>
        <v>49783</v>
      </c>
    </row>
    <row r="3409" ht="14.25" spans="1:28">
      <c r="A3409" s="5" t="s">
        <v>28</v>
      </c>
      <c r="B3409" s="5" t="s">
        <v>697</v>
      </c>
      <c r="C3409" s="5">
        <v>2027</v>
      </c>
      <c r="D3409" s="5" t="s">
        <v>30</v>
      </c>
      <c r="E3409" t="s">
        <v>1982</v>
      </c>
      <c r="F3409" t="s">
        <v>1980</v>
      </c>
      <c r="G3409" t="s">
        <v>182</v>
      </c>
      <c r="H3409" t="s">
        <v>1983</v>
      </c>
      <c r="I3409" t="s">
        <v>119</v>
      </c>
      <c r="J3409" t="s">
        <v>36</v>
      </c>
      <c r="K3409">
        <v>1390</v>
      </c>
      <c r="O3409" t="s">
        <v>195</v>
      </c>
      <c r="P3409" t="s">
        <v>74</v>
      </c>
      <c r="R3409">
        <f t="shared" si="160"/>
        <v>0</v>
      </c>
      <c r="S3409">
        <f>SUMIFS([1]Sheet1!$T:$T,[1]Sheet1!$I:$I,E3409,[1]Sheet1!$C:$C,A3409)</f>
        <v>0</v>
      </c>
      <c r="T3409">
        <f t="shared" si="161"/>
        <v>0</v>
      </c>
      <c r="U3409" s="9" t="s">
        <v>136</v>
      </c>
      <c r="V3409" t="s">
        <v>137</v>
      </c>
      <c r="W3409" t="s">
        <v>178</v>
      </c>
      <c r="X3409" t="s">
        <v>102</v>
      </c>
      <c r="Y3409" t="s">
        <v>179</v>
      </c>
      <c r="Z3409" t="s">
        <v>247</v>
      </c>
      <c r="AB3409" t="str">
        <f t="shared" si="159"/>
        <v>49783</v>
      </c>
    </row>
    <row r="3410" ht="14.25" spans="1:28">
      <c r="A3410" s="5" t="s">
        <v>28</v>
      </c>
      <c r="B3410" s="5" t="s">
        <v>697</v>
      </c>
      <c r="C3410" s="5">
        <v>2027</v>
      </c>
      <c r="D3410" s="5" t="s">
        <v>30</v>
      </c>
      <c r="E3410" t="s">
        <v>1982</v>
      </c>
      <c r="F3410" t="s">
        <v>1980</v>
      </c>
      <c r="G3410" t="s">
        <v>182</v>
      </c>
      <c r="H3410" t="s">
        <v>1983</v>
      </c>
      <c r="I3410" t="s">
        <v>119</v>
      </c>
      <c r="J3410" t="s">
        <v>36</v>
      </c>
      <c r="K3410">
        <v>1390</v>
      </c>
      <c r="O3410" t="s">
        <v>195</v>
      </c>
      <c r="P3410" t="s">
        <v>76</v>
      </c>
      <c r="U3410" s="9" t="s">
        <v>136</v>
      </c>
      <c r="V3410" t="s">
        <v>137</v>
      </c>
      <c r="W3410" t="s">
        <v>178</v>
      </c>
      <c r="X3410" t="s">
        <v>102</v>
      </c>
      <c r="Y3410" t="s">
        <v>179</v>
      </c>
      <c r="Z3410" t="s">
        <v>247</v>
      </c>
      <c r="AB3410" t="str">
        <f t="shared" si="159"/>
        <v>49783</v>
      </c>
    </row>
    <row r="3411" ht="14.25" spans="1:28">
      <c r="A3411" s="5" t="s">
        <v>28</v>
      </c>
      <c r="B3411" s="5" t="s">
        <v>697</v>
      </c>
      <c r="C3411" s="5">
        <v>2027</v>
      </c>
      <c r="D3411" s="5" t="s">
        <v>30</v>
      </c>
      <c r="E3411" t="s">
        <v>1982</v>
      </c>
      <c r="F3411" t="s">
        <v>1980</v>
      </c>
      <c r="G3411" t="s">
        <v>182</v>
      </c>
      <c r="H3411" t="s">
        <v>1983</v>
      </c>
      <c r="I3411" t="s">
        <v>119</v>
      </c>
      <c r="J3411" t="s">
        <v>36</v>
      </c>
      <c r="K3411">
        <v>1390</v>
      </c>
      <c r="O3411" t="s">
        <v>195</v>
      </c>
      <c r="P3411" t="s">
        <v>77</v>
      </c>
      <c r="U3411" s="9" t="s">
        <v>136</v>
      </c>
      <c r="V3411" t="s">
        <v>137</v>
      </c>
      <c r="W3411" t="s">
        <v>178</v>
      </c>
      <c r="X3411" t="s">
        <v>102</v>
      </c>
      <c r="Y3411" t="s">
        <v>179</v>
      </c>
      <c r="Z3411" t="s">
        <v>247</v>
      </c>
      <c r="AB3411" t="str">
        <f t="shared" si="159"/>
        <v>49783</v>
      </c>
    </row>
    <row r="3412" ht="14.25" spans="1:28">
      <c r="A3412" s="5" t="s">
        <v>28</v>
      </c>
      <c r="B3412" s="5" t="s">
        <v>697</v>
      </c>
      <c r="C3412" s="5">
        <v>2027</v>
      </c>
      <c r="D3412" s="5" t="s">
        <v>30</v>
      </c>
      <c r="E3412" t="s">
        <v>1982</v>
      </c>
      <c r="F3412" t="s">
        <v>1980</v>
      </c>
      <c r="G3412" t="s">
        <v>182</v>
      </c>
      <c r="H3412" t="s">
        <v>1983</v>
      </c>
      <c r="I3412" t="s">
        <v>119</v>
      </c>
      <c r="J3412" t="s">
        <v>36</v>
      </c>
      <c r="K3412">
        <v>1390</v>
      </c>
      <c r="O3412" t="s">
        <v>195</v>
      </c>
      <c r="P3412" t="s">
        <v>78</v>
      </c>
      <c r="U3412" s="9" t="s">
        <v>136</v>
      </c>
      <c r="V3412" t="s">
        <v>137</v>
      </c>
      <c r="W3412" t="s">
        <v>178</v>
      </c>
      <c r="X3412" t="s">
        <v>102</v>
      </c>
      <c r="Y3412" t="s">
        <v>179</v>
      </c>
      <c r="Z3412" t="s">
        <v>247</v>
      </c>
      <c r="AB3412" t="str">
        <f t="shared" si="159"/>
        <v>49783</v>
      </c>
    </row>
    <row r="3413" ht="14.25" spans="1:28">
      <c r="A3413" s="5" t="s">
        <v>28</v>
      </c>
      <c r="B3413" s="5" t="s">
        <v>697</v>
      </c>
      <c r="C3413" s="5">
        <v>2027</v>
      </c>
      <c r="D3413" s="5" t="s">
        <v>30</v>
      </c>
      <c r="E3413" t="s">
        <v>1982</v>
      </c>
      <c r="F3413" t="s">
        <v>1980</v>
      </c>
      <c r="G3413" t="s">
        <v>182</v>
      </c>
      <c r="H3413" t="s">
        <v>1983</v>
      </c>
      <c r="I3413" t="s">
        <v>119</v>
      </c>
      <c r="J3413" t="s">
        <v>36</v>
      </c>
      <c r="K3413">
        <v>1390</v>
      </c>
      <c r="O3413" t="s">
        <v>195</v>
      </c>
      <c r="P3413" t="s">
        <v>79</v>
      </c>
      <c r="U3413" s="9" t="s">
        <v>136</v>
      </c>
      <c r="V3413" t="s">
        <v>137</v>
      </c>
      <c r="W3413" t="s">
        <v>178</v>
      </c>
      <c r="X3413" t="s">
        <v>102</v>
      </c>
      <c r="Y3413" t="s">
        <v>179</v>
      </c>
      <c r="Z3413" t="s">
        <v>247</v>
      </c>
      <c r="AB3413" t="str">
        <f t="shared" si="159"/>
        <v>49783</v>
      </c>
    </row>
    <row r="3414" ht="14.25" spans="1:28">
      <c r="A3414" s="5" t="s">
        <v>28</v>
      </c>
      <c r="B3414" s="5" t="s">
        <v>697</v>
      </c>
      <c r="C3414" s="5">
        <v>2027</v>
      </c>
      <c r="D3414" s="5" t="s">
        <v>30</v>
      </c>
      <c r="E3414" t="s">
        <v>1984</v>
      </c>
      <c r="F3414" t="s">
        <v>1980</v>
      </c>
      <c r="G3414" t="s">
        <v>254</v>
      </c>
      <c r="H3414" t="s">
        <v>1985</v>
      </c>
      <c r="I3414" t="s">
        <v>119</v>
      </c>
      <c r="J3414" t="s">
        <v>36</v>
      </c>
      <c r="K3414">
        <v>1390</v>
      </c>
      <c r="O3414" t="s">
        <v>195</v>
      </c>
      <c r="P3414" t="s">
        <v>74</v>
      </c>
      <c r="R3414">
        <f t="shared" si="160"/>
        <v>0</v>
      </c>
      <c r="S3414">
        <f>SUMIFS([1]Sheet1!$T:$T,[1]Sheet1!$I:$I,E3414,[1]Sheet1!$C:$C,A3414)</f>
        <v>0</v>
      </c>
      <c r="T3414">
        <f t="shared" si="161"/>
        <v>0</v>
      </c>
      <c r="U3414" s="9" t="s">
        <v>136</v>
      </c>
      <c r="V3414" t="s">
        <v>137</v>
      </c>
      <c r="W3414" t="s">
        <v>178</v>
      </c>
      <c r="X3414" t="s">
        <v>86</v>
      </c>
      <c r="Y3414" t="s">
        <v>179</v>
      </c>
      <c r="Z3414" t="s">
        <v>247</v>
      </c>
      <c r="AB3414" t="str">
        <f t="shared" si="159"/>
        <v>49783</v>
      </c>
    </row>
    <row r="3415" ht="14.25" spans="1:28">
      <c r="A3415" s="5" t="s">
        <v>28</v>
      </c>
      <c r="B3415" s="5" t="s">
        <v>697</v>
      </c>
      <c r="C3415" s="5">
        <v>2027</v>
      </c>
      <c r="D3415" s="5" t="s">
        <v>30</v>
      </c>
      <c r="E3415" t="s">
        <v>1984</v>
      </c>
      <c r="F3415" t="s">
        <v>1980</v>
      </c>
      <c r="G3415" t="s">
        <v>254</v>
      </c>
      <c r="H3415" t="s">
        <v>1985</v>
      </c>
      <c r="I3415" t="s">
        <v>119</v>
      </c>
      <c r="J3415" t="s">
        <v>36</v>
      </c>
      <c r="K3415">
        <v>1390</v>
      </c>
      <c r="O3415" t="s">
        <v>195</v>
      </c>
      <c r="P3415" t="s">
        <v>76</v>
      </c>
      <c r="U3415" s="9" t="s">
        <v>136</v>
      </c>
      <c r="V3415" t="s">
        <v>137</v>
      </c>
      <c r="W3415" t="s">
        <v>178</v>
      </c>
      <c r="X3415" t="s">
        <v>86</v>
      </c>
      <c r="Y3415" t="s">
        <v>179</v>
      </c>
      <c r="Z3415" t="s">
        <v>247</v>
      </c>
      <c r="AB3415" t="str">
        <f t="shared" si="159"/>
        <v>49783</v>
      </c>
    </row>
    <row r="3416" ht="14.25" spans="1:28">
      <c r="A3416" s="5" t="s">
        <v>28</v>
      </c>
      <c r="B3416" s="5" t="s">
        <v>697</v>
      </c>
      <c r="C3416" s="5">
        <v>2027</v>
      </c>
      <c r="D3416" s="5" t="s">
        <v>30</v>
      </c>
      <c r="E3416" t="s">
        <v>1984</v>
      </c>
      <c r="F3416" t="s">
        <v>1980</v>
      </c>
      <c r="G3416" t="s">
        <v>254</v>
      </c>
      <c r="H3416" t="s">
        <v>1985</v>
      </c>
      <c r="I3416" t="s">
        <v>119</v>
      </c>
      <c r="J3416" t="s">
        <v>36</v>
      </c>
      <c r="K3416">
        <v>1390</v>
      </c>
      <c r="O3416" t="s">
        <v>195</v>
      </c>
      <c r="P3416" t="s">
        <v>77</v>
      </c>
      <c r="U3416" s="9" t="s">
        <v>136</v>
      </c>
      <c r="V3416" t="s">
        <v>137</v>
      </c>
      <c r="W3416" t="s">
        <v>178</v>
      </c>
      <c r="X3416" t="s">
        <v>86</v>
      </c>
      <c r="Y3416" t="s">
        <v>179</v>
      </c>
      <c r="Z3416" t="s">
        <v>247</v>
      </c>
      <c r="AB3416" t="str">
        <f t="shared" si="159"/>
        <v>49783</v>
      </c>
    </row>
    <row r="3417" ht="14.25" spans="1:28">
      <c r="A3417" s="5" t="s">
        <v>28</v>
      </c>
      <c r="B3417" s="5" t="s">
        <v>697</v>
      </c>
      <c r="C3417" s="5">
        <v>2027</v>
      </c>
      <c r="D3417" s="5" t="s">
        <v>30</v>
      </c>
      <c r="E3417" t="s">
        <v>1984</v>
      </c>
      <c r="F3417" t="s">
        <v>1980</v>
      </c>
      <c r="G3417" t="s">
        <v>254</v>
      </c>
      <c r="H3417" t="s">
        <v>1985</v>
      </c>
      <c r="I3417" t="s">
        <v>119</v>
      </c>
      <c r="J3417" t="s">
        <v>36</v>
      </c>
      <c r="K3417">
        <v>1390</v>
      </c>
      <c r="O3417" t="s">
        <v>195</v>
      </c>
      <c r="P3417" t="s">
        <v>78</v>
      </c>
      <c r="U3417" s="9" t="s">
        <v>136</v>
      </c>
      <c r="V3417" t="s">
        <v>137</v>
      </c>
      <c r="W3417" t="s">
        <v>178</v>
      </c>
      <c r="X3417" t="s">
        <v>86</v>
      </c>
      <c r="Y3417" t="s">
        <v>179</v>
      </c>
      <c r="Z3417" t="s">
        <v>247</v>
      </c>
      <c r="AB3417" t="str">
        <f t="shared" si="159"/>
        <v>49783</v>
      </c>
    </row>
    <row r="3418" ht="14.25" spans="1:28">
      <c r="A3418" s="5" t="s">
        <v>28</v>
      </c>
      <c r="B3418" s="5" t="s">
        <v>697</v>
      </c>
      <c r="C3418" s="5">
        <v>2027</v>
      </c>
      <c r="D3418" s="5" t="s">
        <v>30</v>
      </c>
      <c r="E3418" t="s">
        <v>1984</v>
      </c>
      <c r="F3418" t="s">
        <v>1980</v>
      </c>
      <c r="G3418" t="s">
        <v>254</v>
      </c>
      <c r="H3418" t="s">
        <v>1985</v>
      </c>
      <c r="I3418" t="s">
        <v>119</v>
      </c>
      <c r="J3418" t="s">
        <v>36</v>
      </c>
      <c r="K3418">
        <v>1390</v>
      </c>
      <c r="O3418" t="s">
        <v>195</v>
      </c>
      <c r="P3418" t="s">
        <v>79</v>
      </c>
      <c r="U3418" s="9" t="s">
        <v>136</v>
      </c>
      <c r="V3418" t="s">
        <v>137</v>
      </c>
      <c r="W3418" t="s">
        <v>178</v>
      </c>
      <c r="X3418" t="s">
        <v>86</v>
      </c>
      <c r="Y3418" t="s">
        <v>179</v>
      </c>
      <c r="Z3418" t="s">
        <v>247</v>
      </c>
      <c r="AB3418" t="str">
        <f t="shared" si="159"/>
        <v>49783</v>
      </c>
    </row>
    <row r="3419" ht="14.25" spans="1:28">
      <c r="A3419" s="5" t="s">
        <v>28</v>
      </c>
      <c r="B3419" s="5" t="s">
        <v>697</v>
      </c>
      <c r="C3419" s="5">
        <v>2027</v>
      </c>
      <c r="D3419" s="5" t="s">
        <v>30</v>
      </c>
      <c r="E3419" t="s">
        <v>1986</v>
      </c>
      <c r="F3419" t="s">
        <v>1987</v>
      </c>
      <c r="G3419" t="s">
        <v>1988</v>
      </c>
      <c r="H3419" t="s">
        <v>1989</v>
      </c>
      <c r="I3419" t="s">
        <v>119</v>
      </c>
      <c r="J3419" t="s">
        <v>36</v>
      </c>
      <c r="K3419">
        <v>1190</v>
      </c>
      <c r="O3419" t="s">
        <v>195</v>
      </c>
      <c r="P3419" t="s">
        <v>74</v>
      </c>
      <c r="R3419">
        <f t="shared" si="160"/>
        <v>0</v>
      </c>
      <c r="S3419">
        <f>SUMIFS([1]Sheet1!$T:$T,[1]Sheet1!$I:$I,E3419,[1]Sheet1!$C:$C,A3419)</f>
        <v>0</v>
      </c>
      <c r="T3419">
        <f t="shared" si="161"/>
        <v>0</v>
      </c>
      <c r="U3419" s="9" t="s">
        <v>148</v>
      </c>
      <c r="V3419" t="s">
        <v>233</v>
      </c>
      <c r="W3419" t="s">
        <v>178</v>
      </c>
      <c r="X3419" t="s">
        <v>1455</v>
      </c>
      <c r="Y3419" t="s">
        <v>179</v>
      </c>
      <c r="Z3419" t="s">
        <v>538</v>
      </c>
      <c r="AB3419" t="str">
        <f t="shared" si="159"/>
        <v>49940</v>
      </c>
    </row>
    <row r="3420" ht="14.25" spans="1:28">
      <c r="A3420" s="5" t="s">
        <v>28</v>
      </c>
      <c r="B3420" s="5" t="s">
        <v>697</v>
      </c>
      <c r="C3420" s="5">
        <v>2027</v>
      </c>
      <c r="D3420" s="5" t="s">
        <v>30</v>
      </c>
      <c r="E3420" t="s">
        <v>1986</v>
      </c>
      <c r="F3420" t="s">
        <v>1987</v>
      </c>
      <c r="G3420" t="s">
        <v>1988</v>
      </c>
      <c r="H3420" t="s">
        <v>1989</v>
      </c>
      <c r="I3420" t="s">
        <v>119</v>
      </c>
      <c r="J3420" t="s">
        <v>36</v>
      </c>
      <c r="K3420">
        <v>1190</v>
      </c>
      <c r="O3420" t="s">
        <v>195</v>
      </c>
      <c r="P3420" t="s">
        <v>76</v>
      </c>
      <c r="U3420" s="9" t="s">
        <v>148</v>
      </c>
      <c r="V3420" t="s">
        <v>233</v>
      </c>
      <c r="W3420" t="s">
        <v>178</v>
      </c>
      <c r="X3420" t="s">
        <v>1455</v>
      </c>
      <c r="Y3420" t="s">
        <v>179</v>
      </c>
      <c r="Z3420" t="s">
        <v>538</v>
      </c>
      <c r="AB3420" t="str">
        <f t="shared" si="159"/>
        <v>49940</v>
      </c>
    </row>
    <row r="3421" ht="14.25" spans="1:28">
      <c r="A3421" s="5" t="s">
        <v>28</v>
      </c>
      <c r="B3421" s="5" t="s">
        <v>697</v>
      </c>
      <c r="C3421" s="5">
        <v>2027</v>
      </c>
      <c r="D3421" s="5" t="s">
        <v>30</v>
      </c>
      <c r="E3421" t="s">
        <v>1986</v>
      </c>
      <c r="F3421" t="s">
        <v>1987</v>
      </c>
      <c r="G3421" t="s">
        <v>1988</v>
      </c>
      <c r="H3421" t="s">
        <v>1989</v>
      </c>
      <c r="I3421" t="s">
        <v>119</v>
      </c>
      <c r="J3421" t="s">
        <v>36</v>
      </c>
      <c r="K3421">
        <v>1190</v>
      </c>
      <c r="O3421" t="s">
        <v>195</v>
      </c>
      <c r="P3421" t="s">
        <v>77</v>
      </c>
      <c r="U3421" s="9" t="s">
        <v>148</v>
      </c>
      <c r="V3421" t="s">
        <v>233</v>
      </c>
      <c r="W3421" t="s">
        <v>178</v>
      </c>
      <c r="X3421" t="s">
        <v>1455</v>
      </c>
      <c r="Y3421" t="s">
        <v>179</v>
      </c>
      <c r="Z3421" t="s">
        <v>538</v>
      </c>
      <c r="AB3421" t="str">
        <f t="shared" si="159"/>
        <v>49940</v>
      </c>
    </row>
    <row r="3422" ht="14.25" spans="1:28">
      <c r="A3422" s="5" t="s">
        <v>28</v>
      </c>
      <c r="B3422" s="5" t="s">
        <v>697</v>
      </c>
      <c r="C3422" s="5">
        <v>2027</v>
      </c>
      <c r="D3422" s="5" t="s">
        <v>30</v>
      </c>
      <c r="E3422" t="s">
        <v>1986</v>
      </c>
      <c r="F3422" t="s">
        <v>1987</v>
      </c>
      <c r="G3422" t="s">
        <v>1988</v>
      </c>
      <c r="H3422" t="s">
        <v>1989</v>
      </c>
      <c r="I3422" t="s">
        <v>119</v>
      </c>
      <c r="J3422" t="s">
        <v>36</v>
      </c>
      <c r="K3422">
        <v>1190</v>
      </c>
      <c r="O3422" t="s">
        <v>195</v>
      </c>
      <c r="P3422" t="s">
        <v>78</v>
      </c>
      <c r="U3422" s="9" t="s">
        <v>148</v>
      </c>
      <c r="V3422" t="s">
        <v>233</v>
      </c>
      <c r="W3422" t="s">
        <v>178</v>
      </c>
      <c r="X3422" t="s">
        <v>1455</v>
      </c>
      <c r="Y3422" t="s">
        <v>179</v>
      </c>
      <c r="Z3422" t="s">
        <v>538</v>
      </c>
      <c r="AB3422" t="str">
        <f t="shared" si="159"/>
        <v>49940</v>
      </c>
    </row>
    <row r="3423" ht="14.25" spans="1:28">
      <c r="A3423" s="5" t="s">
        <v>28</v>
      </c>
      <c r="B3423" s="5" t="s">
        <v>697</v>
      </c>
      <c r="C3423" s="5">
        <v>2027</v>
      </c>
      <c r="D3423" s="5" t="s">
        <v>30</v>
      </c>
      <c r="E3423" t="s">
        <v>1986</v>
      </c>
      <c r="F3423" t="s">
        <v>1987</v>
      </c>
      <c r="G3423" t="s">
        <v>1988</v>
      </c>
      <c r="H3423" t="s">
        <v>1989</v>
      </c>
      <c r="I3423" t="s">
        <v>119</v>
      </c>
      <c r="J3423" t="s">
        <v>36</v>
      </c>
      <c r="K3423">
        <v>1190</v>
      </c>
      <c r="O3423" t="s">
        <v>195</v>
      </c>
      <c r="P3423" t="s">
        <v>79</v>
      </c>
      <c r="U3423" s="9" t="s">
        <v>148</v>
      </c>
      <c r="V3423" t="s">
        <v>233</v>
      </c>
      <c r="W3423" t="s">
        <v>178</v>
      </c>
      <c r="X3423" t="s">
        <v>1455</v>
      </c>
      <c r="Y3423" t="s">
        <v>179</v>
      </c>
      <c r="Z3423" t="s">
        <v>538</v>
      </c>
      <c r="AB3423" t="str">
        <f t="shared" si="159"/>
        <v>49940</v>
      </c>
    </row>
    <row r="3424" ht="14.25" spans="1:28">
      <c r="A3424" s="5" t="s">
        <v>28</v>
      </c>
      <c r="B3424" s="5" t="s">
        <v>697</v>
      </c>
      <c r="C3424" s="5">
        <v>2027</v>
      </c>
      <c r="D3424" s="5" t="s">
        <v>30</v>
      </c>
      <c r="E3424" t="s">
        <v>1990</v>
      </c>
      <c r="F3424" t="s">
        <v>1991</v>
      </c>
      <c r="G3424" t="s">
        <v>1901</v>
      </c>
      <c r="H3424" t="s">
        <v>1992</v>
      </c>
      <c r="I3424" t="s">
        <v>119</v>
      </c>
      <c r="J3424" t="s">
        <v>36</v>
      </c>
      <c r="K3424">
        <v>1190</v>
      </c>
      <c r="O3424" t="s">
        <v>195</v>
      </c>
      <c r="P3424" t="s">
        <v>74</v>
      </c>
      <c r="R3424">
        <f t="shared" si="160"/>
        <v>0</v>
      </c>
      <c r="S3424">
        <f>SUMIFS([1]Sheet1!$T:$T,[1]Sheet1!$I:$I,E3424,[1]Sheet1!$C:$C,A3424)</f>
        <v>0</v>
      </c>
      <c r="T3424">
        <f t="shared" si="161"/>
        <v>0</v>
      </c>
      <c r="U3424" s="9" t="s">
        <v>148</v>
      </c>
      <c r="V3424" t="s">
        <v>233</v>
      </c>
      <c r="W3424" t="s">
        <v>178</v>
      </c>
      <c r="X3424" t="s">
        <v>1131</v>
      </c>
      <c r="Y3424" t="s">
        <v>179</v>
      </c>
      <c r="Z3424" t="s">
        <v>104</v>
      </c>
      <c r="AB3424" t="str">
        <f t="shared" si="159"/>
        <v>50855</v>
      </c>
    </row>
    <row r="3425" ht="14.25" spans="1:28">
      <c r="A3425" s="5" t="s">
        <v>28</v>
      </c>
      <c r="B3425" s="5" t="s">
        <v>697</v>
      </c>
      <c r="C3425" s="5">
        <v>2027</v>
      </c>
      <c r="D3425" s="5" t="s">
        <v>30</v>
      </c>
      <c r="E3425" t="s">
        <v>1990</v>
      </c>
      <c r="F3425" t="s">
        <v>1991</v>
      </c>
      <c r="G3425" t="s">
        <v>1901</v>
      </c>
      <c r="H3425" t="s">
        <v>1992</v>
      </c>
      <c r="I3425" t="s">
        <v>119</v>
      </c>
      <c r="J3425" t="s">
        <v>36</v>
      </c>
      <c r="K3425">
        <v>1190</v>
      </c>
      <c r="O3425" t="s">
        <v>195</v>
      </c>
      <c r="P3425" t="s">
        <v>76</v>
      </c>
      <c r="U3425" s="9" t="s">
        <v>148</v>
      </c>
      <c r="V3425" t="s">
        <v>233</v>
      </c>
      <c r="W3425" t="s">
        <v>178</v>
      </c>
      <c r="X3425" t="s">
        <v>1131</v>
      </c>
      <c r="Y3425" t="s">
        <v>179</v>
      </c>
      <c r="Z3425" t="s">
        <v>104</v>
      </c>
      <c r="AB3425" t="str">
        <f t="shared" si="159"/>
        <v>50855</v>
      </c>
    </row>
    <row r="3426" ht="14.25" spans="1:28">
      <c r="A3426" s="5" t="s">
        <v>28</v>
      </c>
      <c r="B3426" s="5" t="s">
        <v>697</v>
      </c>
      <c r="C3426" s="5">
        <v>2027</v>
      </c>
      <c r="D3426" s="5" t="s">
        <v>30</v>
      </c>
      <c r="E3426" t="s">
        <v>1990</v>
      </c>
      <c r="F3426" t="s">
        <v>1991</v>
      </c>
      <c r="G3426" t="s">
        <v>1901</v>
      </c>
      <c r="H3426" t="s">
        <v>1992</v>
      </c>
      <c r="I3426" t="s">
        <v>119</v>
      </c>
      <c r="J3426" t="s">
        <v>36</v>
      </c>
      <c r="K3426">
        <v>1190</v>
      </c>
      <c r="O3426" t="s">
        <v>195</v>
      </c>
      <c r="P3426" t="s">
        <v>77</v>
      </c>
      <c r="U3426" s="9" t="s">
        <v>148</v>
      </c>
      <c r="V3426" t="s">
        <v>233</v>
      </c>
      <c r="W3426" t="s">
        <v>178</v>
      </c>
      <c r="X3426" t="s">
        <v>1131</v>
      </c>
      <c r="Y3426" t="s">
        <v>179</v>
      </c>
      <c r="Z3426" t="s">
        <v>104</v>
      </c>
      <c r="AB3426" t="str">
        <f t="shared" si="159"/>
        <v>50855</v>
      </c>
    </row>
    <row r="3427" ht="14.25" spans="1:28">
      <c r="A3427" s="5" t="s">
        <v>28</v>
      </c>
      <c r="B3427" s="5" t="s">
        <v>697</v>
      </c>
      <c r="C3427" s="5">
        <v>2027</v>
      </c>
      <c r="D3427" s="5" t="s">
        <v>30</v>
      </c>
      <c r="E3427" t="s">
        <v>1990</v>
      </c>
      <c r="F3427" t="s">
        <v>1991</v>
      </c>
      <c r="G3427" t="s">
        <v>1901</v>
      </c>
      <c r="H3427" t="s">
        <v>1992</v>
      </c>
      <c r="I3427" t="s">
        <v>119</v>
      </c>
      <c r="J3427" t="s">
        <v>36</v>
      </c>
      <c r="K3427">
        <v>1190</v>
      </c>
      <c r="O3427" t="s">
        <v>195</v>
      </c>
      <c r="P3427" t="s">
        <v>78</v>
      </c>
      <c r="U3427" s="9" t="s">
        <v>148</v>
      </c>
      <c r="V3427" t="s">
        <v>233</v>
      </c>
      <c r="W3427" t="s">
        <v>178</v>
      </c>
      <c r="X3427" t="s">
        <v>1131</v>
      </c>
      <c r="Y3427" t="s">
        <v>179</v>
      </c>
      <c r="Z3427" t="s">
        <v>104</v>
      </c>
      <c r="AB3427" t="str">
        <f t="shared" si="159"/>
        <v>50855</v>
      </c>
    </row>
    <row r="3428" ht="14.25" spans="1:28">
      <c r="A3428" s="5" t="s">
        <v>28</v>
      </c>
      <c r="B3428" s="5" t="s">
        <v>697</v>
      </c>
      <c r="C3428" s="5">
        <v>2027</v>
      </c>
      <c r="D3428" s="5" t="s">
        <v>30</v>
      </c>
      <c r="E3428" t="s">
        <v>1990</v>
      </c>
      <c r="F3428" t="s">
        <v>1991</v>
      </c>
      <c r="G3428" t="s">
        <v>1901</v>
      </c>
      <c r="H3428" t="s">
        <v>1992</v>
      </c>
      <c r="I3428" t="s">
        <v>119</v>
      </c>
      <c r="J3428" t="s">
        <v>36</v>
      </c>
      <c r="K3428">
        <v>1190</v>
      </c>
      <c r="O3428" t="s">
        <v>195</v>
      </c>
      <c r="P3428" t="s">
        <v>79</v>
      </c>
      <c r="U3428" s="9" t="s">
        <v>148</v>
      </c>
      <c r="V3428" t="s">
        <v>233</v>
      </c>
      <c r="W3428" t="s">
        <v>178</v>
      </c>
      <c r="X3428" t="s">
        <v>1131</v>
      </c>
      <c r="Y3428" t="s">
        <v>179</v>
      </c>
      <c r="Z3428" t="s">
        <v>104</v>
      </c>
      <c r="AB3428" t="str">
        <f t="shared" si="159"/>
        <v>50855</v>
      </c>
    </row>
    <row r="3429" ht="14.25" spans="1:28">
      <c r="A3429" s="5" t="s">
        <v>28</v>
      </c>
      <c r="B3429" s="5" t="s">
        <v>697</v>
      </c>
      <c r="C3429" s="5">
        <v>2027</v>
      </c>
      <c r="D3429" s="5" t="s">
        <v>30</v>
      </c>
      <c r="E3429" t="s">
        <v>1993</v>
      </c>
      <c r="F3429" t="s">
        <v>1994</v>
      </c>
      <c r="G3429" t="s">
        <v>346</v>
      </c>
      <c r="H3429" t="s">
        <v>1995</v>
      </c>
      <c r="I3429" t="s">
        <v>119</v>
      </c>
      <c r="J3429" t="s">
        <v>36</v>
      </c>
      <c r="K3429">
        <v>1590</v>
      </c>
      <c r="O3429" t="s">
        <v>195</v>
      </c>
      <c r="P3429" t="s">
        <v>74</v>
      </c>
      <c r="R3429">
        <f t="shared" si="160"/>
        <v>0</v>
      </c>
      <c r="S3429">
        <f>SUMIFS([1]Sheet1!$T:$T,[1]Sheet1!$I:$I,E3429,[1]Sheet1!$C:$C,A3429)</f>
        <v>40</v>
      </c>
      <c r="T3429">
        <f t="shared" si="161"/>
        <v>-40</v>
      </c>
      <c r="U3429" s="9" t="s">
        <v>136</v>
      </c>
      <c r="V3429" t="s">
        <v>137</v>
      </c>
      <c r="W3429" t="s">
        <v>178</v>
      </c>
      <c r="X3429" t="s">
        <v>191</v>
      </c>
      <c r="Y3429" t="s">
        <v>179</v>
      </c>
      <c r="Z3429" t="s">
        <v>247</v>
      </c>
      <c r="AB3429" t="str">
        <f t="shared" si="159"/>
        <v>52486</v>
      </c>
    </row>
    <row r="3430" ht="14.25" spans="1:28">
      <c r="A3430" s="5" t="s">
        <v>28</v>
      </c>
      <c r="B3430" s="5" t="s">
        <v>697</v>
      </c>
      <c r="C3430" s="5">
        <v>2027</v>
      </c>
      <c r="D3430" s="5" t="s">
        <v>30</v>
      </c>
      <c r="E3430" t="s">
        <v>1993</v>
      </c>
      <c r="F3430" t="s">
        <v>1994</v>
      </c>
      <c r="G3430" t="s">
        <v>346</v>
      </c>
      <c r="H3430" t="s">
        <v>1995</v>
      </c>
      <c r="I3430" t="s">
        <v>119</v>
      </c>
      <c r="J3430" t="s">
        <v>36</v>
      </c>
      <c r="K3430">
        <v>1590</v>
      </c>
      <c r="O3430" t="s">
        <v>195</v>
      </c>
      <c r="P3430" t="s">
        <v>76</v>
      </c>
      <c r="U3430" s="9" t="s">
        <v>136</v>
      </c>
      <c r="V3430" t="s">
        <v>137</v>
      </c>
      <c r="W3430" t="s">
        <v>178</v>
      </c>
      <c r="X3430" t="s">
        <v>191</v>
      </c>
      <c r="Y3430" t="s">
        <v>179</v>
      </c>
      <c r="Z3430" t="s">
        <v>247</v>
      </c>
      <c r="AB3430" t="str">
        <f t="shared" si="159"/>
        <v>52486</v>
      </c>
    </row>
    <row r="3431" ht="14.25" spans="1:28">
      <c r="A3431" s="5" t="s">
        <v>28</v>
      </c>
      <c r="B3431" s="5" t="s">
        <v>697</v>
      </c>
      <c r="C3431" s="5">
        <v>2027</v>
      </c>
      <c r="D3431" s="5" t="s">
        <v>30</v>
      </c>
      <c r="E3431" t="s">
        <v>1993</v>
      </c>
      <c r="F3431" t="s">
        <v>1994</v>
      </c>
      <c r="G3431" t="s">
        <v>346</v>
      </c>
      <c r="H3431" t="s">
        <v>1995</v>
      </c>
      <c r="I3431" t="s">
        <v>119</v>
      </c>
      <c r="J3431" t="s">
        <v>36</v>
      </c>
      <c r="K3431">
        <v>1590</v>
      </c>
      <c r="O3431" t="s">
        <v>195</v>
      </c>
      <c r="P3431" t="s">
        <v>77</v>
      </c>
      <c r="U3431" s="9" t="s">
        <v>136</v>
      </c>
      <c r="V3431" t="s">
        <v>137</v>
      </c>
      <c r="W3431" t="s">
        <v>178</v>
      </c>
      <c r="X3431" t="s">
        <v>191</v>
      </c>
      <c r="Y3431" t="s">
        <v>179</v>
      </c>
      <c r="Z3431" t="s">
        <v>247</v>
      </c>
      <c r="AB3431" t="str">
        <f t="shared" si="159"/>
        <v>52486</v>
      </c>
    </row>
    <row r="3432" ht="14.25" spans="1:28">
      <c r="A3432" s="5" t="s">
        <v>28</v>
      </c>
      <c r="B3432" s="5" t="s">
        <v>697</v>
      </c>
      <c r="C3432" s="5">
        <v>2027</v>
      </c>
      <c r="D3432" s="5" t="s">
        <v>30</v>
      </c>
      <c r="E3432" t="s">
        <v>1993</v>
      </c>
      <c r="F3432" t="s">
        <v>1994</v>
      </c>
      <c r="G3432" t="s">
        <v>346</v>
      </c>
      <c r="H3432" t="s">
        <v>1995</v>
      </c>
      <c r="I3432" t="s">
        <v>119</v>
      </c>
      <c r="J3432" t="s">
        <v>36</v>
      </c>
      <c r="K3432">
        <v>1590</v>
      </c>
      <c r="O3432" t="s">
        <v>195</v>
      </c>
      <c r="P3432" t="s">
        <v>78</v>
      </c>
      <c r="U3432" s="9" t="s">
        <v>136</v>
      </c>
      <c r="V3432" t="s">
        <v>137</v>
      </c>
      <c r="W3432" t="s">
        <v>178</v>
      </c>
      <c r="X3432" t="s">
        <v>191</v>
      </c>
      <c r="Y3432" t="s">
        <v>179</v>
      </c>
      <c r="Z3432" t="s">
        <v>247</v>
      </c>
      <c r="AB3432" t="str">
        <f t="shared" si="159"/>
        <v>52486</v>
      </c>
    </row>
    <row r="3433" ht="14.25" spans="1:28">
      <c r="A3433" s="5" t="s">
        <v>28</v>
      </c>
      <c r="B3433" s="5" t="s">
        <v>697</v>
      </c>
      <c r="C3433" s="5">
        <v>2027</v>
      </c>
      <c r="D3433" s="5" t="s">
        <v>30</v>
      </c>
      <c r="E3433" t="s">
        <v>1993</v>
      </c>
      <c r="F3433" t="s">
        <v>1994</v>
      </c>
      <c r="G3433" t="s">
        <v>346</v>
      </c>
      <c r="H3433" t="s">
        <v>1995</v>
      </c>
      <c r="I3433" t="s">
        <v>119</v>
      </c>
      <c r="J3433" t="s">
        <v>36</v>
      </c>
      <c r="K3433">
        <v>1590</v>
      </c>
      <c r="O3433" t="s">
        <v>195</v>
      </c>
      <c r="P3433" t="s">
        <v>79</v>
      </c>
      <c r="U3433" s="9" t="s">
        <v>136</v>
      </c>
      <c r="V3433" t="s">
        <v>137</v>
      </c>
      <c r="W3433" t="s">
        <v>178</v>
      </c>
      <c r="X3433" t="s">
        <v>191</v>
      </c>
      <c r="Y3433" t="s">
        <v>179</v>
      </c>
      <c r="Z3433" t="s">
        <v>247</v>
      </c>
      <c r="AB3433" t="str">
        <f t="shared" si="159"/>
        <v>52486</v>
      </c>
    </row>
    <row r="3434" ht="14.25" spans="1:28">
      <c r="A3434" s="5" t="s">
        <v>28</v>
      </c>
      <c r="B3434" s="5" t="s">
        <v>697</v>
      </c>
      <c r="C3434" s="5">
        <v>2027</v>
      </c>
      <c r="D3434" s="5" t="s">
        <v>30</v>
      </c>
      <c r="E3434" t="s">
        <v>1996</v>
      </c>
      <c r="F3434" t="s">
        <v>1997</v>
      </c>
      <c r="G3434" t="s">
        <v>1998</v>
      </c>
      <c r="H3434" t="s">
        <v>1999</v>
      </c>
      <c r="I3434" t="s">
        <v>147</v>
      </c>
      <c r="J3434" t="s">
        <v>36</v>
      </c>
      <c r="K3434">
        <v>1190</v>
      </c>
      <c r="O3434" t="s">
        <v>195</v>
      </c>
      <c r="P3434" t="s">
        <v>74</v>
      </c>
      <c r="R3434">
        <f t="shared" si="160"/>
        <v>0</v>
      </c>
      <c r="S3434">
        <f>SUMIFS([1]Sheet1!$T:$T,[1]Sheet1!$I:$I,E3434,[1]Sheet1!$C:$C,A3434)</f>
        <v>60</v>
      </c>
      <c r="T3434">
        <f t="shared" si="161"/>
        <v>-60</v>
      </c>
      <c r="U3434" s="9" t="s">
        <v>148</v>
      </c>
      <c r="V3434" t="s">
        <v>233</v>
      </c>
      <c r="W3434" t="s">
        <v>178</v>
      </c>
      <c r="X3434" t="s">
        <v>308</v>
      </c>
      <c r="Y3434" t="s">
        <v>179</v>
      </c>
      <c r="Z3434" t="s">
        <v>41</v>
      </c>
      <c r="AB3434" t="str">
        <f t="shared" si="159"/>
        <v>52993</v>
      </c>
    </row>
    <row r="3435" ht="14.25" spans="1:28">
      <c r="A3435" s="5" t="s">
        <v>28</v>
      </c>
      <c r="B3435" s="5" t="s">
        <v>697</v>
      </c>
      <c r="C3435" s="5">
        <v>2027</v>
      </c>
      <c r="D3435" s="5" t="s">
        <v>30</v>
      </c>
      <c r="E3435" t="s">
        <v>1996</v>
      </c>
      <c r="F3435" t="s">
        <v>1997</v>
      </c>
      <c r="G3435" t="s">
        <v>1998</v>
      </c>
      <c r="H3435" t="s">
        <v>1999</v>
      </c>
      <c r="I3435" t="s">
        <v>147</v>
      </c>
      <c r="J3435" t="s">
        <v>36</v>
      </c>
      <c r="K3435">
        <v>1190</v>
      </c>
      <c r="O3435" t="s">
        <v>195</v>
      </c>
      <c r="P3435" t="s">
        <v>76</v>
      </c>
      <c r="U3435" s="9" t="s">
        <v>148</v>
      </c>
      <c r="V3435" t="s">
        <v>233</v>
      </c>
      <c r="W3435" t="s">
        <v>178</v>
      </c>
      <c r="X3435" t="s">
        <v>308</v>
      </c>
      <c r="Y3435" t="s">
        <v>179</v>
      </c>
      <c r="Z3435" t="s">
        <v>41</v>
      </c>
      <c r="AB3435" t="str">
        <f t="shared" si="159"/>
        <v>52993</v>
      </c>
    </row>
    <row r="3436" ht="14.25" spans="1:28">
      <c r="A3436" s="5" t="s">
        <v>28</v>
      </c>
      <c r="B3436" s="5" t="s">
        <v>697</v>
      </c>
      <c r="C3436" s="5">
        <v>2027</v>
      </c>
      <c r="D3436" s="5" t="s">
        <v>30</v>
      </c>
      <c r="E3436" t="s">
        <v>1996</v>
      </c>
      <c r="F3436" t="s">
        <v>1997</v>
      </c>
      <c r="G3436" t="s">
        <v>1998</v>
      </c>
      <c r="H3436" t="s">
        <v>1999</v>
      </c>
      <c r="I3436" t="s">
        <v>147</v>
      </c>
      <c r="J3436" t="s">
        <v>36</v>
      </c>
      <c r="K3436">
        <v>1190</v>
      </c>
      <c r="O3436" t="s">
        <v>195</v>
      </c>
      <c r="P3436" t="s">
        <v>77</v>
      </c>
      <c r="U3436" s="9" t="s">
        <v>148</v>
      </c>
      <c r="V3436" t="s">
        <v>233</v>
      </c>
      <c r="W3436" t="s">
        <v>178</v>
      </c>
      <c r="X3436" t="s">
        <v>308</v>
      </c>
      <c r="Y3436" t="s">
        <v>179</v>
      </c>
      <c r="Z3436" t="s">
        <v>41</v>
      </c>
      <c r="AB3436" t="str">
        <f t="shared" si="159"/>
        <v>52993</v>
      </c>
    </row>
    <row r="3437" ht="14.25" spans="1:28">
      <c r="A3437" s="5" t="s">
        <v>28</v>
      </c>
      <c r="B3437" s="5" t="s">
        <v>697</v>
      </c>
      <c r="C3437" s="5">
        <v>2027</v>
      </c>
      <c r="D3437" s="5" t="s">
        <v>30</v>
      </c>
      <c r="E3437" t="s">
        <v>1996</v>
      </c>
      <c r="F3437" t="s">
        <v>1997</v>
      </c>
      <c r="G3437" t="s">
        <v>1998</v>
      </c>
      <c r="H3437" t="s">
        <v>1999</v>
      </c>
      <c r="I3437" t="s">
        <v>147</v>
      </c>
      <c r="J3437" t="s">
        <v>36</v>
      </c>
      <c r="K3437">
        <v>1190</v>
      </c>
      <c r="O3437" t="s">
        <v>195</v>
      </c>
      <c r="P3437" t="s">
        <v>78</v>
      </c>
      <c r="U3437" s="9" t="s">
        <v>148</v>
      </c>
      <c r="V3437" t="s">
        <v>233</v>
      </c>
      <c r="W3437" t="s">
        <v>178</v>
      </c>
      <c r="X3437" t="s">
        <v>308</v>
      </c>
      <c r="Y3437" t="s">
        <v>179</v>
      </c>
      <c r="Z3437" t="s">
        <v>41</v>
      </c>
      <c r="AB3437" t="str">
        <f t="shared" si="159"/>
        <v>52993</v>
      </c>
    </row>
    <row r="3438" ht="14.25" spans="1:28">
      <c r="A3438" s="5" t="s">
        <v>28</v>
      </c>
      <c r="B3438" s="5" t="s">
        <v>697</v>
      </c>
      <c r="C3438" s="5">
        <v>2027</v>
      </c>
      <c r="D3438" s="5" t="s">
        <v>30</v>
      </c>
      <c r="E3438" t="s">
        <v>1996</v>
      </c>
      <c r="F3438" t="s">
        <v>1997</v>
      </c>
      <c r="G3438" t="s">
        <v>1998</v>
      </c>
      <c r="H3438" t="s">
        <v>1999</v>
      </c>
      <c r="I3438" t="s">
        <v>147</v>
      </c>
      <c r="J3438" t="s">
        <v>36</v>
      </c>
      <c r="K3438">
        <v>1190</v>
      </c>
      <c r="O3438" t="s">
        <v>195</v>
      </c>
      <c r="P3438" t="s">
        <v>79</v>
      </c>
      <c r="U3438" s="9" t="s">
        <v>148</v>
      </c>
      <c r="V3438" t="s">
        <v>233</v>
      </c>
      <c r="W3438" t="s">
        <v>178</v>
      </c>
      <c r="X3438" t="s">
        <v>308</v>
      </c>
      <c r="Y3438" t="s">
        <v>179</v>
      </c>
      <c r="Z3438" t="s">
        <v>41</v>
      </c>
      <c r="AB3438" t="str">
        <f t="shared" si="159"/>
        <v>52993</v>
      </c>
    </row>
    <row r="3439" ht="14.25" spans="1:28">
      <c r="A3439" s="5" t="s">
        <v>28</v>
      </c>
      <c r="B3439" s="5" t="s">
        <v>697</v>
      </c>
      <c r="C3439" s="5">
        <v>2027</v>
      </c>
      <c r="D3439" s="5" t="s">
        <v>30</v>
      </c>
      <c r="E3439" t="s">
        <v>2000</v>
      </c>
      <c r="F3439" t="s">
        <v>2001</v>
      </c>
      <c r="G3439" t="s">
        <v>1893</v>
      </c>
      <c r="H3439" t="s">
        <v>2002</v>
      </c>
      <c r="I3439" t="s">
        <v>119</v>
      </c>
      <c r="J3439" t="s">
        <v>36</v>
      </c>
      <c r="K3439">
        <v>1590</v>
      </c>
      <c r="O3439" t="s">
        <v>176</v>
      </c>
      <c r="P3439" t="s">
        <v>177</v>
      </c>
      <c r="R3439">
        <f t="shared" si="160"/>
        <v>0</v>
      </c>
      <c r="S3439">
        <f>SUMIFS([1]Sheet1!$T:$T,[1]Sheet1!$I:$I,E3439,[1]Sheet1!$C:$C,A3439)</f>
        <v>40</v>
      </c>
      <c r="T3439">
        <f t="shared" si="161"/>
        <v>-40</v>
      </c>
      <c r="U3439" s="9" t="s">
        <v>148</v>
      </c>
      <c r="V3439" t="s">
        <v>565</v>
      </c>
      <c r="W3439" t="s">
        <v>178</v>
      </c>
      <c r="X3439" t="s">
        <v>1895</v>
      </c>
      <c r="Y3439" t="s">
        <v>179</v>
      </c>
      <c r="Z3439" t="s">
        <v>41</v>
      </c>
      <c r="AB3439" t="str">
        <f t="shared" si="159"/>
        <v>53142</v>
      </c>
    </row>
    <row r="3440" ht="14.25" spans="1:28">
      <c r="A3440" s="5" t="s">
        <v>28</v>
      </c>
      <c r="B3440" s="5" t="s">
        <v>697</v>
      </c>
      <c r="C3440" s="5">
        <v>2027</v>
      </c>
      <c r="D3440" s="5" t="s">
        <v>30</v>
      </c>
      <c r="E3440" t="s">
        <v>2000</v>
      </c>
      <c r="F3440" t="s">
        <v>2001</v>
      </c>
      <c r="G3440" t="s">
        <v>1893</v>
      </c>
      <c r="H3440" t="s">
        <v>2002</v>
      </c>
      <c r="I3440" t="s">
        <v>119</v>
      </c>
      <c r="J3440" t="s">
        <v>36</v>
      </c>
      <c r="K3440">
        <v>1590</v>
      </c>
      <c r="O3440" t="s">
        <v>176</v>
      </c>
      <c r="P3440" t="s">
        <v>38</v>
      </c>
      <c r="U3440" s="9" t="s">
        <v>148</v>
      </c>
      <c r="V3440" t="s">
        <v>565</v>
      </c>
      <c r="W3440" t="s">
        <v>178</v>
      </c>
      <c r="X3440" t="s">
        <v>1895</v>
      </c>
      <c r="Y3440" t="s">
        <v>179</v>
      </c>
      <c r="Z3440" t="s">
        <v>41</v>
      </c>
      <c r="AB3440" t="str">
        <f t="shared" si="159"/>
        <v>53142</v>
      </c>
    </row>
    <row r="3441" ht="14.25" spans="1:28">
      <c r="A3441" s="5" t="s">
        <v>28</v>
      </c>
      <c r="B3441" s="5" t="s">
        <v>697</v>
      </c>
      <c r="C3441" s="5">
        <v>2027</v>
      </c>
      <c r="D3441" s="5" t="s">
        <v>30</v>
      </c>
      <c r="E3441" t="s">
        <v>2000</v>
      </c>
      <c r="F3441" t="s">
        <v>2001</v>
      </c>
      <c r="G3441" t="s">
        <v>1893</v>
      </c>
      <c r="H3441" t="s">
        <v>2002</v>
      </c>
      <c r="I3441" t="s">
        <v>119</v>
      </c>
      <c r="J3441" t="s">
        <v>36</v>
      </c>
      <c r="K3441">
        <v>1590</v>
      </c>
      <c r="O3441" t="s">
        <v>176</v>
      </c>
      <c r="P3441" t="s">
        <v>42</v>
      </c>
      <c r="U3441" s="9" t="s">
        <v>148</v>
      </c>
      <c r="V3441" t="s">
        <v>565</v>
      </c>
      <c r="W3441" t="s">
        <v>178</v>
      </c>
      <c r="X3441" t="s">
        <v>1895</v>
      </c>
      <c r="Y3441" t="s">
        <v>179</v>
      </c>
      <c r="Z3441" t="s">
        <v>41</v>
      </c>
      <c r="AB3441" t="str">
        <f t="shared" si="159"/>
        <v>53142</v>
      </c>
    </row>
    <row r="3442" ht="14.25" spans="1:28">
      <c r="A3442" s="5" t="s">
        <v>28</v>
      </c>
      <c r="B3442" s="5" t="s">
        <v>697</v>
      </c>
      <c r="C3442" s="5">
        <v>2027</v>
      </c>
      <c r="D3442" s="5" t="s">
        <v>30</v>
      </c>
      <c r="E3442" t="s">
        <v>2000</v>
      </c>
      <c r="F3442" t="s">
        <v>2001</v>
      </c>
      <c r="G3442" t="s">
        <v>1893</v>
      </c>
      <c r="H3442" t="s">
        <v>2002</v>
      </c>
      <c r="I3442" t="s">
        <v>119</v>
      </c>
      <c r="J3442" t="s">
        <v>36</v>
      </c>
      <c r="K3442">
        <v>1590</v>
      </c>
      <c r="O3442" t="s">
        <v>176</v>
      </c>
      <c r="P3442" t="s">
        <v>43</v>
      </c>
      <c r="U3442" s="9" t="s">
        <v>148</v>
      </c>
      <c r="V3442" t="s">
        <v>565</v>
      </c>
      <c r="W3442" t="s">
        <v>178</v>
      </c>
      <c r="X3442" t="s">
        <v>1895</v>
      </c>
      <c r="Y3442" t="s">
        <v>179</v>
      </c>
      <c r="Z3442" t="s">
        <v>41</v>
      </c>
      <c r="AB3442" t="str">
        <f t="shared" si="159"/>
        <v>53142</v>
      </c>
    </row>
    <row r="3443" ht="14.25" spans="1:28">
      <c r="A3443" s="5" t="s">
        <v>28</v>
      </c>
      <c r="B3443" s="5" t="s">
        <v>697</v>
      </c>
      <c r="C3443" s="5">
        <v>2027</v>
      </c>
      <c r="D3443" s="5" t="s">
        <v>30</v>
      </c>
      <c r="E3443" t="s">
        <v>2000</v>
      </c>
      <c r="F3443" t="s">
        <v>2001</v>
      </c>
      <c r="G3443" t="s">
        <v>1893</v>
      </c>
      <c r="H3443" t="s">
        <v>2002</v>
      </c>
      <c r="I3443" t="s">
        <v>119</v>
      </c>
      <c r="J3443" t="s">
        <v>36</v>
      </c>
      <c r="K3443">
        <v>1590</v>
      </c>
      <c r="O3443" t="s">
        <v>176</v>
      </c>
      <c r="P3443" t="s">
        <v>44</v>
      </c>
      <c r="U3443" s="9" t="s">
        <v>148</v>
      </c>
      <c r="V3443" t="s">
        <v>565</v>
      </c>
      <c r="W3443" t="s">
        <v>178</v>
      </c>
      <c r="X3443" t="s">
        <v>1895</v>
      </c>
      <c r="Y3443" t="s">
        <v>179</v>
      </c>
      <c r="Z3443" t="s">
        <v>41</v>
      </c>
      <c r="AB3443" t="str">
        <f t="shared" ref="AB3443:AB3506" si="162">MID(E3443,6,5)</f>
        <v>53142</v>
      </c>
    </row>
    <row r="3444" ht="14.25" spans="1:28">
      <c r="A3444" s="5" t="s">
        <v>28</v>
      </c>
      <c r="B3444" s="5" t="s">
        <v>697</v>
      </c>
      <c r="C3444" s="5">
        <v>2027</v>
      </c>
      <c r="D3444" s="5" t="s">
        <v>30</v>
      </c>
      <c r="E3444" t="s">
        <v>2000</v>
      </c>
      <c r="F3444" t="s">
        <v>2001</v>
      </c>
      <c r="G3444" t="s">
        <v>1893</v>
      </c>
      <c r="H3444" t="s">
        <v>2002</v>
      </c>
      <c r="I3444" t="s">
        <v>119</v>
      </c>
      <c r="J3444" t="s">
        <v>36</v>
      </c>
      <c r="K3444">
        <v>1590</v>
      </c>
      <c r="O3444" t="s">
        <v>176</v>
      </c>
      <c r="P3444" t="s">
        <v>45</v>
      </c>
      <c r="U3444" s="9" t="s">
        <v>148</v>
      </c>
      <c r="V3444" t="s">
        <v>565</v>
      </c>
      <c r="W3444" t="s">
        <v>178</v>
      </c>
      <c r="X3444" t="s">
        <v>1895</v>
      </c>
      <c r="Y3444" t="s">
        <v>179</v>
      </c>
      <c r="Z3444" t="s">
        <v>41</v>
      </c>
      <c r="AB3444" t="str">
        <f t="shared" si="162"/>
        <v>53142</v>
      </c>
    </row>
    <row r="3445" ht="14.25" spans="1:28">
      <c r="A3445" s="5" t="s">
        <v>28</v>
      </c>
      <c r="B3445" s="5" t="s">
        <v>697</v>
      </c>
      <c r="C3445" s="5">
        <v>2027</v>
      </c>
      <c r="D3445" s="5" t="s">
        <v>30</v>
      </c>
      <c r="E3445" t="s">
        <v>2003</v>
      </c>
      <c r="F3445" t="s">
        <v>2001</v>
      </c>
      <c r="G3445" t="s">
        <v>254</v>
      </c>
      <c r="H3445" t="s">
        <v>2004</v>
      </c>
      <c r="I3445" t="s">
        <v>119</v>
      </c>
      <c r="J3445" t="s">
        <v>36</v>
      </c>
      <c r="K3445">
        <v>1590</v>
      </c>
      <c r="O3445" t="s">
        <v>176</v>
      </c>
      <c r="P3445" t="s">
        <v>177</v>
      </c>
      <c r="R3445">
        <f t="shared" si="160"/>
        <v>0</v>
      </c>
      <c r="S3445">
        <f>SUMIFS([1]Sheet1!$T:$T,[1]Sheet1!$I:$I,E3445,[1]Sheet1!$C:$C,A3445)</f>
        <v>150</v>
      </c>
      <c r="T3445">
        <f t="shared" si="161"/>
        <v>-150</v>
      </c>
      <c r="U3445" s="9" t="s">
        <v>148</v>
      </c>
      <c r="V3445" t="s">
        <v>565</v>
      </c>
      <c r="W3445" t="s">
        <v>178</v>
      </c>
      <c r="X3445" t="s">
        <v>86</v>
      </c>
      <c r="Y3445" t="s">
        <v>179</v>
      </c>
      <c r="Z3445" t="s">
        <v>41</v>
      </c>
      <c r="AB3445" t="str">
        <f t="shared" si="162"/>
        <v>53142</v>
      </c>
    </row>
    <row r="3446" ht="14.25" spans="1:28">
      <c r="A3446" s="5" t="s">
        <v>28</v>
      </c>
      <c r="B3446" s="5" t="s">
        <v>697</v>
      </c>
      <c r="C3446" s="5">
        <v>2027</v>
      </c>
      <c r="D3446" s="5" t="s">
        <v>30</v>
      </c>
      <c r="E3446" t="s">
        <v>2003</v>
      </c>
      <c r="F3446" t="s">
        <v>2001</v>
      </c>
      <c r="G3446" t="s">
        <v>254</v>
      </c>
      <c r="H3446" t="s">
        <v>2004</v>
      </c>
      <c r="I3446" t="s">
        <v>119</v>
      </c>
      <c r="J3446" t="s">
        <v>36</v>
      </c>
      <c r="K3446">
        <v>1590</v>
      </c>
      <c r="O3446" t="s">
        <v>176</v>
      </c>
      <c r="P3446" t="s">
        <v>38</v>
      </c>
      <c r="U3446" s="9" t="s">
        <v>148</v>
      </c>
      <c r="V3446" t="s">
        <v>565</v>
      </c>
      <c r="W3446" t="s">
        <v>178</v>
      </c>
      <c r="X3446" t="s">
        <v>86</v>
      </c>
      <c r="Y3446" t="s">
        <v>179</v>
      </c>
      <c r="Z3446" t="s">
        <v>41</v>
      </c>
      <c r="AB3446" t="str">
        <f t="shared" si="162"/>
        <v>53142</v>
      </c>
    </row>
    <row r="3447" ht="14.25" spans="1:28">
      <c r="A3447" s="5" t="s">
        <v>28</v>
      </c>
      <c r="B3447" s="5" t="s">
        <v>697</v>
      </c>
      <c r="C3447" s="5">
        <v>2027</v>
      </c>
      <c r="D3447" s="5" t="s">
        <v>30</v>
      </c>
      <c r="E3447" t="s">
        <v>2003</v>
      </c>
      <c r="F3447" t="s">
        <v>2001</v>
      </c>
      <c r="G3447" t="s">
        <v>254</v>
      </c>
      <c r="H3447" t="s">
        <v>2004</v>
      </c>
      <c r="I3447" t="s">
        <v>119</v>
      </c>
      <c r="J3447" t="s">
        <v>36</v>
      </c>
      <c r="K3447">
        <v>1590</v>
      </c>
      <c r="O3447" t="s">
        <v>176</v>
      </c>
      <c r="P3447" t="s">
        <v>42</v>
      </c>
      <c r="U3447" s="9" t="s">
        <v>148</v>
      </c>
      <c r="V3447" t="s">
        <v>565</v>
      </c>
      <c r="W3447" t="s">
        <v>178</v>
      </c>
      <c r="X3447" t="s">
        <v>86</v>
      </c>
      <c r="Y3447" t="s">
        <v>179</v>
      </c>
      <c r="Z3447" t="s">
        <v>41</v>
      </c>
      <c r="AB3447" t="str">
        <f t="shared" si="162"/>
        <v>53142</v>
      </c>
    </row>
    <row r="3448" ht="14.25" spans="1:28">
      <c r="A3448" s="5" t="s">
        <v>28</v>
      </c>
      <c r="B3448" s="5" t="s">
        <v>697</v>
      </c>
      <c r="C3448" s="5">
        <v>2027</v>
      </c>
      <c r="D3448" s="5" t="s">
        <v>30</v>
      </c>
      <c r="E3448" t="s">
        <v>2003</v>
      </c>
      <c r="F3448" t="s">
        <v>2001</v>
      </c>
      <c r="G3448" t="s">
        <v>254</v>
      </c>
      <c r="H3448" t="s">
        <v>2004</v>
      </c>
      <c r="I3448" t="s">
        <v>119</v>
      </c>
      <c r="J3448" t="s">
        <v>36</v>
      </c>
      <c r="K3448">
        <v>1590</v>
      </c>
      <c r="O3448" t="s">
        <v>176</v>
      </c>
      <c r="P3448" t="s">
        <v>43</v>
      </c>
      <c r="U3448" s="9" t="s">
        <v>148</v>
      </c>
      <c r="V3448" t="s">
        <v>565</v>
      </c>
      <c r="W3448" t="s">
        <v>178</v>
      </c>
      <c r="X3448" t="s">
        <v>86</v>
      </c>
      <c r="Y3448" t="s">
        <v>179</v>
      </c>
      <c r="Z3448" t="s">
        <v>41</v>
      </c>
      <c r="AB3448" t="str">
        <f t="shared" si="162"/>
        <v>53142</v>
      </c>
    </row>
    <row r="3449" ht="14.25" spans="1:28">
      <c r="A3449" s="5" t="s">
        <v>28</v>
      </c>
      <c r="B3449" s="5" t="s">
        <v>697</v>
      </c>
      <c r="C3449" s="5">
        <v>2027</v>
      </c>
      <c r="D3449" s="5" t="s">
        <v>30</v>
      </c>
      <c r="E3449" t="s">
        <v>2003</v>
      </c>
      <c r="F3449" t="s">
        <v>2001</v>
      </c>
      <c r="G3449" t="s">
        <v>254</v>
      </c>
      <c r="H3449" t="s">
        <v>2004</v>
      </c>
      <c r="I3449" t="s">
        <v>119</v>
      </c>
      <c r="J3449" t="s">
        <v>36</v>
      </c>
      <c r="K3449">
        <v>1590</v>
      </c>
      <c r="O3449" t="s">
        <v>176</v>
      </c>
      <c r="P3449" t="s">
        <v>44</v>
      </c>
      <c r="U3449" s="9" t="s">
        <v>148</v>
      </c>
      <c r="V3449" t="s">
        <v>565</v>
      </c>
      <c r="W3449" t="s">
        <v>178</v>
      </c>
      <c r="X3449" t="s">
        <v>86</v>
      </c>
      <c r="Y3449" t="s">
        <v>179</v>
      </c>
      <c r="Z3449" t="s">
        <v>41</v>
      </c>
      <c r="AB3449" t="str">
        <f t="shared" si="162"/>
        <v>53142</v>
      </c>
    </row>
    <row r="3450" ht="14.25" spans="1:28">
      <c r="A3450" s="5" t="s">
        <v>28</v>
      </c>
      <c r="B3450" s="5" t="s">
        <v>697</v>
      </c>
      <c r="C3450" s="5">
        <v>2027</v>
      </c>
      <c r="D3450" s="5" t="s">
        <v>30</v>
      </c>
      <c r="E3450" t="s">
        <v>2003</v>
      </c>
      <c r="F3450" t="s">
        <v>2001</v>
      </c>
      <c r="G3450" t="s">
        <v>254</v>
      </c>
      <c r="H3450" t="s">
        <v>2004</v>
      </c>
      <c r="I3450" t="s">
        <v>119</v>
      </c>
      <c r="J3450" t="s">
        <v>36</v>
      </c>
      <c r="K3450">
        <v>1590</v>
      </c>
      <c r="O3450" t="s">
        <v>176</v>
      </c>
      <c r="P3450" t="s">
        <v>45</v>
      </c>
      <c r="U3450" s="9" t="s">
        <v>148</v>
      </c>
      <c r="V3450" t="s">
        <v>565</v>
      </c>
      <c r="W3450" t="s">
        <v>178</v>
      </c>
      <c r="X3450" t="s">
        <v>86</v>
      </c>
      <c r="Y3450" t="s">
        <v>179</v>
      </c>
      <c r="Z3450" t="s">
        <v>41</v>
      </c>
      <c r="AB3450" t="str">
        <f t="shared" si="162"/>
        <v>53142</v>
      </c>
    </row>
    <row r="3451" ht="14.25" spans="1:28">
      <c r="A3451" s="5" t="s">
        <v>28</v>
      </c>
      <c r="B3451" s="5" t="s">
        <v>697</v>
      </c>
      <c r="C3451" s="5">
        <v>2027</v>
      </c>
      <c r="D3451" s="5" t="s">
        <v>30</v>
      </c>
      <c r="E3451" t="s">
        <v>2005</v>
      </c>
      <c r="F3451" t="s">
        <v>2006</v>
      </c>
      <c r="G3451" t="s">
        <v>2007</v>
      </c>
      <c r="H3451" t="s">
        <v>2008</v>
      </c>
      <c r="I3451" t="s">
        <v>147</v>
      </c>
      <c r="J3451" t="s">
        <v>36</v>
      </c>
      <c r="K3451">
        <v>1590</v>
      </c>
      <c r="O3451" t="s">
        <v>176</v>
      </c>
      <c r="P3451" t="s">
        <v>177</v>
      </c>
      <c r="R3451">
        <f t="shared" si="160"/>
        <v>0</v>
      </c>
      <c r="S3451">
        <f>SUMIFS([1]Sheet1!$T:$T,[1]Sheet1!$I:$I,E3451,[1]Sheet1!$C:$C,A3451)</f>
        <v>0</v>
      </c>
      <c r="T3451">
        <f t="shared" si="161"/>
        <v>0</v>
      </c>
      <c r="U3451" s="9" t="s">
        <v>148</v>
      </c>
      <c r="V3451" t="s">
        <v>184</v>
      </c>
      <c r="W3451" t="s">
        <v>178</v>
      </c>
      <c r="X3451" t="s">
        <v>62</v>
      </c>
      <c r="Y3451" t="s">
        <v>179</v>
      </c>
      <c r="Z3451" t="s">
        <v>247</v>
      </c>
      <c r="AB3451" t="str">
        <f t="shared" si="162"/>
        <v>53147</v>
      </c>
    </row>
    <row r="3452" ht="14.25" spans="1:28">
      <c r="A3452" s="5" t="s">
        <v>28</v>
      </c>
      <c r="B3452" s="5" t="s">
        <v>697</v>
      </c>
      <c r="C3452" s="5">
        <v>2027</v>
      </c>
      <c r="D3452" s="5" t="s">
        <v>30</v>
      </c>
      <c r="E3452" t="s">
        <v>2005</v>
      </c>
      <c r="F3452" t="s">
        <v>2006</v>
      </c>
      <c r="G3452" t="s">
        <v>2007</v>
      </c>
      <c r="H3452" t="s">
        <v>2008</v>
      </c>
      <c r="I3452" t="s">
        <v>147</v>
      </c>
      <c r="J3452" t="s">
        <v>36</v>
      </c>
      <c r="K3452">
        <v>1590</v>
      </c>
      <c r="O3452" t="s">
        <v>176</v>
      </c>
      <c r="P3452" t="s">
        <v>38</v>
      </c>
      <c r="U3452" s="9" t="s">
        <v>148</v>
      </c>
      <c r="V3452" t="s">
        <v>184</v>
      </c>
      <c r="W3452" t="s">
        <v>178</v>
      </c>
      <c r="X3452" t="s">
        <v>62</v>
      </c>
      <c r="Y3452" t="s">
        <v>179</v>
      </c>
      <c r="Z3452" t="s">
        <v>247</v>
      </c>
      <c r="AB3452" t="str">
        <f t="shared" si="162"/>
        <v>53147</v>
      </c>
    </row>
    <row r="3453" ht="14.25" spans="1:28">
      <c r="A3453" s="5" t="s">
        <v>28</v>
      </c>
      <c r="B3453" s="5" t="s">
        <v>697</v>
      </c>
      <c r="C3453" s="5">
        <v>2027</v>
      </c>
      <c r="D3453" s="5" t="s">
        <v>30</v>
      </c>
      <c r="E3453" t="s">
        <v>2005</v>
      </c>
      <c r="F3453" t="s">
        <v>2006</v>
      </c>
      <c r="G3453" t="s">
        <v>2007</v>
      </c>
      <c r="H3453" t="s">
        <v>2008</v>
      </c>
      <c r="I3453" t="s">
        <v>147</v>
      </c>
      <c r="J3453" t="s">
        <v>36</v>
      </c>
      <c r="K3453">
        <v>1590</v>
      </c>
      <c r="O3453" t="s">
        <v>176</v>
      </c>
      <c r="P3453" t="s">
        <v>42</v>
      </c>
      <c r="U3453" s="9" t="s">
        <v>148</v>
      </c>
      <c r="V3453" t="s">
        <v>184</v>
      </c>
      <c r="W3453" t="s">
        <v>178</v>
      </c>
      <c r="X3453" t="s">
        <v>62</v>
      </c>
      <c r="Y3453" t="s">
        <v>179</v>
      </c>
      <c r="Z3453" t="s">
        <v>247</v>
      </c>
      <c r="AB3453" t="str">
        <f t="shared" si="162"/>
        <v>53147</v>
      </c>
    </row>
    <row r="3454" ht="14.25" spans="1:28">
      <c r="A3454" s="5" t="s">
        <v>28</v>
      </c>
      <c r="B3454" s="5" t="s">
        <v>697</v>
      </c>
      <c r="C3454" s="5">
        <v>2027</v>
      </c>
      <c r="D3454" s="5" t="s">
        <v>30</v>
      </c>
      <c r="E3454" t="s">
        <v>2005</v>
      </c>
      <c r="F3454" t="s">
        <v>2006</v>
      </c>
      <c r="G3454" t="s">
        <v>2007</v>
      </c>
      <c r="H3454" t="s">
        <v>2008</v>
      </c>
      <c r="I3454" t="s">
        <v>147</v>
      </c>
      <c r="J3454" t="s">
        <v>36</v>
      </c>
      <c r="K3454">
        <v>1590</v>
      </c>
      <c r="O3454" t="s">
        <v>176</v>
      </c>
      <c r="P3454" t="s">
        <v>43</v>
      </c>
      <c r="U3454" s="9" t="s">
        <v>148</v>
      </c>
      <c r="V3454" t="s">
        <v>184</v>
      </c>
      <c r="W3454" t="s">
        <v>178</v>
      </c>
      <c r="X3454" t="s">
        <v>62</v>
      </c>
      <c r="Y3454" t="s">
        <v>179</v>
      </c>
      <c r="Z3454" t="s">
        <v>247</v>
      </c>
      <c r="AB3454" t="str">
        <f t="shared" si="162"/>
        <v>53147</v>
      </c>
    </row>
    <row r="3455" ht="14.25" spans="1:28">
      <c r="A3455" s="5" t="s">
        <v>28</v>
      </c>
      <c r="B3455" s="5" t="s">
        <v>697</v>
      </c>
      <c r="C3455" s="5">
        <v>2027</v>
      </c>
      <c r="D3455" s="5" t="s">
        <v>30</v>
      </c>
      <c r="E3455" t="s">
        <v>2005</v>
      </c>
      <c r="F3455" t="s">
        <v>2006</v>
      </c>
      <c r="G3455" t="s">
        <v>2007</v>
      </c>
      <c r="H3455" t="s">
        <v>2008</v>
      </c>
      <c r="I3455" t="s">
        <v>147</v>
      </c>
      <c r="J3455" t="s">
        <v>36</v>
      </c>
      <c r="K3455">
        <v>1590</v>
      </c>
      <c r="O3455" t="s">
        <v>176</v>
      </c>
      <c r="P3455" t="s">
        <v>44</v>
      </c>
      <c r="U3455" s="9" t="s">
        <v>148</v>
      </c>
      <c r="V3455" t="s">
        <v>184</v>
      </c>
      <c r="W3455" t="s">
        <v>178</v>
      </c>
      <c r="X3455" t="s">
        <v>62</v>
      </c>
      <c r="Y3455" t="s">
        <v>179</v>
      </c>
      <c r="Z3455" t="s">
        <v>247</v>
      </c>
      <c r="AB3455" t="str">
        <f t="shared" si="162"/>
        <v>53147</v>
      </c>
    </row>
    <row r="3456" ht="14.25" spans="1:28">
      <c r="A3456" s="5" t="s">
        <v>28</v>
      </c>
      <c r="B3456" s="5" t="s">
        <v>697</v>
      </c>
      <c r="C3456" s="5">
        <v>2027</v>
      </c>
      <c r="D3456" s="5" t="s">
        <v>30</v>
      </c>
      <c r="E3456" t="s">
        <v>2005</v>
      </c>
      <c r="F3456" t="s">
        <v>2006</v>
      </c>
      <c r="G3456" t="s">
        <v>2007</v>
      </c>
      <c r="H3456" t="s">
        <v>2008</v>
      </c>
      <c r="I3456" t="s">
        <v>147</v>
      </c>
      <c r="J3456" t="s">
        <v>36</v>
      </c>
      <c r="K3456">
        <v>1590</v>
      </c>
      <c r="O3456" t="s">
        <v>176</v>
      </c>
      <c r="P3456" t="s">
        <v>45</v>
      </c>
      <c r="U3456" s="9" t="s">
        <v>148</v>
      </c>
      <c r="V3456" t="s">
        <v>184</v>
      </c>
      <c r="W3456" t="s">
        <v>178</v>
      </c>
      <c r="X3456" t="s">
        <v>62</v>
      </c>
      <c r="Y3456" t="s">
        <v>179</v>
      </c>
      <c r="Z3456" t="s">
        <v>247</v>
      </c>
      <c r="AB3456" t="str">
        <f t="shared" si="162"/>
        <v>53147</v>
      </c>
    </row>
    <row r="3457" ht="14.25" spans="1:28">
      <c r="A3457" s="5" t="s">
        <v>28</v>
      </c>
      <c r="B3457" s="5" t="s">
        <v>697</v>
      </c>
      <c r="C3457" s="5">
        <v>2027</v>
      </c>
      <c r="D3457" s="5" t="s">
        <v>30</v>
      </c>
      <c r="E3457" t="s">
        <v>2009</v>
      </c>
      <c r="F3457" t="s">
        <v>2010</v>
      </c>
      <c r="G3457" t="s">
        <v>1898</v>
      </c>
      <c r="H3457" t="s">
        <v>2011</v>
      </c>
      <c r="I3457" t="s">
        <v>112</v>
      </c>
      <c r="J3457" t="s">
        <v>36</v>
      </c>
      <c r="K3457">
        <v>1390</v>
      </c>
      <c r="O3457" t="s">
        <v>176</v>
      </c>
      <c r="P3457" t="s">
        <v>177</v>
      </c>
      <c r="R3457">
        <f t="shared" si="160"/>
        <v>0</v>
      </c>
      <c r="S3457">
        <f>SUMIFS([1]Sheet1!$T:$T,[1]Sheet1!$I:$I,E3457,[1]Sheet1!$C:$C,A3457)</f>
        <v>40</v>
      </c>
      <c r="T3457">
        <f t="shared" si="161"/>
        <v>-40</v>
      </c>
      <c r="U3457" s="9" t="s">
        <v>148</v>
      </c>
      <c r="V3457" t="s">
        <v>184</v>
      </c>
      <c r="W3457" t="s">
        <v>178</v>
      </c>
      <c r="X3457" t="s">
        <v>58</v>
      </c>
      <c r="Y3457" t="s">
        <v>179</v>
      </c>
      <c r="Z3457" t="s">
        <v>41</v>
      </c>
      <c r="AB3457" t="str">
        <f t="shared" si="162"/>
        <v>53151</v>
      </c>
    </row>
    <row r="3458" ht="14.25" spans="1:28">
      <c r="A3458" s="5" t="s">
        <v>28</v>
      </c>
      <c r="B3458" s="5" t="s">
        <v>697</v>
      </c>
      <c r="C3458" s="5">
        <v>2027</v>
      </c>
      <c r="D3458" s="5" t="s">
        <v>30</v>
      </c>
      <c r="E3458" t="s">
        <v>2009</v>
      </c>
      <c r="F3458" t="s">
        <v>2010</v>
      </c>
      <c r="G3458" t="s">
        <v>1898</v>
      </c>
      <c r="H3458" t="s">
        <v>2011</v>
      </c>
      <c r="I3458" t="s">
        <v>112</v>
      </c>
      <c r="J3458" t="s">
        <v>36</v>
      </c>
      <c r="K3458">
        <v>1390</v>
      </c>
      <c r="O3458" t="s">
        <v>176</v>
      </c>
      <c r="P3458" t="s">
        <v>38</v>
      </c>
      <c r="U3458" s="9" t="s">
        <v>148</v>
      </c>
      <c r="V3458" t="s">
        <v>184</v>
      </c>
      <c r="W3458" t="s">
        <v>178</v>
      </c>
      <c r="X3458" t="s">
        <v>58</v>
      </c>
      <c r="Y3458" t="s">
        <v>179</v>
      </c>
      <c r="Z3458" t="s">
        <v>41</v>
      </c>
      <c r="AB3458" t="str">
        <f t="shared" si="162"/>
        <v>53151</v>
      </c>
    </row>
    <row r="3459" ht="14.25" spans="1:28">
      <c r="A3459" s="5" t="s">
        <v>28</v>
      </c>
      <c r="B3459" s="5" t="s">
        <v>697</v>
      </c>
      <c r="C3459" s="5">
        <v>2027</v>
      </c>
      <c r="D3459" s="5" t="s">
        <v>30</v>
      </c>
      <c r="E3459" t="s">
        <v>2009</v>
      </c>
      <c r="F3459" t="s">
        <v>2010</v>
      </c>
      <c r="G3459" t="s">
        <v>1898</v>
      </c>
      <c r="H3459" t="s">
        <v>2011</v>
      </c>
      <c r="I3459" t="s">
        <v>112</v>
      </c>
      <c r="J3459" t="s">
        <v>36</v>
      </c>
      <c r="K3459">
        <v>1390</v>
      </c>
      <c r="O3459" t="s">
        <v>176</v>
      </c>
      <c r="P3459" t="s">
        <v>42</v>
      </c>
      <c r="U3459" s="9" t="s">
        <v>148</v>
      </c>
      <c r="V3459" t="s">
        <v>184</v>
      </c>
      <c r="W3459" t="s">
        <v>178</v>
      </c>
      <c r="X3459" t="s">
        <v>58</v>
      </c>
      <c r="Y3459" t="s">
        <v>179</v>
      </c>
      <c r="Z3459" t="s">
        <v>41</v>
      </c>
      <c r="AB3459" t="str">
        <f t="shared" si="162"/>
        <v>53151</v>
      </c>
    </row>
    <row r="3460" ht="14.25" spans="1:28">
      <c r="A3460" s="5" t="s">
        <v>28</v>
      </c>
      <c r="B3460" s="5" t="s">
        <v>697</v>
      </c>
      <c r="C3460" s="5">
        <v>2027</v>
      </c>
      <c r="D3460" s="5" t="s">
        <v>30</v>
      </c>
      <c r="E3460" t="s">
        <v>2009</v>
      </c>
      <c r="F3460" t="s">
        <v>2010</v>
      </c>
      <c r="G3460" t="s">
        <v>1898</v>
      </c>
      <c r="H3460" t="s">
        <v>2011</v>
      </c>
      <c r="I3460" t="s">
        <v>112</v>
      </c>
      <c r="J3460" t="s">
        <v>36</v>
      </c>
      <c r="K3460">
        <v>1390</v>
      </c>
      <c r="O3460" t="s">
        <v>176</v>
      </c>
      <c r="P3460" t="s">
        <v>43</v>
      </c>
      <c r="U3460" s="9" t="s">
        <v>148</v>
      </c>
      <c r="V3460" t="s">
        <v>184</v>
      </c>
      <c r="W3460" t="s">
        <v>178</v>
      </c>
      <c r="X3460" t="s">
        <v>58</v>
      </c>
      <c r="Y3460" t="s">
        <v>179</v>
      </c>
      <c r="Z3460" t="s">
        <v>41</v>
      </c>
      <c r="AB3460" t="str">
        <f t="shared" si="162"/>
        <v>53151</v>
      </c>
    </row>
    <row r="3461" ht="14.25" spans="1:28">
      <c r="A3461" s="5" t="s">
        <v>28</v>
      </c>
      <c r="B3461" s="5" t="s">
        <v>697</v>
      </c>
      <c r="C3461" s="5">
        <v>2027</v>
      </c>
      <c r="D3461" s="5" t="s">
        <v>30</v>
      </c>
      <c r="E3461" t="s">
        <v>2009</v>
      </c>
      <c r="F3461" t="s">
        <v>2010</v>
      </c>
      <c r="G3461" t="s">
        <v>1898</v>
      </c>
      <c r="H3461" t="s">
        <v>2011</v>
      </c>
      <c r="I3461" t="s">
        <v>112</v>
      </c>
      <c r="J3461" t="s">
        <v>36</v>
      </c>
      <c r="K3461">
        <v>1390</v>
      </c>
      <c r="O3461" t="s">
        <v>176</v>
      </c>
      <c r="P3461" t="s">
        <v>44</v>
      </c>
      <c r="U3461" s="9" t="s">
        <v>148</v>
      </c>
      <c r="V3461" t="s">
        <v>184</v>
      </c>
      <c r="W3461" t="s">
        <v>178</v>
      </c>
      <c r="X3461" t="s">
        <v>58</v>
      </c>
      <c r="Y3461" t="s">
        <v>179</v>
      </c>
      <c r="Z3461" t="s">
        <v>41</v>
      </c>
      <c r="AB3461" t="str">
        <f t="shared" si="162"/>
        <v>53151</v>
      </c>
    </row>
    <row r="3462" ht="14.25" spans="1:28">
      <c r="A3462" s="5" t="s">
        <v>28</v>
      </c>
      <c r="B3462" s="5" t="s">
        <v>697</v>
      </c>
      <c r="C3462" s="5">
        <v>2027</v>
      </c>
      <c r="D3462" s="5" t="s">
        <v>30</v>
      </c>
      <c r="E3462" t="s">
        <v>2009</v>
      </c>
      <c r="F3462" t="s">
        <v>2010</v>
      </c>
      <c r="G3462" t="s">
        <v>1898</v>
      </c>
      <c r="H3462" t="s">
        <v>2011</v>
      </c>
      <c r="I3462" t="s">
        <v>112</v>
      </c>
      <c r="J3462" t="s">
        <v>36</v>
      </c>
      <c r="K3462">
        <v>1390</v>
      </c>
      <c r="O3462" t="s">
        <v>176</v>
      </c>
      <c r="P3462" t="s">
        <v>45</v>
      </c>
      <c r="U3462" s="9" t="s">
        <v>148</v>
      </c>
      <c r="V3462" t="s">
        <v>184</v>
      </c>
      <c r="W3462" t="s">
        <v>178</v>
      </c>
      <c r="X3462" t="s">
        <v>58</v>
      </c>
      <c r="Y3462" t="s">
        <v>179</v>
      </c>
      <c r="Z3462" t="s">
        <v>41</v>
      </c>
      <c r="AB3462" t="str">
        <f t="shared" si="162"/>
        <v>53151</v>
      </c>
    </row>
    <row r="3463" ht="14.25" spans="1:28">
      <c r="A3463" s="5" t="s">
        <v>28</v>
      </c>
      <c r="B3463" s="5" t="s">
        <v>697</v>
      </c>
      <c r="C3463" s="5">
        <v>2027</v>
      </c>
      <c r="D3463" s="5" t="s">
        <v>30</v>
      </c>
      <c r="E3463" t="s">
        <v>2012</v>
      </c>
      <c r="F3463" t="s">
        <v>2010</v>
      </c>
      <c r="G3463" t="s">
        <v>254</v>
      </c>
      <c r="H3463" t="s">
        <v>2013</v>
      </c>
      <c r="I3463" t="s">
        <v>112</v>
      </c>
      <c r="J3463" t="s">
        <v>36</v>
      </c>
      <c r="K3463">
        <v>1390</v>
      </c>
      <c r="O3463" t="s">
        <v>176</v>
      </c>
      <c r="P3463" t="s">
        <v>177</v>
      </c>
      <c r="R3463">
        <f t="shared" ref="R3458:R3521" si="163">SUMIFS(Q:Q,E:E,E3463)</f>
        <v>0</v>
      </c>
      <c r="S3463">
        <f>SUMIFS([1]Sheet1!$T:$T,[1]Sheet1!$I:$I,E3463,[1]Sheet1!$C:$C,A3463)</f>
        <v>40</v>
      </c>
      <c r="T3463">
        <f t="shared" ref="T3458:T3521" si="164">R3463-S3463</f>
        <v>-40</v>
      </c>
      <c r="U3463" s="9" t="s">
        <v>148</v>
      </c>
      <c r="V3463" t="s">
        <v>184</v>
      </c>
      <c r="W3463" t="s">
        <v>178</v>
      </c>
      <c r="X3463" t="s">
        <v>86</v>
      </c>
      <c r="Y3463" t="s">
        <v>179</v>
      </c>
      <c r="Z3463" t="s">
        <v>41</v>
      </c>
      <c r="AB3463" t="str">
        <f t="shared" si="162"/>
        <v>53151</v>
      </c>
    </row>
    <row r="3464" ht="14.25" spans="1:28">
      <c r="A3464" s="5" t="s">
        <v>28</v>
      </c>
      <c r="B3464" s="5" t="s">
        <v>697</v>
      </c>
      <c r="C3464" s="5">
        <v>2027</v>
      </c>
      <c r="D3464" s="5" t="s">
        <v>30</v>
      </c>
      <c r="E3464" t="s">
        <v>2012</v>
      </c>
      <c r="F3464" t="s">
        <v>2010</v>
      </c>
      <c r="G3464" t="s">
        <v>254</v>
      </c>
      <c r="H3464" t="s">
        <v>2013</v>
      </c>
      <c r="I3464" t="s">
        <v>112</v>
      </c>
      <c r="J3464" t="s">
        <v>36</v>
      </c>
      <c r="K3464">
        <v>1390</v>
      </c>
      <c r="O3464" t="s">
        <v>176</v>
      </c>
      <c r="P3464" t="s">
        <v>38</v>
      </c>
      <c r="U3464" s="9" t="s">
        <v>148</v>
      </c>
      <c r="V3464" t="s">
        <v>184</v>
      </c>
      <c r="W3464" t="s">
        <v>178</v>
      </c>
      <c r="X3464" t="s">
        <v>86</v>
      </c>
      <c r="Y3464" t="s">
        <v>179</v>
      </c>
      <c r="Z3464" t="s">
        <v>41</v>
      </c>
      <c r="AB3464" t="str">
        <f t="shared" si="162"/>
        <v>53151</v>
      </c>
    </row>
    <row r="3465" ht="14.25" spans="1:28">
      <c r="A3465" s="5" t="s">
        <v>28</v>
      </c>
      <c r="B3465" s="5" t="s">
        <v>697</v>
      </c>
      <c r="C3465" s="5">
        <v>2027</v>
      </c>
      <c r="D3465" s="5" t="s">
        <v>30</v>
      </c>
      <c r="E3465" t="s">
        <v>2012</v>
      </c>
      <c r="F3465" t="s">
        <v>2010</v>
      </c>
      <c r="G3465" t="s">
        <v>254</v>
      </c>
      <c r="H3465" t="s">
        <v>2013</v>
      </c>
      <c r="I3465" t="s">
        <v>112</v>
      </c>
      <c r="J3465" t="s">
        <v>36</v>
      </c>
      <c r="K3465">
        <v>1390</v>
      </c>
      <c r="O3465" t="s">
        <v>176</v>
      </c>
      <c r="P3465" t="s">
        <v>42</v>
      </c>
      <c r="U3465" s="9" t="s">
        <v>148</v>
      </c>
      <c r="V3465" t="s">
        <v>184</v>
      </c>
      <c r="W3465" t="s">
        <v>178</v>
      </c>
      <c r="X3465" t="s">
        <v>86</v>
      </c>
      <c r="Y3465" t="s">
        <v>179</v>
      </c>
      <c r="Z3465" t="s">
        <v>41</v>
      </c>
      <c r="AB3465" t="str">
        <f t="shared" si="162"/>
        <v>53151</v>
      </c>
    </row>
    <row r="3466" ht="14.25" spans="1:28">
      <c r="A3466" s="5" t="s">
        <v>28</v>
      </c>
      <c r="B3466" s="5" t="s">
        <v>697</v>
      </c>
      <c r="C3466" s="5">
        <v>2027</v>
      </c>
      <c r="D3466" s="5" t="s">
        <v>30</v>
      </c>
      <c r="E3466" t="s">
        <v>2012</v>
      </c>
      <c r="F3466" t="s">
        <v>2010</v>
      </c>
      <c r="G3466" t="s">
        <v>254</v>
      </c>
      <c r="H3466" t="s">
        <v>2013</v>
      </c>
      <c r="I3466" t="s">
        <v>112</v>
      </c>
      <c r="J3466" t="s">
        <v>36</v>
      </c>
      <c r="K3466">
        <v>1390</v>
      </c>
      <c r="O3466" t="s">
        <v>176</v>
      </c>
      <c r="P3466" t="s">
        <v>43</v>
      </c>
      <c r="U3466" s="9" t="s">
        <v>148</v>
      </c>
      <c r="V3466" t="s">
        <v>184</v>
      </c>
      <c r="W3466" t="s">
        <v>178</v>
      </c>
      <c r="X3466" t="s">
        <v>86</v>
      </c>
      <c r="Y3466" t="s">
        <v>179</v>
      </c>
      <c r="Z3466" t="s">
        <v>41</v>
      </c>
      <c r="AB3466" t="str">
        <f t="shared" si="162"/>
        <v>53151</v>
      </c>
    </row>
    <row r="3467" ht="14.25" spans="1:28">
      <c r="A3467" s="5" t="s">
        <v>28</v>
      </c>
      <c r="B3467" s="5" t="s">
        <v>697</v>
      </c>
      <c r="C3467" s="5">
        <v>2027</v>
      </c>
      <c r="D3467" s="5" t="s">
        <v>30</v>
      </c>
      <c r="E3467" t="s">
        <v>2012</v>
      </c>
      <c r="F3467" t="s">
        <v>2010</v>
      </c>
      <c r="G3467" t="s">
        <v>254</v>
      </c>
      <c r="H3467" t="s">
        <v>2013</v>
      </c>
      <c r="I3467" t="s">
        <v>112</v>
      </c>
      <c r="J3467" t="s">
        <v>36</v>
      </c>
      <c r="K3467">
        <v>1390</v>
      </c>
      <c r="O3467" t="s">
        <v>176</v>
      </c>
      <c r="P3467" t="s">
        <v>44</v>
      </c>
      <c r="U3467" s="9" t="s">
        <v>148</v>
      </c>
      <c r="V3467" t="s">
        <v>184</v>
      </c>
      <c r="W3467" t="s">
        <v>178</v>
      </c>
      <c r="X3467" t="s">
        <v>86</v>
      </c>
      <c r="Y3467" t="s">
        <v>179</v>
      </c>
      <c r="Z3467" t="s">
        <v>41</v>
      </c>
      <c r="AB3467" t="str">
        <f t="shared" si="162"/>
        <v>53151</v>
      </c>
    </row>
    <row r="3468" ht="14.25" spans="1:28">
      <c r="A3468" s="5" t="s">
        <v>28</v>
      </c>
      <c r="B3468" s="5" t="s">
        <v>697</v>
      </c>
      <c r="C3468" s="5">
        <v>2027</v>
      </c>
      <c r="D3468" s="5" t="s">
        <v>30</v>
      </c>
      <c r="E3468" t="s">
        <v>2012</v>
      </c>
      <c r="F3468" t="s">
        <v>2010</v>
      </c>
      <c r="G3468" t="s">
        <v>254</v>
      </c>
      <c r="H3468" t="s">
        <v>2013</v>
      </c>
      <c r="I3468" t="s">
        <v>112</v>
      </c>
      <c r="J3468" t="s">
        <v>36</v>
      </c>
      <c r="K3468">
        <v>1390</v>
      </c>
      <c r="O3468" t="s">
        <v>176</v>
      </c>
      <c r="P3468" t="s">
        <v>45</v>
      </c>
      <c r="U3468" s="9" t="s">
        <v>148</v>
      </c>
      <c r="V3468" t="s">
        <v>184</v>
      </c>
      <c r="W3468" t="s">
        <v>178</v>
      </c>
      <c r="X3468" t="s">
        <v>86</v>
      </c>
      <c r="Y3468" t="s">
        <v>179</v>
      </c>
      <c r="Z3468" t="s">
        <v>41</v>
      </c>
      <c r="AB3468" t="str">
        <f t="shared" si="162"/>
        <v>53151</v>
      </c>
    </row>
    <row r="3469" ht="14.25" spans="1:28">
      <c r="A3469" s="5" t="s">
        <v>28</v>
      </c>
      <c r="B3469" s="5" t="s">
        <v>697</v>
      </c>
      <c r="C3469" s="5">
        <v>2027</v>
      </c>
      <c r="D3469" s="5" t="s">
        <v>30</v>
      </c>
      <c r="E3469" t="s">
        <v>2014</v>
      </c>
      <c r="F3469" t="s">
        <v>253</v>
      </c>
      <c r="G3469" t="s">
        <v>182</v>
      </c>
      <c r="H3469" t="s">
        <v>2015</v>
      </c>
      <c r="I3469" t="s">
        <v>147</v>
      </c>
      <c r="J3469" t="s">
        <v>36</v>
      </c>
      <c r="K3469">
        <v>1390</v>
      </c>
      <c r="O3469" t="s">
        <v>176</v>
      </c>
      <c r="P3469" t="s">
        <v>177</v>
      </c>
      <c r="R3469">
        <f t="shared" si="163"/>
        <v>0</v>
      </c>
      <c r="S3469">
        <f>SUMIFS([1]Sheet1!$T:$T,[1]Sheet1!$I:$I,E3469,[1]Sheet1!$C:$C,A3469)</f>
        <v>120</v>
      </c>
      <c r="T3469">
        <f t="shared" si="164"/>
        <v>-120</v>
      </c>
      <c r="U3469" s="9" t="s">
        <v>148</v>
      </c>
      <c r="V3469" t="s">
        <v>164</v>
      </c>
      <c r="W3469" t="s">
        <v>178</v>
      </c>
      <c r="X3469" t="s">
        <v>102</v>
      </c>
      <c r="Y3469" t="s">
        <v>179</v>
      </c>
      <c r="Z3469" t="s">
        <v>41</v>
      </c>
      <c r="AB3469" t="str">
        <f t="shared" si="162"/>
        <v>53153</v>
      </c>
    </row>
    <row r="3470" ht="14.25" spans="1:28">
      <c r="A3470" s="5" t="s">
        <v>28</v>
      </c>
      <c r="B3470" s="5" t="s">
        <v>697</v>
      </c>
      <c r="C3470" s="5">
        <v>2027</v>
      </c>
      <c r="D3470" s="5" t="s">
        <v>30</v>
      </c>
      <c r="E3470" t="s">
        <v>2014</v>
      </c>
      <c r="F3470" t="s">
        <v>253</v>
      </c>
      <c r="G3470" t="s">
        <v>182</v>
      </c>
      <c r="H3470" t="s">
        <v>2015</v>
      </c>
      <c r="I3470" t="s">
        <v>147</v>
      </c>
      <c r="J3470" t="s">
        <v>36</v>
      </c>
      <c r="K3470">
        <v>1390</v>
      </c>
      <c r="O3470" t="s">
        <v>176</v>
      </c>
      <c r="P3470" t="s">
        <v>38</v>
      </c>
      <c r="U3470" s="9" t="s">
        <v>148</v>
      </c>
      <c r="V3470" t="s">
        <v>164</v>
      </c>
      <c r="W3470" t="s">
        <v>178</v>
      </c>
      <c r="X3470" t="s">
        <v>102</v>
      </c>
      <c r="Y3470" t="s">
        <v>179</v>
      </c>
      <c r="Z3470" t="s">
        <v>41</v>
      </c>
      <c r="AB3470" t="str">
        <f t="shared" si="162"/>
        <v>53153</v>
      </c>
    </row>
    <row r="3471" ht="14.25" spans="1:28">
      <c r="A3471" s="5" t="s">
        <v>28</v>
      </c>
      <c r="B3471" s="5" t="s">
        <v>697</v>
      </c>
      <c r="C3471" s="5">
        <v>2027</v>
      </c>
      <c r="D3471" s="5" t="s">
        <v>30</v>
      </c>
      <c r="E3471" t="s">
        <v>2014</v>
      </c>
      <c r="F3471" t="s">
        <v>253</v>
      </c>
      <c r="G3471" t="s">
        <v>182</v>
      </c>
      <c r="H3471" t="s">
        <v>2015</v>
      </c>
      <c r="I3471" t="s">
        <v>147</v>
      </c>
      <c r="J3471" t="s">
        <v>36</v>
      </c>
      <c r="K3471">
        <v>1390</v>
      </c>
      <c r="O3471" t="s">
        <v>176</v>
      </c>
      <c r="P3471" t="s">
        <v>42</v>
      </c>
      <c r="U3471" s="9" t="s">
        <v>148</v>
      </c>
      <c r="V3471" t="s">
        <v>164</v>
      </c>
      <c r="W3471" t="s">
        <v>178</v>
      </c>
      <c r="X3471" t="s">
        <v>102</v>
      </c>
      <c r="Y3471" t="s">
        <v>179</v>
      </c>
      <c r="Z3471" t="s">
        <v>41</v>
      </c>
      <c r="AB3471" t="str">
        <f t="shared" si="162"/>
        <v>53153</v>
      </c>
    </row>
    <row r="3472" ht="14.25" spans="1:28">
      <c r="A3472" s="5" t="s">
        <v>28</v>
      </c>
      <c r="B3472" s="5" t="s">
        <v>697</v>
      </c>
      <c r="C3472" s="5">
        <v>2027</v>
      </c>
      <c r="D3472" s="5" t="s">
        <v>30</v>
      </c>
      <c r="E3472" t="s">
        <v>2014</v>
      </c>
      <c r="F3472" t="s">
        <v>253</v>
      </c>
      <c r="G3472" t="s">
        <v>182</v>
      </c>
      <c r="H3472" t="s">
        <v>2015</v>
      </c>
      <c r="I3472" t="s">
        <v>147</v>
      </c>
      <c r="J3472" t="s">
        <v>36</v>
      </c>
      <c r="K3472">
        <v>1390</v>
      </c>
      <c r="O3472" t="s">
        <v>176</v>
      </c>
      <c r="P3472" t="s">
        <v>43</v>
      </c>
      <c r="U3472" s="9" t="s">
        <v>148</v>
      </c>
      <c r="V3472" t="s">
        <v>164</v>
      </c>
      <c r="W3472" t="s">
        <v>178</v>
      </c>
      <c r="X3472" t="s">
        <v>102</v>
      </c>
      <c r="Y3472" t="s">
        <v>179</v>
      </c>
      <c r="Z3472" t="s">
        <v>41</v>
      </c>
      <c r="AB3472" t="str">
        <f t="shared" si="162"/>
        <v>53153</v>
      </c>
    </row>
    <row r="3473" ht="14.25" spans="1:28">
      <c r="A3473" s="5" t="s">
        <v>28</v>
      </c>
      <c r="B3473" s="5" t="s">
        <v>697</v>
      </c>
      <c r="C3473" s="5">
        <v>2027</v>
      </c>
      <c r="D3473" s="5" t="s">
        <v>30</v>
      </c>
      <c r="E3473" t="s">
        <v>2014</v>
      </c>
      <c r="F3473" t="s">
        <v>253</v>
      </c>
      <c r="G3473" t="s">
        <v>182</v>
      </c>
      <c r="H3473" t="s">
        <v>2015</v>
      </c>
      <c r="I3473" t="s">
        <v>147</v>
      </c>
      <c r="J3473" t="s">
        <v>36</v>
      </c>
      <c r="K3473">
        <v>1390</v>
      </c>
      <c r="O3473" t="s">
        <v>176</v>
      </c>
      <c r="P3473" t="s">
        <v>44</v>
      </c>
      <c r="U3473" s="9" t="s">
        <v>148</v>
      </c>
      <c r="V3473" t="s">
        <v>164</v>
      </c>
      <c r="W3473" t="s">
        <v>178</v>
      </c>
      <c r="X3473" t="s">
        <v>102</v>
      </c>
      <c r="Y3473" t="s">
        <v>179</v>
      </c>
      <c r="Z3473" t="s">
        <v>41</v>
      </c>
      <c r="AB3473" t="str">
        <f t="shared" si="162"/>
        <v>53153</v>
      </c>
    </row>
    <row r="3474" ht="14.25" spans="1:28">
      <c r="A3474" s="5" t="s">
        <v>28</v>
      </c>
      <c r="B3474" s="5" t="s">
        <v>697</v>
      </c>
      <c r="C3474" s="5">
        <v>2027</v>
      </c>
      <c r="D3474" s="5" t="s">
        <v>30</v>
      </c>
      <c r="E3474" t="s">
        <v>2014</v>
      </c>
      <c r="F3474" t="s">
        <v>253</v>
      </c>
      <c r="G3474" t="s">
        <v>182</v>
      </c>
      <c r="H3474" t="s">
        <v>2015</v>
      </c>
      <c r="I3474" t="s">
        <v>147</v>
      </c>
      <c r="J3474" t="s">
        <v>36</v>
      </c>
      <c r="K3474">
        <v>1390</v>
      </c>
      <c r="O3474" t="s">
        <v>176</v>
      </c>
      <c r="P3474" t="s">
        <v>45</v>
      </c>
      <c r="U3474" s="9" t="s">
        <v>148</v>
      </c>
      <c r="V3474" t="s">
        <v>164</v>
      </c>
      <c r="W3474" t="s">
        <v>178</v>
      </c>
      <c r="X3474" t="s">
        <v>102</v>
      </c>
      <c r="Y3474" t="s">
        <v>179</v>
      </c>
      <c r="Z3474" t="s">
        <v>41</v>
      </c>
      <c r="AB3474" t="str">
        <f t="shared" si="162"/>
        <v>53153</v>
      </c>
    </row>
    <row r="3475" ht="14.25" spans="1:28">
      <c r="A3475" s="5" t="s">
        <v>28</v>
      </c>
      <c r="B3475" s="5" t="s">
        <v>697</v>
      </c>
      <c r="C3475" s="5">
        <v>2027</v>
      </c>
      <c r="D3475" s="5" t="s">
        <v>30</v>
      </c>
      <c r="E3475" t="s">
        <v>2016</v>
      </c>
      <c r="F3475" t="s">
        <v>253</v>
      </c>
      <c r="G3475" t="s">
        <v>56</v>
      </c>
      <c r="H3475" t="s">
        <v>2017</v>
      </c>
      <c r="I3475" t="s">
        <v>147</v>
      </c>
      <c r="J3475" t="s">
        <v>36</v>
      </c>
      <c r="K3475">
        <v>1390</v>
      </c>
      <c r="O3475" t="s">
        <v>176</v>
      </c>
      <c r="P3475" t="s">
        <v>177</v>
      </c>
      <c r="R3475">
        <f t="shared" si="163"/>
        <v>0</v>
      </c>
      <c r="S3475">
        <f>SUMIFS([1]Sheet1!$T:$T,[1]Sheet1!$I:$I,E3475,[1]Sheet1!$C:$C,A3475)</f>
        <v>80</v>
      </c>
      <c r="T3475">
        <f t="shared" si="164"/>
        <v>-80</v>
      </c>
      <c r="U3475" s="9" t="s">
        <v>148</v>
      </c>
      <c r="V3475" t="s">
        <v>164</v>
      </c>
      <c r="W3475" t="s">
        <v>178</v>
      </c>
      <c r="X3475" t="s">
        <v>58</v>
      </c>
      <c r="Y3475" t="s">
        <v>179</v>
      </c>
      <c r="Z3475" t="s">
        <v>41</v>
      </c>
      <c r="AB3475" t="str">
        <f t="shared" si="162"/>
        <v>53153</v>
      </c>
    </row>
    <row r="3476" ht="14.25" spans="1:28">
      <c r="A3476" s="5" t="s">
        <v>28</v>
      </c>
      <c r="B3476" s="5" t="s">
        <v>697</v>
      </c>
      <c r="C3476" s="5">
        <v>2027</v>
      </c>
      <c r="D3476" s="5" t="s">
        <v>30</v>
      </c>
      <c r="E3476" t="s">
        <v>2016</v>
      </c>
      <c r="F3476" t="s">
        <v>253</v>
      </c>
      <c r="G3476" t="s">
        <v>56</v>
      </c>
      <c r="H3476" t="s">
        <v>2017</v>
      </c>
      <c r="I3476" t="s">
        <v>147</v>
      </c>
      <c r="J3476" t="s">
        <v>36</v>
      </c>
      <c r="K3476">
        <v>1390</v>
      </c>
      <c r="O3476" t="s">
        <v>176</v>
      </c>
      <c r="P3476" t="s">
        <v>38</v>
      </c>
      <c r="U3476" s="9" t="s">
        <v>148</v>
      </c>
      <c r="V3476" t="s">
        <v>164</v>
      </c>
      <c r="W3476" t="s">
        <v>178</v>
      </c>
      <c r="X3476" t="s">
        <v>58</v>
      </c>
      <c r="Y3476" t="s">
        <v>179</v>
      </c>
      <c r="Z3476" t="s">
        <v>41</v>
      </c>
      <c r="AB3476" t="str">
        <f t="shared" si="162"/>
        <v>53153</v>
      </c>
    </row>
    <row r="3477" ht="14.25" spans="1:28">
      <c r="A3477" s="5" t="s">
        <v>28</v>
      </c>
      <c r="B3477" s="5" t="s">
        <v>697</v>
      </c>
      <c r="C3477" s="5">
        <v>2027</v>
      </c>
      <c r="D3477" s="5" t="s">
        <v>30</v>
      </c>
      <c r="E3477" t="s">
        <v>2016</v>
      </c>
      <c r="F3477" t="s">
        <v>253</v>
      </c>
      <c r="G3477" t="s">
        <v>56</v>
      </c>
      <c r="H3477" t="s">
        <v>2017</v>
      </c>
      <c r="I3477" t="s">
        <v>147</v>
      </c>
      <c r="J3477" t="s">
        <v>36</v>
      </c>
      <c r="K3477">
        <v>1390</v>
      </c>
      <c r="O3477" t="s">
        <v>176</v>
      </c>
      <c r="P3477" t="s">
        <v>42</v>
      </c>
      <c r="U3477" s="9" t="s">
        <v>148</v>
      </c>
      <c r="V3477" t="s">
        <v>164</v>
      </c>
      <c r="W3477" t="s">
        <v>178</v>
      </c>
      <c r="X3477" t="s">
        <v>58</v>
      </c>
      <c r="Y3477" t="s">
        <v>179</v>
      </c>
      <c r="Z3477" t="s">
        <v>41</v>
      </c>
      <c r="AB3477" t="str">
        <f t="shared" si="162"/>
        <v>53153</v>
      </c>
    </row>
    <row r="3478" ht="14.25" spans="1:28">
      <c r="A3478" s="5" t="s">
        <v>28</v>
      </c>
      <c r="B3478" s="5" t="s">
        <v>697</v>
      </c>
      <c r="C3478" s="5">
        <v>2027</v>
      </c>
      <c r="D3478" s="5" t="s">
        <v>30</v>
      </c>
      <c r="E3478" t="s">
        <v>2016</v>
      </c>
      <c r="F3478" t="s">
        <v>253</v>
      </c>
      <c r="G3478" t="s">
        <v>56</v>
      </c>
      <c r="H3478" t="s">
        <v>2017</v>
      </c>
      <c r="I3478" t="s">
        <v>147</v>
      </c>
      <c r="J3478" t="s">
        <v>36</v>
      </c>
      <c r="K3478">
        <v>1390</v>
      </c>
      <c r="O3478" t="s">
        <v>176</v>
      </c>
      <c r="P3478" t="s">
        <v>43</v>
      </c>
      <c r="U3478" s="9" t="s">
        <v>148</v>
      </c>
      <c r="V3478" t="s">
        <v>164</v>
      </c>
      <c r="W3478" t="s">
        <v>178</v>
      </c>
      <c r="X3478" t="s">
        <v>58</v>
      </c>
      <c r="Y3478" t="s">
        <v>179</v>
      </c>
      <c r="Z3478" t="s">
        <v>41</v>
      </c>
      <c r="AB3478" t="str">
        <f t="shared" si="162"/>
        <v>53153</v>
      </c>
    </row>
    <row r="3479" ht="14.25" spans="1:28">
      <c r="A3479" s="5" t="s">
        <v>28</v>
      </c>
      <c r="B3479" s="5" t="s">
        <v>697</v>
      </c>
      <c r="C3479" s="5">
        <v>2027</v>
      </c>
      <c r="D3479" s="5" t="s">
        <v>30</v>
      </c>
      <c r="E3479" t="s">
        <v>2016</v>
      </c>
      <c r="F3479" t="s">
        <v>253</v>
      </c>
      <c r="G3479" t="s">
        <v>56</v>
      </c>
      <c r="H3479" t="s">
        <v>2017</v>
      </c>
      <c r="I3479" t="s">
        <v>147</v>
      </c>
      <c r="J3479" t="s">
        <v>36</v>
      </c>
      <c r="K3479">
        <v>1390</v>
      </c>
      <c r="O3479" t="s">
        <v>176</v>
      </c>
      <c r="P3479" t="s">
        <v>44</v>
      </c>
      <c r="U3479" s="9" t="s">
        <v>148</v>
      </c>
      <c r="V3479" t="s">
        <v>164</v>
      </c>
      <c r="W3479" t="s">
        <v>178</v>
      </c>
      <c r="X3479" t="s">
        <v>58</v>
      </c>
      <c r="Y3479" t="s">
        <v>179</v>
      </c>
      <c r="Z3479" t="s">
        <v>41</v>
      </c>
      <c r="AB3479" t="str">
        <f t="shared" si="162"/>
        <v>53153</v>
      </c>
    </row>
    <row r="3480" ht="14.25" spans="1:28">
      <c r="A3480" s="5" t="s">
        <v>28</v>
      </c>
      <c r="B3480" s="5" t="s">
        <v>697</v>
      </c>
      <c r="C3480" s="5">
        <v>2027</v>
      </c>
      <c r="D3480" s="5" t="s">
        <v>30</v>
      </c>
      <c r="E3480" t="s">
        <v>2016</v>
      </c>
      <c r="F3480" t="s">
        <v>253</v>
      </c>
      <c r="G3480" t="s">
        <v>56</v>
      </c>
      <c r="H3480" t="s">
        <v>2017</v>
      </c>
      <c r="I3480" t="s">
        <v>147</v>
      </c>
      <c r="J3480" t="s">
        <v>36</v>
      </c>
      <c r="K3480">
        <v>1390</v>
      </c>
      <c r="O3480" t="s">
        <v>176</v>
      </c>
      <c r="P3480" t="s">
        <v>45</v>
      </c>
      <c r="U3480" s="9" t="s">
        <v>148</v>
      </c>
      <c r="V3480" t="s">
        <v>164</v>
      </c>
      <c r="W3480" t="s">
        <v>178</v>
      </c>
      <c r="X3480" t="s">
        <v>58</v>
      </c>
      <c r="Y3480" t="s">
        <v>179</v>
      </c>
      <c r="Z3480" t="s">
        <v>41</v>
      </c>
      <c r="AB3480" t="str">
        <f t="shared" si="162"/>
        <v>53153</v>
      </c>
    </row>
    <row r="3481" ht="14.25" spans="1:28">
      <c r="A3481" s="5" t="s">
        <v>28</v>
      </c>
      <c r="B3481" s="5" t="s">
        <v>697</v>
      </c>
      <c r="C3481" s="5">
        <v>2027</v>
      </c>
      <c r="D3481" s="5" t="s">
        <v>30</v>
      </c>
      <c r="E3481" t="s">
        <v>252</v>
      </c>
      <c r="F3481" t="s">
        <v>253</v>
      </c>
      <c r="G3481" t="s">
        <v>254</v>
      </c>
      <c r="H3481" t="s">
        <v>255</v>
      </c>
      <c r="I3481" t="s">
        <v>147</v>
      </c>
      <c r="J3481" t="s">
        <v>36</v>
      </c>
      <c r="K3481">
        <v>1390</v>
      </c>
      <c r="O3481" t="s">
        <v>176</v>
      </c>
      <c r="P3481" t="s">
        <v>177</v>
      </c>
      <c r="R3481">
        <f t="shared" si="163"/>
        <v>0</v>
      </c>
      <c r="S3481">
        <f>SUMIFS([1]Sheet1!$T:$T,[1]Sheet1!$I:$I,E3481,[1]Sheet1!$C:$C,A3481)</f>
        <v>250</v>
      </c>
      <c r="T3481">
        <f t="shared" si="164"/>
        <v>-250</v>
      </c>
      <c r="U3481" s="9" t="s">
        <v>148</v>
      </c>
      <c r="V3481" t="s">
        <v>164</v>
      </c>
      <c r="W3481" t="s">
        <v>178</v>
      </c>
      <c r="X3481" t="s">
        <v>86</v>
      </c>
      <c r="Y3481" t="s">
        <v>179</v>
      </c>
      <c r="Z3481" t="s">
        <v>41</v>
      </c>
      <c r="AB3481" t="str">
        <f t="shared" si="162"/>
        <v>53153</v>
      </c>
    </row>
    <row r="3482" ht="14.25" spans="1:28">
      <c r="A3482" s="5" t="s">
        <v>28</v>
      </c>
      <c r="B3482" s="5" t="s">
        <v>697</v>
      </c>
      <c r="C3482" s="5">
        <v>2027</v>
      </c>
      <c r="D3482" s="5" t="s">
        <v>30</v>
      </c>
      <c r="E3482" t="s">
        <v>252</v>
      </c>
      <c r="F3482" t="s">
        <v>253</v>
      </c>
      <c r="G3482" t="s">
        <v>254</v>
      </c>
      <c r="H3482" t="s">
        <v>255</v>
      </c>
      <c r="I3482" t="s">
        <v>147</v>
      </c>
      <c r="J3482" t="s">
        <v>36</v>
      </c>
      <c r="K3482">
        <v>1390</v>
      </c>
      <c r="O3482" t="s">
        <v>176</v>
      </c>
      <c r="P3482" t="s">
        <v>38</v>
      </c>
      <c r="U3482" s="9" t="s">
        <v>148</v>
      </c>
      <c r="V3482" t="s">
        <v>164</v>
      </c>
      <c r="W3482" t="s">
        <v>178</v>
      </c>
      <c r="X3482" t="s">
        <v>86</v>
      </c>
      <c r="Y3482" t="s">
        <v>179</v>
      </c>
      <c r="Z3482" t="s">
        <v>41</v>
      </c>
      <c r="AB3482" t="str">
        <f t="shared" si="162"/>
        <v>53153</v>
      </c>
    </row>
    <row r="3483" ht="14.25" spans="1:28">
      <c r="A3483" s="5" t="s">
        <v>28</v>
      </c>
      <c r="B3483" s="5" t="s">
        <v>697</v>
      </c>
      <c r="C3483" s="5">
        <v>2027</v>
      </c>
      <c r="D3483" s="5" t="s">
        <v>30</v>
      </c>
      <c r="E3483" t="s">
        <v>252</v>
      </c>
      <c r="F3483" t="s">
        <v>253</v>
      </c>
      <c r="G3483" t="s">
        <v>254</v>
      </c>
      <c r="H3483" t="s">
        <v>255</v>
      </c>
      <c r="I3483" t="s">
        <v>147</v>
      </c>
      <c r="J3483" t="s">
        <v>36</v>
      </c>
      <c r="K3483">
        <v>1390</v>
      </c>
      <c r="O3483" t="s">
        <v>176</v>
      </c>
      <c r="P3483" t="s">
        <v>42</v>
      </c>
      <c r="U3483" s="9" t="s">
        <v>148</v>
      </c>
      <c r="V3483" t="s">
        <v>164</v>
      </c>
      <c r="W3483" t="s">
        <v>178</v>
      </c>
      <c r="X3483" t="s">
        <v>86</v>
      </c>
      <c r="Y3483" t="s">
        <v>179</v>
      </c>
      <c r="Z3483" t="s">
        <v>41</v>
      </c>
      <c r="AB3483" t="str">
        <f t="shared" si="162"/>
        <v>53153</v>
      </c>
    </row>
    <row r="3484" ht="14.25" spans="1:28">
      <c r="A3484" s="5" t="s">
        <v>28</v>
      </c>
      <c r="B3484" s="5" t="s">
        <v>697</v>
      </c>
      <c r="C3484" s="5">
        <v>2027</v>
      </c>
      <c r="D3484" s="5" t="s">
        <v>30</v>
      </c>
      <c r="E3484" t="s">
        <v>252</v>
      </c>
      <c r="F3484" t="s">
        <v>253</v>
      </c>
      <c r="G3484" t="s">
        <v>254</v>
      </c>
      <c r="H3484" t="s">
        <v>255</v>
      </c>
      <c r="I3484" t="s">
        <v>147</v>
      </c>
      <c r="J3484" t="s">
        <v>36</v>
      </c>
      <c r="K3484">
        <v>1390</v>
      </c>
      <c r="O3484" t="s">
        <v>176</v>
      </c>
      <c r="P3484" t="s">
        <v>43</v>
      </c>
      <c r="U3484" s="9" t="s">
        <v>148</v>
      </c>
      <c r="V3484" t="s">
        <v>164</v>
      </c>
      <c r="W3484" t="s">
        <v>178</v>
      </c>
      <c r="X3484" t="s">
        <v>86</v>
      </c>
      <c r="Y3484" t="s">
        <v>179</v>
      </c>
      <c r="Z3484" t="s">
        <v>41</v>
      </c>
      <c r="AB3484" t="str">
        <f t="shared" si="162"/>
        <v>53153</v>
      </c>
    </row>
    <row r="3485" ht="14.25" spans="1:28">
      <c r="A3485" s="5" t="s">
        <v>28</v>
      </c>
      <c r="B3485" s="5" t="s">
        <v>697</v>
      </c>
      <c r="C3485" s="5">
        <v>2027</v>
      </c>
      <c r="D3485" s="5" t="s">
        <v>30</v>
      </c>
      <c r="E3485" t="s">
        <v>252</v>
      </c>
      <c r="F3485" t="s">
        <v>253</v>
      </c>
      <c r="G3485" t="s">
        <v>254</v>
      </c>
      <c r="H3485" t="s">
        <v>255</v>
      </c>
      <c r="I3485" t="s">
        <v>147</v>
      </c>
      <c r="J3485" t="s">
        <v>36</v>
      </c>
      <c r="K3485">
        <v>1390</v>
      </c>
      <c r="O3485" t="s">
        <v>176</v>
      </c>
      <c r="P3485" t="s">
        <v>44</v>
      </c>
      <c r="U3485" s="9" t="s">
        <v>148</v>
      </c>
      <c r="V3485" t="s">
        <v>164</v>
      </c>
      <c r="W3485" t="s">
        <v>178</v>
      </c>
      <c r="X3485" t="s">
        <v>86</v>
      </c>
      <c r="Y3485" t="s">
        <v>179</v>
      </c>
      <c r="Z3485" t="s">
        <v>41</v>
      </c>
      <c r="AB3485" t="str">
        <f t="shared" si="162"/>
        <v>53153</v>
      </c>
    </row>
    <row r="3486" ht="14.25" spans="1:28">
      <c r="A3486" s="5" t="s">
        <v>28</v>
      </c>
      <c r="B3486" s="5" t="s">
        <v>697</v>
      </c>
      <c r="C3486" s="5">
        <v>2027</v>
      </c>
      <c r="D3486" s="5" t="s">
        <v>30</v>
      </c>
      <c r="E3486" t="s">
        <v>252</v>
      </c>
      <c r="F3486" t="s">
        <v>253</v>
      </c>
      <c r="G3486" t="s">
        <v>254</v>
      </c>
      <c r="H3486" t="s">
        <v>255</v>
      </c>
      <c r="I3486" t="s">
        <v>147</v>
      </c>
      <c r="J3486" t="s">
        <v>36</v>
      </c>
      <c r="K3486">
        <v>1390</v>
      </c>
      <c r="O3486" t="s">
        <v>176</v>
      </c>
      <c r="P3486" t="s">
        <v>45</v>
      </c>
      <c r="U3486" s="9" t="s">
        <v>148</v>
      </c>
      <c r="V3486" t="s">
        <v>164</v>
      </c>
      <c r="W3486" t="s">
        <v>178</v>
      </c>
      <c r="X3486" t="s">
        <v>86</v>
      </c>
      <c r="Y3486" t="s">
        <v>179</v>
      </c>
      <c r="Z3486" t="s">
        <v>41</v>
      </c>
      <c r="AB3486" t="str">
        <f t="shared" si="162"/>
        <v>53153</v>
      </c>
    </row>
    <row r="3487" ht="14.25" spans="1:28">
      <c r="A3487" s="5" t="s">
        <v>28</v>
      </c>
      <c r="B3487" s="5" t="s">
        <v>697</v>
      </c>
      <c r="C3487" s="5">
        <v>2027</v>
      </c>
      <c r="D3487" s="5" t="s">
        <v>30</v>
      </c>
      <c r="E3487" t="s">
        <v>2018</v>
      </c>
      <c r="F3487" t="s">
        <v>2019</v>
      </c>
      <c r="G3487" t="s">
        <v>2020</v>
      </c>
      <c r="H3487" t="s">
        <v>2021</v>
      </c>
      <c r="I3487" t="s">
        <v>147</v>
      </c>
      <c r="J3487" t="s">
        <v>36</v>
      </c>
      <c r="K3487">
        <v>1390</v>
      </c>
      <c r="O3487" t="s">
        <v>176</v>
      </c>
      <c r="P3487" t="s">
        <v>177</v>
      </c>
      <c r="R3487">
        <f t="shared" si="163"/>
        <v>0</v>
      </c>
      <c r="S3487">
        <f>SUMIFS([1]Sheet1!$T:$T,[1]Sheet1!$I:$I,E3487,[1]Sheet1!$C:$C,A3487)</f>
        <v>80</v>
      </c>
      <c r="T3487">
        <f t="shared" si="164"/>
        <v>-80</v>
      </c>
      <c r="U3487" s="9" t="s">
        <v>148</v>
      </c>
      <c r="V3487" t="s">
        <v>164</v>
      </c>
      <c r="W3487" t="s">
        <v>178</v>
      </c>
      <c r="X3487" t="s">
        <v>122</v>
      </c>
      <c r="Y3487" t="s">
        <v>179</v>
      </c>
      <c r="Z3487" t="s">
        <v>41</v>
      </c>
      <c r="AB3487" t="str">
        <f t="shared" si="162"/>
        <v>53158</v>
      </c>
    </row>
    <row r="3488" ht="14.25" spans="1:28">
      <c r="A3488" s="5" t="s">
        <v>28</v>
      </c>
      <c r="B3488" s="5" t="s">
        <v>697</v>
      </c>
      <c r="C3488" s="5">
        <v>2027</v>
      </c>
      <c r="D3488" s="5" t="s">
        <v>30</v>
      </c>
      <c r="E3488" t="s">
        <v>2018</v>
      </c>
      <c r="F3488" t="s">
        <v>2019</v>
      </c>
      <c r="G3488" t="s">
        <v>2020</v>
      </c>
      <c r="H3488" t="s">
        <v>2021</v>
      </c>
      <c r="I3488" t="s">
        <v>147</v>
      </c>
      <c r="J3488" t="s">
        <v>36</v>
      </c>
      <c r="K3488">
        <v>1390</v>
      </c>
      <c r="O3488" t="s">
        <v>176</v>
      </c>
      <c r="P3488" t="s">
        <v>38</v>
      </c>
      <c r="U3488" s="9" t="s">
        <v>148</v>
      </c>
      <c r="V3488" t="s">
        <v>164</v>
      </c>
      <c r="W3488" t="s">
        <v>178</v>
      </c>
      <c r="X3488" t="s">
        <v>122</v>
      </c>
      <c r="Y3488" t="s">
        <v>179</v>
      </c>
      <c r="Z3488" t="s">
        <v>41</v>
      </c>
      <c r="AB3488" t="str">
        <f t="shared" si="162"/>
        <v>53158</v>
      </c>
    </row>
    <row r="3489" ht="14.25" spans="1:28">
      <c r="A3489" s="5" t="s">
        <v>28</v>
      </c>
      <c r="B3489" s="5" t="s">
        <v>697</v>
      </c>
      <c r="C3489" s="5">
        <v>2027</v>
      </c>
      <c r="D3489" s="5" t="s">
        <v>30</v>
      </c>
      <c r="E3489" t="s">
        <v>2018</v>
      </c>
      <c r="F3489" t="s">
        <v>2019</v>
      </c>
      <c r="G3489" t="s">
        <v>2020</v>
      </c>
      <c r="H3489" t="s">
        <v>2021</v>
      </c>
      <c r="I3489" t="s">
        <v>147</v>
      </c>
      <c r="J3489" t="s">
        <v>36</v>
      </c>
      <c r="K3489">
        <v>1390</v>
      </c>
      <c r="O3489" t="s">
        <v>176</v>
      </c>
      <c r="P3489" t="s">
        <v>42</v>
      </c>
      <c r="U3489" s="9" t="s">
        <v>148</v>
      </c>
      <c r="V3489" t="s">
        <v>164</v>
      </c>
      <c r="W3489" t="s">
        <v>178</v>
      </c>
      <c r="X3489" t="s">
        <v>122</v>
      </c>
      <c r="Y3489" t="s">
        <v>179</v>
      </c>
      <c r="Z3489" t="s">
        <v>41</v>
      </c>
      <c r="AB3489" t="str">
        <f t="shared" si="162"/>
        <v>53158</v>
      </c>
    </row>
    <row r="3490" ht="14.25" spans="1:28">
      <c r="A3490" s="5" t="s">
        <v>28</v>
      </c>
      <c r="B3490" s="5" t="s">
        <v>697</v>
      </c>
      <c r="C3490" s="5">
        <v>2027</v>
      </c>
      <c r="D3490" s="5" t="s">
        <v>30</v>
      </c>
      <c r="E3490" t="s">
        <v>2018</v>
      </c>
      <c r="F3490" t="s">
        <v>2019</v>
      </c>
      <c r="G3490" t="s">
        <v>2020</v>
      </c>
      <c r="H3490" t="s">
        <v>2021</v>
      </c>
      <c r="I3490" t="s">
        <v>147</v>
      </c>
      <c r="J3490" t="s">
        <v>36</v>
      </c>
      <c r="K3490">
        <v>1390</v>
      </c>
      <c r="O3490" t="s">
        <v>176</v>
      </c>
      <c r="P3490" t="s">
        <v>43</v>
      </c>
      <c r="U3490" s="9" t="s">
        <v>148</v>
      </c>
      <c r="V3490" t="s">
        <v>164</v>
      </c>
      <c r="W3490" t="s">
        <v>178</v>
      </c>
      <c r="X3490" t="s">
        <v>122</v>
      </c>
      <c r="Y3490" t="s">
        <v>179</v>
      </c>
      <c r="Z3490" t="s">
        <v>41</v>
      </c>
      <c r="AB3490" t="str">
        <f t="shared" si="162"/>
        <v>53158</v>
      </c>
    </row>
    <row r="3491" ht="14.25" spans="1:28">
      <c r="A3491" s="5" t="s">
        <v>28</v>
      </c>
      <c r="B3491" s="5" t="s">
        <v>697</v>
      </c>
      <c r="C3491" s="5">
        <v>2027</v>
      </c>
      <c r="D3491" s="5" t="s">
        <v>30</v>
      </c>
      <c r="E3491" t="s">
        <v>2018</v>
      </c>
      <c r="F3491" t="s">
        <v>2019</v>
      </c>
      <c r="G3491" t="s">
        <v>2020</v>
      </c>
      <c r="H3491" t="s">
        <v>2021</v>
      </c>
      <c r="I3491" t="s">
        <v>147</v>
      </c>
      <c r="J3491" t="s">
        <v>36</v>
      </c>
      <c r="K3491">
        <v>1390</v>
      </c>
      <c r="O3491" t="s">
        <v>176</v>
      </c>
      <c r="P3491" t="s">
        <v>44</v>
      </c>
      <c r="U3491" s="9" t="s">
        <v>148</v>
      </c>
      <c r="V3491" t="s">
        <v>164</v>
      </c>
      <c r="W3491" t="s">
        <v>178</v>
      </c>
      <c r="X3491" t="s">
        <v>122</v>
      </c>
      <c r="Y3491" t="s">
        <v>179</v>
      </c>
      <c r="Z3491" t="s">
        <v>41</v>
      </c>
      <c r="AB3491" t="str">
        <f t="shared" si="162"/>
        <v>53158</v>
      </c>
    </row>
    <row r="3492" ht="14.25" spans="1:28">
      <c r="A3492" s="5" t="s">
        <v>28</v>
      </c>
      <c r="B3492" s="5" t="s">
        <v>697</v>
      </c>
      <c r="C3492" s="5">
        <v>2027</v>
      </c>
      <c r="D3492" s="5" t="s">
        <v>30</v>
      </c>
      <c r="E3492" t="s">
        <v>2018</v>
      </c>
      <c r="F3492" t="s">
        <v>2019</v>
      </c>
      <c r="G3492" t="s">
        <v>2020</v>
      </c>
      <c r="H3492" t="s">
        <v>2021</v>
      </c>
      <c r="I3492" t="s">
        <v>147</v>
      </c>
      <c r="J3492" t="s">
        <v>36</v>
      </c>
      <c r="K3492">
        <v>1390</v>
      </c>
      <c r="O3492" t="s">
        <v>176</v>
      </c>
      <c r="P3492" t="s">
        <v>45</v>
      </c>
      <c r="U3492" s="9" t="s">
        <v>148</v>
      </c>
      <c r="V3492" t="s">
        <v>164</v>
      </c>
      <c r="W3492" t="s">
        <v>178</v>
      </c>
      <c r="X3492" t="s">
        <v>122</v>
      </c>
      <c r="Y3492" t="s">
        <v>179</v>
      </c>
      <c r="Z3492" t="s">
        <v>41</v>
      </c>
      <c r="AB3492" t="str">
        <f t="shared" si="162"/>
        <v>53158</v>
      </c>
    </row>
    <row r="3493" ht="14.25" spans="1:28">
      <c r="A3493" s="5" t="s">
        <v>28</v>
      </c>
      <c r="B3493" s="5" t="s">
        <v>697</v>
      </c>
      <c r="C3493" s="5">
        <v>2027</v>
      </c>
      <c r="D3493" s="5" t="s">
        <v>30</v>
      </c>
      <c r="E3493" t="s">
        <v>2022</v>
      </c>
      <c r="F3493" t="s">
        <v>2019</v>
      </c>
      <c r="G3493" t="s">
        <v>2023</v>
      </c>
      <c r="H3493" t="s">
        <v>2024</v>
      </c>
      <c r="I3493" t="s">
        <v>147</v>
      </c>
      <c r="J3493" t="s">
        <v>36</v>
      </c>
      <c r="K3493">
        <v>1390</v>
      </c>
      <c r="O3493" t="s">
        <v>176</v>
      </c>
      <c r="P3493" t="s">
        <v>177</v>
      </c>
      <c r="R3493">
        <f t="shared" si="163"/>
        <v>0</v>
      </c>
      <c r="S3493">
        <f>SUMIFS([1]Sheet1!$T:$T,[1]Sheet1!$I:$I,E3493,[1]Sheet1!$C:$C,A3493)</f>
        <v>50</v>
      </c>
      <c r="T3493">
        <f t="shared" si="164"/>
        <v>-50</v>
      </c>
      <c r="U3493" s="9" t="s">
        <v>148</v>
      </c>
      <c r="V3493" t="s">
        <v>164</v>
      </c>
      <c r="W3493" t="s">
        <v>178</v>
      </c>
      <c r="X3493" t="s">
        <v>1106</v>
      </c>
      <c r="Y3493" t="s">
        <v>179</v>
      </c>
      <c r="Z3493" t="s">
        <v>41</v>
      </c>
      <c r="AB3493" t="str">
        <f t="shared" si="162"/>
        <v>53158</v>
      </c>
    </row>
    <row r="3494" ht="14.25" spans="1:28">
      <c r="A3494" s="5" t="s">
        <v>28</v>
      </c>
      <c r="B3494" s="5" t="s">
        <v>697</v>
      </c>
      <c r="C3494" s="5">
        <v>2027</v>
      </c>
      <c r="D3494" s="5" t="s">
        <v>30</v>
      </c>
      <c r="E3494" t="s">
        <v>2022</v>
      </c>
      <c r="F3494" t="s">
        <v>2019</v>
      </c>
      <c r="G3494" t="s">
        <v>2023</v>
      </c>
      <c r="H3494" t="s">
        <v>2024</v>
      </c>
      <c r="I3494" t="s">
        <v>147</v>
      </c>
      <c r="J3494" t="s">
        <v>36</v>
      </c>
      <c r="K3494">
        <v>1390</v>
      </c>
      <c r="O3494" t="s">
        <v>176</v>
      </c>
      <c r="P3494" t="s">
        <v>38</v>
      </c>
      <c r="U3494" s="9" t="s">
        <v>148</v>
      </c>
      <c r="V3494" t="s">
        <v>164</v>
      </c>
      <c r="W3494" t="s">
        <v>178</v>
      </c>
      <c r="X3494" t="s">
        <v>1106</v>
      </c>
      <c r="Y3494" t="s">
        <v>179</v>
      </c>
      <c r="Z3494" t="s">
        <v>41</v>
      </c>
      <c r="AB3494" t="str">
        <f t="shared" si="162"/>
        <v>53158</v>
      </c>
    </row>
    <row r="3495" ht="14.25" spans="1:28">
      <c r="A3495" s="5" t="s">
        <v>28</v>
      </c>
      <c r="B3495" s="5" t="s">
        <v>697</v>
      </c>
      <c r="C3495" s="5">
        <v>2027</v>
      </c>
      <c r="D3495" s="5" t="s">
        <v>30</v>
      </c>
      <c r="E3495" t="s">
        <v>2022</v>
      </c>
      <c r="F3495" t="s">
        <v>2019</v>
      </c>
      <c r="G3495" t="s">
        <v>2023</v>
      </c>
      <c r="H3495" t="s">
        <v>2024</v>
      </c>
      <c r="I3495" t="s">
        <v>147</v>
      </c>
      <c r="J3495" t="s">
        <v>36</v>
      </c>
      <c r="K3495">
        <v>1390</v>
      </c>
      <c r="O3495" t="s">
        <v>176</v>
      </c>
      <c r="P3495" t="s">
        <v>42</v>
      </c>
      <c r="U3495" s="9" t="s">
        <v>148</v>
      </c>
      <c r="V3495" t="s">
        <v>164</v>
      </c>
      <c r="W3495" t="s">
        <v>178</v>
      </c>
      <c r="X3495" t="s">
        <v>1106</v>
      </c>
      <c r="Y3495" t="s">
        <v>179</v>
      </c>
      <c r="Z3495" t="s">
        <v>41</v>
      </c>
      <c r="AB3495" t="str">
        <f t="shared" si="162"/>
        <v>53158</v>
      </c>
    </row>
    <row r="3496" ht="14.25" spans="1:28">
      <c r="A3496" s="5" t="s">
        <v>28</v>
      </c>
      <c r="B3496" s="5" t="s">
        <v>697</v>
      </c>
      <c r="C3496" s="5">
        <v>2027</v>
      </c>
      <c r="D3496" s="5" t="s">
        <v>30</v>
      </c>
      <c r="E3496" t="s">
        <v>2022</v>
      </c>
      <c r="F3496" t="s">
        <v>2019</v>
      </c>
      <c r="G3496" t="s">
        <v>2023</v>
      </c>
      <c r="H3496" t="s">
        <v>2024</v>
      </c>
      <c r="I3496" t="s">
        <v>147</v>
      </c>
      <c r="J3496" t="s">
        <v>36</v>
      </c>
      <c r="K3496">
        <v>1390</v>
      </c>
      <c r="O3496" t="s">
        <v>176</v>
      </c>
      <c r="P3496" t="s">
        <v>43</v>
      </c>
      <c r="U3496" s="9" t="s">
        <v>148</v>
      </c>
      <c r="V3496" t="s">
        <v>164</v>
      </c>
      <c r="W3496" t="s">
        <v>178</v>
      </c>
      <c r="X3496" t="s">
        <v>1106</v>
      </c>
      <c r="Y3496" t="s">
        <v>179</v>
      </c>
      <c r="Z3496" t="s">
        <v>41</v>
      </c>
      <c r="AB3496" t="str">
        <f t="shared" si="162"/>
        <v>53158</v>
      </c>
    </row>
    <row r="3497" ht="14.25" spans="1:28">
      <c r="A3497" s="5" t="s">
        <v>28</v>
      </c>
      <c r="B3497" s="5" t="s">
        <v>697</v>
      </c>
      <c r="C3497" s="5">
        <v>2027</v>
      </c>
      <c r="D3497" s="5" t="s">
        <v>30</v>
      </c>
      <c r="E3497" t="s">
        <v>2022</v>
      </c>
      <c r="F3497" t="s">
        <v>2019</v>
      </c>
      <c r="G3497" t="s">
        <v>2023</v>
      </c>
      <c r="H3497" t="s">
        <v>2024</v>
      </c>
      <c r="I3497" t="s">
        <v>147</v>
      </c>
      <c r="J3497" t="s">
        <v>36</v>
      </c>
      <c r="K3497">
        <v>1390</v>
      </c>
      <c r="O3497" t="s">
        <v>176</v>
      </c>
      <c r="P3497" t="s">
        <v>44</v>
      </c>
      <c r="U3497" s="9" t="s">
        <v>148</v>
      </c>
      <c r="V3497" t="s">
        <v>164</v>
      </c>
      <c r="W3497" t="s">
        <v>178</v>
      </c>
      <c r="X3497" t="s">
        <v>1106</v>
      </c>
      <c r="Y3497" t="s">
        <v>179</v>
      </c>
      <c r="Z3497" t="s">
        <v>41</v>
      </c>
      <c r="AB3497" t="str">
        <f t="shared" si="162"/>
        <v>53158</v>
      </c>
    </row>
    <row r="3498" ht="14.25" spans="1:28">
      <c r="A3498" s="5" t="s">
        <v>28</v>
      </c>
      <c r="B3498" s="5" t="s">
        <v>697</v>
      </c>
      <c r="C3498" s="5">
        <v>2027</v>
      </c>
      <c r="D3498" s="5" t="s">
        <v>30</v>
      </c>
      <c r="E3498" t="s">
        <v>2022</v>
      </c>
      <c r="F3498" t="s">
        <v>2019</v>
      </c>
      <c r="G3498" t="s">
        <v>2023</v>
      </c>
      <c r="H3498" t="s">
        <v>2024</v>
      </c>
      <c r="I3498" t="s">
        <v>147</v>
      </c>
      <c r="J3498" t="s">
        <v>36</v>
      </c>
      <c r="K3498">
        <v>1390</v>
      </c>
      <c r="O3498" t="s">
        <v>176</v>
      </c>
      <c r="P3498" t="s">
        <v>45</v>
      </c>
      <c r="U3498" s="9" t="s">
        <v>148</v>
      </c>
      <c r="V3498" t="s">
        <v>164</v>
      </c>
      <c r="W3498" t="s">
        <v>178</v>
      </c>
      <c r="X3498" t="s">
        <v>1106</v>
      </c>
      <c r="Y3498" t="s">
        <v>179</v>
      </c>
      <c r="Z3498" t="s">
        <v>41</v>
      </c>
      <c r="AB3498" t="str">
        <f t="shared" si="162"/>
        <v>53158</v>
      </c>
    </row>
    <row r="3499" ht="14.25" spans="1:28">
      <c r="A3499" s="5" t="s">
        <v>28</v>
      </c>
      <c r="B3499" s="5" t="s">
        <v>697</v>
      </c>
      <c r="C3499" s="5">
        <v>2027</v>
      </c>
      <c r="D3499" s="5" t="s">
        <v>30</v>
      </c>
      <c r="E3499" t="s">
        <v>2025</v>
      </c>
      <c r="F3499" t="s">
        <v>2026</v>
      </c>
      <c r="G3499" t="s">
        <v>2027</v>
      </c>
      <c r="H3499" t="s">
        <v>2028</v>
      </c>
      <c r="I3499" t="s">
        <v>112</v>
      </c>
      <c r="J3499" t="s">
        <v>36</v>
      </c>
      <c r="K3499">
        <v>1790</v>
      </c>
      <c r="O3499" t="s">
        <v>195</v>
      </c>
      <c r="P3499" t="s">
        <v>74</v>
      </c>
      <c r="R3499">
        <f t="shared" si="163"/>
        <v>0</v>
      </c>
      <c r="S3499">
        <f>SUMIFS([1]Sheet1!$T:$T,[1]Sheet1!$I:$I,E3499,[1]Sheet1!$C:$C,A3499)</f>
        <v>12</v>
      </c>
      <c r="T3499">
        <f t="shared" si="164"/>
        <v>-12</v>
      </c>
      <c r="U3499" s="9" t="s">
        <v>136</v>
      </c>
      <c r="V3499" t="s">
        <v>656</v>
      </c>
      <c r="W3499" t="s">
        <v>178</v>
      </c>
      <c r="X3499" t="s">
        <v>332</v>
      </c>
      <c r="Y3499" t="s">
        <v>179</v>
      </c>
      <c r="Z3499" t="s">
        <v>1978</v>
      </c>
      <c r="AB3499" t="str">
        <f t="shared" si="162"/>
        <v>53235</v>
      </c>
    </row>
    <row r="3500" ht="14.25" spans="1:28">
      <c r="A3500" s="5" t="s">
        <v>28</v>
      </c>
      <c r="B3500" s="5" t="s">
        <v>697</v>
      </c>
      <c r="C3500" s="5">
        <v>2027</v>
      </c>
      <c r="D3500" s="5" t="s">
        <v>30</v>
      </c>
      <c r="E3500" t="s">
        <v>2025</v>
      </c>
      <c r="F3500" t="s">
        <v>2026</v>
      </c>
      <c r="G3500" t="s">
        <v>2027</v>
      </c>
      <c r="H3500" t="s">
        <v>2028</v>
      </c>
      <c r="I3500" t="s">
        <v>112</v>
      </c>
      <c r="J3500" t="s">
        <v>36</v>
      </c>
      <c r="K3500">
        <v>1790</v>
      </c>
      <c r="O3500" t="s">
        <v>195</v>
      </c>
      <c r="P3500" t="s">
        <v>76</v>
      </c>
      <c r="U3500" s="9" t="s">
        <v>136</v>
      </c>
      <c r="V3500" t="s">
        <v>656</v>
      </c>
      <c r="W3500" t="s">
        <v>178</v>
      </c>
      <c r="X3500" t="s">
        <v>332</v>
      </c>
      <c r="Y3500" t="s">
        <v>179</v>
      </c>
      <c r="Z3500" t="s">
        <v>1978</v>
      </c>
      <c r="AB3500" t="str">
        <f t="shared" si="162"/>
        <v>53235</v>
      </c>
    </row>
    <row r="3501" ht="14.25" spans="1:28">
      <c r="A3501" s="5" t="s">
        <v>28</v>
      </c>
      <c r="B3501" s="5" t="s">
        <v>697</v>
      </c>
      <c r="C3501" s="5">
        <v>2027</v>
      </c>
      <c r="D3501" s="5" t="s">
        <v>30</v>
      </c>
      <c r="E3501" t="s">
        <v>2025</v>
      </c>
      <c r="F3501" t="s">
        <v>2026</v>
      </c>
      <c r="G3501" t="s">
        <v>2027</v>
      </c>
      <c r="H3501" t="s">
        <v>2028</v>
      </c>
      <c r="I3501" t="s">
        <v>112</v>
      </c>
      <c r="J3501" t="s">
        <v>36</v>
      </c>
      <c r="K3501">
        <v>1790</v>
      </c>
      <c r="O3501" t="s">
        <v>195</v>
      </c>
      <c r="P3501" t="s">
        <v>77</v>
      </c>
      <c r="U3501" s="9" t="s">
        <v>136</v>
      </c>
      <c r="V3501" t="s">
        <v>656</v>
      </c>
      <c r="W3501" t="s">
        <v>178</v>
      </c>
      <c r="X3501" t="s">
        <v>332</v>
      </c>
      <c r="Y3501" t="s">
        <v>179</v>
      </c>
      <c r="Z3501" t="s">
        <v>1978</v>
      </c>
      <c r="AB3501" t="str">
        <f t="shared" si="162"/>
        <v>53235</v>
      </c>
    </row>
    <row r="3502" ht="14.25" spans="1:28">
      <c r="A3502" s="5" t="s">
        <v>28</v>
      </c>
      <c r="B3502" s="5" t="s">
        <v>697</v>
      </c>
      <c r="C3502" s="5">
        <v>2027</v>
      </c>
      <c r="D3502" s="5" t="s">
        <v>30</v>
      </c>
      <c r="E3502" t="s">
        <v>2025</v>
      </c>
      <c r="F3502" t="s">
        <v>2026</v>
      </c>
      <c r="G3502" t="s">
        <v>2027</v>
      </c>
      <c r="H3502" t="s">
        <v>2028</v>
      </c>
      <c r="I3502" t="s">
        <v>112</v>
      </c>
      <c r="J3502" t="s">
        <v>36</v>
      </c>
      <c r="K3502">
        <v>1790</v>
      </c>
      <c r="O3502" t="s">
        <v>195</v>
      </c>
      <c r="P3502" t="s">
        <v>78</v>
      </c>
      <c r="U3502" s="9" t="s">
        <v>136</v>
      </c>
      <c r="V3502" t="s">
        <v>656</v>
      </c>
      <c r="W3502" t="s">
        <v>178</v>
      </c>
      <c r="X3502" t="s">
        <v>332</v>
      </c>
      <c r="Y3502" t="s">
        <v>179</v>
      </c>
      <c r="Z3502" t="s">
        <v>1978</v>
      </c>
      <c r="AB3502" t="str">
        <f t="shared" si="162"/>
        <v>53235</v>
      </c>
    </row>
    <row r="3503" ht="14.25" spans="1:28">
      <c r="A3503" s="5" t="s">
        <v>28</v>
      </c>
      <c r="B3503" s="5" t="s">
        <v>697</v>
      </c>
      <c r="C3503" s="5">
        <v>2027</v>
      </c>
      <c r="D3503" s="5" t="s">
        <v>30</v>
      </c>
      <c r="E3503" t="s">
        <v>2025</v>
      </c>
      <c r="F3503" t="s">
        <v>2026</v>
      </c>
      <c r="G3503" t="s">
        <v>2027</v>
      </c>
      <c r="H3503" t="s">
        <v>2028</v>
      </c>
      <c r="I3503" t="s">
        <v>112</v>
      </c>
      <c r="J3503" t="s">
        <v>36</v>
      </c>
      <c r="K3503">
        <v>1790</v>
      </c>
      <c r="O3503" t="s">
        <v>195</v>
      </c>
      <c r="P3503" t="s">
        <v>79</v>
      </c>
      <c r="U3503" s="9" t="s">
        <v>136</v>
      </c>
      <c r="V3503" t="s">
        <v>656</v>
      </c>
      <c r="W3503" t="s">
        <v>178</v>
      </c>
      <c r="X3503" t="s">
        <v>332</v>
      </c>
      <c r="Y3503" t="s">
        <v>179</v>
      </c>
      <c r="Z3503" t="s">
        <v>1978</v>
      </c>
      <c r="AB3503" t="str">
        <f t="shared" si="162"/>
        <v>53235</v>
      </c>
    </row>
    <row r="3504" ht="14.25" spans="1:28">
      <c r="A3504" s="5" t="s">
        <v>28</v>
      </c>
      <c r="B3504" s="5" t="s">
        <v>697</v>
      </c>
      <c r="C3504" s="5">
        <v>2027</v>
      </c>
      <c r="D3504" s="5" t="s">
        <v>30</v>
      </c>
      <c r="E3504" t="s">
        <v>2029</v>
      </c>
      <c r="F3504" t="s">
        <v>2030</v>
      </c>
      <c r="G3504" t="s">
        <v>1205</v>
      </c>
      <c r="H3504" t="s">
        <v>2031</v>
      </c>
      <c r="I3504" t="s">
        <v>147</v>
      </c>
      <c r="J3504" t="s">
        <v>36</v>
      </c>
      <c r="K3504">
        <v>1590</v>
      </c>
      <c r="O3504" t="s">
        <v>195</v>
      </c>
      <c r="P3504" t="s">
        <v>74</v>
      </c>
      <c r="R3504">
        <f t="shared" si="163"/>
        <v>0</v>
      </c>
      <c r="S3504">
        <f>SUMIFS([1]Sheet1!$T:$T,[1]Sheet1!$I:$I,E3504,[1]Sheet1!$C:$C,A3504)</f>
        <v>40</v>
      </c>
      <c r="T3504">
        <f t="shared" si="164"/>
        <v>-40</v>
      </c>
      <c r="U3504" s="9" t="s">
        <v>136</v>
      </c>
      <c r="V3504" t="s">
        <v>656</v>
      </c>
      <c r="W3504" t="s">
        <v>178</v>
      </c>
      <c r="X3504" t="s">
        <v>332</v>
      </c>
      <c r="Y3504" t="s">
        <v>179</v>
      </c>
      <c r="Z3504" t="s">
        <v>41</v>
      </c>
      <c r="AB3504" t="str">
        <f t="shared" si="162"/>
        <v>53238</v>
      </c>
    </row>
    <row r="3505" ht="14.25" spans="1:28">
      <c r="A3505" s="5" t="s">
        <v>28</v>
      </c>
      <c r="B3505" s="5" t="s">
        <v>697</v>
      </c>
      <c r="C3505" s="5">
        <v>2027</v>
      </c>
      <c r="D3505" s="5" t="s">
        <v>30</v>
      </c>
      <c r="E3505" t="s">
        <v>2029</v>
      </c>
      <c r="F3505" t="s">
        <v>2030</v>
      </c>
      <c r="G3505" t="s">
        <v>1205</v>
      </c>
      <c r="H3505" t="s">
        <v>2031</v>
      </c>
      <c r="I3505" t="s">
        <v>147</v>
      </c>
      <c r="J3505" t="s">
        <v>36</v>
      </c>
      <c r="K3505">
        <v>1590</v>
      </c>
      <c r="O3505" t="s">
        <v>195</v>
      </c>
      <c r="P3505" t="s">
        <v>76</v>
      </c>
      <c r="U3505" s="9" t="s">
        <v>136</v>
      </c>
      <c r="V3505" t="s">
        <v>656</v>
      </c>
      <c r="W3505" t="s">
        <v>178</v>
      </c>
      <c r="X3505" t="s">
        <v>332</v>
      </c>
      <c r="Y3505" t="s">
        <v>179</v>
      </c>
      <c r="Z3505" t="s">
        <v>41</v>
      </c>
      <c r="AB3505" t="str">
        <f t="shared" si="162"/>
        <v>53238</v>
      </c>
    </row>
    <row r="3506" ht="14.25" spans="1:28">
      <c r="A3506" s="5" t="s">
        <v>28</v>
      </c>
      <c r="B3506" s="5" t="s">
        <v>697</v>
      </c>
      <c r="C3506" s="5">
        <v>2027</v>
      </c>
      <c r="D3506" s="5" t="s">
        <v>30</v>
      </c>
      <c r="E3506" t="s">
        <v>2029</v>
      </c>
      <c r="F3506" t="s">
        <v>2030</v>
      </c>
      <c r="G3506" t="s">
        <v>1205</v>
      </c>
      <c r="H3506" t="s">
        <v>2031</v>
      </c>
      <c r="I3506" t="s">
        <v>147</v>
      </c>
      <c r="J3506" t="s">
        <v>36</v>
      </c>
      <c r="K3506">
        <v>1590</v>
      </c>
      <c r="O3506" t="s">
        <v>195</v>
      </c>
      <c r="P3506" t="s">
        <v>77</v>
      </c>
      <c r="U3506" s="9" t="s">
        <v>136</v>
      </c>
      <c r="V3506" t="s">
        <v>656</v>
      </c>
      <c r="W3506" t="s">
        <v>178</v>
      </c>
      <c r="X3506" t="s">
        <v>332</v>
      </c>
      <c r="Y3506" t="s">
        <v>179</v>
      </c>
      <c r="Z3506" t="s">
        <v>41</v>
      </c>
      <c r="AB3506" t="str">
        <f t="shared" si="162"/>
        <v>53238</v>
      </c>
    </row>
    <row r="3507" ht="14.25" spans="1:28">
      <c r="A3507" s="5" t="s">
        <v>28</v>
      </c>
      <c r="B3507" s="5" t="s">
        <v>697</v>
      </c>
      <c r="C3507" s="5">
        <v>2027</v>
      </c>
      <c r="D3507" s="5" t="s">
        <v>30</v>
      </c>
      <c r="E3507" t="s">
        <v>2029</v>
      </c>
      <c r="F3507" t="s">
        <v>2030</v>
      </c>
      <c r="G3507" t="s">
        <v>1205</v>
      </c>
      <c r="H3507" t="s">
        <v>2031</v>
      </c>
      <c r="I3507" t="s">
        <v>147</v>
      </c>
      <c r="J3507" t="s">
        <v>36</v>
      </c>
      <c r="K3507">
        <v>1590</v>
      </c>
      <c r="O3507" t="s">
        <v>195</v>
      </c>
      <c r="P3507" t="s">
        <v>78</v>
      </c>
      <c r="U3507" s="9" t="s">
        <v>136</v>
      </c>
      <c r="V3507" t="s">
        <v>656</v>
      </c>
      <c r="W3507" t="s">
        <v>178</v>
      </c>
      <c r="X3507" t="s">
        <v>332</v>
      </c>
      <c r="Y3507" t="s">
        <v>179</v>
      </c>
      <c r="Z3507" t="s">
        <v>41</v>
      </c>
      <c r="AB3507" t="str">
        <f t="shared" ref="AB3507:AB3570" si="165">MID(E3507,6,5)</f>
        <v>53238</v>
      </c>
    </row>
    <row r="3508" ht="14.25" spans="1:28">
      <c r="A3508" s="5" t="s">
        <v>28</v>
      </c>
      <c r="B3508" s="5" t="s">
        <v>697</v>
      </c>
      <c r="C3508" s="5">
        <v>2027</v>
      </c>
      <c r="D3508" s="5" t="s">
        <v>30</v>
      </c>
      <c r="E3508" t="s">
        <v>2029</v>
      </c>
      <c r="F3508" t="s">
        <v>2030</v>
      </c>
      <c r="G3508" t="s">
        <v>1205</v>
      </c>
      <c r="H3508" t="s">
        <v>2031</v>
      </c>
      <c r="I3508" t="s">
        <v>147</v>
      </c>
      <c r="J3508" t="s">
        <v>36</v>
      </c>
      <c r="K3508">
        <v>1590</v>
      </c>
      <c r="O3508" t="s">
        <v>195</v>
      </c>
      <c r="P3508" t="s">
        <v>79</v>
      </c>
      <c r="U3508" s="9" t="s">
        <v>136</v>
      </c>
      <c r="V3508" t="s">
        <v>656</v>
      </c>
      <c r="W3508" t="s">
        <v>178</v>
      </c>
      <c r="X3508" t="s">
        <v>332</v>
      </c>
      <c r="Y3508" t="s">
        <v>179</v>
      </c>
      <c r="Z3508" t="s">
        <v>41</v>
      </c>
      <c r="AB3508" t="str">
        <f t="shared" si="165"/>
        <v>53238</v>
      </c>
    </row>
    <row r="3509" ht="14.25" spans="1:28">
      <c r="A3509" s="5" t="s">
        <v>28</v>
      </c>
      <c r="B3509" s="5" t="s">
        <v>697</v>
      </c>
      <c r="C3509" s="5">
        <v>2027</v>
      </c>
      <c r="D3509" s="5" t="s">
        <v>30</v>
      </c>
      <c r="E3509" t="s">
        <v>2032</v>
      </c>
      <c r="F3509" t="s">
        <v>2033</v>
      </c>
      <c r="G3509" t="s">
        <v>2034</v>
      </c>
      <c r="H3509" t="s">
        <v>2035</v>
      </c>
      <c r="I3509" t="s">
        <v>119</v>
      </c>
      <c r="J3509" t="s">
        <v>36</v>
      </c>
      <c r="K3509">
        <v>1790</v>
      </c>
      <c r="O3509" t="s">
        <v>195</v>
      </c>
      <c r="P3509" t="s">
        <v>74</v>
      </c>
      <c r="R3509">
        <f t="shared" si="163"/>
        <v>0</v>
      </c>
      <c r="S3509">
        <f>SUMIFS([1]Sheet1!$T:$T,[1]Sheet1!$I:$I,E3509,[1]Sheet1!$C:$C,A3509)</f>
        <v>40</v>
      </c>
      <c r="T3509">
        <f t="shared" si="164"/>
        <v>-40</v>
      </c>
      <c r="U3509" s="9" t="s">
        <v>136</v>
      </c>
      <c r="V3509" t="s">
        <v>656</v>
      </c>
      <c r="W3509" t="s">
        <v>178</v>
      </c>
      <c r="X3509" t="s">
        <v>70</v>
      </c>
      <c r="Y3509" t="s">
        <v>179</v>
      </c>
      <c r="Z3509" t="s">
        <v>2036</v>
      </c>
      <c r="AB3509" t="str">
        <f t="shared" si="165"/>
        <v>53279</v>
      </c>
    </row>
    <row r="3510" ht="14.25" spans="1:28">
      <c r="A3510" s="5" t="s">
        <v>28</v>
      </c>
      <c r="B3510" s="5" t="s">
        <v>697</v>
      </c>
      <c r="C3510" s="5">
        <v>2027</v>
      </c>
      <c r="D3510" s="5" t="s">
        <v>30</v>
      </c>
      <c r="E3510" t="s">
        <v>2032</v>
      </c>
      <c r="F3510" t="s">
        <v>2033</v>
      </c>
      <c r="G3510" t="s">
        <v>2034</v>
      </c>
      <c r="H3510" t="s">
        <v>2035</v>
      </c>
      <c r="I3510" t="s">
        <v>119</v>
      </c>
      <c r="J3510" t="s">
        <v>36</v>
      </c>
      <c r="K3510">
        <v>1790</v>
      </c>
      <c r="O3510" t="s">
        <v>195</v>
      </c>
      <c r="P3510" t="s">
        <v>76</v>
      </c>
      <c r="U3510" s="9" t="s">
        <v>136</v>
      </c>
      <c r="V3510" t="s">
        <v>656</v>
      </c>
      <c r="W3510" t="s">
        <v>178</v>
      </c>
      <c r="X3510" t="s">
        <v>70</v>
      </c>
      <c r="Y3510" t="s">
        <v>179</v>
      </c>
      <c r="Z3510" t="s">
        <v>2036</v>
      </c>
      <c r="AB3510" t="str">
        <f t="shared" si="165"/>
        <v>53279</v>
      </c>
    </row>
    <row r="3511" ht="14.25" spans="1:28">
      <c r="A3511" s="5" t="s">
        <v>28</v>
      </c>
      <c r="B3511" s="5" t="s">
        <v>697</v>
      </c>
      <c r="C3511" s="5">
        <v>2027</v>
      </c>
      <c r="D3511" s="5" t="s">
        <v>30</v>
      </c>
      <c r="E3511" t="s">
        <v>2032</v>
      </c>
      <c r="F3511" t="s">
        <v>2033</v>
      </c>
      <c r="G3511" t="s">
        <v>2034</v>
      </c>
      <c r="H3511" t="s">
        <v>2035</v>
      </c>
      <c r="I3511" t="s">
        <v>119</v>
      </c>
      <c r="J3511" t="s">
        <v>36</v>
      </c>
      <c r="K3511">
        <v>1790</v>
      </c>
      <c r="O3511" t="s">
        <v>195</v>
      </c>
      <c r="P3511" t="s">
        <v>77</v>
      </c>
      <c r="U3511" s="9" t="s">
        <v>136</v>
      </c>
      <c r="V3511" t="s">
        <v>656</v>
      </c>
      <c r="W3511" t="s">
        <v>178</v>
      </c>
      <c r="X3511" t="s">
        <v>70</v>
      </c>
      <c r="Y3511" t="s">
        <v>179</v>
      </c>
      <c r="Z3511" t="s">
        <v>2036</v>
      </c>
      <c r="AB3511" t="str">
        <f t="shared" si="165"/>
        <v>53279</v>
      </c>
    </row>
    <row r="3512" ht="14.25" spans="1:28">
      <c r="A3512" s="5" t="s">
        <v>28</v>
      </c>
      <c r="B3512" s="5" t="s">
        <v>697</v>
      </c>
      <c r="C3512" s="5">
        <v>2027</v>
      </c>
      <c r="D3512" s="5" t="s">
        <v>30</v>
      </c>
      <c r="E3512" t="s">
        <v>2032</v>
      </c>
      <c r="F3512" t="s">
        <v>2033</v>
      </c>
      <c r="G3512" t="s">
        <v>2034</v>
      </c>
      <c r="H3512" t="s">
        <v>2035</v>
      </c>
      <c r="I3512" t="s">
        <v>119</v>
      </c>
      <c r="J3512" t="s">
        <v>36</v>
      </c>
      <c r="K3512">
        <v>1790</v>
      </c>
      <c r="O3512" t="s">
        <v>195</v>
      </c>
      <c r="P3512" t="s">
        <v>78</v>
      </c>
      <c r="U3512" s="9" t="s">
        <v>136</v>
      </c>
      <c r="V3512" t="s">
        <v>656</v>
      </c>
      <c r="W3512" t="s">
        <v>178</v>
      </c>
      <c r="X3512" t="s">
        <v>70</v>
      </c>
      <c r="Y3512" t="s">
        <v>179</v>
      </c>
      <c r="Z3512" t="s">
        <v>2036</v>
      </c>
      <c r="AB3512" t="str">
        <f t="shared" si="165"/>
        <v>53279</v>
      </c>
    </row>
    <row r="3513" ht="14.25" spans="1:28">
      <c r="A3513" s="5" t="s">
        <v>28</v>
      </c>
      <c r="B3513" s="5" t="s">
        <v>697</v>
      </c>
      <c r="C3513" s="5">
        <v>2027</v>
      </c>
      <c r="D3513" s="5" t="s">
        <v>30</v>
      </c>
      <c r="E3513" t="s">
        <v>2032</v>
      </c>
      <c r="F3513" t="s">
        <v>2033</v>
      </c>
      <c r="G3513" t="s">
        <v>2034</v>
      </c>
      <c r="H3513" t="s">
        <v>2035</v>
      </c>
      <c r="I3513" t="s">
        <v>119</v>
      </c>
      <c r="J3513" t="s">
        <v>36</v>
      </c>
      <c r="K3513">
        <v>1790</v>
      </c>
      <c r="O3513" t="s">
        <v>195</v>
      </c>
      <c r="P3513" t="s">
        <v>79</v>
      </c>
      <c r="U3513" s="9" t="s">
        <v>136</v>
      </c>
      <c r="V3513" t="s">
        <v>656</v>
      </c>
      <c r="W3513" t="s">
        <v>178</v>
      </c>
      <c r="X3513" t="s">
        <v>70</v>
      </c>
      <c r="Y3513" t="s">
        <v>179</v>
      </c>
      <c r="Z3513" t="s">
        <v>2036</v>
      </c>
      <c r="AB3513" t="str">
        <f t="shared" si="165"/>
        <v>53279</v>
      </c>
    </row>
    <row r="3514" ht="14.25" spans="1:28">
      <c r="A3514" s="5" t="s">
        <v>28</v>
      </c>
      <c r="B3514" s="5" t="s">
        <v>697</v>
      </c>
      <c r="C3514" s="5">
        <v>2027</v>
      </c>
      <c r="D3514" s="5" t="s">
        <v>30</v>
      </c>
      <c r="E3514" t="s">
        <v>2037</v>
      </c>
      <c r="F3514" t="s">
        <v>2033</v>
      </c>
      <c r="G3514" t="s">
        <v>182</v>
      </c>
      <c r="H3514" t="s">
        <v>2038</v>
      </c>
      <c r="I3514" t="s">
        <v>119</v>
      </c>
      <c r="J3514" t="s">
        <v>36</v>
      </c>
      <c r="K3514">
        <v>1790</v>
      </c>
      <c r="O3514" t="s">
        <v>195</v>
      </c>
      <c r="P3514" t="s">
        <v>74</v>
      </c>
      <c r="R3514">
        <f t="shared" si="163"/>
        <v>0</v>
      </c>
      <c r="S3514">
        <f>SUMIFS([1]Sheet1!$T:$T,[1]Sheet1!$I:$I,E3514,[1]Sheet1!$C:$C,A3514)</f>
        <v>40</v>
      </c>
      <c r="T3514">
        <f t="shared" si="164"/>
        <v>-40</v>
      </c>
      <c r="U3514" s="9" t="s">
        <v>136</v>
      </c>
      <c r="V3514" t="s">
        <v>656</v>
      </c>
      <c r="W3514" t="s">
        <v>178</v>
      </c>
      <c r="X3514" t="s">
        <v>102</v>
      </c>
      <c r="Y3514" t="s">
        <v>179</v>
      </c>
      <c r="Z3514" t="s">
        <v>2036</v>
      </c>
      <c r="AB3514" t="str">
        <f t="shared" si="165"/>
        <v>53279</v>
      </c>
    </row>
    <row r="3515" ht="14.25" spans="1:28">
      <c r="A3515" s="5" t="s">
        <v>28</v>
      </c>
      <c r="B3515" s="5" t="s">
        <v>697</v>
      </c>
      <c r="C3515" s="5">
        <v>2027</v>
      </c>
      <c r="D3515" s="5" t="s">
        <v>30</v>
      </c>
      <c r="E3515" t="s">
        <v>2037</v>
      </c>
      <c r="F3515" t="s">
        <v>2033</v>
      </c>
      <c r="G3515" t="s">
        <v>182</v>
      </c>
      <c r="H3515" t="s">
        <v>2038</v>
      </c>
      <c r="I3515" t="s">
        <v>119</v>
      </c>
      <c r="J3515" t="s">
        <v>36</v>
      </c>
      <c r="K3515">
        <v>1790</v>
      </c>
      <c r="O3515" t="s">
        <v>195</v>
      </c>
      <c r="P3515" t="s">
        <v>76</v>
      </c>
      <c r="U3515" s="9" t="s">
        <v>136</v>
      </c>
      <c r="V3515" t="s">
        <v>656</v>
      </c>
      <c r="W3515" t="s">
        <v>178</v>
      </c>
      <c r="X3515" t="s">
        <v>102</v>
      </c>
      <c r="Y3515" t="s">
        <v>179</v>
      </c>
      <c r="Z3515" t="s">
        <v>2036</v>
      </c>
      <c r="AB3515" t="str">
        <f t="shared" si="165"/>
        <v>53279</v>
      </c>
    </row>
    <row r="3516" ht="14.25" spans="1:28">
      <c r="A3516" s="5" t="s">
        <v>28</v>
      </c>
      <c r="B3516" s="5" t="s">
        <v>697</v>
      </c>
      <c r="C3516" s="5">
        <v>2027</v>
      </c>
      <c r="D3516" s="5" t="s">
        <v>30</v>
      </c>
      <c r="E3516" t="s">
        <v>2037</v>
      </c>
      <c r="F3516" t="s">
        <v>2033</v>
      </c>
      <c r="G3516" t="s">
        <v>182</v>
      </c>
      <c r="H3516" t="s">
        <v>2038</v>
      </c>
      <c r="I3516" t="s">
        <v>119</v>
      </c>
      <c r="J3516" t="s">
        <v>36</v>
      </c>
      <c r="K3516">
        <v>1790</v>
      </c>
      <c r="O3516" t="s">
        <v>195</v>
      </c>
      <c r="P3516" t="s">
        <v>77</v>
      </c>
      <c r="U3516" s="9" t="s">
        <v>136</v>
      </c>
      <c r="V3516" t="s">
        <v>656</v>
      </c>
      <c r="W3516" t="s">
        <v>178</v>
      </c>
      <c r="X3516" t="s">
        <v>102</v>
      </c>
      <c r="Y3516" t="s">
        <v>179</v>
      </c>
      <c r="Z3516" t="s">
        <v>2036</v>
      </c>
      <c r="AB3516" t="str">
        <f t="shared" si="165"/>
        <v>53279</v>
      </c>
    </row>
    <row r="3517" ht="14.25" spans="1:28">
      <c r="A3517" s="5" t="s">
        <v>28</v>
      </c>
      <c r="B3517" s="5" t="s">
        <v>697</v>
      </c>
      <c r="C3517" s="5">
        <v>2027</v>
      </c>
      <c r="D3517" s="5" t="s">
        <v>30</v>
      </c>
      <c r="E3517" t="s">
        <v>2037</v>
      </c>
      <c r="F3517" t="s">
        <v>2033</v>
      </c>
      <c r="G3517" t="s">
        <v>182</v>
      </c>
      <c r="H3517" t="s">
        <v>2038</v>
      </c>
      <c r="I3517" t="s">
        <v>119</v>
      </c>
      <c r="J3517" t="s">
        <v>36</v>
      </c>
      <c r="K3517">
        <v>1790</v>
      </c>
      <c r="O3517" t="s">
        <v>195</v>
      </c>
      <c r="P3517" t="s">
        <v>78</v>
      </c>
      <c r="U3517" s="9" t="s">
        <v>136</v>
      </c>
      <c r="V3517" t="s">
        <v>656</v>
      </c>
      <c r="W3517" t="s">
        <v>178</v>
      </c>
      <c r="X3517" t="s">
        <v>102</v>
      </c>
      <c r="Y3517" t="s">
        <v>179</v>
      </c>
      <c r="Z3517" t="s">
        <v>2036</v>
      </c>
      <c r="AB3517" t="str">
        <f t="shared" si="165"/>
        <v>53279</v>
      </c>
    </row>
    <row r="3518" ht="14.25" spans="1:28">
      <c r="A3518" s="5" t="s">
        <v>28</v>
      </c>
      <c r="B3518" s="5" t="s">
        <v>697</v>
      </c>
      <c r="C3518" s="5">
        <v>2027</v>
      </c>
      <c r="D3518" s="5" t="s">
        <v>30</v>
      </c>
      <c r="E3518" t="s">
        <v>2037</v>
      </c>
      <c r="F3518" t="s">
        <v>2033</v>
      </c>
      <c r="G3518" t="s">
        <v>182</v>
      </c>
      <c r="H3518" t="s">
        <v>2038</v>
      </c>
      <c r="I3518" t="s">
        <v>119</v>
      </c>
      <c r="J3518" t="s">
        <v>36</v>
      </c>
      <c r="K3518">
        <v>1790</v>
      </c>
      <c r="O3518" t="s">
        <v>195</v>
      </c>
      <c r="P3518" t="s">
        <v>79</v>
      </c>
      <c r="U3518" s="9" t="s">
        <v>136</v>
      </c>
      <c r="V3518" t="s">
        <v>656</v>
      </c>
      <c r="W3518" t="s">
        <v>178</v>
      </c>
      <c r="X3518" t="s">
        <v>102</v>
      </c>
      <c r="Y3518" t="s">
        <v>179</v>
      </c>
      <c r="Z3518" t="s">
        <v>2036</v>
      </c>
      <c r="AB3518" t="str">
        <f t="shared" si="165"/>
        <v>53279</v>
      </c>
    </row>
    <row r="3519" ht="14.25" spans="1:28">
      <c r="A3519" s="5" t="s">
        <v>28</v>
      </c>
      <c r="B3519" s="5" t="s">
        <v>697</v>
      </c>
      <c r="C3519" s="5">
        <v>2027</v>
      </c>
      <c r="D3519" s="5" t="s">
        <v>30</v>
      </c>
      <c r="E3519" t="s">
        <v>2039</v>
      </c>
      <c r="F3519" t="s">
        <v>2040</v>
      </c>
      <c r="G3519" t="s">
        <v>346</v>
      </c>
      <c r="H3519" t="s">
        <v>2041</v>
      </c>
      <c r="I3519" t="s">
        <v>147</v>
      </c>
      <c r="J3519" t="s">
        <v>36</v>
      </c>
      <c r="K3519">
        <v>3990</v>
      </c>
      <c r="O3519" t="s">
        <v>195</v>
      </c>
      <c r="P3519" t="s">
        <v>74</v>
      </c>
      <c r="R3519">
        <f t="shared" si="163"/>
        <v>0</v>
      </c>
      <c r="S3519">
        <f>SUMIFS([1]Sheet1!$T:$T,[1]Sheet1!$I:$I,E3519,[1]Sheet1!$C:$C,A3519)</f>
        <v>30</v>
      </c>
      <c r="T3519">
        <f t="shared" si="164"/>
        <v>-30</v>
      </c>
      <c r="U3519" s="9" t="s">
        <v>242</v>
      </c>
      <c r="V3519" t="s">
        <v>2042</v>
      </c>
      <c r="W3519" t="s">
        <v>178</v>
      </c>
      <c r="X3519" t="s">
        <v>191</v>
      </c>
      <c r="Y3519" t="s">
        <v>179</v>
      </c>
      <c r="Z3519" t="s">
        <v>41</v>
      </c>
      <c r="AB3519" t="str">
        <f t="shared" si="165"/>
        <v>53302</v>
      </c>
    </row>
    <row r="3520" ht="14.25" spans="1:28">
      <c r="A3520" s="5" t="s">
        <v>28</v>
      </c>
      <c r="B3520" s="5" t="s">
        <v>697</v>
      </c>
      <c r="C3520" s="5">
        <v>2027</v>
      </c>
      <c r="D3520" s="5" t="s">
        <v>30</v>
      </c>
      <c r="E3520" t="s">
        <v>2039</v>
      </c>
      <c r="F3520" t="s">
        <v>2040</v>
      </c>
      <c r="G3520" t="s">
        <v>346</v>
      </c>
      <c r="H3520" t="s">
        <v>2041</v>
      </c>
      <c r="I3520" t="s">
        <v>147</v>
      </c>
      <c r="J3520" t="s">
        <v>36</v>
      </c>
      <c r="K3520">
        <v>3990</v>
      </c>
      <c r="O3520" t="s">
        <v>195</v>
      </c>
      <c r="P3520" t="s">
        <v>76</v>
      </c>
      <c r="U3520" s="9" t="s">
        <v>242</v>
      </c>
      <c r="V3520" t="s">
        <v>2042</v>
      </c>
      <c r="W3520" t="s">
        <v>178</v>
      </c>
      <c r="X3520" t="s">
        <v>191</v>
      </c>
      <c r="Y3520" t="s">
        <v>179</v>
      </c>
      <c r="Z3520" t="s">
        <v>41</v>
      </c>
      <c r="AB3520" t="str">
        <f t="shared" si="165"/>
        <v>53302</v>
      </c>
    </row>
    <row r="3521" ht="14.25" spans="1:28">
      <c r="A3521" s="5" t="s">
        <v>28</v>
      </c>
      <c r="B3521" s="5" t="s">
        <v>697</v>
      </c>
      <c r="C3521" s="5">
        <v>2027</v>
      </c>
      <c r="D3521" s="5" t="s">
        <v>30</v>
      </c>
      <c r="E3521" t="s">
        <v>2039</v>
      </c>
      <c r="F3521" t="s">
        <v>2040</v>
      </c>
      <c r="G3521" t="s">
        <v>346</v>
      </c>
      <c r="H3521" t="s">
        <v>2041</v>
      </c>
      <c r="I3521" t="s">
        <v>147</v>
      </c>
      <c r="J3521" t="s">
        <v>36</v>
      </c>
      <c r="K3521">
        <v>3990</v>
      </c>
      <c r="O3521" t="s">
        <v>195</v>
      </c>
      <c r="P3521" t="s">
        <v>77</v>
      </c>
      <c r="U3521" s="9" t="s">
        <v>242</v>
      </c>
      <c r="V3521" t="s">
        <v>2042</v>
      </c>
      <c r="W3521" t="s">
        <v>178</v>
      </c>
      <c r="X3521" t="s">
        <v>191</v>
      </c>
      <c r="Y3521" t="s">
        <v>179</v>
      </c>
      <c r="Z3521" t="s">
        <v>41</v>
      </c>
      <c r="AB3521" t="str">
        <f t="shared" si="165"/>
        <v>53302</v>
      </c>
    </row>
    <row r="3522" ht="14.25" spans="1:28">
      <c r="A3522" s="5" t="s">
        <v>28</v>
      </c>
      <c r="B3522" s="5" t="s">
        <v>697</v>
      </c>
      <c r="C3522" s="5">
        <v>2027</v>
      </c>
      <c r="D3522" s="5" t="s">
        <v>30</v>
      </c>
      <c r="E3522" t="s">
        <v>2039</v>
      </c>
      <c r="F3522" t="s">
        <v>2040</v>
      </c>
      <c r="G3522" t="s">
        <v>346</v>
      </c>
      <c r="H3522" t="s">
        <v>2041</v>
      </c>
      <c r="I3522" t="s">
        <v>147</v>
      </c>
      <c r="J3522" t="s">
        <v>36</v>
      </c>
      <c r="K3522">
        <v>3990</v>
      </c>
      <c r="O3522" t="s">
        <v>195</v>
      </c>
      <c r="P3522" t="s">
        <v>78</v>
      </c>
      <c r="U3522" s="9" t="s">
        <v>242</v>
      </c>
      <c r="V3522" t="s">
        <v>2042</v>
      </c>
      <c r="W3522" t="s">
        <v>178</v>
      </c>
      <c r="X3522" t="s">
        <v>191</v>
      </c>
      <c r="Y3522" t="s">
        <v>179</v>
      </c>
      <c r="Z3522" t="s">
        <v>41</v>
      </c>
      <c r="AB3522" t="str">
        <f t="shared" si="165"/>
        <v>53302</v>
      </c>
    </row>
    <row r="3523" ht="14.25" spans="1:28">
      <c r="A3523" s="5" t="s">
        <v>28</v>
      </c>
      <c r="B3523" s="5" t="s">
        <v>697</v>
      </c>
      <c r="C3523" s="5">
        <v>2027</v>
      </c>
      <c r="D3523" s="5" t="s">
        <v>30</v>
      </c>
      <c r="E3523" t="s">
        <v>2039</v>
      </c>
      <c r="F3523" t="s">
        <v>2040</v>
      </c>
      <c r="G3523" t="s">
        <v>346</v>
      </c>
      <c r="H3523" t="s">
        <v>2041</v>
      </c>
      <c r="I3523" t="s">
        <v>147</v>
      </c>
      <c r="J3523" t="s">
        <v>36</v>
      </c>
      <c r="K3523">
        <v>3990</v>
      </c>
      <c r="O3523" t="s">
        <v>195</v>
      </c>
      <c r="P3523" t="s">
        <v>79</v>
      </c>
      <c r="U3523" s="9" t="s">
        <v>242</v>
      </c>
      <c r="V3523" t="s">
        <v>2042</v>
      </c>
      <c r="W3523" t="s">
        <v>178</v>
      </c>
      <c r="X3523" t="s">
        <v>191</v>
      </c>
      <c r="Y3523" t="s">
        <v>179</v>
      </c>
      <c r="Z3523" t="s">
        <v>41</v>
      </c>
      <c r="AB3523" t="str">
        <f t="shared" si="165"/>
        <v>53302</v>
      </c>
    </row>
    <row r="3524" ht="14.25" spans="1:28">
      <c r="A3524" s="5" t="s">
        <v>28</v>
      </c>
      <c r="B3524" s="5" t="s">
        <v>697</v>
      </c>
      <c r="C3524" s="5">
        <v>2027</v>
      </c>
      <c r="D3524" s="5" t="s">
        <v>30</v>
      </c>
      <c r="E3524" t="s">
        <v>2043</v>
      </c>
      <c r="F3524" t="s">
        <v>2044</v>
      </c>
      <c r="G3524" t="s">
        <v>945</v>
      </c>
      <c r="H3524" t="s">
        <v>2045</v>
      </c>
      <c r="I3524" t="s">
        <v>147</v>
      </c>
      <c r="J3524" t="s">
        <v>36</v>
      </c>
      <c r="K3524">
        <v>1790</v>
      </c>
      <c r="O3524" t="s">
        <v>195</v>
      </c>
      <c r="P3524" t="s">
        <v>74</v>
      </c>
      <c r="R3524">
        <f t="shared" ref="R3522:R3585" si="166">SUMIFS(Q:Q,E:E,E3524)</f>
        <v>0</v>
      </c>
      <c r="S3524">
        <f>SUMIFS([1]Sheet1!$T:$T,[1]Sheet1!$I:$I,E3524,[1]Sheet1!$C:$C,A3524)</f>
        <v>30</v>
      </c>
      <c r="T3524">
        <f t="shared" ref="T3522:T3585" si="167">R3524-S3524</f>
        <v>-30</v>
      </c>
      <c r="U3524" s="9" t="s">
        <v>148</v>
      </c>
      <c r="V3524" t="s">
        <v>2046</v>
      </c>
      <c r="W3524" t="s">
        <v>178</v>
      </c>
      <c r="X3524" t="s">
        <v>70</v>
      </c>
      <c r="Y3524" t="s">
        <v>179</v>
      </c>
      <c r="Z3524" t="s">
        <v>41</v>
      </c>
      <c r="AB3524" t="str">
        <f t="shared" si="165"/>
        <v>53305</v>
      </c>
    </row>
    <row r="3525" ht="14.25" spans="1:28">
      <c r="A3525" s="5" t="s">
        <v>28</v>
      </c>
      <c r="B3525" s="5" t="s">
        <v>697</v>
      </c>
      <c r="C3525" s="5">
        <v>2027</v>
      </c>
      <c r="D3525" s="5" t="s">
        <v>30</v>
      </c>
      <c r="E3525" t="s">
        <v>2043</v>
      </c>
      <c r="F3525" t="s">
        <v>2044</v>
      </c>
      <c r="G3525" t="s">
        <v>945</v>
      </c>
      <c r="H3525" t="s">
        <v>2045</v>
      </c>
      <c r="I3525" t="s">
        <v>147</v>
      </c>
      <c r="J3525" t="s">
        <v>36</v>
      </c>
      <c r="K3525">
        <v>1790</v>
      </c>
      <c r="O3525" t="s">
        <v>195</v>
      </c>
      <c r="P3525" t="s">
        <v>76</v>
      </c>
      <c r="U3525" s="9" t="s">
        <v>148</v>
      </c>
      <c r="V3525" t="s">
        <v>2046</v>
      </c>
      <c r="W3525" t="s">
        <v>178</v>
      </c>
      <c r="X3525" t="s">
        <v>70</v>
      </c>
      <c r="Y3525" t="s">
        <v>179</v>
      </c>
      <c r="Z3525" t="s">
        <v>41</v>
      </c>
      <c r="AB3525" t="str">
        <f t="shared" si="165"/>
        <v>53305</v>
      </c>
    </row>
    <row r="3526" ht="14.25" spans="1:28">
      <c r="A3526" s="5" t="s">
        <v>28</v>
      </c>
      <c r="B3526" s="5" t="s">
        <v>697</v>
      </c>
      <c r="C3526" s="5">
        <v>2027</v>
      </c>
      <c r="D3526" s="5" t="s">
        <v>30</v>
      </c>
      <c r="E3526" t="s">
        <v>2043</v>
      </c>
      <c r="F3526" t="s">
        <v>2044</v>
      </c>
      <c r="G3526" t="s">
        <v>945</v>
      </c>
      <c r="H3526" t="s">
        <v>2045</v>
      </c>
      <c r="I3526" t="s">
        <v>147</v>
      </c>
      <c r="J3526" t="s">
        <v>36</v>
      </c>
      <c r="K3526">
        <v>1790</v>
      </c>
      <c r="O3526" t="s">
        <v>195</v>
      </c>
      <c r="P3526" t="s">
        <v>77</v>
      </c>
      <c r="U3526" s="9" t="s">
        <v>148</v>
      </c>
      <c r="V3526" t="s">
        <v>2046</v>
      </c>
      <c r="W3526" t="s">
        <v>178</v>
      </c>
      <c r="X3526" t="s">
        <v>70</v>
      </c>
      <c r="Y3526" t="s">
        <v>179</v>
      </c>
      <c r="Z3526" t="s">
        <v>41</v>
      </c>
      <c r="AB3526" t="str">
        <f t="shared" si="165"/>
        <v>53305</v>
      </c>
    </row>
    <row r="3527" ht="14.25" spans="1:28">
      <c r="A3527" s="5" t="s">
        <v>28</v>
      </c>
      <c r="B3527" s="5" t="s">
        <v>697</v>
      </c>
      <c r="C3527" s="5">
        <v>2027</v>
      </c>
      <c r="D3527" s="5" t="s">
        <v>30</v>
      </c>
      <c r="E3527" t="s">
        <v>2043</v>
      </c>
      <c r="F3527" t="s">
        <v>2044</v>
      </c>
      <c r="G3527" t="s">
        <v>945</v>
      </c>
      <c r="H3527" t="s">
        <v>2045</v>
      </c>
      <c r="I3527" t="s">
        <v>147</v>
      </c>
      <c r="J3527" t="s">
        <v>36</v>
      </c>
      <c r="K3527">
        <v>1790</v>
      </c>
      <c r="O3527" t="s">
        <v>195</v>
      </c>
      <c r="P3527" t="s">
        <v>78</v>
      </c>
      <c r="U3527" s="9" t="s">
        <v>148</v>
      </c>
      <c r="V3527" t="s">
        <v>2046</v>
      </c>
      <c r="W3527" t="s">
        <v>178</v>
      </c>
      <c r="X3527" t="s">
        <v>70</v>
      </c>
      <c r="Y3527" t="s">
        <v>179</v>
      </c>
      <c r="Z3527" t="s">
        <v>41</v>
      </c>
      <c r="AB3527" t="str">
        <f t="shared" si="165"/>
        <v>53305</v>
      </c>
    </row>
    <row r="3528" ht="14.25" spans="1:28">
      <c r="A3528" s="5" t="s">
        <v>28</v>
      </c>
      <c r="B3528" s="5" t="s">
        <v>697</v>
      </c>
      <c r="C3528" s="5">
        <v>2027</v>
      </c>
      <c r="D3528" s="5" t="s">
        <v>30</v>
      </c>
      <c r="E3528" t="s">
        <v>2043</v>
      </c>
      <c r="F3528" t="s">
        <v>2044</v>
      </c>
      <c r="G3528" t="s">
        <v>945</v>
      </c>
      <c r="H3528" t="s">
        <v>2045</v>
      </c>
      <c r="I3528" t="s">
        <v>147</v>
      </c>
      <c r="J3528" t="s">
        <v>36</v>
      </c>
      <c r="K3528">
        <v>1790</v>
      </c>
      <c r="O3528" t="s">
        <v>195</v>
      </c>
      <c r="P3528" t="s">
        <v>79</v>
      </c>
      <c r="U3528" s="9" t="s">
        <v>148</v>
      </c>
      <c r="V3528" t="s">
        <v>2046</v>
      </c>
      <c r="W3528" t="s">
        <v>178</v>
      </c>
      <c r="X3528" t="s">
        <v>70</v>
      </c>
      <c r="Y3528" t="s">
        <v>179</v>
      </c>
      <c r="Z3528" t="s">
        <v>41</v>
      </c>
      <c r="AB3528" t="str">
        <f t="shared" si="165"/>
        <v>53305</v>
      </c>
    </row>
    <row r="3529" ht="14.25" spans="1:28">
      <c r="A3529" s="5" t="s">
        <v>28</v>
      </c>
      <c r="B3529" s="5" t="s">
        <v>697</v>
      </c>
      <c r="C3529" s="5">
        <v>2027</v>
      </c>
      <c r="D3529" s="5" t="s">
        <v>30</v>
      </c>
      <c r="E3529" t="s">
        <v>2047</v>
      </c>
      <c r="F3529" t="s">
        <v>2044</v>
      </c>
      <c r="G3529" t="s">
        <v>1937</v>
      </c>
      <c r="H3529" t="s">
        <v>2048</v>
      </c>
      <c r="I3529" t="s">
        <v>147</v>
      </c>
      <c r="J3529" t="s">
        <v>36</v>
      </c>
      <c r="K3529">
        <v>1790</v>
      </c>
      <c r="O3529" t="s">
        <v>195</v>
      </c>
      <c r="P3529" t="s">
        <v>74</v>
      </c>
      <c r="R3529">
        <f t="shared" si="166"/>
        <v>0</v>
      </c>
      <c r="S3529">
        <f>SUMIFS([1]Sheet1!$T:$T,[1]Sheet1!$I:$I,E3529,[1]Sheet1!$C:$C,A3529)</f>
        <v>20</v>
      </c>
      <c r="T3529">
        <f t="shared" si="167"/>
        <v>-20</v>
      </c>
      <c r="U3529" s="9" t="s">
        <v>148</v>
      </c>
      <c r="V3529" t="s">
        <v>2046</v>
      </c>
      <c r="W3529" t="s">
        <v>178</v>
      </c>
      <c r="X3529" t="s">
        <v>1106</v>
      </c>
      <c r="Y3529" t="s">
        <v>179</v>
      </c>
      <c r="Z3529" t="s">
        <v>41</v>
      </c>
      <c r="AB3529" t="str">
        <f t="shared" si="165"/>
        <v>53305</v>
      </c>
    </row>
    <row r="3530" ht="14.25" spans="1:28">
      <c r="A3530" s="5" t="s">
        <v>28</v>
      </c>
      <c r="B3530" s="5" t="s">
        <v>697</v>
      </c>
      <c r="C3530" s="5">
        <v>2027</v>
      </c>
      <c r="D3530" s="5" t="s">
        <v>30</v>
      </c>
      <c r="E3530" t="s">
        <v>2047</v>
      </c>
      <c r="F3530" t="s">
        <v>2044</v>
      </c>
      <c r="G3530" t="s">
        <v>1937</v>
      </c>
      <c r="H3530" t="s">
        <v>2048</v>
      </c>
      <c r="I3530" t="s">
        <v>147</v>
      </c>
      <c r="J3530" t="s">
        <v>36</v>
      </c>
      <c r="K3530">
        <v>1790</v>
      </c>
      <c r="O3530" t="s">
        <v>195</v>
      </c>
      <c r="P3530" t="s">
        <v>76</v>
      </c>
      <c r="U3530" s="9" t="s">
        <v>148</v>
      </c>
      <c r="V3530" t="s">
        <v>2046</v>
      </c>
      <c r="W3530" t="s">
        <v>178</v>
      </c>
      <c r="X3530" t="s">
        <v>1106</v>
      </c>
      <c r="Y3530" t="s">
        <v>179</v>
      </c>
      <c r="Z3530" t="s">
        <v>41</v>
      </c>
      <c r="AB3530" t="str">
        <f t="shared" si="165"/>
        <v>53305</v>
      </c>
    </row>
    <row r="3531" ht="14.25" spans="1:28">
      <c r="A3531" s="5" t="s">
        <v>28</v>
      </c>
      <c r="B3531" s="5" t="s">
        <v>697</v>
      </c>
      <c r="C3531" s="5">
        <v>2027</v>
      </c>
      <c r="D3531" s="5" t="s">
        <v>30</v>
      </c>
      <c r="E3531" t="s">
        <v>2047</v>
      </c>
      <c r="F3531" t="s">
        <v>2044</v>
      </c>
      <c r="G3531" t="s">
        <v>1937</v>
      </c>
      <c r="H3531" t="s">
        <v>2048</v>
      </c>
      <c r="I3531" t="s">
        <v>147</v>
      </c>
      <c r="J3531" t="s">
        <v>36</v>
      </c>
      <c r="K3531">
        <v>1790</v>
      </c>
      <c r="O3531" t="s">
        <v>195</v>
      </c>
      <c r="P3531" t="s">
        <v>77</v>
      </c>
      <c r="U3531" s="9" t="s">
        <v>148</v>
      </c>
      <c r="V3531" t="s">
        <v>2046</v>
      </c>
      <c r="W3531" t="s">
        <v>178</v>
      </c>
      <c r="X3531" t="s">
        <v>1106</v>
      </c>
      <c r="Y3531" t="s">
        <v>179</v>
      </c>
      <c r="Z3531" t="s">
        <v>41</v>
      </c>
      <c r="AB3531" t="str">
        <f t="shared" si="165"/>
        <v>53305</v>
      </c>
    </row>
    <row r="3532" ht="14.25" spans="1:28">
      <c r="A3532" s="5" t="s">
        <v>28</v>
      </c>
      <c r="B3532" s="5" t="s">
        <v>697</v>
      </c>
      <c r="C3532" s="5">
        <v>2027</v>
      </c>
      <c r="D3532" s="5" t="s">
        <v>30</v>
      </c>
      <c r="E3532" t="s">
        <v>2047</v>
      </c>
      <c r="F3532" t="s">
        <v>2044</v>
      </c>
      <c r="G3532" t="s">
        <v>1937</v>
      </c>
      <c r="H3532" t="s">
        <v>2048</v>
      </c>
      <c r="I3532" t="s">
        <v>147</v>
      </c>
      <c r="J3532" t="s">
        <v>36</v>
      </c>
      <c r="K3532">
        <v>1790</v>
      </c>
      <c r="O3532" t="s">
        <v>195</v>
      </c>
      <c r="P3532" t="s">
        <v>78</v>
      </c>
      <c r="U3532" s="9" t="s">
        <v>148</v>
      </c>
      <c r="V3532" t="s">
        <v>2046</v>
      </c>
      <c r="W3532" t="s">
        <v>178</v>
      </c>
      <c r="X3532" t="s">
        <v>1106</v>
      </c>
      <c r="Y3532" t="s">
        <v>179</v>
      </c>
      <c r="Z3532" t="s">
        <v>41</v>
      </c>
      <c r="AB3532" t="str">
        <f t="shared" si="165"/>
        <v>53305</v>
      </c>
    </row>
    <row r="3533" ht="14.25" spans="1:28">
      <c r="A3533" s="5" t="s">
        <v>28</v>
      </c>
      <c r="B3533" s="5" t="s">
        <v>697</v>
      </c>
      <c r="C3533" s="5">
        <v>2027</v>
      </c>
      <c r="D3533" s="5" t="s">
        <v>30</v>
      </c>
      <c r="E3533" t="s">
        <v>2047</v>
      </c>
      <c r="F3533" t="s">
        <v>2044</v>
      </c>
      <c r="G3533" t="s">
        <v>1937</v>
      </c>
      <c r="H3533" t="s">
        <v>2048</v>
      </c>
      <c r="I3533" t="s">
        <v>147</v>
      </c>
      <c r="J3533" t="s">
        <v>36</v>
      </c>
      <c r="K3533">
        <v>1790</v>
      </c>
      <c r="O3533" t="s">
        <v>195</v>
      </c>
      <c r="P3533" t="s">
        <v>79</v>
      </c>
      <c r="U3533" s="9" t="s">
        <v>148</v>
      </c>
      <c r="V3533" t="s">
        <v>2046</v>
      </c>
      <c r="W3533" t="s">
        <v>178</v>
      </c>
      <c r="X3533" t="s">
        <v>1106</v>
      </c>
      <c r="Y3533" t="s">
        <v>179</v>
      </c>
      <c r="Z3533" t="s">
        <v>41</v>
      </c>
      <c r="AB3533" t="str">
        <f t="shared" si="165"/>
        <v>53305</v>
      </c>
    </row>
    <row r="3534" ht="14.25" spans="1:28">
      <c r="A3534" s="5" t="s">
        <v>28</v>
      </c>
      <c r="B3534" s="5" t="s">
        <v>697</v>
      </c>
      <c r="C3534" s="5">
        <v>2027</v>
      </c>
      <c r="D3534" s="5" t="s">
        <v>30</v>
      </c>
      <c r="E3534" t="s">
        <v>2049</v>
      </c>
      <c r="F3534" t="s">
        <v>2050</v>
      </c>
      <c r="G3534" t="s">
        <v>2051</v>
      </c>
      <c r="H3534" t="s">
        <v>2052</v>
      </c>
      <c r="I3534" t="s">
        <v>119</v>
      </c>
      <c r="J3534" t="s">
        <v>36</v>
      </c>
      <c r="K3534">
        <v>690</v>
      </c>
      <c r="O3534" t="s">
        <v>176</v>
      </c>
      <c r="P3534" t="s">
        <v>177</v>
      </c>
      <c r="R3534">
        <f t="shared" si="166"/>
        <v>0</v>
      </c>
      <c r="S3534">
        <f>SUMIFS([1]Sheet1!$T:$T,[1]Sheet1!$I:$I,E3534,[1]Sheet1!$C:$C,A3534)</f>
        <v>30</v>
      </c>
      <c r="T3534">
        <f t="shared" si="167"/>
        <v>-30</v>
      </c>
      <c r="U3534" s="9" t="s">
        <v>148</v>
      </c>
      <c r="V3534" t="s">
        <v>184</v>
      </c>
      <c r="W3534" t="s">
        <v>178</v>
      </c>
      <c r="X3534" t="s">
        <v>191</v>
      </c>
      <c r="Y3534" t="s">
        <v>179</v>
      </c>
      <c r="Z3534" t="s">
        <v>41</v>
      </c>
      <c r="AB3534" t="str">
        <f t="shared" si="165"/>
        <v>53508</v>
      </c>
    </row>
    <row r="3535" ht="14.25" spans="1:28">
      <c r="A3535" s="5" t="s">
        <v>28</v>
      </c>
      <c r="B3535" s="5" t="s">
        <v>697</v>
      </c>
      <c r="C3535" s="5">
        <v>2027</v>
      </c>
      <c r="D3535" s="5" t="s">
        <v>30</v>
      </c>
      <c r="E3535" t="s">
        <v>2049</v>
      </c>
      <c r="F3535" t="s">
        <v>2050</v>
      </c>
      <c r="G3535" t="s">
        <v>2051</v>
      </c>
      <c r="H3535" t="s">
        <v>2052</v>
      </c>
      <c r="I3535" t="s">
        <v>119</v>
      </c>
      <c r="J3535" t="s">
        <v>36</v>
      </c>
      <c r="K3535">
        <v>690</v>
      </c>
      <c r="O3535" t="s">
        <v>176</v>
      </c>
      <c r="P3535" t="s">
        <v>38</v>
      </c>
      <c r="U3535" s="9" t="s">
        <v>148</v>
      </c>
      <c r="V3535" t="s">
        <v>184</v>
      </c>
      <c r="W3535" t="s">
        <v>178</v>
      </c>
      <c r="X3535" t="s">
        <v>191</v>
      </c>
      <c r="Y3535" t="s">
        <v>179</v>
      </c>
      <c r="Z3535" t="s">
        <v>41</v>
      </c>
      <c r="AB3535" t="str">
        <f t="shared" si="165"/>
        <v>53508</v>
      </c>
    </row>
    <row r="3536" ht="14.25" spans="1:28">
      <c r="A3536" s="5" t="s">
        <v>28</v>
      </c>
      <c r="B3536" s="5" t="s">
        <v>697</v>
      </c>
      <c r="C3536" s="5">
        <v>2027</v>
      </c>
      <c r="D3536" s="5" t="s">
        <v>30</v>
      </c>
      <c r="E3536" t="s">
        <v>2049</v>
      </c>
      <c r="F3536" t="s">
        <v>2050</v>
      </c>
      <c r="G3536" t="s">
        <v>2051</v>
      </c>
      <c r="H3536" t="s">
        <v>2052</v>
      </c>
      <c r="I3536" t="s">
        <v>119</v>
      </c>
      <c r="J3536" t="s">
        <v>36</v>
      </c>
      <c r="K3536">
        <v>690</v>
      </c>
      <c r="O3536" t="s">
        <v>176</v>
      </c>
      <c r="P3536" t="s">
        <v>42</v>
      </c>
      <c r="U3536" s="9" t="s">
        <v>148</v>
      </c>
      <c r="V3536" t="s">
        <v>184</v>
      </c>
      <c r="W3536" t="s">
        <v>178</v>
      </c>
      <c r="X3536" t="s">
        <v>191</v>
      </c>
      <c r="Y3536" t="s">
        <v>179</v>
      </c>
      <c r="Z3536" t="s">
        <v>41</v>
      </c>
      <c r="AB3536" t="str">
        <f t="shared" si="165"/>
        <v>53508</v>
      </c>
    </row>
    <row r="3537" ht="14.25" spans="1:28">
      <c r="A3537" s="5" t="s">
        <v>28</v>
      </c>
      <c r="B3537" s="5" t="s">
        <v>697</v>
      </c>
      <c r="C3537" s="5">
        <v>2027</v>
      </c>
      <c r="D3537" s="5" t="s">
        <v>30</v>
      </c>
      <c r="E3537" t="s">
        <v>2049</v>
      </c>
      <c r="F3537" t="s">
        <v>2050</v>
      </c>
      <c r="G3537" t="s">
        <v>2051</v>
      </c>
      <c r="H3537" t="s">
        <v>2052</v>
      </c>
      <c r="I3537" t="s">
        <v>119</v>
      </c>
      <c r="J3537" t="s">
        <v>36</v>
      </c>
      <c r="K3537">
        <v>690</v>
      </c>
      <c r="O3537" t="s">
        <v>176</v>
      </c>
      <c r="P3537" t="s">
        <v>43</v>
      </c>
      <c r="U3537" s="9" t="s">
        <v>148</v>
      </c>
      <c r="V3537" t="s">
        <v>184</v>
      </c>
      <c r="W3537" t="s">
        <v>178</v>
      </c>
      <c r="X3537" t="s">
        <v>191</v>
      </c>
      <c r="Y3537" t="s">
        <v>179</v>
      </c>
      <c r="Z3537" t="s">
        <v>41</v>
      </c>
      <c r="AB3537" t="str">
        <f t="shared" si="165"/>
        <v>53508</v>
      </c>
    </row>
    <row r="3538" ht="14.25" spans="1:28">
      <c r="A3538" s="5" t="s">
        <v>28</v>
      </c>
      <c r="B3538" s="5" t="s">
        <v>697</v>
      </c>
      <c r="C3538" s="5">
        <v>2027</v>
      </c>
      <c r="D3538" s="5" t="s">
        <v>30</v>
      </c>
      <c r="E3538" t="s">
        <v>2049</v>
      </c>
      <c r="F3538" t="s">
        <v>2050</v>
      </c>
      <c r="G3538" t="s">
        <v>2051</v>
      </c>
      <c r="H3538" t="s">
        <v>2052</v>
      </c>
      <c r="I3538" t="s">
        <v>119</v>
      </c>
      <c r="J3538" t="s">
        <v>36</v>
      </c>
      <c r="K3538">
        <v>690</v>
      </c>
      <c r="O3538" t="s">
        <v>176</v>
      </c>
      <c r="P3538" t="s">
        <v>44</v>
      </c>
      <c r="U3538" s="9" t="s">
        <v>148</v>
      </c>
      <c r="V3538" t="s">
        <v>184</v>
      </c>
      <c r="W3538" t="s">
        <v>178</v>
      </c>
      <c r="X3538" t="s">
        <v>191</v>
      </c>
      <c r="Y3538" t="s">
        <v>179</v>
      </c>
      <c r="Z3538" t="s">
        <v>41</v>
      </c>
      <c r="AB3538" t="str">
        <f t="shared" si="165"/>
        <v>53508</v>
      </c>
    </row>
    <row r="3539" ht="14.25" spans="1:28">
      <c r="A3539" s="5" t="s">
        <v>28</v>
      </c>
      <c r="B3539" s="5" t="s">
        <v>697</v>
      </c>
      <c r="C3539" s="5">
        <v>2027</v>
      </c>
      <c r="D3539" s="5" t="s">
        <v>30</v>
      </c>
      <c r="E3539" t="s">
        <v>2049</v>
      </c>
      <c r="F3539" t="s">
        <v>2050</v>
      </c>
      <c r="G3539" t="s">
        <v>2051</v>
      </c>
      <c r="H3539" t="s">
        <v>2052</v>
      </c>
      <c r="I3539" t="s">
        <v>119</v>
      </c>
      <c r="J3539" t="s">
        <v>36</v>
      </c>
      <c r="K3539">
        <v>690</v>
      </c>
      <c r="O3539" t="s">
        <v>176</v>
      </c>
      <c r="P3539" t="s">
        <v>45</v>
      </c>
      <c r="U3539" s="9" t="s">
        <v>148</v>
      </c>
      <c r="V3539" t="s">
        <v>184</v>
      </c>
      <c r="W3539" t="s">
        <v>178</v>
      </c>
      <c r="X3539" t="s">
        <v>191</v>
      </c>
      <c r="Y3539" t="s">
        <v>179</v>
      </c>
      <c r="Z3539" t="s">
        <v>41</v>
      </c>
      <c r="AB3539" t="str">
        <f t="shared" si="165"/>
        <v>53508</v>
      </c>
    </row>
    <row r="3540" ht="14.25" spans="1:28">
      <c r="A3540" s="5" t="s">
        <v>28</v>
      </c>
      <c r="B3540" s="5" t="s">
        <v>697</v>
      </c>
      <c r="C3540" s="5">
        <v>2027</v>
      </c>
      <c r="D3540" s="5" t="s">
        <v>30</v>
      </c>
      <c r="E3540" t="s">
        <v>2053</v>
      </c>
      <c r="F3540" t="s">
        <v>2050</v>
      </c>
      <c r="G3540" t="s">
        <v>2054</v>
      </c>
      <c r="H3540" t="s">
        <v>2055</v>
      </c>
      <c r="I3540" t="s">
        <v>147</v>
      </c>
      <c r="J3540" t="s">
        <v>36</v>
      </c>
      <c r="K3540">
        <v>690</v>
      </c>
      <c r="O3540" t="s">
        <v>176</v>
      </c>
      <c r="P3540" t="s">
        <v>177</v>
      </c>
      <c r="R3540">
        <f t="shared" si="166"/>
        <v>0</v>
      </c>
      <c r="S3540">
        <f>SUMIFS([1]Sheet1!$T:$T,[1]Sheet1!$I:$I,E3540,[1]Sheet1!$C:$C,A3540)</f>
        <v>20</v>
      </c>
      <c r="T3540">
        <f t="shared" si="167"/>
        <v>-20</v>
      </c>
      <c r="U3540" s="9" t="s">
        <v>148</v>
      </c>
      <c r="V3540" t="s">
        <v>184</v>
      </c>
      <c r="W3540" t="s">
        <v>178</v>
      </c>
      <c r="X3540" t="s">
        <v>503</v>
      </c>
      <c r="Y3540" t="s">
        <v>179</v>
      </c>
      <c r="Z3540" t="s">
        <v>41</v>
      </c>
      <c r="AB3540" t="str">
        <f t="shared" si="165"/>
        <v>53508</v>
      </c>
    </row>
    <row r="3541" ht="14.25" spans="1:28">
      <c r="A3541" s="5" t="s">
        <v>28</v>
      </c>
      <c r="B3541" s="5" t="s">
        <v>697</v>
      </c>
      <c r="C3541" s="5">
        <v>2027</v>
      </c>
      <c r="D3541" s="5" t="s">
        <v>30</v>
      </c>
      <c r="E3541" t="s">
        <v>2053</v>
      </c>
      <c r="F3541" t="s">
        <v>2050</v>
      </c>
      <c r="G3541" t="s">
        <v>2054</v>
      </c>
      <c r="H3541" t="s">
        <v>2055</v>
      </c>
      <c r="I3541" t="s">
        <v>147</v>
      </c>
      <c r="J3541" t="s">
        <v>36</v>
      </c>
      <c r="K3541">
        <v>690</v>
      </c>
      <c r="O3541" t="s">
        <v>176</v>
      </c>
      <c r="P3541" t="s">
        <v>38</v>
      </c>
      <c r="U3541" s="9" t="s">
        <v>148</v>
      </c>
      <c r="V3541" t="s">
        <v>184</v>
      </c>
      <c r="W3541" t="s">
        <v>178</v>
      </c>
      <c r="X3541" t="s">
        <v>503</v>
      </c>
      <c r="Y3541" t="s">
        <v>179</v>
      </c>
      <c r="Z3541" t="s">
        <v>41</v>
      </c>
      <c r="AB3541" t="str">
        <f t="shared" si="165"/>
        <v>53508</v>
      </c>
    </row>
    <row r="3542" ht="14.25" spans="1:28">
      <c r="A3542" s="5" t="s">
        <v>28</v>
      </c>
      <c r="B3542" s="5" t="s">
        <v>697</v>
      </c>
      <c r="C3542" s="5">
        <v>2027</v>
      </c>
      <c r="D3542" s="5" t="s">
        <v>30</v>
      </c>
      <c r="E3542" t="s">
        <v>2053</v>
      </c>
      <c r="F3542" t="s">
        <v>2050</v>
      </c>
      <c r="G3542" t="s">
        <v>2054</v>
      </c>
      <c r="H3542" t="s">
        <v>2055</v>
      </c>
      <c r="I3542" t="s">
        <v>147</v>
      </c>
      <c r="J3542" t="s">
        <v>36</v>
      </c>
      <c r="K3542">
        <v>690</v>
      </c>
      <c r="O3542" t="s">
        <v>176</v>
      </c>
      <c r="P3542" t="s">
        <v>42</v>
      </c>
      <c r="U3542" s="9" t="s">
        <v>148</v>
      </c>
      <c r="V3542" t="s">
        <v>184</v>
      </c>
      <c r="W3542" t="s">
        <v>178</v>
      </c>
      <c r="X3542" t="s">
        <v>503</v>
      </c>
      <c r="Y3542" t="s">
        <v>179</v>
      </c>
      <c r="Z3542" t="s">
        <v>41</v>
      </c>
      <c r="AB3542" t="str">
        <f t="shared" si="165"/>
        <v>53508</v>
      </c>
    </row>
    <row r="3543" ht="14.25" spans="1:28">
      <c r="A3543" s="5" t="s">
        <v>28</v>
      </c>
      <c r="B3543" s="5" t="s">
        <v>697</v>
      </c>
      <c r="C3543" s="5">
        <v>2027</v>
      </c>
      <c r="D3543" s="5" t="s">
        <v>30</v>
      </c>
      <c r="E3543" t="s">
        <v>2053</v>
      </c>
      <c r="F3543" t="s">
        <v>2050</v>
      </c>
      <c r="G3543" t="s">
        <v>2054</v>
      </c>
      <c r="H3543" t="s">
        <v>2055</v>
      </c>
      <c r="I3543" t="s">
        <v>147</v>
      </c>
      <c r="J3543" t="s">
        <v>36</v>
      </c>
      <c r="K3543">
        <v>690</v>
      </c>
      <c r="O3543" t="s">
        <v>176</v>
      </c>
      <c r="P3543" t="s">
        <v>43</v>
      </c>
      <c r="U3543" s="9" t="s">
        <v>148</v>
      </c>
      <c r="V3543" t="s">
        <v>184</v>
      </c>
      <c r="W3543" t="s">
        <v>178</v>
      </c>
      <c r="X3543" t="s">
        <v>503</v>
      </c>
      <c r="Y3543" t="s">
        <v>179</v>
      </c>
      <c r="Z3543" t="s">
        <v>41</v>
      </c>
      <c r="AB3543" t="str">
        <f t="shared" si="165"/>
        <v>53508</v>
      </c>
    </row>
    <row r="3544" ht="14.25" spans="1:28">
      <c r="A3544" s="5" t="s">
        <v>28</v>
      </c>
      <c r="B3544" s="5" t="s">
        <v>697</v>
      </c>
      <c r="C3544" s="5">
        <v>2027</v>
      </c>
      <c r="D3544" s="5" t="s">
        <v>30</v>
      </c>
      <c r="E3544" t="s">
        <v>2053</v>
      </c>
      <c r="F3544" t="s">
        <v>2050</v>
      </c>
      <c r="G3544" t="s">
        <v>2054</v>
      </c>
      <c r="H3544" t="s">
        <v>2055</v>
      </c>
      <c r="I3544" t="s">
        <v>147</v>
      </c>
      <c r="J3544" t="s">
        <v>36</v>
      </c>
      <c r="K3544">
        <v>690</v>
      </c>
      <c r="O3544" t="s">
        <v>176</v>
      </c>
      <c r="P3544" t="s">
        <v>44</v>
      </c>
      <c r="U3544" s="9" t="s">
        <v>148</v>
      </c>
      <c r="V3544" t="s">
        <v>184</v>
      </c>
      <c r="W3544" t="s">
        <v>178</v>
      </c>
      <c r="X3544" t="s">
        <v>503</v>
      </c>
      <c r="Y3544" t="s">
        <v>179</v>
      </c>
      <c r="Z3544" t="s">
        <v>41</v>
      </c>
      <c r="AB3544" t="str">
        <f t="shared" si="165"/>
        <v>53508</v>
      </c>
    </row>
    <row r="3545" ht="14.25" spans="1:28">
      <c r="A3545" s="5" t="s">
        <v>28</v>
      </c>
      <c r="B3545" s="5" t="s">
        <v>697</v>
      </c>
      <c r="C3545" s="5">
        <v>2027</v>
      </c>
      <c r="D3545" s="5" t="s">
        <v>30</v>
      </c>
      <c r="E3545" t="s">
        <v>2053</v>
      </c>
      <c r="F3545" t="s">
        <v>2050</v>
      </c>
      <c r="G3545" t="s">
        <v>2054</v>
      </c>
      <c r="H3545" t="s">
        <v>2055</v>
      </c>
      <c r="I3545" t="s">
        <v>147</v>
      </c>
      <c r="J3545" t="s">
        <v>36</v>
      </c>
      <c r="K3545">
        <v>690</v>
      </c>
      <c r="O3545" t="s">
        <v>176</v>
      </c>
      <c r="P3545" t="s">
        <v>45</v>
      </c>
      <c r="U3545" s="9" t="s">
        <v>148</v>
      </c>
      <c r="V3545" t="s">
        <v>184</v>
      </c>
      <c r="W3545" t="s">
        <v>178</v>
      </c>
      <c r="X3545" t="s">
        <v>503</v>
      </c>
      <c r="Y3545" t="s">
        <v>179</v>
      </c>
      <c r="Z3545" t="s">
        <v>41</v>
      </c>
      <c r="AB3545" t="str">
        <f t="shared" si="165"/>
        <v>53508</v>
      </c>
    </row>
    <row r="3546" ht="14.25" spans="1:28">
      <c r="A3546" s="5" t="s">
        <v>28</v>
      </c>
      <c r="B3546" s="5" t="s">
        <v>697</v>
      </c>
      <c r="C3546" s="5">
        <v>2027</v>
      </c>
      <c r="D3546" s="5" t="s">
        <v>30</v>
      </c>
      <c r="E3546" t="s">
        <v>2056</v>
      </c>
      <c r="F3546" t="s">
        <v>2057</v>
      </c>
      <c r="G3546" t="s">
        <v>2058</v>
      </c>
      <c r="H3546" t="s">
        <v>2059</v>
      </c>
      <c r="I3546" t="s">
        <v>119</v>
      </c>
      <c r="J3546" t="s">
        <v>36</v>
      </c>
      <c r="K3546">
        <v>2590</v>
      </c>
      <c r="O3546" t="s">
        <v>176</v>
      </c>
      <c r="P3546" t="s">
        <v>177</v>
      </c>
      <c r="R3546">
        <f t="shared" si="166"/>
        <v>0</v>
      </c>
      <c r="S3546">
        <f>SUMIFS([1]Sheet1!$T:$T,[1]Sheet1!$I:$I,E3546,[1]Sheet1!$C:$C,A3546)</f>
        <v>40</v>
      </c>
      <c r="T3546">
        <f t="shared" si="167"/>
        <v>-40</v>
      </c>
      <c r="U3546" s="9" t="s">
        <v>242</v>
      </c>
      <c r="V3546" t="s">
        <v>242</v>
      </c>
      <c r="W3546" t="s">
        <v>178</v>
      </c>
      <c r="X3546" t="s">
        <v>70</v>
      </c>
      <c r="Y3546" t="s">
        <v>179</v>
      </c>
      <c r="Z3546" t="s">
        <v>41</v>
      </c>
      <c r="AB3546" t="str">
        <f t="shared" si="165"/>
        <v>53535</v>
      </c>
    </row>
    <row r="3547" ht="14.25" spans="1:28">
      <c r="A3547" s="5" t="s">
        <v>28</v>
      </c>
      <c r="B3547" s="5" t="s">
        <v>697</v>
      </c>
      <c r="C3547" s="5">
        <v>2027</v>
      </c>
      <c r="D3547" s="5" t="s">
        <v>30</v>
      </c>
      <c r="E3547" t="s">
        <v>2056</v>
      </c>
      <c r="F3547" t="s">
        <v>2057</v>
      </c>
      <c r="G3547" t="s">
        <v>2058</v>
      </c>
      <c r="H3547" t="s">
        <v>2059</v>
      </c>
      <c r="I3547" t="s">
        <v>119</v>
      </c>
      <c r="J3547" t="s">
        <v>36</v>
      </c>
      <c r="K3547">
        <v>2590</v>
      </c>
      <c r="O3547" t="s">
        <v>176</v>
      </c>
      <c r="P3547" t="s">
        <v>38</v>
      </c>
      <c r="U3547" s="9" t="s">
        <v>242</v>
      </c>
      <c r="V3547" t="s">
        <v>242</v>
      </c>
      <c r="W3547" t="s">
        <v>178</v>
      </c>
      <c r="X3547" t="s">
        <v>70</v>
      </c>
      <c r="Y3547" t="s">
        <v>179</v>
      </c>
      <c r="Z3547" t="s">
        <v>41</v>
      </c>
      <c r="AB3547" t="str">
        <f t="shared" si="165"/>
        <v>53535</v>
      </c>
    </row>
    <row r="3548" ht="14.25" spans="1:28">
      <c r="A3548" s="5" t="s">
        <v>28</v>
      </c>
      <c r="B3548" s="5" t="s">
        <v>697</v>
      </c>
      <c r="C3548" s="5">
        <v>2027</v>
      </c>
      <c r="D3548" s="5" t="s">
        <v>30</v>
      </c>
      <c r="E3548" t="s">
        <v>2056</v>
      </c>
      <c r="F3548" t="s">
        <v>2057</v>
      </c>
      <c r="G3548" t="s">
        <v>2058</v>
      </c>
      <c r="H3548" t="s">
        <v>2059</v>
      </c>
      <c r="I3548" t="s">
        <v>119</v>
      </c>
      <c r="J3548" t="s">
        <v>36</v>
      </c>
      <c r="K3548">
        <v>2590</v>
      </c>
      <c r="O3548" t="s">
        <v>176</v>
      </c>
      <c r="P3548" t="s">
        <v>42</v>
      </c>
      <c r="U3548" s="9" t="s">
        <v>242</v>
      </c>
      <c r="V3548" t="s">
        <v>242</v>
      </c>
      <c r="W3548" t="s">
        <v>178</v>
      </c>
      <c r="X3548" t="s">
        <v>70</v>
      </c>
      <c r="Y3548" t="s">
        <v>179</v>
      </c>
      <c r="Z3548" t="s">
        <v>41</v>
      </c>
      <c r="AB3548" t="str">
        <f t="shared" si="165"/>
        <v>53535</v>
      </c>
    </row>
    <row r="3549" ht="14.25" spans="1:28">
      <c r="A3549" s="5" t="s">
        <v>28</v>
      </c>
      <c r="B3549" s="5" t="s">
        <v>697</v>
      </c>
      <c r="C3549" s="5">
        <v>2027</v>
      </c>
      <c r="D3549" s="5" t="s">
        <v>30</v>
      </c>
      <c r="E3549" t="s">
        <v>2056</v>
      </c>
      <c r="F3549" t="s">
        <v>2057</v>
      </c>
      <c r="G3549" t="s">
        <v>2058</v>
      </c>
      <c r="H3549" t="s">
        <v>2059</v>
      </c>
      <c r="I3549" t="s">
        <v>119</v>
      </c>
      <c r="J3549" t="s">
        <v>36</v>
      </c>
      <c r="K3549">
        <v>2590</v>
      </c>
      <c r="O3549" t="s">
        <v>176</v>
      </c>
      <c r="P3549" t="s">
        <v>43</v>
      </c>
      <c r="U3549" s="9" t="s">
        <v>242</v>
      </c>
      <c r="V3549" t="s">
        <v>242</v>
      </c>
      <c r="W3549" t="s">
        <v>178</v>
      </c>
      <c r="X3549" t="s">
        <v>70</v>
      </c>
      <c r="Y3549" t="s">
        <v>179</v>
      </c>
      <c r="Z3549" t="s">
        <v>41</v>
      </c>
      <c r="AB3549" t="str">
        <f t="shared" si="165"/>
        <v>53535</v>
      </c>
    </row>
    <row r="3550" ht="14.25" spans="1:28">
      <c r="A3550" s="5" t="s">
        <v>28</v>
      </c>
      <c r="B3550" s="5" t="s">
        <v>697</v>
      </c>
      <c r="C3550" s="5">
        <v>2027</v>
      </c>
      <c r="D3550" s="5" t="s">
        <v>30</v>
      </c>
      <c r="E3550" t="s">
        <v>2056</v>
      </c>
      <c r="F3550" t="s">
        <v>2057</v>
      </c>
      <c r="G3550" t="s">
        <v>2058</v>
      </c>
      <c r="H3550" t="s">
        <v>2059</v>
      </c>
      <c r="I3550" t="s">
        <v>119</v>
      </c>
      <c r="J3550" t="s">
        <v>36</v>
      </c>
      <c r="K3550">
        <v>2590</v>
      </c>
      <c r="O3550" t="s">
        <v>176</v>
      </c>
      <c r="P3550" t="s">
        <v>44</v>
      </c>
      <c r="U3550" s="9" t="s">
        <v>242</v>
      </c>
      <c r="V3550" t="s">
        <v>242</v>
      </c>
      <c r="W3550" t="s">
        <v>178</v>
      </c>
      <c r="X3550" t="s">
        <v>70</v>
      </c>
      <c r="Y3550" t="s">
        <v>179</v>
      </c>
      <c r="Z3550" t="s">
        <v>41</v>
      </c>
      <c r="AB3550" t="str">
        <f t="shared" si="165"/>
        <v>53535</v>
      </c>
    </row>
    <row r="3551" ht="14.25" spans="1:28">
      <c r="A3551" s="5" t="s">
        <v>28</v>
      </c>
      <c r="B3551" s="5" t="s">
        <v>697</v>
      </c>
      <c r="C3551" s="5">
        <v>2027</v>
      </c>
      <c r="D3551" s="5" t="s">
        <v>30</v>
      </c>
      <c r="E3551" t="s">
        <v>2056</v>
      </c>
      <c r="F3551" t="s">
        <v>2057</v>
      </c>
      <c r="G3551" t="s">
        <v>2058</v>
      </c>
      <c r="H3551" t="s">
        <v>2059</v>
      </c>
      <c r="I3551" t="s">
        <v>119</v>
      </c>
      <c r="J3551" t="s">
        <v>36</v>
      </c>
      <c r="K3551">
        <v>2590</v>
      </c>
      <c r="O3551" t="s">
        <v>176</v>
      </c>
      <c r="P3551" t="s">
        <v>45</v>
      </c>
      <c r="U3551" s="9" t="s">
        <v>242</v>
      </c>
      <c r="V3551" t="s">
        <v>242</v>
      </c>
      <c r="W3551" t="s">
        <v>178</v>
      </c>
      <c r="X3551" t="s">
        <v>70</v>
      </c>
      <c r="Y3551" t="s">
        <v>179</v>
      </c>
      <c r="Z3551" t="s">
        <v>41</v>
      </c>
      <c r="AB3551" t="str">
        <f t="shared" si="165"/>
        <v>53535</v>
      </c>
    </row>
    <row r="3552" ht="14.25" spans="1:28">
      <c r="A3552" s="5" t="s">
        <v>28</v>
      </c>
      <c r="B3552" s="5" t="s">
        <v>697</v>
      </c>
      <c r="C3552" s="5">
        <v>2027</v>
      </c>
      <c r="D3552" s="5" t="s">
        <v>30</v>
      </c>
      <c r="E3552" t="s">
        <v>2060</v>
      </c>
      <c r="F3552" t="s">
        <v>2061</v>
      </c>
      <c r="G3552" t="s">
        <v>2062</v>
      </c>
      <c r="H3552" t="s">
        <v>2063</v>
      </c>
      <c r="I3552" t="s">
        <v>119</v>
      </c>
      <c r="J3552" t="s">
        <v>36</v>
      </c>
      <c r="K3552">
        <v>2390</v>
      </c>
      <c r="O3552" t="s">
        <v>176</v>
      </c>
      <c r="P3552" t="s">
        <v>177</v>
      </c>
      <c r="R3552">
        <f t="shared" si="166"/>
        <v>0</v>
      </c>
      <c r="S3552">
        <f>SUMIFS([1]Sheet1!$T:$T,[1]Sheet1!$I:$I,E3552,[1]Sheet1!$C:$C,A3552)</f>
        <v>12</v>
      </c>
      <c r="T3552">
        <f t="shared" si="167"/>
        <v>-12</v>
      </c>
      <c r="U3552" s="9" t="s">
        <v>242</v>
      </c>
      <c r="V3552" t="s">
        <v>242</v>
      </c>
      <c r="W3552" t="s">
        <v>178</v>
      </c>
      <c r="Y3552" t="s">
        <v>179</v>
      </c>
      <c r="Z3552" t="s">
        <v>104</v>
      </c>
      <c r="AB3552" t="str">
        <f t="shared" si="165"/>
        <v>53546</v>
      </c>
    </row>
    <row r="3553" ht="14.25" spans="1:28">
      <c r="A3553" s="5" t="s">
        <v>28</v>
      </c>
      <c r="B3553" s="5" t="s">
        <v>697</v>
      </c>
      <c r="C3553" s="5">
        <v>2027</v>
      </c>
      <c r="D3553" s="5" t="s">
        <v>30</v>
      </c>
      <c r="E3553" t="s">
        <v>2060</v>
      </c>
      <c r="F3553" t="s">
        <v>2061</v>
      </c>
      <c r="G3553" t="s">
        <v>2062</v>
      </c>
      <c r="H3553" t="s">
        <v>2063</v>
      </c>
      <c r="I3553" t="s">
        <v>119</v>
      </c>
      <c r="J3553" t="s">
        <v>36</v>
      </c>
      <c r="K3553">
        <v>2390</v>
      </c>
      <c r="O3553" t="s">
        <v>176</v>
      </c>
      <c r="P3553" t="s">
        <v>38</v>
      </c>
      <c r="U3553" s="9" t="s">
        <v>242</v>
      </c>
      <c r="V3553" t="s">
        <v>242</v>
      </c>
      <c r="W3553" t="s">
        <v>178</v>
      </c>
      <c r="Y3553" t="s">
        <v>179</v>
      </c>
      <c r="Z3553" t="s">
        <v>104</v>
      </c>
      <c r="AB3553" t="str">
        <f t="shared" si="165"/>
        <v>53546</v>
      </c>
    </row>
    <row r="3554" ht="14.25" spans="1:28">
      <c r="A3554" s="5" t="s">
        <v>28</v>
      </c>
      <c r="B3554" s="5" t="s">
        <v>697</v>
      </c>
      <c r="C3554" s="5">
        <v>2027</v>
      </c>
      <c r="D3554" s="5" t="s">
        <v>30</v>
      </c>
      <c r="E3554" t="s">
        <v>2060</v>
      </c>
      <c r="F3554" t="s">
        <v>2061</v>
      </c>
      <c r="G3554" t="s">
        <v>2062</v>
      </c>
      <c r="H3554" t="s">
        <v>2063</v>
      </c>
      <c r="I3554" t="s">
        <v>119</v>
      </c>
      <c r="J3554" t="s">
        <v>36</v>
      </c>
      <c r="K3554">
        <v>2390</v>
      </c>
      <c r="O3554" t="s">
        <v>176</v>
      </c>
      <c r="P3554" t="s">
        <v>42</v>
      </c>
      <c r="U3554" s="9" t="s">
        <v>242</v>
      </c>
      <c r="V3554" t="s">
        <v>242</v>
      </c>
      <c r="W3554" t="s">
        <v>178</v>
      </c>
      <c r="Y3554" t="s">
        <v>179</v>
      </c>
      <c r="Z3554" t="s">
        <v>104</v>
      </c>
      <c r="AB3554" t="str">
        <f t="shared" si="165"/>
        <v>53546</v>
      </c>
    </row>
    <row r="3555" ht="14.25" spans="1:28">
      <c r="A3555" s="5" t="s">
        <v>28</v>
      </c>
      <c r="B3555" s="5" t="s">
        <v>697</v>
      </c>
      <c r="C3555" s="5">
        <v>2027</v>
      </c>
      <c r="D3555" s="5" t="s">
        <v>30</v>
      </c>
      <c r="E3555" t="s">
        <v>2060</v>
      </c>
      <c r="F3555" t="s">
        <v>2061</v>
      </c>
      <c r="G3555" t="s">
        <v>2062</v>
      </c>
      <c r="H3555" t="s">
        <v>2063</v>
      </c>
      <c r="I3555" t="s">
        <v>119</v>
      </c>
      <c r="J3555" t="s">
        <v>36</v>
      </c>
      <c r="K3555">
        <v>2390</v>
      </c>
      <c r="O3555" t="s">
        <v>176</v>
      </c>
      <c r="P3555" t="s">
        <v>43</v>
      </c>
      <c r="U3555" s="9" t="s">
        <v>242</v>
      </c>
      <c r="V3555" t="s">
        <v>242</v>
      </c>
      <c r="W3555" t="s">
        <v>178</v>
      </c>
      <c r="Y3555" t="s">
        <v>179</v>
      </c>
      <c r="Z3555" t="s">
        <v>104</v>
      </c>
      <c r="AB3555" t="str">
        <f t="shared" si="165"/>
        <v>53546</v>
      </c>
    </row>
    <row r="3556" ht="14.25" spans="1:28">
      <c r="A3556" s="5" t="s">
        <v>28</v>
      </c>
      <c r="B3556" s="5" t="s">
        <v>697</v>
      </c>
      <c r="C3556" s="5">
        <v>2027</v>
      </c>
      <c r="D3556" s="5" t="s">
        <v>30</v>
      </c>
      <c r="E3556" t="s">
        <v>2060</v>
      </c>
      <c r="F3556" t="s">
        <v>2061</v>
      </c>
      <c r="G3556" t="s">
        <v>2062</v>
      </c>
      <c r="H3556" t="s">
        <v>2063</v>
      </c>
      <c r="I3556" t="s">
        <v>119</v>
      </c>
      <c r="J3556" t="s">
        <v>36</v>
      </c>
      <c r="K3556">
        <v>2390</v>
      </c>
      <c r="O3556" t="s">
        <v>176</v>
      </c>
      <c r="P3556" t="s">
        <v>44</v>
      </c>
      <c r="U3556" s="9" t="s">
        <v>242</v>
      </c>
      <c r="V3556" t="s">
        <v>242</v>
      </c>
      <c r="W3556" t="s">
        <v>178</v>
      </c>
      <c r="Y3556" t="s">
        <v>179</v>
      </c>
      <c r="Z3556" t="s">
        <v>104</v>
      </c>
      <c r="AB3556" t="str">
        <f t="shared" si="165"/>
        <v>53546</v>
      </c>
    </row>
    <row r="3557" ht="14.25" spans="1:28">
      <c r="A3557" s="5" t="s">
        <v>28</v>
      </c>
      <c r="B3557" s="5" t="s">
        <v>697</v>
      </c>
      <c r="C3557" s="5">
        <v>2027</v>
      </c>
      <c r="D3557" s="5" t="s">
        <v>30</v>
      </c>
      <c r="E3557" t="s">
        <v>2060</v>
      </c>
      <c r="F3557" t="s">
        <v>2061</v>
      </c>
      <c r="G3557" t="s">
        <v>2062</v>
      </c>
      <c r="H3557" t="s">
        <v>2063</v>
      </c>
      <c r="I3557" t="s">
        <v>119</v>
      </c>
      <c r="J3557" t="s">
        <v>36</v>
      </c>
      <c r="K3557">
        <v>2390</v>
      </c>
      <c r="O3557" t="s">
        <v>176</v>
      </c>
      <c r="P3557" t="s">
        <v>45</v>
      </c>
      <c r="U3557" s="9" t="s">
        <v>242</v>
      </c>
      <c r="V3557" t="s">
        <v>242</v>
      </c>
      <c r="W3557" t="s">
        <v>178</v>
      </c>
      <c r="Y3557" t="s">
        <v>179</v>
      </c>
      <c r="Z3557" t="s">
        <v>104</v>
      </c>
      <c r="AB3557" t="str">
        <f t="shared" si="165"/>
        <v>53546</v>
      </c>
    </row>
    <row r="3558" ht="14.25" spans="1:28">
      <c r="A3558" s="5" t="s">
        <v>28</v>
      </c>
      <c r="B3558" s="5" t="s">
        <v>697</v>
      </c>
      <c r="C3558" s="5">
        <v>2027</v>
      </c>
      <c r="D3558" s="5" t="s">
        <v>30</v>
      </c>
      <c r="E3558" t="s">
        <v>2064</v>
      </c>
      <c r="F3558" t="s">
        <v>2065</v>
      </c>
      <c r="G3558" t="s">
        <v>2066</v>
      </c>
      <c r="H3558" t="s">
        <v>2067</v>
      </c>
      <c r="I3558" t="s">
        <v>147</v>
      </c>
      <c r="J3558" t="s">
        <v>36</v>
      </c>
      <c r="K3558">
        <v>1990</v>
      </c>
      <c r="O3558" t="s">
        <v>195</v>
      </c>
      <c r="P3558" t="s">
        <v>74</v>
      </c>
      <c r="R3558">
        <f t="shared" si="166"/>
        <v>0</v>
      </c>
      <c r="S3558">
        <f>SUMIFS([1]Sheet1!$T:$T,[1]Sheet1!$I:$I,E3558,[1]Sheet1!$C:$C,A3558)</f>
        <v>12</v>
      </c>
      <c r="T3558">
        <f t="shared" si="167"/>
        <v>-12</v>
      </c>
      <c r="U3558" s="9" t="s">
        <v>638</v>
      </c>
      <c r="V3558" t="s">
        <v>638</v>
      </c>
      <c r="W3558" t="s">
        <v>178</v>
      </c>
      <c r="X3558" t="s">
        <v>94</v>
      </c>
      <c r="Y3558" t="s">
        <v>179</v>
      </c>
      <c r="Z3558" t="s">
        <v>41</v>
      </c>
      <c r="AB3558" t="str">
        <f t="shared" si="165"/>
        <v>53549</v>
      </c>
    </row>
    <row r="3559" ht="14.25" spans="1:28">
      <c r="A3559" s="5" t="s">
        <v>28</v>
      </c>
      <c r="B3559" s="5" t="s">
        <v>697</v>
      </c>
      <c r="C3559" s="5">
        <v>2027</v>
      </c>
      <c r="D3559" s="5" t="s">
        <v>30</v>
      </c>
      <c r="E3559" t="s">
        <v>2064</v>
      </c>
      <c r="F3559" t="s">
        <v>2065</v>
      </c>
      <c r="G3559" t="s">
        <v>2066</v>
      </c>
      <c r="H3559" t="s">
        <v>2067</v>
      </c>
      <c r="I3559" t="s">
        <v>147</v>
      </c>
      <c r="J3559" t="s">
        <v>36</v>
      </c>
      <c r="K3559">
        <v>1990</v>
      </c>
      <c r="O3559" t="s">
        <v>195</v>
      </c>
      <c r="P3559" t="s">
        <v>76</v>
      </c>
      <c r="U3559" s="9" t="s">
        <v>638</v>
      </c>
      <c r="V3559" t="s">
        <v>638</v>
      </c>
      <c r="W3559" t="s">
        <v>178</v>
      </c>
      <c r="X3559" t="s">
        <v>94</v>
      </c>
      <c r="Y3559" t="s">
        <v>179</v>
      </c>
      <c r="Z3559" t="s">
        <v>41</v>
      </c>
      <c r="AB3559" t="str">
        <f t="shared" si="165"/>
        <v>53549</v>
      </c>
    </row>
    <row r="3560" ht="14.25" spans="1:28">
      <c r="A3560" s="5" t="s">
        <v>28</v>
      </c>
      <c r="B3560" s="5" t="s">
        <v>697</v>
      </c>
      <c r="C3560" s="5">
        <v>2027</v>
      </c>
      <c r="D3560" s="5" t="s">
        <v>30</v>
      </c>
      <c r="E3560" t="s">
        <v>2064</v>
      </c>
      <c r="F3560" t="s">
        <v>2065</v>
      </c>
      <c r="G3560" t="s">
        <v>2066</v>
      </c>
      <c r="H3560" t="s">
        <v>2067</v>
      </c>
      <c r="I3560" t="s">
        <v>147</v>
      </c>
      <c r="J3560" t="s">
        <v>36</v>
      </c>
      <c r="K3560">
        <v>1990</v>
      </c>
      <c r="O3560" t="s">
        <v>195</v>
      </c>
      <c r="P3560" t="s">
        <v>77</v>
      </c>
      <c r="U3560" s="9" t="s">
        <v>638</v>
      </c>
      <c r="V3560" t="s">
        <v>638</v>
      </c>
      <c r="W3560" t="s">
        <v>178</v>
      </c>
      <c r="X3560" t="s">
        <v>94</v>
      </c>
      <c r="Y3560" t="s">
        <v>179</v>
      </c>
      <c r="Z3560" t="s">
        <v>41</v>
      </c>
      <c r="AB3560" t="str">
        <f t="shared" si="165"/>
        <v>53549</v>
      </c>
    </row>
    <row r="3561" ht="14.25" spans="1:28">
      <c r="A3561" s="5" t="s">
        <v>28</v>
      </c>
      <c r="B3561" s="5" t="s">
        <v>697</v>
      </c>
      <c r="C3561" s="5">
        <v>2027</v>
      </c>
      <c r="D3561" s="5" t="s">
        <v>30</v>
      </c>
      <c r="E3561" t="s">
        <v>2064</v>
      </c>
      <c r="F3561" t="s">
        <v>2065</v>
      </c>
      <c r="G3561" t="s">
        <v>2066</v>
      </c>
      <c r="H3561" t="s">
        <v>2067</v>
      </c>
      <c r="I3561" t="s">
        <v>147</v>
      </c>
      <c r="J3561" t="s">
        <v>36</v>
      </c>
      <c r="K3561">
        <v>1990</v>
      </c>
      <c r="O3561" t="s">
        <v>195</v>
      </c>
      <c r="P3561" t="s">
        <v>78</v>
      </c>
      <c r="U3561" s="9" t="s">
        <v>638</v>
      </c>
      <c r="V3561" t="s">
        <v>638</v>
      </c>
      <c r="W3561" t="s">
        <v>178</v>
      </c>
      <c r="X3561" t="s">
        <v>94</v>
      </c>
      <c r="Y3561" t="s">
        <v>179</v>
      </c>
      <c r="Z3561" t="s">
        <v>41</v>
      </c>
      <c r="AB3561" t="str">
        <f t="shared" si="165"/>
        <v>53549</v>
      </c>
    </row>
    <row r="3562" ht="14.25" spans="1:28">
      <c r="A3562" s="5" t="s">
        <v>28</v>
      </c>
      <c r="B3562" s="5" t="s">
        <v>697</v>
      </c>
      <c r="C3562" s="5">
        <v>2027</v>
      </c>
      <c r="D3562" s="5" t="s">
        <v>30</v>
      </c>
      <c r="E3562" t="s">
        <v>2064</v>
      </c>
      <c r="F3562" t="s">
        <v>2065</v>
      </c>
      <c r="G3562" t="s">
        <v>2066</v>
      </c>
      <c r="H3562" t="s">
        <v>2067</v>
      </c>
      <c r="I3562" t="s">
        <v>147</v>
      </c>
      <c r="J3562" t="s">
        <v>36</v>
      </c>
      <c r="K3562">
        <v>1990</v>
      </c>
      <c r="O3562" t="s">
        <v>195</v>
      </c>
      <c r="P3562" t="s">
        <v>79</v>
      </c>
      <c r="U3562" s="9" t="s">
        <v>638</v>
      </c>
      <c r="V3562" t="s">
        <v>638</v>
      </c>
      <c r="W3562" t="s">
        <v>178</v>
      </c>
      <c r="X3562" t="s">
        <v>94</v>
      </c>
      <c r="Y3562" t="s">
        <v>179</v>
      </c>
      <c r="Z3562" t="s">
        <v>41</v>
      </c>
      <c r="AB3562" t="str">
        <f t="shared" si="165"/>
        <v>53549</v>
      </c>
    </row>
    <row r="3563" ht="14.25" spans="1:28">
      <c r="A3563" s="5" t="s">
        <v>28</v>
      </c>
      <c r="B3563" s="5" t="s">
        <v>697</v>
      </c>
      <c r="C3563" s="5">
        <v>2027</v>
      </c>
      <c r="D3563" s="5" t="s">
        <v>30</v>
      </c>
      <c r="E3563" t="s">
        <v>2068</v>
      </c>
      <c r="F3563" t="s">
        <v>2069</v>
      </c>
      <c r="G3563" t="s">
        <v>1205</v>
      </c>
      <c r="H3563" t="s">
        <v>2070</v>
      </c>
      <c r="I3563" t="s">
        <v>147</v>
      </c>
      <c r="J3563" t="s">
        <v>36</v>
      </c>
      <c r="K3563">
        <v>1390</v>
      </c>
      <c r="O3563" t="s">
        <v>176</v>
      </c>
      <c r="P3563" t="s">
        <v>177</v>
      </c>
      <c r="R3563">
        <f t="shared" si="166"/>
        <v>0</v>
      </c>
      <c r="S3563">
        <f>SUMIFS([1]Sheet1!$T:$T,[1]Sheet1!$I:$I,E3563,[1]Sheet1!$C:$C,A3563)</f>
        <v>40</v>
      </c>
      <c r="T3563">
        <f t="shared" si="167"/>
        <v>-40</v>
      </c>
      <c r="U3563" s="9" t="s">
        <v>148</v>
      </c>
      <c r="V3563" t="s">
        <v>149</v>
      </c>
      <c r="W3563" t="s">
        <v>178</v>
      </c>
      <c r="X3563" t="s">
        <v>332</v>
      </c>
      <c r="Y3563" t="s">
        <v>179</v>
      </c>
      <c r="Z3563" t="s">
        <v>104</v>
      </c>
      <c r="AB3563" t="str">
        <f t="shared" si="165"/>
        <v>53553</v>
      </c>
    </row>
    <row r="3564" ht="14.25" spans="1:28">
      <c r="A3564" s="5" t="s">
        <v>28</v>
      </c>
      <c r="B3564" s="5" t="s">
        <v>697</v>
      </c>
      <c r="C3564" s="5">
        <v>2027</v>
      </c>
      <c r="D3564" s="5" t="s">
        <v>30</v>
      </c>
      <c r="E3564" t="s">
        <v>2068</v>
      </c>
      <c r="F3564" t="s">
        <v>2069</v>
      </c>
      <c r="G3564" t="s">
        <v>1205</v>
      </c>
      <c r="H3564" t="s">
        <v>2070</v>
      </c>
      <c r="I3564" t="s">
        <v>147</v>
      </c>
      <c r="J3564" t="s">
        <v>36</v>
      </c>
      <c r="K3564">
        <v>1390</v>
      </c>
      <c r="O3564" t="s">
        <v>176</v>
      </c>
      <c r="P3564" t="s">
        <v>38</v>
      </c>
      <c r="U3564" s="9" t="s">
        <v>148</v>
      </c>
      <c r="V3564" t="s">
        <v>149</v>
      </c>
      <c r="W3564" t="s">
        <v>178</v>
      </c>
      <c r="X3564" t="s">
        <v>332</v>
      </c>
      <c r="Y3564" t="s">
        <v>179</v>
      </c>
      <c r="Z3564" t="s">
        <v>104</v>
      </c>
      <c r="AB3564" t="str">
        <f t="shared" si="165"/>
        <v>53553</v>
      </c>
    </row>
    <row r="3565" ht="14.25" spans="1:28">
      <c r="A3565" s="5" t="s">
        <v>28</v>
      </c>
      <c r="B3565" s="5" t="s">
        <v>697</v>
      </c>
      <c r="C3565" s="5">
        <v>2027</v>
      </c>
      <c r="D3565" s="5" t="s">
        <v>30</v>
      </c>
      <c r="E3565" t="s">
        <v>2068</v>
      </c>
      <c r="F3565" t="s">
        <v>2069</v>
      </c>
      <c r="G3565" t="s">
        <v>1205</v>
      </c>
      <c r="H3565" t="s">
        <v>2070</v>
      </c>
      <c r="I3565" t="s">
        <v>147</v>
      </c>
      <c r="J3565" t="s">
        <v>36</v>
      </c>
      <c r="K3565">
        <v>1390</v>
      </c>
      <c r="O3565" t="s">
        <v>176</v>
      </c>
      <c r="P3565" t="s">
        <v>42</v>
      </c>
      <c r="U3565" s="9" t="s">
        <v>148</v>
      </c>
      <c r="V3565" t="s">
        <v>149</v>
      </c>
      <c r="W3565" t="s">
        <v>178</v>
      </c>
      <c r="X3565" t="s">
        <v>332</v>
      </c>
      <c r="Y3565" t="s">
        <v>179</v>
      </c>
      <c r="Z3565" t="s">
        <v>104</v>
      </c>
      <c r="AB3565" t="str">
        <f t="shared" si="165"/>
        <v>53553</v>
      </c>
    </row>
    <row r="3566" ht="14.25" spans="1:28">
      <c r="A3566" s="5" t="s">
        <v>28</v>
      </c>
      <c r="B3566" s="5" t="s">
        <v>697</v>
      </c>
      <c r="C3566" s="5">
        <v>2027</v>
      </c>
      <c r="D3566" s="5" t="s">
        <v>30</v>
      </c>
      <c r="E3566" t="s">
        <v>2068</v>
      </c>
      <c r="F3566" t="s">
        <v>2069</v>
      </c>
      <c r="G3566" t="s">
        <v>1205</v>
      </c>
      <c r="H3566" t="s">
        <v>2070</v>
      </c>
      <c r="I3566" t="s">
        <v>147</v>
      </c>
      <c r="J3566" t="s">
        <v>36</v>
      </c>
      <c r="K3566">
        <v>1390</v>
      </c>
      <c r="O3566" t="s">
        <v>176</v>
      </c>
      <c r="P3566" t="s">
        <v>43</v>
      </c>
      <c r="U3566" s="9" t="s">
        <v>148</v>
      </c>
      <c r="V3566" t="s">
        <v>149</v>
      </c>
      <c r="W3566" t="s">
        <v>178</v>
      </c>
      <c r="X3566" t="s">
        <v>332</v>
      </c>
      <c r="Y3566" t="s">
        <v>179</v>
      </c>
      <c r="Z3566" t="s">
        <v>104</v>
      </c>
      <c r="AB3566" t="str">
        <f t="shared" si="165"/>
        <v>53553</v>
      </c>
    </row>
    <row r="3567" ht="14.25" spans="1:28">
      <c r="A3567" s="5" t="s">
        <v>28</v>
      </c>
      <c r="B3567" s="5" t="s">
        <v>697</v>
      </c>
      <c r="C3567" s="5">
        <v>2027</v>
      </c>
      <c r="D3567" s="5" t="s">
        <v>30</v>
      </c>
      <c r="E3567" t="s">
        <v>2068</v>
      </c>
      <c r="F3567" t="s">
        <v>2069</v>
      </c>
      <c r="G3567" t="s">
        <v>1205</v>
      </c>
      <c r="H3567" t="s">
        <v>2070</v>
      </c>
      <c r="I3567" t="s">
        <v>147</v>
      </c>
      <c r="J3567" t="s">
        <v>36</v>
      </c>
      <c r="K3567">
        <v>1390</v>
      </c>
      <c r="O3567" t="s">
        <v>176</v>
      </c>
      <c r="P3567" t="s">
        <v>44</v>
      </c>
      <c r="U3567" s="9" t="s">
        <v>148</v>
      </c>
      <c r="V3567" t="s">
        <v>149</v>
      </c>
      <c r="W3567" t="s">
        <v>178</v>
      </c>
      <c r="X3567" t="s">
        <v>332</v>
      </c>
      <c r="Y3567" t="s">
        <v>179</v>
      </c>
      <c r="Z3567" t="s">
        <v>104</v>
      </c>
      <c r="AB3567" t="str">
        <f t="shared" si="165"/>
        <v>53553</v>
      </c>
    </row>
    <row r="3568" ht="14.25" spans="1:28">
      <c r="A3568" s="5" t="s">
        <v>28</v>
      </c>
      <c r="B3568" s="5" t="s">
        <v>697</v>
      </c>
      <c r="C3568" s="5">
        <v>2027</v>
      </c>
      <c r="D3568" s="5" t="s">
        <v>30</v>
      </c>
      <c r="E3568" t="s">
        <v>2068</v>
      </c>
      <c r="F3568" t="s">
        <v>2069</v>
      </c>
      <c r="G3568" t="s">
        <v>1205</v>
      </c>
      <c r="H3568" t="s">
        <v>2070</v>
      </c>
      <c r="I3568" t="s">
        <v>147</v>
      </c>
      <c r="J3568" t="s">
        <v>36</v>
      </c>
      <c r="K3568">
        <v>1390</v>
      </c>
      <c r="O3568" t="s">
        <v>176</v>
      </c>
      <c r="P3568" t="s">
        <v>45</v>
      </c>
      <c r="U3568" s="9" t="s">
        <v>148</v>
      </c>
      <c r="V3568" t="s">
        <v>149</v>
      </c>
      <c r="W3568" t="s">
        <v>178</v>
      </c>
      <c r="X3568" t="s">
        <v>332</v>
      </c>
      <c r="Y3568" t="s">
        <v>179</v>
      </c>
      <c r="Z3568" t="s">
        <v>104</v>
      </c>
      <c r="AB3568" t="str">
        <f t="shared" si="165"/>
        <v>53553</v>
      </c>
    </row>
    <row r="3569" ht="14.25" spans="1:28">
      <c r="A3569" s="5" t="s">
        <v>28</v>
      </c>
      <c r="B3569" s="5" t="s">
        <v>697</v>
      </c>
      <c r="C3569" s="5">
        <v>2027</v>
      </c>
      <c r="D3569" s="5" t="s">
        <v>30</v>
      </c>
      <c r="E3569" t="s">
        <v>2071</v>
      </c>
      <c r="F3569" t="s">
        <v>2072</v>
      </c>
      <c r="G3569" t="s">
        <v>1911</v>
      </c>
      <c r="H3569" t="s">
        <v>2073</v>
      </c>
      <c r="I3569" t="s">
        <v>112</v>
      </c>
      <c r="J3569" t="s">
        <v>36</v>
      </c>
      <c r="K3569">
        <v>790</v>
      </c>
      <c r="O3569" t="s">
        <v>176</v>
      </c>
      <c r="P3569" t="s">
        <v>177</v>
      </c>
      <c r="R3569">
        <f t="shared" si="166"/>
        <v>0</v>
      </c>
      <c r="S3569">
        <f>SUMIFS([1]Sheet1!$T:$T,[1]Sheet1!$I:$I,E3569,[1]Sheet1!$C:$C,A3569)</f>
        <v>30</v>
      </c>
      <c r="T3569">
        <f t="shared" si="167"/>
        <v>-30</v>
      </c>
      <c r="U3569" s="9" t="s">
        <v>148</v>
      </c>
      <c r="V3569" t="s">
        <v>184</v>
      </c>
      <c r="W3569" t="s">
        <v>178</v>
      </c>
      <c r="X3569" t="s">
        <v>1455</v>
      </c>
      <c r="Y3569" t="s">
        <v>179</v>
      </c>
      <c r="Z3569" t="s">
        <v>41</v>
      </c>
      <c r="AB3569" t="str">
        <f t="shared" si="165"/>
        <v>53562</v>
      </c>
    </row>
    <row r="3570" ht="14.25" spans="1:28">
      <c r="A3570" s="5" t="s">
        <v>28</v>
      </c>
      <c r="B3570" s="5" t="s">
        <v>697</v>
      </c>
      <c r="C3570" s="5">
        <v>2027</v>
      </c>
      <c r="D3570" s="5" t="s">
        <v>30</v>
      </c>
      <c r="E3570" t="s">
        <v>2071</v>
      </c>
      <c r="F3570" t="s">
        <v>2072</v>
      </c>
      <c r="G3570" t="s">
        <v>1911</v>
      </c>
      <c r="H3570" t="s">
        <v>2073</v>
      </c>
      <c r="I3570" t="s">
        <v>112</v>
      </c>
      <c r="J3570" t="s">
        <v>36</v>
      </c>
      <c r="K3570">
        <v>790</v>
      </c>
      <c r="O3570" t="s">
        <v>176</v>
      </c>
      <c r="P3570" t="s">
        <v>38</v>
      </c>
      <c r="U3570" s="9" t="s">
        <v>148</v>
      </c>
      <c r="V3570" t="s">
        <v>184</v>
      </c>
      <c r="W3570" t="s">
        <v>178</v>
      </c>
      <c r="X3570" t="s">
        <v>1455</v>
      </c>
      <c r="Y3570" t="s">
        <v>179</v>
      </c>
      <c r="Z3570" t="s">
        <v>41</v>
      </c>
      <c r="AB3570" t="str">
        <f t="shared" si="165"/>
        <v>53562</v>
      </c>
    </row>
    <row r="3571" ht="14.25" spans="1:28">
      <c r="A3571" s="5" t="s">
        <v>28</v>
      </c>
      <c r="B3571" s="5" t="s">
        <v>697</v>
      </c>
      <c r="C3571" s="5">
        <v>2027</v>
      </c>
      <c r="D3571" s="5" t="s">
        <v>30</v>
      </c>
      <c r="E3571" t="s">
        <v>2071</v>
      </c>
      <c r="F3571" t="s">
        <v>2072</v>
      </c>
      <c r="G3571" t="s">
        <v>1911</v>
      </c>
      <c r="H3571" t="s">
        <v>2073</v>
      </c>
      <c r="I3571" t="s">
        <v>112</v>
      </c>
      <c r="J3571" t="s">
        <v>36</v>
      </c>
      <c r="K3571">
        <v>790</v>
      </c>
      <c r="O3571" t="s">
        <v>176</v>
      </c>
      <c r="P3571" t="s">
        <v>42</v>
      </c>
      <c r="U3571" s="9" t="s">
        <v>148</v>
      </c>
      <c r="V3571" t="s">
        <v>184</v>
      </c>
      <c r="W3571" t="s">
        <v>178</v>
      </c>
      <c r="X3571" t="s">
        <v>1455</v>
      </c>
      <c r="Y3571" t="s">
        <v>179</v>
      </c>
      <c r="Z3571" t="s">
        <v>41</v>
      </c>
      <c r="AB3571" t="str">
        <f t="shared" ref="AB3571:AB3634" si="168">MID(E3571,6,5)</f>
        <v>53562</v>
      </c>
    </row>
    <row r="3572" ht="14.25" spans="1:28">
      <c r="A3572" s="5" t="s">
        <v>28</v>
      </c>
      <c r="B3572" s="5" t="s">
        <v>697</v>
      </c>
      <c r="C3572" s="5">
        <v>2027</v>
      </c>
      <c r="D3572" s="5" t="s">
        <v>30</v>
      </c>
      <c r="E3572" t="s">
        <v>2071</v>
      </c>
      <c r="F3572" t="s">
        <v>2072</v>
      </c>
      <c r="G3572" t="s">
        <v>1911</v>
      </c>
      <c r="H3572" t="s">
        <v>2073</v>
      </c>
      <c r="I3572" t="s">
        <v>112</v>
      </c>
      <c r="J3572" t="s">
        <v>36</v>
      </c>
      <c r="K3572">
        <v>790</v>
      </c>
      <c r="O3572" t="s">
        <v>176</v>
      </c>
      <c r="P3572" t="s">
        <v>43</v>
      </c>
      <c r="U3572" s="9" t="s">
        <v>148</v>
      </c>
      <c r="V3572" t="s">
        <v>184</v>
      </c>
      <c r="W3572" t="s">
        <v>178</v>
      </c>
      <c r="X3572" t="s">
        <v>1455</v>
      </c>
      <c r="Y3572" t="s">
        <v>179</v>
      </c>
      <c r="Z3572" t="s">
        <v>41</v>
      </c>
      <c r="AB3572" t="str">
        <f t="shared" si="168"/>
        <v>53562</v>
      </c>
    </row>
    <row r="3573" ht="14.25" spans="1:28">
      <c r="A3573" s="5" t="s">
        <v>28</v>
      </c>
      <c r="B3573" s="5" t="s">
        <v>697</v>
      </c>
      <c r="C3573" s="5">
        <v>2027</v>
      </c>
      <c r="D3573" s="5" t="s">
        <v>30</v>
      </c>
      <c r="E3573" t="s">
        <v>2071</v>
      </c>
      <c r="F3573" t="s">
        <v>2072</v>
      </c>
      <c r="G3573" t="s">
        <v>1911</v>
      </c>
      <c r="H3573" t="s">
        <v>2073</v>
      </c>
      <c r="I3573" t="s">
        <v>112</v>
      </c>
      <c r="J3573" t="s">
        <v>36</v>
      </c>
      <c r="K3573">
        <v>790</v>
      </c>
      <c r="O3573" t="s">
        <v>176</v>
      </c>
      <c r="P3573" t="s">
        <v>44</v>
      </c>
      <c r="U3573" s="9" t="s">
        <v>148</v>
      </c>
      <c r="V3573" t="s">
        <v>184</v>
      </c>
      <c r="W3573" t="s">
        <v>178</v>
      </c>
      <c r="X3573" t="s">
        <v>1455</v>
      </c>
      <c r="Y3573" t="s">
        <v>179</v>
      </c>
      <c r="Z3573" t="s">
        <v>41</v>
      </c>
      <c r="AB3573" t="str">
        <f t="shared" si="168"/>
        <v>53562</v>
      </c>
    </row>
    <row r="3574" ht="14.25" spans="1:28">
      <c r="A3574" s="5" t="s">
        <v>28</v>
      </c>
      <c r="B3574" s="5" t="s">
        <v>697</v>
      </c>
      <c r="C3574" s="5">
        <v>2027</v>
      </c>
      <c r="D3574" s="5" t="s">
        <v>30</v>
      </c>
      <c r="E3574" t="s">
        <v>2071</v>
      </c>
      <c r="F3574" t="s">
        <v>2072</v>
      </c>
      <c r="G3574" t="s">
        <v>1911</v>
      </c>
      <c r="H3574" t="s">
        <v>2073</v>
      </c>
      <c r="I3574" t="s">
        <v>112</v>
      </c>
      <c r="J3574" t="s">
        <v>36</v>
      </c>
      <c r="K3574">
        <v>790</v>
      </c>
      <c r="O3574" t="s">
        <v>176</v>
      </c>
      <c r="P3574" t="s">
        <v>45</v>
      </c>
      <c r="U3574" s="9" t="s">
        <v>148</v>
      </c>
      <c r="V3574" t="s">
        <v>184</v>
      </c>
      <c r="W3574" t="s">
        <v>178</v>
      </c>
      <c r="X3574" t="s">
        <v>1455</v>
      </c>
      <c r="Y3574" t="s">
        <v>179</v>
      </c>
      <c r="Z3574" t="s">
        <v>41</v>
      </c>
      <c r="AB3574" t="str">
        <f t="shared" si="168"/>
        <v>53562</v>
      </c>
    </row>
    <row r="3575" ht="14.25" spans="1:28">
      <c r="A3575" s="5" t="s">
        <v>28</v>
      </c>
      <c r="B3575" s="5" t="s">
        <v>697</v>
      </c>
      <c r="C3575" s="5">
        <v>2027</v>
      </c>
      <c r="D3575" s="5" t="s">
        <v>30</v>
      </c>
      <c r="E3575" t="s">
        <v>2074</v>
      </c>
      <c r="F3575" t="s">
        <v>2072</v>
      </c>
      <c r="G3575" t="s">
        <v>2007</v>
      </c>
      <c r="H3575" t="s">
        <v>2075</v>
      </c>
      <c r="I3575" t="s">
        <v>112</v>
      </c>
      <c r="J3575" t="s">
        <v>36</v>
      </c>
      <c r="K3575">
        <v>790</v>
      </c>
      <c r="O3575" t="s">
        <v>176</v>
      </c>
      <c r="P3575" t="s">
        <v>177</v>
      </c>
      <c r="R3575">
        <f t="shared" si="166"/>
        <v>0</v>
      </c>
      <c r="S3575">
        <f>SUMIFS([1]Sheet1!$T:$T,[1]Sheet1!$I:$I,E3575,[1]Sheet1!$C:$C,A3575)</f>
        <v>0</v>
      </c>
      <c r="T3575">
        <f t="shared" si="167"/>
        <v>0</v>
      </c>
      <c r="U3575" s="9" t="s">
        <v>148</v>
      </c>
      <c r="V3575" t="s">
        <v>184</v>
      </c>
      <c r="W3575" t="s">
        <v>178</v>
      </c>
      <c r="X3575" t="s">
        <v>62</v>
      </c>
      <c r="Y3575" t="s">
        <v>179</v>
      </c>
      <c r="Z3575" t="s">
        <v>41</v>
      </c>
      <c r="AB3575" t="str">
        <f t="shared" si="168"/>
        <v>53562</v>
      </c>
    </row>
    <row r="3576" ht="14.25" spans="1:28">
      <c r="A3576" s="5" t="s">
        <v>28</v>
      </c>
      <c r="B3576" s="5" t="s">
        <v>697</v>
      </c>
      <c r="C3576" s="5">
        <v>2027</v>
      </c>
      <c r="D3576" s="5" t="s">
        <v>30</v>
      </c>
      <c r="E3576" t="s">
        <v>2074</v>
      </c>
      <c r="F3576" t="s">
        <v>2072</v>
      </c>
      <c r="G3576" t="s">
        <v>2007</v>
      </c>
      <c r="H3576" t="s">
        <v>2075</v>
      </c>
      <c r="I3576" t="s">
        <v>112</v>
      </c>
      <c r="J3576" t="s">
        <v>36</v>
      </c>
      <c r="K3576">
        <v>790</v>
      </c>
      <c r="O3576" t="s">
        <v>176</v>
      </c>
      <c r="P3576" t="s">
        <v>38</v>
      </c>
      <c r="U3576" s="9" t="s">
        <v>148</v>
      </c>
      <c r="V3576" t="s">
        <v>184</v>
      </c>
      <c r="W3576" t="s">
        <v>178</v>
      </c>
      <c r="X3576" t="s">
        <v>62</v>
      </c>
      <c r="Y3576" t="s">
        <v>179</v>
      </c>
      <c r="Z3576" t="s">
        <v>41</v>
      </c>
      <c r="AB3576" t="str">
        <f t="shared" si="168"/>
        <v>53562</v>
      </c>
    </row>
    <row r="3577" ht="14.25" spans="1:28">
      <c r="A3577" s="5" t="s">
        <v>28</v>
      </c>
      <c r="B3577" s="5" t="s">
        <v>697</v>
      </c>
      <c r="C3577" s="5">
        <v>2027</v>
      </c>
      <c r="D3577" s="5" t="s">
        <v>30</v>
      </c>
      <c r="E3577" t="s">
        <v>2074</v>
      </c>
      <c r="F3577" t="s">
        <v>2072</v>
      </c>
      <c r="G3577" t="s">
        <v>2007</v>
      </c>
      <c r="H3577" t="s">
        <v>2075</v>
      </c>
      <c r="I3577" t="s">
        <v>112</v>
      </c>
      <c r="J3577" t="s">
        <v>36</v>
      </c>
      <c r="K3577">
        <v>790</v>
      </c>
      <c r="O3577" t="s">
        <v>176</v>
      </c>
      <c r="P3577" t="s">
        <v>42</v>
      </c>
      <c r="U3577" s="9" t="s">
        <v>148</v>
      </c>
      <c r="V3577" t="s">
        <v>184</v>
      </c>
      <c r="W3577" t="s">
        <v>178</v>
      </c>
      <c r="X3577" t="s">
        <v>62</v>
      </c>
      <c r="Y3577" t="s">
        <v>179</v>
      </c>
      <c r="Z3577" t="s">
        <v>41</v>
      </c>
      <c r="AB3577" t="str">
        <f t="shared" si="168"/>
        <v>53562</v>
      </c>
    </row>
    <row r="3578" ht="14.25" spans="1:28">
      <c r="A3578" s="5" t="s">
        <v>28</v>
      </c>
      <c r="B3578" s="5" t="s">
        <v>697</v>
      </c>
      <c r="C3578" s="5">
        <v>2027</v>
      </c>
      <c r="D3578" s="5" t="s">
        <v>30</v>
      </c>
      <c r="E3578" t="s">
        <v>2074</v>
      </c>
      <c r="F3578" t="s">
        <v>2072</v>
      </c>
      <c r="G3578" t="s">
        <v>2007</v>
      </c>
      <c r="H3578" t="s">
        <v>2075</v>
      </c>
      <c r="I3578" t="s">
        <v>112</v>
      </c>
      <c r="J3578" t="s">
        <v>36</v>
      </c>
      <c r="K3578">
        <v>790</v>
      </c>
      <c r="O3578" t="s">
        <v>176</v>
      </c>
      <c r="P3578" t="s">
        <v>43</v>
      </c>
      <c r="U3578" s="9" t="s">
        <v>148</v>
      </c>
      <c r="V3578" t="s">
        <v>184</v>
      </c>
      <c r="W3578" t="s">
        <v>178</v>
      </c>
      <c r="X3578" t="s">
        <v>62</v>
      </c>
      <c r="Y3578" t="s">
        <v>179</v>
      </c>
      <c r="Z3578" t="s">
        <v>41</v>
      </c>
      <c r="AB3578" t="str">
        <f t="shared" si="168"/>
        <v>53562</v>
      </c>
    </row>
    <row r="3579" ht="14.25" spans="1:28">
      <c r="A3579" s="5" t="s">
        <v>28</v>
      </c>
      <c r="B3579" s="5" t="s">
        <v>697</v>
      </c>
      <c r="C3579" s="5">
        <v>2027</v>
      </c>
      <c r="D3579" s="5" t="s">
        <v>30</v>
      </c>
      <c r="E3579" t="s">
        <v>2074</v>
      </c>
      <c r="F3579" t="s">
        <v>2072</v>
      </c>
      <c r="G3579" t="s">
        <v>2007</v>
      </c>
      <c r="H3579" t="s">
        <v>2075</v>
      </c>
      <c r="I3579" t="s">
        <v>112</v>
      </c>
      <c r="J3579" t="s">
        <v>36</v>
      </c>
      <c r="K3579">
        <v>790</v>
      </c>
      <c r="O3579" t="s">
        <v>176</v>
      </c>
      <c r="P3579" t="s">
        <v>44</v>
      </c>
      <c r="U3579" s="9" t="s">
        <v>148</v>
      </c>
      <c r="V3579" t="s">
        <v>184</v>
      </c>
      <c r="W3579" t="s">
        <v>178</v>
      </c>
      <c r="X3579" t="s">
        <v>62</v>
      </c>
      <c r="Y3579" t="s">
        <v>179</v>
      </c>
      <c r="Z3579" t="s">
        <v>41</v>
      </c>
      <c r="AB3579" t="str">
        <f t="shared" si="168"/>
        <v>53562</v>
      </c>
    </row>
    <row r="3580" ht="14.25" spans="1:28">
      <c r="A3580" s="5" t="s">
        <v>28</v>
      </c>
      <c r="B3580" s="5" t="s">
        <v>697</v>
      </c>
      <c r="C3580" s="5">
        <v>2027</v>
      </c>
      <c r="D3580" s="5" t="s">
        <v>30</v>
      </c>
      <c r="E3580" t="s">
        <v>2074</v>
      </c>
      <c r="F3580" t="s">
        <v>2072</v>
      </c>
      <c r="G3580" t="s">
        <v>2007</v>
      </c>
      <c r="H3580" t="s">
        <v>2075</v>
      </c>
      <c r="I3580" t="s">
        <v>112</v>
      </c>
      <c r="J3580" t="s">
        <v>36</v>
      </c>
      <c r="K3580">
        <v>790</v>
      </c>
      <c r="O3580" t="s">
        <v>176</v>
      </c>
      <c r="P3580" t="s">
        <v>45</v>
      </c>
      <c r="U3580" s="9" t="s">
        <v>148</v>
      </c>
      <c r="V3580" t="s">
        <v>184</v>
      </c>
      <c r="W3580" t="s">
        <v>178</v>
      </c>
      <c r="X3580" t="s">
        <v>62</v>
      </c>
      <c r="Y3580" t="s">
        <v>179</v>
      </c>
      <c r="Z3580" t="s">
        <v>41</v>
      </c>
      <c r="AB3580" t="str">
        <f t="shared" si="168"/>
        <v>53562</v>
      </c>
    </row>
    <row r="3581" ht="14.25" spans="1:28">
      <c r="A3581" s="5" t="s">
        <v>28</v>
      </c>
      <c r="B3581" s="5" t="s">
        <v>697</v>
      </c>
      <c r="C3581" s="5">
        <v>2027</v>
      </c>
      <c r="D3581" s="5" t="s">
        <v>30</v>
      </c>
      <c r="E3581" t="s">
        <v>2076</v>
      </c>
      <c r="F3581" t="s">
        <v>2077</v>
      </c>
      <c r="G3581" t="s">
        <v>1929</v>
      </c>
      <c r="H3581" t="s">
        <v>2078</v>
      </c>
      <c r="I3581" t="s">
        <v>112</v>
      </c>
      <c r="J3581" t="s">
        <v>36</v>
      </c>
      <c r="K3581">
        <v>1390</v>
      </c>
      <c r="O3581" t="s">
        <v>176</v>
      </c>
      <c r="P3581" t="s">
        <v>177</v>
      </c>
      <c r="R3581">
        <f t="shared" si="166"/>
        <v>0</v>
      </c>
      <c r="S3581">
        <f>SUMIFS([1]Sheet1!$T:$T,[1]Sheet1!$I:$I,E3581,[1]Sheet1!$C:$C,A3581)</f>
        <v>12</v>
      </c>
      <c r="T3581">
        <f t="shared" si="167"/>
        <v>-12</v>
      </c>
      <c r="U3581" s="9" t="s">
        <v>148</v>
      </c>
      <c r="V3581" t="s">
        <v>149</v>
      </c>
      <c r="W3581" t="s">
        <v>178</v>
      </c>
      <c r="X3581" t="s">
        <v>70</v>
      </c>
      <c r="Y3581" t="s">
        <v>179</v>
      </c>
      <c r="Z3581" t="s">
        <v>104</v>
      </c>
      <c r="AB3581" t="str">
        <f t="shared" si="168"/>
        <v>53577</v>
      </c>
    </row>
    <row r="3582" ht="14.25" spans="1:28">
      <c r="A3582" s="5" t="s">
        <v>28</v>
      </c>
      <c r="B3582" s="5" t="s">
        <v>697</v>
      </c>
      <c r="C3582" s="5">
        <v>2027</v>
      </c>
      <c r="D3582" s="5" t="s">
        <v>30</v>
      </c>
      <c r="E3582" t="s">
        <v>2076</v>
      </c>
      <c r="F3582" t="s">
        <v>2077</v>
      </c>
      <c r="G3582" t="s">
        <v>1929</v>
      </c>
      <c r="H3582" t="s">
        <v>2078</v>
      </c>
      <c r="I3582" t="s">
        <v>112</v>
      </c>
      <c r="J3582" t="s">
        <v>36</v>
      </c>
      <c r="K3582">
        <v>1390</v>
      </c>
      <c r="O3582" t="s">
        <v>176</v>
      </c>
      <c r="P3582" t="s">
        <v>38</v>
      </c>
      <c r="U3582" s="9" t="s">
        <v>148</v>
      </c>
      <c r="V3582" t="s">
        <v>149</v>
      </c>
      <c r="W3582" t="s">
        <v>178</v>
      </c>
      <c r="X3582" t="s">
        <v>70</v>
      </c>
      <c r="Y3582" t="s">
        <v>179</v>
      </c>
      <c r="Z3582" t="s">
        <v>104</v>
      </c>
      <c r="AB3582" t="str">
        <f t="shared" si="168"/>
        <v>53577</v>
      </c>
    </row>
    <row r="3583" ht="14.25" spans="1:28">
      <c r="A3583" s="5" t="s">
        <v>28</v>
      </c>
      <c r="B3583" s="5" t="s">
        <v>697</v>
      </c>
      <c r="C3583" s="5">
        <v>2027</v>
      </c>
      <c r="D3583" s="5" t="s">
        <v>30</v>
      </c>
      <c r="E3583" t="s">
        <v>2076</v>
      </c>
      <c r="F3583" t="s">
        <v>2077</v>
      </c>
      <c r="G3583" t="s">
        <v>1929</v>
      </c>
      <c r="H3583" t="s">
        <v>2078</v>
      </c>
      <c r="I3583" t="s">
        <v>112</v>
      </c>
      <c r="J3583" t="s">
        <v>36</v>
      </c>
      <c r="K3583">
        <v>1390</v>
      </c>
      <c r="O3583" t="s">
        <v>176</v>
      </c>
      <c r="P3583" t="s">
        <v>42</v>
      </c>
      <c r="U3583" s="9" t="s">
        <v>148</v>
      </c>
      <c r="V3583" t="s">
        <v>149</v>
      </c>
      <c r="W3583" t="s">
        <v>178</v>
      </c>
      <c r="X3583" t="s">
        <v>70</v>
      </c>
      <c r="Y3583" t="s">
        <v>179</v>
      </c>
      <c r="Z3583" t="s">
        <v>104</v>
      </c>
      <c r="AB3583" t="str">
        <f t="shared" si="168"/>
        <v>53577</v>
      </c>
    </row>
    <row r="3584" ht="14.25" spans="1:28">
      <c r="A3584" s="5" t="s">
        <v>28</v>
      </c>
      <c r="B3584" s="5" t="s">
        <v>697</v>
      </c>
      <c r="C3584" s="5">
        <v>2027</v>
      </c>
      <c r="D3584" s="5" t="s">
        <v>30</v>
      </c>
      <c r="E3584" t="s">
        <v>2076</v>
      </c>
      <c r="F3584" t="s">
        <v>2077</v>
      </c>
      <c r="G3584" t="s">
        <v>1929</v>
      </c>
      <c r="H3584" t="s">
        <v>2078</v>
      </c>
      <c r="I3584" t="s">
        <v>112</v>
      </c>
      <c r="J3584" t="s">
        <v>36</v>
      </c>
      <c r="K3584">
        <v>1390</v>
      </c>
      <c r="O3584" t="s">
        <v>176</v>
      </c>
      <c r="P3584" t="s">
        <v>43</v>
      </c>
      <c r="U3584" s="9" t="s">
        <v>148</v>
      </c>
      <c r="V3584" t="s">
        <v>149</v>
      </c>
      <c r="W3584" t="s">
        <v>178</v>
      </c>
      <c r="X3584" t="s">
        <v>70</v>
      </c>
      <c r="Y3584" t="s">
        <v>179</v>
      </c>
      <c r="Z3584" t="s">
        <v>104</v>
      </c>
      <c r="AB3584" t="str">
        <f t="shared" si="168"/>
        <v>53577</v>
      </c>
    </row>
    <row r="3585" ht="14.25" spans="1:28">
      <c r="A3585" s="5" t="s">
        <v>28</v>
      </c>
      <c r="B3585" s="5" t="s">
        <v>697</v>
      </c>
      <c r="C3585" s="5">
        <v>2027</v>
      </c>
      <c r="D3585" s="5" t="s">
        <v>30</v>
      </c>
      <c r="E3585" t="s">
        <v>2076</v>
      </c>
      <c r="F3585" t="s">
        <v>2077</v>
      </c>
      <c r="G3585" t="s">
        <v>1929</v>
      </c>
      <c r="H3585" t="s">
        <v>2078</v>
      </c>
      <c r="I3585" t="s">
        <v>112</v>
      </c>
      <c r="J3585" t="s">
        <v>36</v>
      </c>
      <c r="K3585">
        <v>1390</v>
      </c>
      <c r="O3585" t="s">
        <v>176</v>
      </c>
      <c r="P3585" t="s">
        <v>44</v>
      </c>
      <c r="U3585" s="9" t="s">
        <v>148</v>
      </c>
      <c r="V3585" t="s">
        <v>149</v>
      </c>
      <c r="W3585" t="s">
        <v>178</v>
      </c>
      <c r="X3585" t="s">
        <v>70</v>
      </c>
      <c r="Y3585" t="s">
        <v>179</v>
      </c>
      <c r="Z3585" t="s">
        <v>104</v>
      </c>
      <c r="AB3585" t="str">
        <f t="shared" si="168"/>
        <v>53577</v>
      </c>
    </row>
    <row r="3586" ht="14.25" spans="1:28">
      <c r="A3586" s="5" t="s">
        <v>28</v>
      </c>
      <c r="B3586" s="5" t="s">
        <v>697</v>
      </c>
      <c r="C3586" s="5">
        <v>2027</v>
      </c>
      <c r="D3586" s="5" t="s">
        <v>30</v>
      </c>
      <c r="E3586" t="s">
        <v>2076</v>
      </c>
      <c r="F3586" t="s">
        <v>2077</v>
      </c>
      <c r="G3586" t="s">
        <v>1929</v>
      </c>
      <c r="H3586" t="s">
        <v>2078</v>
      </c>
      <c r="I3586" t="s">
        <v>112</v>
      </c>
      <c r="J3586" t="s">
        <v>36</v>
      </c>
      <c r="K3586">
        <v>1390</v>
      </c>
      <c r="O3586" t="s">
        <v>176</v>
      </c>
      <c r="P3586" t="s">
        <v>45</v>
      </c>
      <c r="U3586" s="9" t="s">
        <v>148</v>
      </c>
      <c r="V3586" t="s">
        <v>149</v>
      </c>
      <c r="W3586" t="s">
        <v>178</v>
      </c>
      <c r="X3586" t="s">
        <v>70</v>
      </c>
      <c r="Y3586" t="s">
        <v>179</v>
      </c>
      <c r="Z3586" t="s">
        <v>104</v>
      </c>
      <c r="AB3586" t="str">
        <f t="shared" si="168"/>
        <v>53577</v>
      </c>
    </row>
    <row r="3587" ht="14.25" spans="1:28">
      <c r="A3587" s="5" t="s">
        <v>28</v>
      </c>
      <c r="B3587" s="5" t="s">
        <v>697</v>
      </c>
      <c r="C3587" s="5">
        <v>2027</v>
      </c>
      <c r="D3587" s="5" t="s">
        <v>30</v>
      </c>
      <c r="E3587" t="s">
        <v>2079</v>
      </c>
      <c r="F3587" t="s">
        <v>2077</v>
      </c>
      <c r="G3587" t="s">
        <v>1937</v>
      </c>
      <c r="H3587" t="s">
        <v>2080</v>
      </c>
      <c r="I3587" t="s">
        <v>112</v>
      </c>
      <c r="J3587" t="s">
        <v>36</v>
      </c>
      <c r="K3587">
        <v>1390</v>
      </c>
      <c r="O3587" t="s">
        <v>176</v>
      </c>
      <c r="P3587" t="s">
        <v>177</v>
      </c>
      <c r="R3587">
        <f t="shared" ref="R3586:R3649" si="169">SUMIFS(Q:Q,E:E,E3587)</f>
        <v>0</v>
      </c>
      <c r="S3587">
        <f>SUMIFS([1]Sheet1!$T:$T,[1]Sheet1!$I:$I,E3587,[1]Sheet1!$C:$C,A3587)</f>
        <v>12</v>
      </c>
      <c r="T3587">
        <f t="shared" ref="T3586:T3649" si="170">R3587-S3587</f>
        <v>-12</v>
      </c>
      <c r="U3587" s="9" t="s">
        <v>148</v>
      </c>
      <c r="V3587" t="s">
        <v>149</v>
      </c>
      <c r="W3587" t="s">
        <v>178</v>
      </c>
      <c r="X3587" t="s">
        <v>1106</v>
      </c>
      <c r="Y3587" t="s">
        <v>179</v>
      </c>
      <c r="Z3587" t="s">
        <v>104</v>
      </c>
      <c r="AB3587" t="str">
        <f t="shared" si="168"/>
        <v>53577</v>
      </c>
    </row>
    <row r="3588" ht="14.25" spans="1:28">
      <c r="A3588" s="5" t="s">
        <v>28</v>
      </c>
      <c r="B3588" s="5" t="s">
        <v>697</v>
      </c>
      <c r="C3588" s="5">
        <v>2027</v>
      </c>
      <c r="D3588" s="5" t="s">
        <v>30</v>
      </c>
      <c r="E3588" t="s">
        <v>2079</v>
      </c>
      <c r="F3588" t="s">
        <v>2077</v>
      </c>
      <c r="G3588" t="s">
        <v>1937</v>
      </c>
      <c r="H3588" t="s">
        <v>2080</v>
      </c>
      <c r="I3588" t="s">
        <v>112</v>
      </c>
      <c r="J3588" t="s">
        <v>36</v>
      </c>
      <c r="K3588">
        <v>1390</v>
      </c>
      <c r="O3588" t="s">
        <v>176</v>
      </c>
      <c r="P3588" t="s">
        <v>38</v>
      </c>
      <c r="U3588" s="9" t="s">
        <v>148</v>
      </c>
      <c r="V3588" t="s">
        <v>149</v>
      </c>
      <c r="W3588" t="s">
        <v>178</v>
      </c>
      <c r="X3588" t="s">
        <v>1106</v>
      </c>
      <c r="Y3588" t="s">
        <v>179</v>
      </c>
      <c r="Z3588" t="s">
        <v>104</v>
      </c>
      <c r="AB3588" t="str">
        <f t="shared" si="168"/>
        <v>53577</v>
      </c>
    </row>
    <row r="3589" ht="14.25" spans="1:28">
      <c r="A3589" s="5" t="s">
        <v>28</v>
      </c>
      <c r="B3589" s="5" t="s">
        <v>697</v>
      </c>
      <c r="C3589" s="5">
        <v>2027</v>
      </c>
      <c r="D3589" s="5" t="s">
        <v>30</v>
      </c>
      <c r="E3589" t="s">
        <v>2079</v>
      </c>
      <c r="F3589" t="s">
        <v>2077</v>
      </c>
      <c r="G3589" t="s">
        <v>1937</v>
      </c>
      <c r="H3589" t="s">
        <v>2080</v>
      </c>
      <c r="I3589" t="s">
        <v>112</v>
      </c>
      <c r="J3589" t="s">
        <v>36</v>
      </c>
      <c r="K3589">
        <v>1390</v>
      </c>
      <c r="O3589" t="s">
        <v>176</v>
      </c>
      <c r="P3589" t="s">
        <v>42</v>
      </c>
      <c r="U3589" s="9" t="s">
        <v>148</v>
      </c>
      <c r="V3589" t="s">
        <v>149</v>
      </c>
      <c r="W3589" t="s">
        <v>178</v>
      </c>
      <c r="X3589" t="s">
        <v>1106</v>
      </c>
      <c r="Y3589" t="s">
        <v>179</v>
      </c>
      <c r="Z3589" t="s">
        <v>104</v>
      </c>
      <c r="AB3589" t="str">
        <f t="shared" si="168"/>
        <v>53577</v>
      </c>
    </row>
    <row r="3590" ht="14.25" spans="1:28">
      <c r="A3590" s="5" t="s">
        <v>28</v>
      </c>
      <c r="B3590" s="5" t="s">
        <v>697</v>
      </c>
      <c r="C3590" s="5">
        <v>2027</v>
      </c>
      <c r="D3590" s="5" t="s">
        <v>30</v>
      </c>
      <c r="E3590" t="s">
        <v>2079</v>
      </c>
      <c r="F3590" t="s">
        <v>2077</v>
      </c>
      <c r="G3590" t="s">
        <v>1937</v>
      </c>
      <c r="H3590" t="s">
        <v>2080</v>
      </c>
      <c r="I3590" t="s">
        <v>112</v>
      </c>
      <c r="J3590" t="s">
        <v>36</v>
      </c>
      <c r="K3590">
        <v>1390</v>
      </c>
      <c r="O3590" t="s">
        <v>176</v>
      </c>
      <c r="P3590" t="s">
        <v>43</v>
      </c>
      <c r="U3590" s="9" t="s">
        <v>148</v>
      </c>
      <c r="V3590" t="s">
        <v>149</v>
      </c>
      <c r="W3590" t="s">
        <v>178</v>
      </c>
      <c r="X3590" t="s">
        <v>1106</v>
      </c>
      <c r="Y3590" t="s">
        <v>179</v>
      </c>
      <c r="Z3590" t="s">
        <v>104</v>
      </c>
      <c r="AB3590" t="str">
        <f t="shared" si="168"/>
        <v>53577</v>
      </c>
    </row>
    <row r="3591" ht="14.25" spans="1:28">
      <c r="A3591" s="5" t="s">
        <v>28</v>
      </c>
      <c r="B3591" s="5" t="s">
        <v>697</v>
      </c>
      <c r="C3591" s="5">
        <v>2027</v>
      </c>
      <c r="D3591" s="5" t="s">
        <v>30</v>
      </c>
      <c r="E3591" t="s">
        <v>2079</v>
      </c>
      <c r="F3591" t="s">
        <v>2077</v>
      </c>
      <c r="G3591" t="s">
        <v>1937</v>
      </c>
      <c r="H3591" t="s">
        <v>2080</v>
      </c>
      <c r="I3591" t="s">
        <v>112</v>
      </c>
      <c r="J3591" t="s">
        <v>36</v>
      </c>
      <c r="K3591">
        <v>1390</v>
      </c>
      <c r="O3591" t="s">
        <v>176</v>
      </c>
      <c r="P3591" t="s">
        <v>44</v>
      </c>
      <c r="U3591" s="9" t="s">
        <v>148</v>
      </c>
      <c r="V3591" t="s">
        <v>149</v>
      </c>
      <c r="W3591" t="s">
        <v>178</v>
      </c>
      <c r="X3591" t="s">
        <v>1106</v>
      </c>
      <c r="Y3591" t="s">
        <v>179</v>
      </c>
      <c r="Z3591" t="s">
        <v>104</v>
      </c>
      <c r="AB3591" t="str">
        <f t="shared" si="168"/>
        <v>53577</v>
      </c>
    </row>
    <row r="3592" ht="14.25" spans="1:28">
      <c r="A3592" s="5" t="s">
        <v>28</v>
      </c>
      <c r="B3592" s="5" t="s">
        <v>697</v>
      </c>
      <c r="C3592" s="5">
        <v>2027</v>
      </c>
      <c r="D3592" s="5" t="s">
        <v>30</v>
      </c>
      <c r="E3592" t="s">
        <v>2079</v>
      </c>
      <c r="F3592" t="s">
        <v>2077</v>
      </c>
      <c r="G3592" t="s">
        <v>1937</v>
      </c>
      <c r="H3592" t="s">
        <v>2080</v>
      </c>
      <c r="I3592" t="s">
        <v>112</v>
      </c>
      <c r="J3592" t="s">
        <v>36</v>
      </c>
      <c r="K3592">
        <v>1390</v>
      </c>
      <c r="O3592" t="s">
        <v>176</v>
      </c>
      <c r="P3592" t="s">
        <v>45</v>
      </c>
      <c r="U3592" s="9" t="s">
        <v>148</v>
      </c>
      <c r="V3592" t="s">
        <v>149</v>
      </c>
      <c r="W3592" t="s">
        <v>178</v>
      </c>
      <c r="X3592" t="s">
        <v>1106</v>
      </c>
      <c r="Y3592" t="s">
        <v>179</v>
      </c>
      <c r="Z3592" t="s">
        <v>104</v>
      </c>
      <c r="AB3592" t="str">
        <f t="shared" si="168"/>
        <v>53577</v>
      </c>
    </row>
    <row r="3593" ht="14.25" spans="1:28">
      <c r="A3593" s="5" t="s">
        <v>28</v>
      </c>
      <c r="B3593" s="5" t="s">
        <v>697</v>
      </c>
      <c r="C3593" s="5">
        <v>2027</v>
      </c>
      <c r="D3593" s="5" t="s">
        <v>30</v>
      </c>
      <c r="E3593" t="s">
        <v>2081</v>
      </c>
      <c r="F3593" t="s">
        <v>2082</v>
      </c>
      <c r="G3593" t="s">
        <v>1932</v>
      </c>
      <c r="H3593" t="s">
        <v>2083</v>
      </c>
      <c r="I3593" t="s">
        <v>147</v>
      </c>
      <c r="J3593" t="s">
        <v>36</v>
      </c>
      <c r="K3593">
        <v>890</v>
      </c>
      <c r="O3593" t="s">
        <v>176</v>
      </c>
      <c r="P3593" t="s">
        <v>177</v>
      </c>
      <c r="R3593">
        <f t="shared" si="169"/>
        <v>0</v>
      </c>
      <c r="S3593">
        <f>SUMIFS([1]Sheet1!$T:$T,[1]Sheet1!$I:$I,E3593,[1]Sheet1!$C:$C,A3593)</f>
        <v>40</v>
      </c>
      <c r="T3593">
        <f t="shared" si="170"/>
        <v>-40</v>
      </c>
      <c r="U3593" s="9" t="s">
        <v>136</v>
      </c>
      <c r="V3593" t="s">
        <v>1150</v>
      </c>
      <c r="W3593" t="s">
        <v>178</v>
      </c>
      <c r="X3593" t="s">
        <v>94</v>
      </c>
      <c r="Y3593" t="s">
        <v>179</v>
      </c>
      <c r="Z3593" t="s">
        <v>104</v>
      </c>
      <c r="AB3593" t="str">
        <f t="shared" si="168"/>
        <v>53583</v>
      </c>
    </row>
    <row r="3594" ht="14.25" spans="1:28">
      <c r="A3594" s="5" t="s">
        <v>28</v>
      </c>
      <c r="B3594" s="5" t="s">
        <v>697</v>
      </c>
      <c r="C3594" s="5">
        <v>2027</v>
      </c>
      <c r="D3594" s="5" t="s">
        <v>30</v>
      </c>
      <c r="E3594" t="s">
        <v>2081</v>
      </c>
      <c r="F3594" t="s">
        <v>2082</v>
      </c>
      <c r="G3594" t="s">
        <v>1932</v>
      </c>
      <c r="H3594" t="s">
        <v>2083</v>
      </c>
      <c r="I3594" t="s">
        <v>147</v>
      </c>
      <c r="J3594" t="s">
        <v>36</v>
      </c>
      <c r="K3594">
        <v>890</v>
      </c>
      <c r="O3594" t="s">
        <v>176</v>
      </c>
      <c r="P3594" t="s">
        <v>38</v>
      </c>
      <c r="U3594" s="9" t="s">
        <v>136</v>
      </c>
      <c r="V3594" t="s">
        <v>1150</v>
      </c>
      <c r="W3594" t="s">
        <v>178</v>
      </c>
      <c r="X3594" t="s">
        <v>94</v>
      </c>
      <c r="Y3594" t="s">
        <v>179</v>
      </c>
      <c r="Z3594" t="s">
        <v>104</v>
      </c>
      <c r="AB3594" t="str">
        <f t="shared" si="168"/>
        <v>53583</v>
      </c>
    </row>
    <row r="3595" ht="14.25" spans="1:28">
      <c r="A3595" s="5" t="s">
        <v>28</v>
      </c>
      <c r="B3595" s="5" t="s">
        <v>697</v>
      </c>
      <c r="C3595" s="5">
        <v>2027</v>
      </c>
      <c r="D3595" s="5" t="s">
        <v>30</v>
      </c>
      <c r="E3595" t="s">
        <v>2081</v>
      </c>
      <c r="F3595" t="s">
        <v>2082</v>
      </c>
      <c r="G3595" t="s">
        <v>1932</v>
      </c>
      <c r="H3595" t="s">
        <v>2083</v>
      </c>
      <c r="I3595" t="s">
        <v>147</v>
      </c>
      <c r="J3595" t="s">
        <v>36</v>
      </c>
      <c r="K3595">
        <v>890</v>
      </c>
      <c r="O3595" t="s">
        <v>176</v>
      </c>
      <c r="P3595" t="s">
        <v>42</v>
      </c>
      <c r="U3595" s="9" t="s">
        <v>136</v>
      </c>
      <c r="V3595" t="s">
        <v>1150</v>
      </c>
      <c r="W3595" t="s">
        <v>178</v>
      </c>
      <c r="X3595" t="s">
        <v>94</v>
      </c>
      <c r="Y3595" t="s">
        <v>179</v>
      </c>
      <c r="Z3595" t="s">
        <v>104</v>
      </c>
      <c r="AB3595" t="str">
        <f t="shared" si="168"/>
        <v>53583</v>
      </c>
    </row>
    <row r="3596" ht="14.25" spans="1:28">
      <c r="A3596" s="5" t="s">
        <v>28</v>
      </c>
      <c r="B3596" s="5" t="s">
        <v>697</v>
      </c>
      <c r="C3596" s="5">
        <v>2027</v>
      </c>
      <c r="D3596" s="5" t="s">
        <v>30</v>
      </c>
      <c r="E3596" t="s">
        <v>2081</v>
      </c>
      <c r="F3596" t="s">
        <v>2082</v>
      </c>
      <c r="G3596" t="s">
        <v>1932</v>
      </c>
      <c r="H3596" t="s">
        <v>2083</v>
      </c>
      <c r="I3596" t="s">
        <v>147</v>
      </c>
      <c r="J3596" t="s">
        <v>36</v>
      </c>
      <c r="K3596">
        <v>890</v>
      </c>
      <c r="O3596" t="s">
        <v>176</v>
      </c>
      <c r="P3596" t="s">
        <v>43</v>
      </c>
      <c r="U3596" s="9" t="s">
        <v>136</v>
      </c>
      <c r="V3596" t="s">
        <v>1150</v>
      </c>
      <c r="W3596" t="s">
        <v>178</v>
      </c>
      <c r="X3596" t="s">
        <v>94</v>
      </c>
      <c r="Y3596" t="s">
        <v>179</v>
      </c>
      <c r="Z3596" t="s">
        <v>104</v>
      </c>
      <c r="AB3596" t="str">
        <f t="shared" si="168"/>
        <v>53583</v>
      </c>
    </row>
    <row r="3597" ht="14.25" spans="1:28">
      <c r="A3597" s="5" t="s">
        <v>28</v>
      </c>
      <c r="B3597" s="5" t="s">
        <v>697</v>
      </c>
      <c r="C3597" s="5">
        <v>2027</v>
      </c>
      <c r="D3597" s="5" t="s">
        <v>30</v>
      </c>
      <c r="E3597" t="s">
        <v>2081</v>
      </c>
      <c r="F3597" t="s">
        <v>2082</v>
      </c>
      <c r="G3597" t="s">
        <v>1932</v>
      </c>
      <c r="H3597" t="s">
        <v>2083</v>
      </c>
      <c r="I3597" t="s">
        <v>147</v>
      </c>
      <c r="J3597" t="s">
        <v>36</v>
      </c>
      <c r="K3597">
        <v>890</v>
      </c>
      <c r="O3597" t="s">
        <v>176</v>
      </c>
      <c r="P3597" t="s">
        <v>44</v>
      </c>
      <c r="U3597" s="9" t="s">
        <v>136</v>
      </c>
      <c r="V3597" t="s">
        <v>1150</v>
      </c>
      <c r="W3597" t="s">
        <v>178</v>
      </c>
      <c r="X3597" t="s">
        <v>94</v>
      </c>
      <c r="Y3597" t="s">
        <v>179</v>
      </c>
      <c r="Z3597" t="s">
        <v>104</v>
      </c>
      <c r="AB3597" t="str">
        <f t="shared" si="168"/>
        <v>53583</v>
      </c>
    </row>
    <row r="3598" ht="14.25" spans="1:28">
      <c r="A3598" s="5" t="s">
        <v>28</v>
      </c>
      <c r="B3598" s="5" t="s">
        <v>697</v>
      </c>
      <c r="C3598" s="5">
        <v>2027</v>
      </c>
      <c r="D3598" s="5" t="s">
        <v>30</v>
      </c>
      <c r="E3598" t="s">
        <v>2081</v>
      </c>
      <c r="F3598" t="s">
        <v>2082</v>
      </c>
      <c r="G3598" t="s">
        <v>1932</v>
      </c>
      <c r="H3598" t="s">
        <v>2083</v>
      </c>
      <c r="I3598" t="s">
        <v>147</v>
      </c>
      <c r="J3598" t="s">
        <v>36</v>
      </c>
      <c r="K3598">
        <v>890</v>
      </c>
      <c r="O3598" t="s">
        <v>176</v>
      </c>
      <c r="P3598" t="s">
        <v>45</v>
      </c>
      <c r="U3598" s="9" t="s">
        <v>136</v>
      </c>
      <c r="V3598" t="s">
        <v>1150</v>
      </c>
      <c r="W3598" t="s">
        <v>178</v>
      </c>
      <c r="X3598" t="s">
        <v>94</v>
      </c>
      <c r="Y3598" t="s">
        <v>179</v>
      </c>
      <c r="Z3598" t="s">
        <v>104</v>
      </c>
      <c r="AB3598" t="str">
        <f t="shared" si="168"/>
        <v>53583</v>
      </c>
    </row>
    <row r="3599" ht="14.25" spans="1:28">
      <c r="A3599" s="5" t="s">
        <v>28</v>
      </c>
      <c r="B3599" s="5" t="s">
        <v>697</v>
      </c>
      <c r="C3599" s="5">
        <v>2027</v>
      </c>
      <c r="D3599" s="5" t="s">
        <v>30</v>
      </c>
      <c r="E3599" t="s">
        <v>2084</v>
      </c>
      <c r="F3599" t="s">
        <v>2085</v>
      </c>
      <c r="G3599" t="s">
        <v>1929</v>
      </c>
      <c r="H3599" t="s">
        <v>2086</v>
      </c>
      <c r="I3599" t="s">
        <v>119</v>
      </c>
      <c r="J3599" t="s">
        <v>36</v>
      </c>
      <c r="K3599">
        <v>1390</v>
      </c>
      <c r="O3599" t="s">
        <v>176</v>
      </c>
      <c r="P3599" t="s">
        <v>177</v>
      </c>
      <c r="R3599">
        <f t="shared" si="169"/>
        <v>0</v>
      </c>
      <c r="S3599">
        <f>SUMIFS([1]Sheet1!$T:$T,[1]Sheet1!$I:$I,E3599,[1]Sheet1!$C:$C,A3599)</f>
        <v>200</v>
      </c>
      <c r="T3599">
        <f t="shared" si="170"/>
        <v>-200</v>
      </c>
      <c r="U3599" s="9" t="s">
        <v>136</v>
      </c>
      <c r="V3599" t="s">
        <v>137</v>
      </c>
      <c r="W3599" t="s">
        <v>178</v>
      </c>
      <c r="X3599" t="s">
        <v>70</v>
      </c>
      <c r="Y3599" t="s">
        <v>179</v>
      </c>
      <c r="Z3599" t="s">
        <v>104</v>
      </c>
      <c r="AB3599" t="str">
        <f t="shared" si="168"/>
        <v>53585</v>
      </c>
    </row>
    <row r="3600" ht="14.25" spans="1:28">
      <c r="A3600" s="5" t="s">
        <v>28</v>
      </c>
      <c r="B3600" s="5" t="s">
        <v>697</v>
      </c>
      <c r="C3600" s="5">
        <v>2027</v>
      </c>
      <c r="D3600" s="5" t="s">
        <v>30</v>
      </c>
      <c r="E3600" t="s">
        <v>2084</v>
      </c>
      <c r="F3600" t="s">
        <v>2085</v>
      </c>
      <c r="G3600" t="s">
        <v>1929</v>
      </c>
      <c r="H3600" t="s">
        <v>2086</v>
      </c>
      <c r="I3600" t="s">
        <v>119</v>
      </c>
      <c r="J3600" t="s">
        <v>36</v>
      </c>
      <c r="K3600">
        <v>1390</v>
      </c>
      <c r="O3600" t="s">
        <v>176</v>
      </c>
      <c r="P3600" t="s">
        <v>38</v>
      </c>
      <c r="U3600" s="9" t="s">
        <v>136</v>
      </c>
      <c r="V3600" t="s">
        <v>137</v>
      </c>
      <c r="W3600" t="s">
        <v>178</v>
      </c>
      <c r="X3600" t="s">
        <v>70</v>
      </c>
      <c r="Y3600" t="s">
        <v>179</v>
      </c>
      <c r="Z3600" t="s">
        <v>104</v>
      </c>
      <c r="AB3600" t="str">
        <f t="shared" si="168"/>
        <v>53585</v>
      </c>
    </row>
    <row r="3601" ht="14.25" spans="1:28">
      <c r="A3601" s="5" t="s">
        <v>28</v>
      </c>
      <c r="B3601" s="5" t="s">
        <v>697</v>
      </c>
      <c r="C3601" s="5">
        <v>2027</v>
      </c>
      <c r="D3601" s="5" t="s">
        <v>30</v>
      </c>
      <c r="E3601" t="s">
        <v>2084</v>
      </c>
      <c r="F3601" t="s">
        <v>2085</v>
      </c>
      <c r="G3601" t="s">
        <v>1929</v>
      </c>
      <c r="H3601" t="s">
        <v>2086</v>
      </c>
      <c r="I3601" t="s">
        <v>119</v>
      </c>
      <c r="J3601" t="s">
        <v>36</v>
      </c>
      <c r="K3601">
        <v>1390</v>
      </c>
      <c r="O3601" t="s">
        <v>176</v>
      </c>
      <c r="P3601" t="s">
        <v>42</v>
      </c>
      <c r="U3601" s="9" t="s">
        <v>136</v>
      </c>
      <c r="V3601" t="s">
        <v>137</v>
      </c>
      <c r="W3601" t="s">
        <v>178</v>
      </c>
      <c r="X3601" t="s">
        <v>70</v>
      </c>
      <c r="Y3601" t="s">
        <v>179</v>
      </c>
      <c r="Z3601" t="s">
        <v>104</v>
      </c>
      <c r="AB3601" t="str">
        <f t="shared" si="168"/>
        <v>53585</v>
      </c>
    </row>
    <row r="3602" ht="14.25" spans="1:28">
      <c r="A3602" s="5" t="s">
        <v>28</v>
      </c>
      <c r="B3602" s="5" t="s">
        <v>697</v>
      </c>
      <c r="C3602" s="5">
        <v>2027</v>
      </c>
      <c r="D3602" s="5" t="s">
        <v>30</v>
      </c>
      <c r="E3602" t="s">
        <v>2084</v>
      </c>
      <c r="F3602" t="s">
        <v>2085</v>
      </c>
      <c r="G3602" t="s">
        <v>1929</v>
      </c>
      <c r="H3602" t="s">
        <v>2086</v>
      </c>
      <c r="I3602" t="s">
        <v>119</v>
      </c>
      <c r="J3602" t="s">
        <v>36</v>
      </c>
      <c r="K3602">
        <v>1390</v>
      </c>
      <c r="O3602" t="s">
        <v>176</v>
      </c>
      <c r="P3602" t="s">
        <v>43</v>
      </c>
      <c r="U3602" s="9" t="s">
        <v>136</v>
      </c>
      <c r="V3602" t="s">
        <v>137</v>
      </c>
      <c r="W3602" t="s">
        <v>178</v>
      </c>
      <c r="X3602" t="s">
        <v>70</v>
      </c>
      <c r="Y3602" t="s">
        <v>179</v>
      </c>
      <c r="Z3602" t="s">
        <v>104</v>
      </c>
      <c r="AB3602" t="str">
        <f t="shared" si="168"/>
        <v>53585</v>
      </c>
    </row>
    <row r="3603" ht="14.25" spans="1:28">
      <c r="A3603" s="5" t="s">
        <v>28</v>
      </c>
      <c r="B3603" s="5" t="s">
        <v>697</v>
      </c>
      <c r="C3603" s="5">
        <v>2027</v>
      </c>
      <c r="D3603" s="5" t="s">
        <v>30</v>
      </c>
      <c r="E3603" t="s">
        <v>2084</v>
      </c>
      <c r="F3603" t="s">
        <v>2085</v>
      </c>
      <c r="G3603" t="s">
        <v>1929</v>
      </c>
      <c r="H3603" t="s">
        <v>2086</v>
      </c>
      <c r="I3603" t="s">
        <v>119</v>
      </c>
      <c r="J3603" t="s">
        <v>36</v>
      </c>
      <c r="K3603">
        <v>1390</v>
      </c>
      <c r="O3603" t="s">
        <v>176</v>
      </c>
      <c r="P3603" t="s">
        <v>44</v>
      </c>
      <c r="U3603" s="9" t="s">
        <v>136</v>
      </c>
      <c r="V3603" t="s">
        <v>137</v>
      </c>
      <c r="W3603" t="s">
        <v>178</v>
      </c>
      <c r="X3603" t="s">
        <v>70</v>
      </c>
      <c r="Y3603" t="s">
        <v>179</v>
      </c>
      <c r="Z3603" t="s">
        <v>104</v>
      </c>
      <c r="AB3603" t="str">
        <f t="shared" si="168"/>
        <v>53585</v>
      </c>
    </row>
    <row r="3604" ht="14.25" spans="1:28">
      <c r="A3604" s="5" t="s">
        <v>28</v>
      </c>
      <c r="B3604" s="5" t="s">
        <v>697</v>
      </c>
      <c r="C3604" s="5">
        <v>2027</v>
      </c>
      <c r="D3604" s="5" t="s">
        <v>30</v>
      </c>
      <c r="E3604" t="s">
        <v>2084</v>
      </c>
      <c r="F3604" t="s">
        <v>2085</v>
      </c>
      <c r="G3604" t="s">
        <v>1929</v>
      </c>
      <c r="H3604" t="s">
        <v>2086</v>
      </c>
      <c r="I3604" t="s">
        <v>119</v>
      </c>
      <c r="J3604" t="s">
        <v>36</v>
      </c>
      <c r="K3604">
        <v>1390</v>
      </c>
      <c r="O3604" t="s">
        <v>176</v>
      </c>
      <c r="P3604" t="s">
        <v>45</v>
      </c>
      <c r="U3604" s="9" t="s">
        <v>136</v>
      </c>
      <c r="V3604" t="s">
        <v>137</v>
      </c>
      <c r="W3604" t="s">
        <v>178</v>
      </c>
      <c r="X3604" t="s">
        <v>70</v>
      </c>
      <c r="Y3604" t="s">
        <v>179</v>
      </c>
      <c r="Z3604" t="s">
        <v>104</v>
      </c>
      <c r="AB3604" t="str">
        <f t="shared" si="168"/>
        <v>53585</v>
      </c>
    </row>
    <row r="3605" ht="14.25" spans="1:28">
      <c r="A3605" s="5" t="s">
        <v>28</v>
      </c>
      <c r="B3605" s="5" t="s">
        <v>697</v>
      </c>
      <c r="C3605" s="5">
        <v>2027</v>
      </c>
      <c r="D3605" s="5" t="s">
        <v>30</v>
      </c>
      <c r="E3605" t="s">
        <v>2087</v>
      </c>
      <c r="F3605" t="s">
        <v>2085</v>
      </c>
      <c r="G3605" t="s">
        <v>1867</v>
      </c>
      <c r="H3605" t="s">
        <v>2088</v>
      </c>
      <c r="I3605" t="s">
        <v>119</v>
      </c>
      <c r="J3605" t="s">
        <v>36</v>
      </c>
      <c r="K3605">
        <v>1390</v>
      </c>
      <c r="O3605" t="s">
        <v>176</v>
      </c>
      <c r="P3605" t="s">
        <v>177</v>
      </c>
      <c r="R3605">
        <f t="shared" si="169"/>
        <v>0</v>
      </c>
      <c r="S3605">
        <f>SUMIFS([1]Sheet1!$T:$T,[1]Sheet1!$I:$I,E3605,[1]Sheet1!$C:$C,A3605)</f>
        <v>80</v>
      </c>
      <c r="T3605">
        <f t="shared" si="170"/>
        <v>-80</v>
      </c>
      <c r="U3605" s="9" t="s">
        <v>136</v>
      </c>
      <c r="V3605" t="s">
        <v>137</v>
      </c>
      <c r="W3605" t="s">
        <v>178</v>
      </c>
      <c r="X3605" t="s">
        <v>102</v>
      </c>
      <c r="Y3605" t="s">
        <v>179</v>
      </c>
      <c r="Z3605" t="s">
        <v>104</v>
      </c>
      <c r="AB3605" t="str">
        <f t="shared" si="168"/>
        <v>53585</v>
      </c>
    </row>
    <row r="3606" ht="14.25" spans="1:28">
      <c r="A3606" s="5" t="s">
        <v>28</v>
      </c>
      <c r="B3606" s="5" t="s">
        <v>697</v>
      </c>
      <c r="C3606" s="5">
        <v>2027</v>
      </c>
      <c r="D3606" s="5" t="s">
        <v>30</v>
      </c>
      <c r="E3606" t="s">
        <v>2087</v>
      </c>
      <c r="F3606" t="s">
        <v>2085</v>
      </c>
      <c r="G3606" t="s">
        <v>1867</v>
      </c>
      <c r="H3606" t="s">
        <v>2088</v>
      </c>
      <c r="I3606" t="s">
        <v>119</v>
      </c>
      <c r="J3606" t="s">
        <v>36</v>
      </c>
      <c r="K3606">
        <v>1390</v>
      </c>
      <c r="O3606" t="s">
        <v>176</v>
      </c>
      <c r="P3606" t="s">
        <v>38</v>
      </c>
      <c r="U3606" s="9" t="s">
        <v>136</v>
      </c>
      <c r="V3606" t="s">
        <v>137</v>
      </c>
      <c r="W3606" t="s">
        <v>178</v>
      </c>
      <c r="X3606" t="s">
        <v>102</v>
      </c>
      <c r="Y3606" t="s">
        <v>179</v>
      </c>
      <c r="Z3606" t="s">
        <v>104</v>
      </c>
      <c r="AB3606" t="str">
        <f t="shared" si="168"/>
        <v>53585</v>
      </c>
    </row>
    <row r="3607" ht="14.25" spans="1:28">
      <c r="A3607" s="5" t="s">
        <v>28</v>
      </c>
      <c r="B3607" s="5" t="s">
        <v>697</v>
      </c>
      <c r="C3607" s="5">
        <v>2027</v>
      </c>
      <c r="D3607" s="5" t="s">
        <v>30</v>
      </c>
      <c r="E3607" t="s">
        <v>2087</v>
      </c>
      <c r="F3607" t="s">
        <v>2085</v>
      </c>
      <c r="G3607" t="s">
        <v>1867</v>
      </c>
      <c r="H3607" t="s">
        <v>2088</v>
      </c>
      <c r="I3607" t="s">
        <v>119</v>
      </c>
      <c r="J3607" t="s">
        <v>36</v>
      </c>
      <c r="K3607">
        <v>1390</v>
      </c>
      <c r="O3607" t="s">
        <v>176</v>
      </c>
      <c r="P3607" t="s">
        <v>42</v>
      </c>
      <c r="U3607" s="9" t="s">
        <v>136</v>
      </c>
      <c r="V3607" t="s">
        <v>137</v>
      </c>
      <c r="W3607" t="s">
        <v>178</v>
      </c>
      <c r="X3607" t="s">
        <v>102</v>
      </c>
      <c r="Y3607" t="s">
        <v>179</v>
      </c>
      <c r="Z3607" t="s">
        <v>104</v>
      </c>
      <c r="AB3607" t="str">
        <f t="shared" si="168"/>
        <v>53585</v>
      </c>
    </row>
    <row r="3608" ht="14.25" spans="1:28">
      <c r="A3608" s="5" t="s">
        <v>28</v>
      </c>
      <c r="B3608" s="5" t="s">
        <v>697</v>
      </c>
      <c r="C3608" s="5">
        <v>2027</v>
      </c>
      <c r="D3608" s="5" t="s">
        <v>30</v>
      </c>
      <c r="E3608" t="s">
        <v>2087</v>
      </c>
      <c r="F3608" t="s">
        <v>2085</v>
      </c>
      <c r="G3608" t="s">
        <v>1867</v>
      </c>
      <c r="H3608" t="s">
        <v>2088</v>
      </c>
      <c r="I3608" t="s">
        <v>119</v>
      </c>
      <c r="J3608" t="s">
        <v>36</v>
      </c>
      <c r="K3608">
        <v>1390</v>
      </c>
      <c r="O3608" t="s">
        <v>176</v>
      </c>
      <c r="P3608" t="s">
        <v>43</v>
      </c>
      <c r="U3608" s="9" t="s">
        <v>136</v>
      </c>
      <c r="V3608" t="s">
        <v>137</v>
      </c>
      <c r="W3608" t="s">
        <v>178</v>
      </c>
      <c r="X3608" t="s">
        <v>102</v>
      </c>
      <c r="Y3608" t="s">
        <v>179</v>
      </c>
      <c r="Z3608" t="s">
        <v>104</v>
      </c>
      <c r="AB3608" t="str">
        <f t="shared" si="168"/>
        <v>53585</v>
      </c>
    </row>
    <row r="3609" ht="14.25" spans="1:28">
      <c r="A3609" s="5" t="s">
        <v>28</v>
      </c>
      <c r="B3609" s="5" t="s">
        <v>697</v>
      </c>
      <c r="C3609" s="5">
        <v>2027</v>
      </c>
      <c r="D3609" s="5" t="s">
        <v>30</v>
      </c>
      <c r="E3609" t="s">
        <v>2087</v>
      </c>
      <c r="F3609" t="s">
        <v>2085</v>
      </c>
      <c r="G3609" t="s">
        <v>1867</v>
      </c>
      <c r="H3609" t="s">
        <v>2088</v>
      </c>
      <c r="I3609" t="s">
        <v>119</v>
      </c>
      <c r="J3609" t="s">
        <v>36</v>
      </c>
      <c r="K3609">
        <v>1390</v>
      </c>
      <c r="O3609" t="s">
        <v>176</v>
      </c>
      <c r="P3609" t="s">
        <v>44</v>
      </c>
      <c r="U3609" s="9" t="s">
        <v>136</v>
      </c>
      <c r="V3609" t="s">
        <v>137</v>
      </c>
      <c r="W3609" t="s">
        <v>178</v>
      </c>
      <c r="X3609" t="s">
        <v>102</v>
      </c>
      <c r="Y3609" t="s">
        <v>179</v>
      </c>
      <c r="Z3609" t="s">
        <v>104</v>
      </c>
      <c r="AB3609" t="str">
        <f t="shared" si="168"/>
        <v>53585</v>
      </c>
    </row>
    <row r="3610" ht="14.25" spans="1:28">
      <c r="A3610" s="5" t="s">
        <v>28</v>
      </c>
      <c r="B3610" s="5" t="s">
        <v>697</v>
      </c>
      <c r="C3610" s="5">
        <v>2027</v>
      </c>
      <c r="D3610" s="5" t="s">
        <v>30</v>
      </c>
      <c r="E3610" t="s">
        <v>2087</v>
      </c>
      <c r="F3610" t="s">
        <v>2085</v>
      </c>
      <c r="G3610" t="s">
        <v>1867</v>
      </c>
      <c r="H3610" t="s">
        <v>2088</v>
      </c>
      <c r="I3610" t="s">
        <v>119</v>
      </c>
      <c r="J3610" t="s">
        <v>36</v>
      </c>
      <c r="K3610">
        <v>1390</v>
      </c>
      <c r="O3610" t="s">
        <v>176</v>
      </c>
      <c r="P3610" t="s">
        <v>45</v>
      </c>
      <c r="U3610" s="9" t="s">
        <v>136</v>
      </c>
      <c r="V3610" t="s">
        <v>137</v>
      </c>
      <c r="W3610" t="s">
        <v>178</v>
      </c>
      <c r="X3610" t="s">
        <v>102</v>
      </c>
      <c r="Y3610" t="s">
        <v>179</v>
      </c>
      <c r="Z3610" t="s">
        <v>104</v>
      </c>
      <c r="AB3610" t="str">
        <f t="shared" si="168"/>
        <v>53585</v>
      </c>
    </row>
    <row r="3611" ht="14.25" spans="1:28">
      <c r="A3611" s="5" t="s">
        <v>28</v>
      </c>
      <c r="B3611" s="5" t="s">
        <v>697</v>
      </c>
      <c r="C3611" s="5">
        <v>2027</v>
      </c>
      <c r="D3611" s="5" t="s">
        <v>30</v>
      </c>
      <c r="E3611" t="s">
        <v>2089</v>
      </c>
      <c r="F3611" t="s">
        <v>2085</v>
      </c>
      <c r="G3611" t="s">
        <v>1937</v>
      </c>
      <c r="H3611" t="s">
        <v>2090</v>
      </c>
      <c r="I3611" t="s">
        <v>147</v>
      </c>
      <c r="J3611" t="s">
        <v>36</v>
      </c>
      <c r="K3611">
        <v>1390</v>
      </c>
      <c r="O3611" t="s">
        <v>176</v>
      </c>
      <c r="P3611" t="s">
        <v>177</v>
      </c>
      <c r="R3611">
        <f t="shared" si="169"/>
        <v>0</v>
      </c>
      <c r="S3611">
        <f>SUMIFS([1]Sheet1!$T:$T,[1]Sheet1!$I:$I,E3611,[1]Sheet1!$C:$C,A3611)</f>
        <v>100</v>
      </c>
      <c r="T3611">
        <f t="shared" si="170"/>
        <v>-100</v>
      </c>
      <c r="U3611" s="9" t="s">
        <v>136</v>
      </c>
      <c r="V3611" t="s">
        <v>137</v>
      </c>
      <c r="W3611" t="s">
        <v>178</v>
      </c>
      <c r="X3611" t="s">
        <v>1106</v>
      </c>
      <c r="Y3611" t="s">
        <v>179</v>
      </c>
      <c r="Z3611" t="s">
        <v>104</v>
      </c>
      <c r="AB3611" t="str">
        <f t="shared" si="168"/>
        <v>53585</v>
      </c>
    </row>
    <row r="3612" ht="14.25" spans="1:28">
      <c r="A3612" s="5" t="s">
        <v>28</v>
      </c>
      <c r="B3612" s="5" t="s">
        <v>697</v>
      </c>
      <c r="C3612" s="5">
        <v>2027</v>
      </c>
      <c r="D3612" s="5" t="s">
        <v>30</v>
      </c>
      <c r="E3612" t="s">
        <v>2089</v>
      </c>
      <c r="F3612" t="s">
        <v>2085</v>
      </c>
      <c r="G3612" t="s">
        <v>1937</v>
      </c>
      <c r="H3612" t="s">
        <v>2090</v>
      </c>
      <c r="I3612" t="s">
        <v>147</v>
      </c>
      <c r="J3612" t="s">
        <v>36</v>
      </c>
      <c r="K3612">
        <v>1390</v>
      </c>
      <c r="O3612" t="s">
        <v>176</v>
      </c>
      <c r="P3612" t="s">
        <v>38</v>
      </c>
      <c r="U3612" s="9" t="s">
        <v>136</v>
      </c>
      <c r="V3612" t="s">
        <v>137</v>
      </c>
      <c r="W3612" t="s">
        <v>178</v>
      </c>
      <c r="X3612" t="s">
        <v>1106</v>
      </c>
      <c r="Y3612" t="s">
        <v>179</v>
      </c>
      <c r="Z3612" t="s">
        <v>104</v>
      </c>
      <c r="AB3612" t="str">
        <f t="shared" si="168"/>
        <v>53585</v>
      </c>
    </row>
    <row r="3613" ht="14.25" spans="1:28">
      <c r="A3613" s="5" t="s">
        <v>28</v>
      </c>
      <c r="B3613" s="5" t="s">
        <v>697</v>
      </c>
      <c r="C3613" s="5">
        <v>2027</v>
      </c>
      <c r="D3613" s="5" t="s">
        <v>30</v>
      </c>
      <c r="E3613" t="s">
        <v>2089</v>
      </c>
      <c r="F3613" t="s">
        <v>2085</v>
      </c>
      <c r="G3613" t="s">
        <v>1937</v>
      </c>
      <c r="H3613" t="s">
        <v>2090</v>
      </c>
      <c r="I3613" t="s">
        <v>147</v>
      </c>
      <c r="J3613" t="s">
        <v>36</v>
      </c>
      <c r="K3613">
        <v>1390</v>
      </c>
      <c r="O3613" t="s">
        <v>176</v>
      </c>
      <c r="P3613" t="s">
        <v>42</v>
      </c>
      <c r="U3613" s="9" t="s">
        <v>136</v>
      </c>
      <c r="V3613" t="s">
        <v>137</v>
      </c>
      <c r="W3613" t="s">
        <v>178</v>
      </c>
      <c r="X3613" t="s">
        <v>1106</v>
      </c>
      <c r="Y3613" t="s">
        <v>179</v>
      </c>
      <c r="Z3613" t="s">
        <v>104</v>
      </c>
      <c r="AB3613" t="str">
        <f t="shared" si="168"/>
        <v>53585</v>
      </c>
    </row>
    <row r="3614" ht="14.25" spans="1:28">
      <c r="A3614" s="5" t="s">
        <v>28</v>
      </c>
      <c r="B3614" s="5" t="s">
        <v>697</v>
      </c>
      <c r="C3614" s="5">
        <v>2027</v>
      </c>
      <c r="D3614" s="5" t="s">
        <v>30</v>
      </c>
      <c r="E3614" t="s">
        <v>2089</v>
      </c>
      <c r="F3614" t="s">
        <v>2085</v>
      </c>
      <c r="G3614" t="s">
        <v>1937</v>
      </c>
      <c r="H3614" t="s">
        <v>2090</v>
      </c>
      <c r="I3614" t="s">
        <v>147</v>
      </c>
      <c r="J3614" t="s">
        <v>36</v>
      </c>
      <c r="K3614">
        <v>1390</v>
      </c>
      <c r="O3614" t="s">
        <v>176</v>
      </c>
      <c r="P3614" t="s">
        <v>43</v>
      </c>
      <c r="U3614" s="9" t="s">
        <v>136</v>
      </c>
      <c r="V3614" t="s">
        <v>137</v>
      </c>
      <c r="W3614" t="s">
        <v>178</v>
      </c>
      <c r="X3614" t="s">
        <v>1106</v>
      </c>
      <c r="Y3614" t="s">
        <v>179</v>
      </c>
      <c r="Z3614" t="s">
        <v>104</v>
      </c>
      <c r="AB3614" t="str">
        <f t="shared" si="168"/>
        <v>53585</v>
      </c>
    </row>
    <row r="3615" ht="14.25" spans="1:28">
      <c r="A3615" s="5" t="s">
        <v>28</v>
      </c>
      <c r="B3615" s="5" t="s">
        <v>697</v>
      </c>
      <c r="C3615" s="5">
        <v>2027</v>
      </c>
      <c r="D3615" s="5" t="s">
        <v>30</v>
      </c>
      <c r="E3615" t="s">
        <v>2089</v>
      </c>
      <c r="F3615" t="s">
        <v>2085</v>
      </c>
      <c r="G3615" t="s">
        <v>1937</v>
      </c>
      <c r="H3615" t="s">
        <v>2090</v>
      </c>
      <c r="I3615" t="s">
        <v>147</v>
      </c>
      <c r="J3615" t="s">
        <v>36</v>
      </c>
      <c r="K3615">
        <v>1390</v>
      </c>
      <c r="O3615" t="s">
        <v>176</v>
      </c>
      <c r="P3615" t="s">
        <v>44</v>
      </c>
      <c r="U3615" s="9" t="s">
        <v>136</v>
      </c>
      <c r="V3615" t="s">
        <v>137</v>
      </c>
      <c r="W3615" t="s">
        <v>178</v>
      </c>
      <c r="X3615" t="s">
        <v>1106</v>
      </c>
      <c r="Y3615" t="s">
        <v>179</v>
      </c>
      <c r="Z3615" t="s">
        <v>104</v>
      </c>
      <c r="AB3615" t="str">
        <f t="shared" si="168"/>
        <v>53585</v>
      </c>
    </row>
    <row r="3616" ht="14.25" spans="1:28">
      <c r="A3616" s="5" t="s">
        <v>28</v>
      </c>
      <c r="B3616" s="5" t="s">
        <v>697</v>
      </c>
      <c r="C3616" s="5">
        <v>2027</v>
      </c>
      <c r="D3616" s="5" t="s">
        <v>30</v>
      </c>
      <c r="E3616" t="s">
        <v>2089</v>
      </c>
      <c r="F3616" t="s">
        <v>2085</v>
      </c>
      <c r="G3616" t="s">
        <v>1937</v>
      </c>
      <c r="H3616" t="s">
        <v>2090</v>
      </c>
      <c r="I3616" t="s">
        <v>147</v>
      </c>
      <c r="J3616" t="s">
        <v>36</v>
      </c>
      <c r="K3616">
        <v>1390</v>
      </c>
      <c r="O3616" t="s">
        <v>176</v>
      </c>
      <c r="P3616" t="s">
        <v>45</v>
      </c>
      <c r="U3616" s="9" t="s">
        <v>136</v>
      </c>
      <c r="V3616" t="s">
        <v>137</v>
      </c>
      <c r="W3616" t="s">
        <v>178</v>
      </c>
      <c r="X3616" t="s">
        <v>1106</v>
      </c>
      <c r="Y3616" t="s">
        <v>179</v>
      </c>
      <c r="Z3616" t="s">
        <v>104</v>
      </c>
      <c r="AB3616" t="str">
        <f t="shared" si="168"/>
        <v>53585</v>
      </c>
    </row>
    <row r="3617" ht="14.25" spans="1:28">
      <c r="A3617" s="5" t="s">
        <v>28</v>
      </c>
      <c r="B3617" s="5" t="s">
        <v>697</v>
      </c>
      <c r="C3617" s="5">
        <v>2027</v>
      </c>
      <c r="D3617" s="5" t="s">
        <v>30</v>
      </c>
      <c r="E3617" t="s">
        <v>2091</v>
      </c>
      <c r="F3617" t="s">
        <v>2092</v>
      </c>
      <c r="G3617" t="s">
        <v>1976</v>
      </c>
      <c r="H3617" t="s">
        <v>2093</v>
      </c>
      <c r="I3617" t="s">
        <v>147</v>
      </c>
      <c r="J3617" t="s">
        <v>36</v>
      </c>
      <c r="K3617">
        <v>990</v>
      </c>
      <c r="O3617" t="s">
        <v>176</v>
      </c>
      <c r="P3617" t="s">
        <v>177</v>
      </c>
      <c r="R3617">
        <f t="shared" si="169"/>
        <v>0</v>
      </c>
      <c r="S3617">
        <f>SUMIFS([1]Sheet1!$T:$T,[1]Sheet1!$I:$I,E3617,[1]Sheet1!$C:$C,A3617)</f>
        <v>40</v>
      </c>
      <c r="T3617">
        <f t="shared" si="170"/>
        <v>-40</v>
      </c>
      <c r="U3617" s="9" t="s">
        <v>148</v>
      </c>
      <c r="V3617" t="s">
        <v>149</v>
      </c>
      <c r="W3617" t="s">
        <v>178</v>
      </c>
      <c r="X3617" t="s">
        <v>94</v>
      </c>
      <c r="Y3617" t="s">
        <v>179</v>
      </c>
      <c r="Z3617" t="s">
        <v>538</v>
      </c>
      <c r="AB3617" t="str">
        <f t="shared" si="168"/>
        <v>53587</v>
      </c>
    </row>
    <row r="3618" ht="14.25" spans="1:28">
      <c r="A3618" s="5" t="s">
        <v>28</v>
      </c>
      <c r="B3618" s="5" t="s">
        <v>697</v>
      </c>
      <c r="C3618" s="5">
        <v>2027</v>
      </c>
      <c r="D3618" s="5" t="s">
        <v>30</v>
      </c>
      <c r="E3618" t="s">
        <v>2091</v>
      </c>
      <c r="F3618" t="s">
        <v>2092</v>
      </c>
      <c r="G3618" t="s">
        <v>1976</v>
      </c>
      <c r="H3618" t="s">
        <v>2093</v>
      </c>
      <c r="I3618" t="s">
        <v>147</v>
      </c>
      <c r="J3618" t="s">
        <v>36</v>
      </c>
      <c r="K3618">
        <v>990</v>
      </c>
      <c r="O3618" t="s">
        <v>176</v>
      </c>
      <c r="P3618" t="s">
        <v>38</v>
      </c>
      <c r="U3618" s="9" t="s">
        <v>148</v>
      </c>
      <c r="V3618" t="s">
        <v>149</v>
      </c>
      <c r="W3618" t="s">
        <v>178</v>
      </c>
      <c r="X3618" t="s">
        <v>94</v>
      </c>
      <c r="Y3618" t="s">
        <v>179</v>
      </c>
      <c r="Z3618" t="s">
        <v>538</v>
      </c>
      <c r="AB3618" t="str">
        <f t="shared" si="168"/>
        <v>53587</v>
      </c>
    </row>
    <row r="3619" ht="14.25" spans="1:28">
      <c r="A3619" s="5" t="s">
        <v>28</v>
      </c>
      <c r="B3619" s="5" t="s">
        <v>697</v>
      </c>
      <c r="C3619" s="5">
        <v>2027</v>
      </c>
      <c r="D3619" s="5" t="s">
        <v>30</v>
      </c>
      <c r="E3619" t="s">
        <v>2091</v>
      </c>
      <c r="F3619" t="s">
        <v>2092</v>
      </c>
      <c r="G3619" t="s">
        <v>1976</v>
      </c>
      <c r="H3619" t="s">
        <v>2093</v>
      </c>
      <c r="I3619" t="s">
        <v>147</v>
      </c>
      <c r="J3619" t="s">
        <v>36</v>
      </c>
      <c r="K3619">
        <v>990</v>
      </c>
      <c r="O3619" t="s">
        <v>176</v>
      </c>
      <c r="P3619" t="s">
        <v>42</v>
      </c>
      <c r="U3619" s="9" t="s">
        <v>148</v>
      </c>
      <c r="V3619" t="s">
        <v>149</v>
      </c>
      <c r="W3619" t="s">
        <v>178</v>
      </c>
      <c r="X3619" t="s">
        <v>94</v>
      </c>
      <c r="Y3619" t="s">
        <v>179</v>
      </c>
      <c r="Z3619" t="s">
        <v>538</v>
      </c>
      <c r="AB3619" t="str">
        <f t="shared" si="168"/>
        <v>53587</v>
      </c>
    </row>
    <row r="3620" ht="14.25" spans="1:28">
      <c r="A3620" s="5" t="s">
        <v>28</v>
      </c>
      <c r="B3620" s="5" t="s">
        <v>697</v>
      </c>
      <c r="C3620" s="5">
        <v>2027</v>
      </c>
      <c r="D3620" s="5" t="s">
        <v>30</v>
      </c>
      <c r="E3620" t="s">
        <v>2091</v>
      </c>
      <c r="F3620" t="s">
        <v>2092</v>
      </c>
      <c r="G3620" t="s">
        <v>1976</v>
      </c>
      <c r="H3620" t="s">
        <v>2093</v>
      </c>
      <c r="I3620" t="s">
        <v>147</v>
      </c>
      <c r="J3620" t="s">
        <v>36</v>
      </c>
      <c r="K3620">
        <v>990</v>
      </c>
      <c r="O3620" t="s">
        <v>176</v>
      </c>
      <c r="P3620" t="s">
        <v>43</v>
      </c>
      <c r="U3620" s="9" t="s">
        <v>148</v>
      </c>
      <c r="V3620" t="s">
        <v>149</v>
      </c>
      <c r="W3620" t="s">
        <v>178</v>
      </c>
      <c r="X3620" t="s">
        <v>94</v>
      </c>
      <c r="Y3620" t="s">
        <v>179</v>
      </c>
      <c r="Z3620" t="s">
        <v>538</v>
      </c>
      <c r="AB3620" t="str">
        <f t="shared" si="168"/>
        <v>53587</v>
      </c>
    </row>
    <row r="3621" ht="14.25" spans="1:28">
      <c r="A3621" s="5" t="s">
        <v>28</v>
      </c>
      <c r="B3621" s="5" t="s">
        <v>697</v>
      </c>
      <c r="C3621" s="5">
        <v>2027</v>
      </c>
      <c r="D3621" s="5" t="s">
        <v>30</v>
      </c>
      <c r="E3621" t="s">
        <v>2091</v>
      </c>
      <c r="F3621" t="s">
        <v>2092</v>
      </c>
      <c r="G3621" t="s">
        <v>1976</v>
      </c>
      <c r="H3621" t="s">
        <v>2093</v>
      </c>
      <c r="I3621" t="s">
        <v>147</v>
      </c>
      <c r="J3621" t="s">
        <v>36</v>
      </c>
      <c r="K3621">
        <v>990</v>
      </c>
      <c r="O3621" t="s">
        <v>176</v>
      </c>
      <c r="P3621" t="s">
        <v>44</v>
      </c>
      <c r="U3621" s="9" t="s">
        <v>148</v>
      </c>
      <c r="V3621" t="s">
        <v>149</v>
      </c>
      <c r="W3621" t="s">
        <v>178</v>
      </c>
      <c r="X3621" t="s">
        <v>94</v>
      </c>
      <c r="Y3621" t="s">
        <v>179</v>
      </c>
      <c r="Z3621" t="s">
        <v>538</v>
      </c>
      <c r="AB3621" t="str">
        <f t="shared" si="168"/>
        <v>53587</v>
      </c>
    </row>
    <row r="3622" ht="14.25" spans="1:28">
      <c r="A3622" s="5" t="s">
        <v>28</v>
      </c>
      <c r="B3622" s="5" t="s">
        <v>697</v>
      </c>
      <c r="C3622" s="5">
        <v>2027</v>
      </c>
      <c r="D3622" s="5" t="s">
        <v>30</v>
      </c>
      <c r="E3622" t="s">
        <v>2091</v>
      </c>
      <c r="F3622" t="s">
        <v>2092</v>
      </c>
      <c r="G3622" t="s">
        <v>1976</v>
      </c>
      <c r="H3622" t="s">
        <v>2093</v>
      </c>
      <c r="I3622" t="s">
        <v>147</v>
      </c>
      <c r="J3622" t="s">
        <v>36</v>
      </c>
      <c r="K3622">
        <v>990</v>
      </c>
      <c r="O3622" t="s">
        <v>176</v>
      </c>
      <c r="P3622" t="s">
        <v>45</v>
      </c>
      <c r="U3622" s="9" t="s">
        <v>148</v>
      </c>
      <c r="V3622" t="s">
        <v>149</v>
      </c>
      <c r="W3622" t="s">
        <v>178</v>
      </c>
      <c r="X3622" t="s">
        <v>94</v>
      </c>
      <c r="Y3622" t="s">
        <v>179</v>
      </c>
      <c r="Z3622" t="s">
        <v>538</v>
      </c>
      <c r="AB3622" t="str">
        <f t="shared" si="168"/>
        <v>53587</v>
      </c>
    </row>
    <row r="3623" ht="14.25" spans="1:28">
      <c r="A3623" s="5" t="s">
        <v>28</v>
      </c>
      <c r="B3623" s="5" t="s">
        <v>697</v>
      </c>
      <c r="C3623" s="5">
        <v>2027</v>
      </c>
      <c r="D3623" s="5" t="s">
        <v>30</v>
      </c>
      <c r="E3623" t="s">
        <v>2094</v>
      </c>
      <c r="F3623" t="s">
        <v>2095</v>
      </c>
      <c r="G3623" t="s">
        <v>1882</v>
      </c>
      <c r="H3623" t="s">
        <v>2096</v>
      </c>
      <c r="I3623" t="s">
        <v>147</v>
      </c>
      <c r="J3623" t="s">
        <v>36</v>
      </c>
      <c r="K3623">
        <v>990</v>
      </c>
      <c r="O3623" t="s">
        <v>176</v>
      </c>
      <c r="P3623" t="s">
        <v>177</v>
      </c>
      <c r="R3623">
        <f t="shared" si="169"/>
        <v>0</v>
      </c>
      <c r="S3623">
        <f>SUMIFS([1]Sheet1!$T:$T,[1]Sheet1!$I:$I,E3623,[1]Sheet1!$C:$C,A3623)</f>
        <v>0</v>
      </c>
      <c r="T3623">
        <f t="shared" si="170"/>
        <v>0</v>
      </c>
      <c r="U3623" s="9" t="s">
        <v>148</v>
      </c>
      <c r="V3623" t="s">
        <v>164</v>
      </c>
      <c r="W3623" t="s">
        <v>178</v>
      </c>
      <c r="Y3623" t="s">
        <v>179</v>
      </c>
      <c r="Z3623" t="s">
        <v>41</v>
      </c>
      <c r="AB3623" t="str">
        <f t="shared" si="168"/>
        <v>53588</v>
      </c>
    </row>
    <row r="3624" ht="14.25" spans="1:28">
      <c r="A3624" s="5" t="s">
        <v>28</v>
      </c>
      <c r="B3624" s="5" t="s">
        <v>697</v>
      </c>
      <c r="C3624" s="5">
        <v>2027</v>
      </c>
      <c r="D3624" s="5" t="s">
        <v>30</v>
      </c>
      <c r="E3624" t="s">
        <v>2094</v>
      </c>
      <c r="F3624" t="s">
        <v>2095</v>
      </c>
      <c r="G3624" t="s">
        <v>1882</v>
      </c>
      <c r="H3624" t="s">
        <v>2096</v>
      </c>
      <c r="I3624" t="s">
        <v>147</v>
      </c>
      <c r="J3624" t="s">
        <v>36</v>
      </c>
      <c r="K3624">
        <v>990</v>
      </c>
      <c r="O3624" t="s">
        <v>176</v>
      </c>
      <c r="P3624" t="s">
        <v>38</v>
      </c>
      <c r="U3624" s="9" t="s">
        <v>148</v>
      </c>
      <c r="V3624" t="s">
        <v>164</v>
      </c>
      <c r="W3624" t="s">
        <v>178</v>
      </c>
      <c r="Y3624" t="s">
        <v>179</v>
      </c>
      <c r="Z3624" t="s">
        <v>41</v>
      </c>
      <c r="AB3624" t="str">
        <f t="shared" si="168"/>
        <v>53588</v>
      </c>
    </row>
    <row r="3625" ht="14.25" spans="1:28">
      <c r="A3625" s="5" t="s">
        <v>28</v>
      </c>
      <c r="B3625" s="5" t="s">
        <v>697</v>
      </c>
      <c r="C3625" s="5">
        <v>2027</v>
      </c>
      <c r="D3625" s="5" t="s">
        <v>30</v>
      </c>
      <c r="E3625" t="s">
        <v>2094</v>
      </c>
      <c r="F3625" t="s">
        <v>2095</v>
      </c>
      <c r="G3625" t="s">
        <v>1882</v>
      </c>
      <c r="H3625" t="s">
        <v>2096</v>
      </c>
      <c r="I3625" t="s">
        <v>147</v>
      </c>
      <c r="J3625" t="s">
        <v>36</v>
      </c>
      <c r="K3625">
        <v>990</v>
      </c>
      <c r="O3625" t="s">
        <v>176</v>
      </c>
      <c r="P3625" t="s">
        <v>42</v>
      </c>
      <c r="U3625" s="9" t="s">
        <v>148</v>
      </c>
      <c r="V3625" t="s">
        <v>164</v>
      </c>
      <c r="W3625" t="s">
        <v>178</v>
      </c>
      <c r="Y3625" t="s">
        <v>179</v>
      </c>
      <c r="Z3625" t="s">
        <v>41</v>
      </c>
      <c r="AB3625" t="str">
        <f t="shared" si="168"/>
        <v>53588</v>
      </c>
    </row>
    <row r="3626" ht="14.25" spans="1:28">
      <c r="A3626" s="5" t="s">
        <v>28</v>
      </c>
      <c r="B3626" s="5" t="s">
        <v>697</v>
      </c>
      <c r="C3626" s="5">
        <v>2027</v>
      </c>
      <c r="D3626" s="5" t="s">
        <v>30</v>
      </c>
      <c r="E3626" t="s">
        <v>2094</v>
      </c>
      <c r="F3626" t="s">
        <v>2095</v>
      </c>
      <c r="G3626" t="s">
        <v>1882</v>
      </c>
      <c r="H3626" t="s">
        <v>2096</v>
      </c>
      <c r="I3626" t="s">
        <v>147</v>
      </c>
      <c r="J3626" t="s">
        <v>36</v>
      </c>
      <c r="K3626">
        <v>990</v>
      </c>
      <c r="O3626" t="s">
        <v>176</v>
      </c>
      <c r="P3626" t="s">
        <v>43</v>
      </c>
      <c r="U3626" s="9" t="s">
        <v>148</v>
      </c>
      <c r="V3626" t="s">
        <v>164</v>
      </c>
      <c r="W3626" t="s">
        <v>178</v>
      </c>
      <c r="Y3626" t="s">
        <v>179</v>
      </c>
      <c r="Z3626" t="s">
        <v>41</v>
      </c>
      <c r="AB3626" t="str">
        <f t="shared" si="168"/>
        <v>53588</v>
      </c>
    </row>
    <row r="3627" ht="14.25" spans="1:28">
      <c r="A3627" s="5" t="s">
        <v>28</v>
      </c>
      <c r="B3627" s="5" t="s">
        <v>697</v>
      </c>
      <c r="C3627" s="5">
        <v>2027</v>
      </c>
      <c r="D3627" s="5" t="s">
        <v>30</v>
      </c>
      <c r="E3627" t="s">
        <v>2094</v>
      </c>
      <c r="F3627" t="s">
        <v>2095</v>
      </c>
      <c r="G3627" t="s">
        <v>1882</v>
      </c>
      <c r="H3627" t="s">
        <v>2096</v>
      </c>
      <c r="I3627" t="s">
        <v>147</v>
      </c>
      <c r="J3627" t="s">
        <v>36</v>
      </c>
      <c r="K3627">
        <v>990</v>
      </c>
      <c r="O3627" t="s">
        <v>176</v>
      </c>
      <c r="P3627" t="s">
        <v>44</v>
      </c>
      <c r="U3627" s="9" t="s">
        <v>148</v>
      </c>
      <c r="V3627" t="s">
        <v>164</v>
      </c>
      <c r="W3627" t="s">
        <v>178</v>
      </c>
      <c r="Y3627" t="s">
        <v>179</v>
      </c>
      <c r="Z3627" t="s">
        <v>41</v>
      </c>
      <c r="AB3627" t="str">
        <f t="shared" si="168"/>
        <v>53588</v>
      </c>
    </row>
    <row r="3628" ht="14.25" spans="1:28">
      <c r="A3628" s="5" t="s">
        <v>28</v>
      </c>
      <c r="B3628" s="5" t="s">
        <v>697</v>
      </c>
      <c r="C3628" s="5">
        <v>2027</v>
      </c>
      <c r="D3628" s="5" t="s">
        <v>30</v>
      </c>
      <c r="E3628" t="s">
        <v>2094</v>
      </c>
      <c r="F3628" t="s">
        <v>2095</v>
      </c>
      <c r="G3628" t="s">
        <v>1882</v>
      </c>
      <c r="H3628" t="s">
        <v>2096</v>
      </c>
      <c r="I3628" t="s">
        <v>147</v>
      </c>
      <c r="J3628" t="s">
        <v>36</v>
      </c>
      <c r="K3628">
        <v>990</v>
      </c>
      <c r="O3628" t="s">
        <v>176</v>
      </c>
      <c r="P3628" t="s">
        <v>45</v>
      </c>
      <c r="U3628" s="9" t="s">
        <v>148</v>
      </c>
      <c r="V3628" t="s">
        <v>164</v>
      </c>
      <c r="W3628" t="s">
        <v>178</v>
      </c>
      <c r="Y3628" t="s">
        <v>179</v>
      </c>
      <c r="Z3628" t="s">
        <v>41</v>
      </c>
      <c r="AB3628" t="str">
        <f t="shared" si="168"/>
        <v>53588</v>
      </c>
    </row>
    <row r="3629" ht="14.25" spans="1:28">
      <c r="A3629" s="5" t="s">
        <v>28</v>
      </c>
      <c r="B3629" s="5" t="s">
        <v>697</v>
      </c>
      <c r="C3629" s="5">
        <v>2027</v>
      </c>
      <c r="D3629" s="5" t="s">
        <v>30</v>
      </c>
      <c r="E3629" t="s">
        <v>2097</v>
      </c>
      <c r="F3629" t="s">
        <v>2095</v>
      </c>
      <c r="G3629" t="s">
        <v>182</v>
      </c>
      <c r="H3629" t="s">
        <v>2098</v>
      </c>
      <c r="I3629" t="s">
        <v>119</v>
      </c>
      <c r="J3629" t="s">
        <v>36</v>
      </c>
      <c r="K3629">
        <v>990</v>
      </c>
      <c r="O3629" t="s">
        <v>176</v>
      </c>
      <c r="P3629" t="s">
        <v>177</v>
      </c>
      <c r="R3629">
        <f t="shared" si="169"/>
        <v>0</v>
      </c>
      <c r="S3629">
        <f>SUMIFS([1]Sheet1!$T:$T,[1]Sheet1!$I:$I,E3629,[1]Sheet1!$C:$C,A3629)</f>
        <v>0</v>
      </c>
      <c r="T3629">
        <f t="shared" si="170"/>
        <v>0</v>
      </c>
      <c r="U3629" s="9" t="s">
        <v>148</v>
      </c>
      <c r="V3629" t="s">
        <v>164</v>
      </c>
      <c r="W3629" t="s">
        <v>178</v>
      </c>
      <c r="X3629" t="s">
        <v>102</v>
      </c>
      <c r="Y3629" t="s">
        <v>179</v>
      </c>
      <c r="Z3629" t="s">
        <v>41</v>
      </c>
      <c r="AB3629" t="str">
        <f t="shared" si="168"/>
        <v>53588</v>
      </c>
    </row>
    <row r="3630" ht="14.25" spans="1:28">
      <c r="A3630" s="5" t="s">
        <v>28</v>
      </c>
      <c r="B3630" s="5" t="s">
        <v>697</v>
      </c>
      <c r="C3630" s="5">
        <v>2027</v>
      </c>
      <c r="D3630" s="5" t="s">
        <v>30</v>
      </c>
      <c r="E3630" t="s">
        <v>2097</v>
      </c>
      <c r="F3630" t="s">
        <v>2095</v>
      </c>
      <c r="G3630" t="s">
        <v>182</v>
      </c>
      <c r="H3630" t="s">
        <v>2098</v>
      </c>
      <c r="I3630" t="s">
        <v>119</v>
      </c>
      <c r="J3630" t="s">
        <v>36</v>
      </c>
      <c r="K3630">
        <v>990</v>
      </c>
      <c r="O3630" t="s">
        <v>176</v>
      </c>
      <c r="P3630" t="s">
        <v>38</v>
      </c>
      <c r="U3630" s="9" t="s">
        <v>148</v>
      </c>
      <c r="V3630" t="s">
        <v>164</v>
      </c>
      <c r="W3630" t="s">
        <v>178</v>
      </c>
      <c r="X3630" t="s">
        <v>102</v>
      </c>
      <c r="Y3630" t="s">
        <v>179</v>
      </c>
      <c r="Z3630" t="s">
        <v>41</v>
      </c>
      <c r="AB3630" t="str">
        <f t="shared" si="168"/>
        <v>53588</v>
      </c>
    </row>
    <row r="3631" ht="14.25" spans="1:28">
      <c r="A3631" s="5" t="s">
        <v>28</v>
      </c>
      <c r="B3631" s="5" t="s">
        <v>697</v>
      </c>
      <c r="C3631" s="5">
        <v>2027</v>
      </c>
      <c r="D3631" s="5" t="s">
        <v>30</v>
      </c>
      <c r="E3631" t="s">
        <v>2097</v>
      </c>
      <c r="F3631" t="s">
        <v>2095</v>
      </c>
      <c r="G3631" t="s">
        <v>182</v>
      </c>
      <c r="H3631" t="s">
        <v>2098</v>
      </c>
      <c r="I3631" t="s">
        <v>119</v>
      </c>
      <c r="J3631" t="s">
        <v>36</v>
      </c>
      <c r="K3631">
        <v>990</v>
      </c>
      <c r="O3631" t="s">
        <v>176</v>
      </c>
      <c r="P3631" t="s">
        <v>42</v>
      </c>
      <c r="U3631" s="9" t="s">
        <v>148</v>
      </c>
      <c r="V3631" t="s">
        <v>164</v>
      </c>
      <c r="W3631" t="s">
        <v>178</v>
      </c>
      <c r="X3631" t="s">
        <v>102</v>
      </c>
      <c r="Y3631" t="s">
        <v>179</v>
      </c>
      <c r="Z3631" t="s">
        <v>41</v>
      </c>
      <c r="AB3631" t="str">
        <f t="shared" si="168"/>
        <v>53588</v>
      </c>
    </row>
    <row r="3632" ht="14.25" spans="1:28">
      <c r="A3632" s="5" t="s">
        <v>28</v>
      </c>
      <c r="B3632" s="5" t="s">
        <v>697</v>
      </c>
      <c r="C3632" s="5">
        <v>2027</v>
      </c>
      <c r="D3632" s="5" t="s">
        <v>30</v>
      </c>
      <c r="E3632" t="s">
        <v>2097</v>
      </c>
      <c r="F3632" t="s">
        <v>2095</v>
      </c>
      <c r="G3632" t="s">
        <v>182</v>
      </c>
      <c r="H3632" t="s">
        <v>2098</v>
      </c>
      <c r="I3632" t="s">
        <v>119</v>
      </c>
      <c r="J3632" t="s">
        <v>36</v>
      </c>
      <c r="K3632">
        <v>990</v>
      </c>
      <c r="O3632" t="s">
        <v>176</v>
      </c>
      <c r="P3632" t="s">
        <v>43</v>
      </c>
      <c r="U3632" s="9" t="s">
        <v>148</v>
      </c>
      <c r="V3632" t="s">
        <v>164</v>
      </c>
      <c r="W3632" t="s">
        <v>178</v>
      </c>
      <c r="X3632" t="s">
        <v>102</v>
      </c>
      <c r="Y3632" t="s">
        <v>179</v>
      </c>
      <c r="Z3632" t="s">
        <v>41</v>
      </c>
      <c r="AB3632" t="str">
        <f t="shared" si="168"/>
        <v>53588</v>
      </c>
    </row>
    <row r="3633" ht="14.25" spans="1:28">
      <c r="A3633" s="5" t="s">
        <v>28</v>
      </c>
      <c r="B3633" s="5" t="s">
        <v>697</v>
      </c>
      <c r="C3633" s="5">
        <v>2027</v>
      </c>
      <c r="D3633" s="5" t="s">
        <v>30</v>
      </c>
      <c r="E3633" t="s">
        <v>2097</v>
      </c>
      <c r="F3633" t="s">
        <v>2095</v>
      </c>
      <c r="G3633" t="s">
        <v>182</v>
      </c>
      <c r="H3633" t="s">
        <v>2098</v>
      </c>
      <c r="I3633" t="s">
        <v>119</v>
      </c>
      <c r="J3633" t="s">
        <v>36</v>
      </c>
      <c r="K3633">
        <v>990</v>
      </c>
      <c r="O3633" t="s">
        <v>176</v>
      </c>
      <c r="P3633" t="s">
        <v>44</v>
      </c>
      <c r="U3633" s="9" t="s">
        <v>148</v>
      </c>
      <c r="V3633" t="s">
        <v>164</v>
      </c>
      <c r="W3633" t="s">
        <v>178</v>
      </c>
      <c r="X3633" t="s">
        <v>102</v>
      </c>
      <c r="Y3633" t="s">
        <v>179</v>
      </c>
      <c r="Z3633" t="s">
        <v>41</v>
      </c>
      <c r="AB3633" t="str">
        <f t="shared" si="168"/>
        <v>53588</v>
      </c>
    </row>
    <row r="3634" ht="14.25" spans="1:28">
      <c r="A3634" s="5" t="s">
        <v>28</v>
      </c>
      <c r="B3634" s="5" t="s">
        <v>697</v>
      </c>
      <c r="C3634" s="5">
        <v>2027</v>
      </c>
      <c r="D3634" s="5" t="s">
        <v>30</v>
      </c>
      <c r="E3634" t="s">
        <v>2097</v>
      </c>
      <c r="F3634" t="s">
        <v>2095</v>
      </c>
      <c r="G3634" t="s">
        <v>182</v>
      </c>
      <c r="H3634" t="s">
        <v>2098</v>
      </c>
      <c r="I3634" t="s">
        <v>119</v>
      </c>
      <c r="J3634" t="s">
        <v>36</v>
      </c>
      <c r="K3634">
        <v>990</v>
      </c>
      <c r="O3634" t="s">
        <v>176</v>
      </c>
      <c r="P3634" t="s">
        <v>45</v>
      </c>
      <c r="U3634" s="9" t="s">
        <v>148</v>
      </c>
      <c r="V3634" t="s">
        <v>164</v>
      </c>
      <c r="W3634" t="s">
        <v>178</v>
      </c>
      <c r="X3634" t="s">
        <v>102</v>
      </c>
      <c r="Y3634" t="s">
        <v>179</v>
      </c>
      <c r="Z3634" t="s">
        <v>41</v>
      </c>
      <c r="AB3634" t="str">
        <f t="shared" si="168"/>
        <v>53588</v>
      </c>
    </row>
    <row r="3635" ht="14.25" spans="1:28">
      <c r="A3635" s="5" t="s">
        <v>28</v>
      </c>
      <c r="B3635" s="5" t="s">
        <v>697</v>
      </c>
      <c r="C3635" s="5">
        <v>2027</v>
      </c>
      <c r="D3635" s="5" t="s">
        <v>30</v>
      </c>
      <c r="E3635" t="s">
        <v>2099</v>
      </c>
      <c r="F3635" t="s">
        <v>2100</v>
      </c>
      <c r="G3635" t="s">
        <v>182</v>
      </c>
      <c r="H3635" t="s">
        <v>2101</v>
      </c>
      <c r="I3635" t="s">
        <v>119</v>
      </c>
      <c r="J3635" t="s">
        <v>36</v>
      </c>
      <c r="K3635">
        <v>990</v>
      </c>
      <c r="O3635" t="s">
        <v>176</v>
      </c>
      <c r="P3635" t="s">
        <v>177</v>
      </c>
      <c r="R3635">
        <f t="shared" si="169"/>
        <v>0</v>
      </c>
      <c r="S3635">
        <f>SUMIFS([1]Sheet1!$T:$T,[1]Sheet1!$I:$I,E3635,[1]Sheet1!$C:$C,A3635)</f>
        <v>30</v>
      </c>
      <c r="T3635">
        <f t="shared" si="170"/>
        <v>-30</v>
      </c>
      <c r="U3635" s="9" t="s">
        <v>148</v>
      </c>
      <c r="V3635" t="s">
        <v>164</v>
      </c>
      <c r="W3635" t="s">
        <v>178</v>
      </c>
      <c r="X3635" t="s">
        <v>102</v>
      </c>
      <c r="Y3635" t="s">
        <v>179</v>
      </c>
      <c r="Z3635" t="s">
        <v>41</v>
      </c>
      <c r="AB3635" t="str">
        <f t="shared" ref="AB3635:AB3698" si="171">MID(E3635,6,5)</f>
        <v>53591</v>
      </c>
    </row>
    <row r="3636" ht="14.25" spans="1:28">
      <c r="A3636" s="5" t="s">
        <v>28</v>
      </c>
      <c r="B3636" s="5" t="s">
        <v>697</v>
      </c>
      <c r="C3636" s="5">
        <v>2027</v>
      </c>
      <c r="D3636" s="5" t="s">
        <v>30</v>
      </c>
      <c r="E3636" t="s">
        <v>2099</v>
      </c>
      <c r="F3636" t="s">
        <v>2100</v>
      </c>
      <c r="G3636" t="s">
        <v>182</v>
      </c>
      <c r="H3636" t="s">
        <v>2101</v>
      </c>
      <c r="I3636" t="s">
        <v>119</v>
      </c>
      <c r="J3636" t="s">
        <v>36</v>
      </c>
      <c r="K3636">
        <v>990</v>
      </c>
      <c r="O3636" t="s">
        <v>176</v>
      </c>
      <c r="P3636" t="s">
        <v>38</v>
      </c>
      <c r="U3636" s="9" t="s">
        <v>148</v>
      </c>
      <c r="V3636" t="s">
        <v>164</v>
      </c>
      <c r="W3636" t="s">
        <v>178</v>
      </c>
      <c r="X3636" t="s">
        <v>102</v>
      </c>
      <c r="Y3636" t="s">
        <v>179</v>
      </c>
      <c r="Z3636" t="s">
        <v>41</v>
      </c>
      <c r="AB3636" t="str">
        <f t="shared" si="171"/>
        <v>53591</v>
      </c>
    </row>
    <row r="3637" ht="14.25" spans="1:28">
      <c r="A3637" s="5" t="s">
        <v>28</v>
      </c>
      <c r="B3637" s="5" t="s">
        <v>697</v>
      </c>
      <c r="C3637" s="5">
        <v>2027</v>
      </c>
      <c r="D3637" s="5" t="s">
        <v>30</v>
      </c>
      <c r="E3637" t="s">
        <v>2099</v>
      </c>
      <c r="F3637" t="s">
        <v>2100</v>
      </c>
      <c r="G3637" t="s">
        <v>182</v>
      </c>
      <c r="H3637" t="s">
        <v>2101</v>
      </c>
      <c r="I3637" t="s">
        <v>119</v>
      </c>
      <c r="J3637" t="s">
        <v>36</v>
      </c>
      <c r="K3637">
        <v>990</v>
      </c>
      <c r="O3637" t="s">
        <v>176</v>
      </c>
      <c r="P3637" t="s">
        <v>42</v>
      </c>
      <c r="U3637" s="9" t="s">
        <v>148</v>
      </c>
      <c r="V3637" t="s">
        <v>164</v>
      </c>
      <c r="W3637" t="s">
        <v>178</v>
      </c>
      <c r="X3637" t="s">
        <v>102</v>
      </c>
      <c r="Y3637" t="s">
        <v>179</v>
      </c>
      <c r="Z3637" t="s">
        <v>41</v>
      </c>
      <c r="AB3637" t="str">
        <f t="shared" si="171"/>
        <v>53591</v>
      </c>
    </row>
    <row r="3638" ht="14.25" spans="1:28">
      <c r="A3638" s="5" t="s">
        <v>28</v>
      </c>
      <c r="B3638" s="5" t="s">
        <v>697</v>
      </c>
      <c r="C3638" s="5">
        <v>2027</v>
      </c>
      <c r="D3638" s="5" t="s">
        <v>30</v>
      </c>
      <c r="E3638" t="s">
        <v>2099</v>
      </c>
      <c r="F3638" t="s">
        <v>2100</v>
      </c>
      <c r="G3638" t="s">
        <v>182</v>
      </c>
      <c r="H3638" t="s">
        <v>2101</v>
      </c>
      <c r="I3638" t="s">
        <v>119</v>
      </c>
      <c r="J3638" t="s">
        <v>36</v>
      </c>
      <c r="K3638">
        <v>990</v>
      </c>
      <c r="O3638" t="s">
        <v>176</v>
      </c>
      <c r="P3638" t="s">
        <v>43</v>
      </c>
      <c r="U3638" s="9" t="s">
        <v>148</v>
      </c>
      <c r="V3638" t="s">
        <v>164</v>
      </c>
      <c r="W3638" t="s">
        <v>178</v>
      </c>
      <c r="X3638" t="s">
        <v>102</v>
      </c>
      <c r="Y3638" t="s">
        <v>179</v>
      </c>
      <c r="Z3638" t="s">
        <v>41</v>
      </c>
      <c r="AB3638" t="str">
        <f t="shared" si="171"/>
        <v>53591</v>
      </c>
    </row>
    <row r="3639" ht="14.25" spans="1:28">
      <c r="A3639" s="5" t="s">
        <v>28</v>
      </c>
      <c r="B3639" s="5" t="s">
        <v>697</v>
      </c>
      <c r="C3639" s="5">
        <v>2027</v>
      </c>
      <c r="D3639" s="5" t="s">
        <v>30</v>
      </c>
      <c r="E3639" t="s">
        <v>2099</v>
      </c>
      <c r="F3639" t="s">
        <v>2100</v>
      </c>
      <c r="G3639" t="s">
        <v>182</v>
      </c>
      <c r="H3639" t="s">
        <v>2101</v>
      </c>
      <c r="I3639" t="s">
        <v>119</v>
      </c>
      <c r="J3639" t="s">
        <v>36</v>
      </c>
      <c r="K3639">
        <v>990</v>
      </c>
      <c r="O3639" t="s">
        <v>176</v>
      </c>
      <c r="P3639" t="s">
        <v>44</v>
      </c>
      <c r="U3639" s="9" t="s">
        <v>148</v>
      </c>
      <c r="V3639" t="s">
        <v>164</v>
      </c>
      <c r="W3639" t="s">
        <v>178</v>
      </c>
      <c r="X3639" t="s">
        <v>102</v>
      </c>
      <c r="Y3639" t="s">
        <v>179</v>
      </c>
      <c r="Z3639" t="s">
        <v>41</v>
      </c>
      <c r="AB3639" t="str">
        <f t="shared" si="171"/>
        <v>53591</v>
      </c>
    </row>
    <row r="3640" ht="14.25" spans="1:28">
      <c r="A3640" s="5" t="s">
        <v>28</v>
      </c>
      <c r="B3640" s="5" t="s">
        <v>697</v>
      </c>
      <c r="C3640" s="5">
        <v>2027</v>
      </c>
      <c r="D3640" s="5" t="s">
        <v>30</v>
      </c>
      <c r="E3640" t="s">
        <v>2099</v>
      </c>
      <c r="F3640" t="s">
        <v>2100</v>
      </c>
      <c r="G3640" t="s">
        <v>182</v>
      </c>
      <c r="H3640" t="s">
        <v>2101</v>
      </c>
      <c r="I3640" t="s">
        <v>119</v>
      </c>
      <c r="J3640" t="s">
        <v>36</v>
      </c>
      <c r="K3640">
        <v>990</v>
      </c>
      <c r="O3640" t="s">
        <v>176</v>
      </c>
      <c r="P3640" t="s">
        <v>45</v>
      </c>
      <c r="U3640" s="9" t="s">
        <v>148</v>
      </c>
      <c r="V3640" t="s">
        <v>164</v>
      </c>
      <c r="W3640" t="s">
        <v>178</v>
      </c>
      <c r="X3640" t="s">
        <v>102</v>
      </c>
      <c r="Y3640" t="s">
        <v>179</v>
      </c>
      <c r="Z3640" t="s">
        <v>41</v>
      </c>
      <c r="AB3640" t="str">
        <f t="shared" si="171"/>
        <v>53591</v>
      </c>
    </row>
    <row r="3641" ht="14.25" spans="1:28">
      <c r="A3641" s="5" t="s">
        <v>28</v>
      </c>
      <c r="B3641" s="5" t="s">
        <v>697</v>
      </c>
      <c r="C3641" s="5">
        <v>2027</v>
      </c>
      <c r="D3641" s="5" t="s">
        <v>30</v>
      </c>
      <c r="E3641" t="s">
        <v>2102</v>
      </c>
      <c r="F3641" t="s">
        <v>2100</v>
      </c>
      <c r="G3641" t="s">
        <v>189</v>
      </c>
      <c r="H3641" t="s">
        <v>2103</v>
      </c>
      <c r="I3641" t="s">
        <v>119</v>
      </c>
      <c r="J3641" t="s">
        <v>36</v>
      </c>
      <c r="K3641">
        <v>990</v>
      </c>
      <c r="O3641" t="s">
        <v>176</v>
      </c>
      <c r="P3641" t="s">
        <v>177</v>
      </c>
      <c r="R3641">
        <f t="shared" si="169"/>
        <v>0</v>
      </c>
      <c r="S3641">
        <f>SUMIFS([1]Sheet1!$T:$T,[1]Sheet1!$I:$I,E3641,[1]Sheet1!$C:$C,A3641)</f>
        <v>40</v>
      </c>
      <c r="T3641">
        <f t="shared" si="170"/>
        <v>-40</v>
      </c>
      <c r="U3641" s="9" t="s">
        <v>148</v>
      </c>
      <c r="V3641" t="s">
        <v>164</v>
      </c>
      <c r="W3641" t="s">
        <v>178</v>
      </c>
      <c r="X3641" t="s">
        <v>191</v>
      </c>
      <c r="Y3641" t="s">
        <v>179</v>
      </c>
      <c r="Z3641" t="s">
        <v>41</v>
      </c>
      <c r="AB3641" t="str">
        <f t="shared" si="171"/>
        <v>53591</v>
      </c>
    </row>
    <row r="3642" ht="14.25" spans="1:28">
      <c r="A3642" s="5" t="s">
        <v>28</v>
      </c>
      <c r="B3642" s="5" t="s">
        <v>697</v>
      </c>
      <c r="C3642" s="5">
        <v>2027</v>
      </c>
      <c r="D3642" s="5" t="s">
        <v>30</v>
      </c>
      <c r="E3642" t="s">
        <v>2102</v>
      </c>
      <c r="F3642" t="s">
        <v>2100</v>
      </c>
      <c r="G3642" t="s">
        <v>189</v>
      </c>
      <c r="H3642" t="s">
        <v>2103</v>
      </c>
      <c r="I3642" t="s">
        <v>119</v>
      </c>
      <c r="J3642" t="s">
        <v>36</v>
      </c>
      <c r="K3642">
        <v>990</v>
      </c>
      <c r="O3642" t="s">
        <v>176</v>
      </c>
      <c r="P3642" t="s">
        <v>38</v>
      </c>
      <c r="U3642" s="9" t="s">
        <v>148</v>
      </c>
      <c r="V3642" t="s">
        <v>164</v>
      </c>
      <c r="W3642" t="s">
        <v>178</v>
      </c>
      <c r="X3642" t="s">
        <v>191</v>
      </c>
      <c r="Y3642" t="s">
        <v>179</v>
      </c>
      <c r="Z3642" t="s">
        <v>41</v>
      </c>
      <c r="AB3642" t="str">
        <f t="shared" si="171"/>
        <v>53591</v>
      </c>
    </row>
    <row r="3643" ht="14.25" spans="1:28">
      <c r="A3643" s="5" t="s">
        <v>28</v>
      </c>
      <c r="B3643" s="5" t="s">
        <v>697</v>
      </c>
      <c r="C3643" s="5">
        <v>2027</v>
      </c>
      <c r="D3643" s="5" t="s">
        <v>30</v>
      </c>
      <c r="E3643" t="s">
        <v>2102</v>
      </c>
      <c r="F3643" t="s">
        <v>2100</v>
      </c>
      <c r="G3643" t="s">
        <v>189</v>
      </c>
      <c r="H3643" t="s">
        <v>2103</v>
      </c>
      <c r="I3643" t="s">
        <v>119</v>
      </c>
      <c r="J3643" t="s">
        <v>36</v>
      </c>
      <c r="K3643">
        <v>990</v>
      </c>
      <c r="O3643" t="s">
        <v>176</v>
      </c>
      <c r="P3643" t="s">
        <v>42</v>
      </c>
      <c r="U3643" s="9" t="s">
        <v>148</v>
      </c>
      <c r="V3643" t="s">
        <v>164</v>
      </c>
      <c r="W3643" t="s">
        <v>178</v>
      </c>
      <c r="X3643" t="s">
        <v>191</v>
      </c>
      <c r="Y3643" t="s">
        <v>179</v>
      </c>
      <c r="Z3643" t="s">
        <v>41</v>
      </c>
      <c r="AB3643" t="str">
        <f t="shared" si="171"/>
        <v>53591</v>
      </c>
    </row>
    <row r="3644" ht="14.25" spans="1:28">
      <c r="A3644" s="5" t="s">
        <v>28</v>
      </c>
      <c r="B3644" s="5" t="s">
        <v>697</v>
      </c>
      <c r="C3644" s="5">
        <v>2027</v>
      </c>
      <c r="D3644" s="5" t="s">
        <v>30</v>
      </c>
      <c r="E3644" t="s">
        <v>2102</v>
      </c>
      <c r="F3644" t="s">
        <v>2100</v>
      </c>
      <c r="G3644" t="s">
        <v>189</v>
      </c>
      <c r="H3644" t="s">
        <v>2103</v>
      </c>
      <c r="I3644" t="s">
        <v>119</v>
      </c>
      <c r="J3644" t="s">
        <v>36</v>
      </c>
      <c r="K3644">
        <v>990</v>
      </c>
      <c r="O3644" t="s">
        <v>176</v>
      </c>
      <c r="P3644" t="s">
        <v>43</v>
      </c>
      <c r="U3644" s="9" t="s">
        <v>148</v>
      </c>
      <c r="V3644" t="s">
        <v>164</v>
      </c>
      <c r="W3644" t="s">
        <v>178</v>
      </c>
      <c r="X3644" t="s">
        <v>191</v>
      </c>
      <c r="Y3644" t="s">
        <v>179</v>
      </c>
      <c r="Z3644" t="s">
        <v>41</v>
      </c>
      <c r="AB3644" t="str">
        <f t="shared" si="171"/>
        <v>53591</v>
      </c>
    </row>
    <row r="3645" ht="14.25" spans="1:28">
      <c r="A3645" s="5" t="s">
        <v>28</v>
      </c>
      <c r="B3645" s="5" t="s">
        <v>697</v>
      </c>
      <c r="C3645" s="5">
        <v>2027</v>
      </c>
      <c r="D3645" s="5" t="s">
        <v>30</v>
      </c>
      <c r="E3645" t="s">
        <v>2102</v>
      </c>
      <c r="F3645" t="s">
        <v>2100</v>
      </c>
      <c r="G3645" t="s">
        <v>189</v>
      </c>
      <c r="H3645" t="s">
        <v>2103</v>
      </c>
      <c r="I3645" t="s">
        <v>119</v>
      </c>
      <c r="J3645" t="s">
        <v>36</v>
      </c>
      <c r="K3645">
        <v>990</v>
      </c>
      <c r="O3645" t="s">
        <v>176</v>
      </c>
      <c r="P3645" t="s">
        <v>44</v>
      </c>
      <c r="U3645" s="9" t="s">
        <v>148</v>
      </c>
      <c r="V3645" t="s">
        <v>164</v>
      </c>
      <c r="W3645" t="s">
        <v>178</v>
      </c>
      <c r="X3645" t="s">
        <v>191</v>
      </c>
      <c r="Y3645" t="s">
        <v>179</v>
      </c>
      <c r="Z3645" t="s">
        <v>41</v>
      </c>
      <c r="AB3645" t="str">
        <f t="shared" si="171"/>
        <v>53591</v>
      </c>
    </row>
    <row r="3646" ht="14.25" spans="1:28">
      <c r="A3646" s="5" t="s">
        <v>28</v>
      </c>
      <c r="B3646" s="5" t="s">
        <v>697</v>
      </c>
      <c r="C3646" s="5">
        <v>2027</v>
      </c>
      <c r="D3646" s="5" t="s">
        <v>30</v>
      </c>
      <c r="E3646" t="s">
        <v>2102</v>
      </c>
      <c r="F3646" t="s">
        <v>2100</v>
      </c>
      <c r="G3646" t="s">
        <v>189</v>
      </c>
      <c r="H3646" t="s">
        <v>2103</v>
      </c>
      <c r="I3646" t="s">
        <v>119</v>
      </c>
      <c r="J3646" t="s">
        <v>36</v>
      </c>
      <c r="K3646">
        <v>990</v>
      </c>
      <c r="O3646" t="s">
        <v>176</v>
      </c>
      <c r="P3646" t="s">
        <v>45</v>
      </c>
      <c r="U3646" s="9" t="s">
        <v>148</v>
      </c>
      <c r="V3646" t="s">
        <v>164</v>
      </c>
      <c r="W3646" t="s">
        <v>178</v>
      </c>
      <c r="X3646" t="s">
        <v>191</v>
      </c>
      <c r="Y3646" t="s">
        <v>179</v>
      </c>
      <c r="Z3646" t="s">
        <v>41</v>
      </c>
      <c r="AB3646" t="str">
        <f t="shared" si="171"/>
        <v>53591</v>
      </c>
    </row>
    <row r="3647" ht="14.25" spans="1:28">
      <c r="A3647" s="5" t="s">
        <v>28</v>
      </c>
      <c r="B3647" s="5" t="s">
        <v>697</v>
      </c>
      <c r="C3647" s="5">
        <v>2027</v>
      </c>
      <c r="D3647" s="5" t="s">
        <v>30</v>
      </c>
      <c r="E3647" t="s">
        <v>2104</v>
      </c>
      <c r="F3647" t="s">
        <v>2105</v>
      </c>
      <c r="G3647" t="s">
        <v>2051</v>
      </c>
      <c r="H3647" t="s">
        <v>2106</v>
      </c>
      <c r="I3647" t="s">
        <v>119</v>
      </c>
      <c r="J3647" t="s">
        <v>36</v>
      </c>
      <c r="K3647">
        <v>990</v>
      </c>
      <c r="O3647" t="s">
        <v>176</v>
      </c>
      <c r="P3647" t="s">
        <v>177</v>
      </c>
      <c r="R3647">
        <f t="shared" si="169"/>
        <v>0</v>
      </c>
      <c r="S3647">
        <f>SUMIFS([1]Sheet1!$T:$T,[1]Sheet1!$I:$I,E3647,[1]Sheet1!$C:$C,A3647)</f>
        <v>0</v>
      </c>
      <c r="T3647">
        <f t="shared" si="170"/>
        <v>0</v>
      </c>
      <c r="U3647" s="9" t="s">
        <v>148</v>
      </c>
      <c r="V3647" t="s">
        <v>164</v>
      </c>
      <c r="W3647" t="s">
        <v>178</v>
      </c>
      <c r="X3647" t="s">
        <v>191</v>
      </c>
      <c r="Y3647" t="s">
        <v>179</v>
      </c>
      <c r="Z3647" t="s">
        <v>247</v>
      </c>
      <c r="AB3647" t="str">
        <f t="shared" si="171"/>
        <v>53593</v>
      </c>
    </row>
    <row r="3648" ht="14.25" spans="1:28">
      <c r="A3648" s="5" t="s">
        <v>28</v>
      </c>
      <c r="B3648" s="5" t="s">
        <v>697</v>
      </c>
      <c r="C3648" s="5">
        <v>2027</v>
      </c>
      <c r="D3648" s="5" t="s">
        <v>30</v>
      </c>
      <c r="E3648" t="s">
        <v>2104</v>
      </c>
      <c r="F3648" t="s">
        <v>2105</v>
      </c>
      <c r="G3648" t="s">
        <v>2051</v>
      </c>
      <c r="H3648" t="s">
        <v>2106</v>
      </c>
      <c r="I3648" t="s">
        <v>119</v>
      </c>
      <c r="J3648" t="s">
        <v>36</v>
      </c>
      <c r="K3648">
        <v>990</v>
      </c>
      <c r="O3648" t="s">
        <v>176</v>
      </c>
      <c r="P3648" t="s">
        <v>38</v>
      </c>
      <c r="U3648" s="9" t="s">
        <v>148</v>
      </c>
      <c r="V3648" t="s">
        <v>164</v>
      </c>
      <c r="W3648" t="s">
        <v>178</v>
      </c>
      <c r="X3648" t="s">
        <v>191</v>
      </c>
      <c r="Y3648" t="s">
        <v>179</v>
      </c>
      <c r="Z3648" t="s">
        <v>247</v>
      </c>
      <c r="AB3648" t="str">
        <f t="shared" si="171"/>
        <v>53593</v>
      </c>
    </row>
    <row r="3649" ht="14.25" spans="1:28">
      <c r="A3649" s="5" t="s">
        <v>28</v>
      </c>
      <c r="B3649" s="5" t="s">
        <v>697</v>
      </c>
      <c r="C3649" s="5">
        <v>2027</v>
      </c>
      <c r="D3649" s="5" t="s">
        <v>30</v>
      </c>
      <c r="E3649" t="s">
        <v>2104</v>
      </c>
      <c r="F3649" t="s">
        <v>2105</v>
      </c>
      <c r="G3649" t="s">
        <v>2051</v>
      </c>
      <c r="H3649" t="s">
        <v>2106</v>
      </c>
      <c r="I3649" t="s">
        <v>119</v>
      </c>
      <c r="J3649" t="s">
        <v>36</v>
      </c>
      <c r="K3649">
        <v>990</v>
      </c>
      <c r="O3649" t="s">
        <v>176</v>
      </c>
      <c r="P3649" t="s">
        <v>42</v>
      </c>
      <c r="U3649" s="9" t="s">
        <v>148</v>
      </c>
      <c r="V3649" t="s">
        <v>164</v>
      </c>
      <c r="W3649" t="s">
        <v>178</v>
      </c>
      <c r="X3649" t="s">
        <v>191</v>
      </c>
      <c r="Y3649" t="s">
        <v>179</v>
      </c>
      <c r="Z3649" t="s">
        <v>247</v>
      </c>
      <c r="AB3649" t="str">
        <f t="shared" si="171"/>
        <v>53593</v>
      </c>
    </row>
    <row r="3650" ht="14.25" spans="1:28">
      <c r="A3650" s="5" t="s">
        <v>28</v>
      </c>
      <c r="B3650" s="5" t="s">
        <v>697</v>
      </c>
      <c r="C3650" s="5">
        <v>2027</v>
      </c>
      <c r="D3650" s="5" t="s">
        <v>30</v>
      </c>
      <c r="E3650" t="s">
        <v>2104</v>
      </c>
      <c r="F3650" t="s">
        <v>2105</v>
      </c>
      <c r="G3650" t="s">
        <v>2051</v>
      </c>
      <c r="H3650" t="s">
        <v>2106</v>
      </c>
      <c r="I3650" t="s">
        <v>119</v>
      </c>
      <c r="J3650" t="s">
        <v>36</v>
      </c>
      <c r="K3650">
        <v>990</v>
      </c>
      <c r="O3650" t="s">
        <v>176</v>
      </c>
      <c r="P3650" t="s">
        <v>43</v>
      </c>
      <c r="U3650" s="9" t="s">
        <v>148</v>
      </c>
      <c r="V3650" t="s">
        <v>164</v>
      </c>
      <c r="W3650" t="s">
        <v>178</v>
      </c>
      <c r="X3650" t="s">
        <v>191</v>
      </c>
      <c r="Y3650" t="s">
        <v>179</v>
      </c>
      <c r="Z3650" t="s">
        <v>247</v>
      </c>
      <c r="AB3650" t="str">
        <f t="shared" si="171"/>
        <v>53593</v>
      </c>
    </row>
    <row r="3651" ht="14.25" spans="1:28">
      <c r="A3651" s="5" t="s">
        <v>28</v>
      </c>
      <c r="B3651" s="5" t="s">
        <v>697</v>
      </c>
      <c r="C3651" s="5">
        <v>2027</v>
      </c>
      <c r="D3651" s="5" t="s">
        <v>30</v>
      </c>
      <c r="E3651" t="s">
        <v>2104</v>
      </c>
      <c r="F3651" t="s">
        <v>2105</v>
      </c>
      <c r="G3651" t="s">
        <v>2051</v>
      </c>
      <c r="H3651" t="s">
        <v>2106</v>
      </c>
      <c r="I3651" t="s">
        <v>119</v>
      </c>
      <c r="J3651" t="s">
        <v>36</v>
      </c>
      <c r="K3651">
        <v>990</v>
      </c>
      <c r="O3651" t="s">
        <v>176</v>
      </c>
      <c r="P3651" t="s">
        <v>44</v>
      </c>
      <c r="U3651" s="9" t="s">
        <v>148</v>
      </c>
      <c r="V3651" t="s">
        <v>164</v>
      </c>
      <c r="W3651" t="s">
        <v>178</v>
      </c>
      <c r="X3651" t="s">
        <v>191</v>
      </c>
      <c r="Y3651" t="s">
        <v>179</v>
      </c>
      <c r="Z3651" t="s">
        <v>247</v>
      </c>
      <c r="AB3651" t="str">
        <f t="shared" si="171"/>
        <v>53593</v>
      </c>
    </row>
    <row r="3652" ht="14.25" spans="1:28">
      <c r="A3652" s="5" t="s">
        <v>28</v>
      </c>
      <c r="B3652" s="5" t="s">
        <v>697</v>
      </c>
      <c r="C3652" s="5">
        <v>2027</v>
      </c>
      <c r="D3652" s="5" t="s">
        <v>30</v>
      </c>
      <c r="E3652" t="s">
        <v>2104</v>
      </c>
      <c r="F3652" t="s">
        <v>2105</v>
      </c>
      <c r="G3652" t="s">
        <v>2051</v>
      </c>
      <c r="H3652" t="s">
        <v>2106</v>
      </c>
      <c r="I3652" t="s">
        <v>119</v>
      </c>
      <c r="J3652" t="s">
        <v>36</v>
      </c>
      <c r="K3652">
        <v>990</v>
      </c>
      <c r="O3652" t="s">
        <v>176</v>
      </c>
      <c r="P3652" t="s">
        <v>45</v>
      </c>
      <c r="U3652" s="9" t="s">
        <v>148</v>
      </c>
      <c r="V3652" t="s">
        <v>164</v>
      </c>
      <c r="W3652" t="s">
        <v>178</v>
      </c>
      <c r="X3652" t="s">
        <v>191</v>
      </c>
      <c r="Y3652" t="s">
        <v>179</v>
      </c>
      <c r="Z3652" t="s">
        <v>247</v>
      </c>
      <c r="AB3652" t="str">
        <f t="shared" si="171"/>
        <v>53593</v>
      </c>
    </row>
    <row r="3653" ht="14.25" spans="1:28">
      <c r="A3653" s="5" t="s">
        <v>28</v>
      </c>
      <c r="B3653" s="5" t="s">
        <v>697</v>
      </c>
      <c r="C3653" s="5">
        <v>2027</v>
      </c>
      <c r="D3653" s="5" t="s">
        <v>30</v>
      </c>
      <c r="E3653" t="s">
        <v>2107</v>
      </c>
      <c r="F3653" t="s">
        <v>2105</v>
      </c>
      <c r="G3653" t="s">
        <v>189</v>
      </c>
      <c r="H3653" t="s">
        <v>2108</v>
      </c>
      <c r="I3653" t="s">
        <v>147</v>
      </c>
      <c r="J3653" t="s">
        <v>36</v>
      </c>
      <c r="K3653">
        <v>990</v>
      </c>
      <c r="O3653" t="s">
        <v>176</v>
      </c>
      <c r="P3653" t="s">
        <v>177</v>
      </c>
      <c r="R3653">
        <f t="shared" ref="R3650:R3713" si="172">SUMIFS(Q:Q,E:E,E3653)</f>
        <v>0</v>
      </c>
      <c r="S3653">
        <f>SUMIFS([1]Sheet1!$T:$T,[1]Sheet1!$I:$I,E3653,[1]Sheet1!$C:$C,A3653)</f>
        <v>0</v>
      </c>
      <c r="T3653">
        <f t="shared" ref="T3650:T3713" si="173">R3653-S3653</f>
        <v>0</v>
      </c>
      <c r="U3653" s="9" t="s">
        <v>148</v>
      </c>
      <c r="V3653" t="s">
        <v>164</v>
      </c>
      <c r="W3653" t="s">
        <v>178</v>
      </c>
      <c r="X3653" t="s">
        <v>191</v>
      </c>
      <c r="Y3653" t="s">
        <v>179</v>
      </c>
      <c r="Z3653" t="s">
        <v>247</v>
      </c>
      <c r="AB3653" t="str">
        <f t="shared" si="171"/>
        <v>53593</v>
      </c>
    </row>
    <row r="3654" ht="14.25" spans="1:28">
      <c r="A3654" s="5" t="s">
        <v>28</v>
      </c>
      <c r="B3654" s="5" t="s">
        <v>697</v>
      </c>
      <c r="C3654" s="5">
        <v>2027</v>
      </c>
      <c r="D3654" s="5" t="s">
        <v>30</v>
      </c>
      <c r="E3654" t="s">
        <v>2107</v>
      </c>
      <c r="F3654" t="s">
        <v>2105</v>
      </c>
      <c r="G3654" t="s">
        <v>189</v>
      </c>
      <c r="H3654" t="s">
        <v>2108</v>
      </c>
      <c r="I3654" t="s">
        <v>147</v>
      </c>
      <c r="J3654" t="s">
        <v>36</v>
      </c>
      <c r="K3654">
        <v>990</v>
      </c>
      <c r="O3654" t="s">
        <v>176</v>
      </c>
      <c r="P3654" t="s">
        <v>38</v>
      </c>
      <c r="U3654" s="9" t="s">
        <v>148</v>
      </c>
      <c r="V3654" t="s">
        <v>164</v>
      </c>
      <c r="W3654" t="s">
        <v>178</v>
      </c>
      <c r="X3654" t="s">
        <v>191</v>
      </c>
      <c r="Y3654" t="s">
        <v>179</v>
      </c>
      <c r="Z3654" t="s">
        <v>247</v>
      </c>
      <c r="AB3654" t="str">
        <f t="shared" si="171"/>
        <v>53593</v>
      </c>
    </row>
    <row r="3655" ht="14.25" spans="1:28">
      <c r="A3655" s="5" t="s">
        <v>28</v>
      </c>
      <c r="B3655" s="5" t="s">
        <v>697</v>
      </c>
      <c r="C3655" s="5">
        <v>2027</v>
      </c>
      <c r="D3655" s="5" t="s">
        <v>30</v>
      </c>
      <c r="E3655" t="s">
        <v>2107</v>
      </c>
      <c r="F3655" t="s">
        <v>2105</v>
      </c>
      <c r="G3655" t="s">
        <v>189</v>
      </c>
      <c r="H3655" t="s">
        <v>2108</v>
      </c>
      <c r="I3655" t="s">
        <v>147</v>
      </c>
      <c r="J3655" t="s">
        <v>36</v>
      </c>
      <c r="K3655">
        <v>990</v>
      </c>
      <c r="O3655" t="s">
        <v>176</v>
      </c>
      <c r="P3655" t="s">
        <v>42</v>
      </c>
      <c r="U3655" s="9" t="s">
        <v>148</v>
      </c>
      <c r="V3655" t="s">
        <v>164</v>
      </c>
      <c r="W3655" t="s">
        <v>178</v>
      </c>
      <c r="X3655" t="s">
        <v>191</v>
      </c>
      <c r="Y3655" t="s">
        <v>179</v>
      </c>
      <c r="Z3655" t="s">
        <v>247</v>
      </c>
      <c r="AB3655" t="str">
        <f t="shared" si="171"/>
        <v>53593</v>
      </c>
    </row>
    <row r="3656" ht="14.25" spans="1:28">
      <c r="A3656" s="5" t="s">
        <v>28</v>
      </c>
      <c r="B3656" s="5" t="s">
        <v>697</v>
      </c>
      <c r="C3656" s="5">
        <v>2027</v>
      </c>
      <c r="D3656" s="5" t="s">
        <v>30</v>
      </c>
      <c r="E3656" t="s">
        <v>2107</v>
      </c>
      <c r="F3656" t="s">
        <v>2105</v>
      </c>
      <c r="G3656" t="s">
        <v>189</v>
      </c>
      <c r="H3656" t="s">
        <v>2108</v>
      </c>
      <c r="I3656" t="s">
        <v>147</v>
      </c>
      <c r="J3656" t="s">
        <v>36</v>
      </c>
      <c r="K3656">
        <v>990</v>
      </c>
      <c r="O3656" t="s">
        <v>176</v>
      </c>
      <c r="P3656" t="s">
        <v>43</v>
      </c>
      <c r="U3656" s="9" t="s">
        <v>148</v>
      </c>
      <c r="V3656" t="s">
        <v>164</v>
      </c>
      <c r="W3656" t="s">
        <v>178</v>
      </c>
      <c r="X3656" t="s">
        <v>191</v>
      </c>
      <c r="Y3656" t="s">
        <v>179</v>
      </c>
      <c r="Z3656" t="s">
        <v>247</v>
      </c>
      <c r="AB3656" t="str">
        <f t="shared" si="171"/>
        <v>53593</v>
      </c>
    </row>
    <row r="3657" ht="14.25" spans="1:28">
      <c r="A3657" s="5" t="s">
        <v>28</v>
      </c>
      <c r="B3657" s="5" t="s">
        <v>697</v>
      </c>
      <c r="C3657" s="5">
        <v>2027</v>
      </c>
      <c r="D3657" s="5" t="s">
        <v>30</v>
      </c>
      <c r="E3657" t="s">
        <v>2107</v>
      </c>
      <c r="F3657" t="s">
        <v>2105</v>
      </c>
      <c r="G3657" t="s">
        <v>189</v>
      </c>
      <c r="H3657" t="s">
        <v>2108</v>
      </c>
      <c r="I3657" t="s">
        <v>147</v>
      </c>
      <c r="J3657" t="s">
        <v>36</v>
      </c>
      <c r="K3657">
        <v>990</v>
      </c>
      <c r="O3657" t="s">
        <v>176</v>
      </c>
      <c r="P3657" t="s">
        <v>44</v>
      </c>
      <c r="U3657" s="9" t="s">
        <v>148</v>
      </c>
      <c r="V3657" t="s">
        <v>164</v>
      </c>
      <c r="W3657" t="s">
        <v>178</v>
      </c>
      <c r="X3657" t="s">
        <v>191</v>
      </c>
      <c r="Y3657" t="s">
        <v>179</v>
      </c>
      <c r="Z3657" t="s">
        <v>247</v>
      </c>
      <c r="AB3657" t="str">
        <f t="shared" si="171"/>
        <v>53593</v>
      </c>
    </row>
    <row r="3658" ht="14.25" spans="1:28">
      <c r="A3658" s="5" t="s">
        <v>28</v>
      </c>
      <c r="B3658" s="5" t="s">
        <v>697</v>
      </c>
      <c r="C3658" s="5">
        <v>2027</v>
      </c>
      <c r="D3658" s="5" t="s">
        <v>30</v>
      </c>
      <c r="E3658" t="s">
        <v>2107</v>
      </c>
      <c r="F3658" t="s">
        <v>2105</v>
      </c>
      <c r="G3658" t="s">
        <v>189</v>
      </c>
      <c r="H3658" t="s">
        <v>2108</v>
      </c>
      <c r="I3658" t="s">
        <v>147</v>
      </c>
      <c r="J3658" t="s">
        <v>36</v>
      </c>
      <c r="K3658">
        <v>990</v>
      </c>
      <c r="O3658" t="s">
        <v>176</v>
      </c>
      <c r="P3658" t="s">
        <v>45</v>
      </c>
      <c r="U3658" s="9" t="s">
        <v>148</v>
      </c>
      <c r="V3658" t="s">
        <v>164</v>
      </c>
      <c r="W3658" t="s">
        <v>178</v>
      </c>
      <c r="X3658" t="s">
        <v>191</v>
      </c>
      <c r="Y3658" t="s">
        <v>179</v>
      </c>
      <c r="Z3658" t="s">
        <v>247</v>
      </c>
      <c r="AB3658" t="str">
        <f t="shared" si="171"/>
        <v>53593</v>
      </c>
    </row>
    <row r="3659" ht="14.25" spans="1:28">
      <c r="A3659" s="5" t="s">
        <v>28</v>
      </c>
      <c r="B3659" s="5" t="s">
        <v>697</v>
      </c>
      <c r="C3659" s="5">
        <v>2027</v>
      </c>
      <c r="D3659" s="5" t="s">
        <v>30</v>
      </c>
      <c r="E3659" t="s">
        <v>2109</v>
      </c>
      <c r="F3659" t="s">
        <v>2110</v>
      </c>
      <c r="G3659" t="s">
        <v>2111</v>
      </c>
      <c r="H3659" t="s">
        <v>2112</v>
      </c>
      <c r="I3659" t="s">
        <v>147</v>
      </c>
      <c r="J3659" t="s">
        <v>36</v>
      </c>
      <c r="K3659">
        <v>1590</v>
      </c>
      <c r="O3659" t="s">
        <v>176</v>
      </c>
      <c r="P3659" t="s">
        <v>177</v>
      </c>
      <c r="R3659">
        <f t="shared" si="172"/>
        <v>0</v>
      </c>
      <c r="S3659">
        <f>SUMIFS([1]Sheet1!$T:$T,[1]Sheet1!$I:$I,E3659,[1]Sheet1!$C:$C,A3659)</f>
        <v>100</v>
      </c>
      <c r="T3659">
        <f t="shared" si="173"/>
        <v>-100</v>
      </c>
      <c r="U3659" s="9" t="s">
        <v>148</v>
      </c>
      <c r="V3659" t="s">
        <v>184</v>
      </c>
      <c r="W3659" t="s">
        <v>178</v>
      </c>
      <c r="X3659" t="s">
        <v>102</v>
      </c>
      <c r="Y3659" t="s">
        <v>179</v>
      </c>
      <c r="Z3659" t="s">
        <v>247</v>
      </c>
      <c r="AB3659" t="str">
        <f t="shared" si="171"/>
        <v>53614</v>
      </c>
    </row>
    <row r="3660" ht="14.25" spans="1:28">
      <c r="A3660" s="5" t="s">
        <v>28</v>
      </c>
      <c r="B3660" s="5" t="s">
        <v>697</v>
      </c>
      <c r="C3660" s="5">
        <v>2027</v>
      </c>
      <c r="D3660" s="5" t="s">
        <v>30</v>
      </c>
      <c r="E3660" t="s">
        <v>2109</v>
      </c>
      <c r="F3660" t="s">
        <v>2110</v>
      </c>
      <c r="G3660" t="s">
        <v>2111</v>
      </c>
      <c r="H3660" t="s">
        <v>2112</v>
      </c>
      <c r="I3660" t="s">
        <v>147</v>
      </c>
      <c r="J3660" t="s">
        <v>36</v>
      </c>
      <c r="K3660">
        <v>1590</v>
      </c>
      <c r="O3660" t="s">
        <v>176</v>
      </c>
      <c r="P3660" t="s">
        <v>38</v>
      </c>
      <c r="U3660" s="9" t="s">
        <v>148</v>
      </c>
      <c r="V3660" t="s">
        <v>184</v>
      </c>
      <c r="W3660" t="s">
        <v>178</v>
      </c>
      <c r="X3660" t="s">
        <v>102</v>
      </c>
      <c r="Y3660" t="s">
        <v>179</v>
      </c>
      <c r="Z3660" t="s">
        <v>247</v>
      </c>
      <c r="AB3660" t="str">
        <f t="shared" si="171"/>
        <v>53614</v>
      </c>
    </row>
    <row r="3661" ht="14.25" spans="1:28">
      <c r="A3661" s="5" t="s">
        <v>28</v>
      </c>
      <c r="B3661" s="5" t="s">
        <v>697</v>
      </c>
      <c r="C3661" s="5">
        <v>2027</v>
      </c>
      <c r="D3661" s="5" t="s">
        <v>30</v>
      </c>
      <c r="E3661" t="s">
        <v>2109</v>
      </c>
      <c r="F3661" t="s">
        <v>2110</v>
      </c>
      <c r="G3661" t="s">
        <v>2111</v>
      </c>
      <c r="H3661" t="s">
        <v>2112</v>
      </c>
      <c r="I3661" t="s">
        <v>147</v>
      </c>
      <c r="J3661" t="s">
        <v>36</v>
      </c>
      <c r="K3661">
        <v>1590</v>
      </c>
      <c r="O3661" t="s">
        <v>176</v>
      </c>
      <c r="P3661" t="s">
        <v>42</v>
      </c>
      <c r="U3661" s="9" t="s">
        <v>148</v>
      </c>
      <c r="V3661" t="s">
        <v>184</v>
      </c>
      <c r="W3661" t="s">
        <v>178</v>
      </c>
      <c r="X3661" t="s">
        <v>102</v>
      </c>
      <c r="Y3661" t="s">
        <v>179</v>
      </c>
      <c r="Z3661" t="s">
        <v>247</v>
      </c>
      <c r="AB3661" t="str">
        <f t="shared" si="171"/>
        <v>53614</v>
      </c>
    </row>
    <row r="3662" ht="14.25" spans="1:28">
      <c r="A3662" s="5" t="s">
        <v>28</v>
      </c>
      <c r="B3662" s="5" t="s">
        <v>697</v>
      </c>
      <c r="C3662" s="5">
        <v>2027</v>
      </c>
      <c r="D3662" s="5" t="s">
        <v>30</v>
      </c>
      <c r="E3662" t="s">
        <v>2109</v>
      </c>
      <c r="F3662" t="s">
        <v>2110</v>
      </c>
      <c r="G3662" t="s">
        <v>2111</v>
      </c>
      <c r="H3662" t="s">
        <v>2112</v>
      </c>
      <c r="I3662" t="s">
        <v>147</v>
      </c>
      <c r="J3662" t="s">
        <v>36</v>
      </c>
      <c r="K3662">
        <v>1590</v>
      </c>
      <c r="O3662" t="s">
        <v>176</v>
      </c>
      <c r="P3662" t="s">
        <v>43</v>
      </c>
      <c r="U3662" s="9" t="s">
        <v>148</v>
      </c>
      <c r="V3662" t="s">
        <v>184</v>
      </c>
      <c r="W3662" t="s">
        <v>178</v>
      </c>
      <c r="X3662" t="s">
        <v>102</v>
      </c>
      <c r="Y3662" t="s">
        <v>179</v>
      </c>
      <c r="Z3662" t="s">
        <v>247</v>
      </c>
      <c r="AB3662" t="str">
        <f t="shared" si="171"/>
        <v>53614</v>
      </c>
    </row>
    <row r="3663" ht="14.25" spans="1:28">
      <c r="A3663" s="5" t="s">
        <v>28</v>
      </c>
      <c r="B3663" s="5" t="s">
        <v>697</v>
      </c>
      <c r="C3663" s="5">
        <v>2027</v>
      </c>
      <c r="D3663" s="5" t="s">
        <v>30</v>
      </c>
      <c r="E3663" t="s">
        <v>2109</v>
      </c>
      <c r="F3663" t="s">
        <v>2110</v>
      </c>
      <c r="G3663" t="s">
        <v>2111</v>
      </c>
      <c r="H3663" t="s">
        <v>2112</v>
      </c>
      <c r="I3663" t="s">
        <v>147</v>
      </c>
      <c r="J3663" t="s">
        <v>36</v>
      </c>
      <c r="K3663">
        <v>1590</v>
      </c>
      <c r="O3663" t="s">
        <v>176</v>
      </c>
      <c r="P3663" t="s">
        <v>44</v>
      </c>
      <c r="U3663" s="9" t="s">
        <v>148</v>
      </c>
      <c r="V3663" t="s">
        <v>184</v>
      </c>
      <c r="W3663" t="s">
        <v>178</v>
      </c>
      <c r="X3663" t="s">
        <v>102</v>
      </c>
      <c r="Y3663" t="s">
        <v>179</v>
      </c>
      <c r="Z3663" t="s">
        <v>247</v>
      </c>
      <c r="AB3663" t="str">
        <f t="shared" si="171"/>
        <v>53614</v>
      </c>
    </row>
    <row r="3664" ht="14.25" spans="1:28">
      <c r="A3664" s="5" t="s">
        <v>28</v>
      </c>
      <c r="B3664" s="5" t="s">
        <v>697</v>
      </c>
      <c r="C3664" s="5">
        <v>2027</v>
      </c>
      <c r="D3664" s="5" t="s">
        <v>30</v>
      </c>
      <c r="E3664" t="s">
        <v>2109</v>
      </c>
      <c r="F3664" t="s">
        <v>2110</v>
      </c>
      <c r="G3664" t="s">
        <v>2111</v>
      </c>
      <c r="H3664" t="s">
        <v>2112</v>
      </c>
      <c r="I3664" t="s">
        <v>147</v>
      </c>
      <c r="J3664" t="s">
        <v>36</v>
      </c>
      <c r="K3664">
        <v>1590</v>
      </c>
      <c r="O3664" t="s">
        <v>176</v>
      </c>
      <c r="P3664" t="s">
        <v>45</v>
      </c>
      <c r="U3664" s="9" t="s">
        <v>148</v>
      </c>
      <c r="V3664" t="s">
        <v>184</v>
      </c>
      <c r="W3664" t="s">
        <v>178</v>
      </c>
      <c r="X3664" t="s">
        <v>102</v>
      </c>
      <c r="Y3664" t="s">
        <v>179</v>
      </c>
      <c r="Z3664" t="s">
        <v>247</v>
      </c>
      <c r="AB3664" t="str">
        <f t="shared" si="171"/>
        <v>53614</v>
      </c>
    </row>
    <row r="3665" ht="14.25" spans="1:28">
      <c r="A3665" s="5" t="s">
        <v>28</v>
      </c>
      <c r="B3665" s="5" t="s">
        <v>697</v>
      </c>
      <c r="C3665" s="5">
        <v>2027</v>
      </c>
      <c r="D3665" s="5" t="s">
        <v>30</v>
      </c>
      <c r="E3665" t="s">
        <v>2113</v>
      </c>
      <c r="F3665" t="s">
        <v>2110</v>
      </c>
      <c r="G3665" t="s">
        <v>2114</v>
      </c>
      <c r="H3665" t="s">
        <v>2115</v>
      </c>
      <c r="I3665" t="s">
        <v>147</v>
      </c>
      <c r="J3665" t="s">
        <v>36</v>
      </c>
      <c r="K3665">
        <v>1790</v>
      </c>
      <c r="O3665" t="s">
        <v>176</v>
      </c>
      <c r="P3665" t="s">
        <v>177</v>
      </c>
      <c r="R3665">
        <f t="shared" si="172"/>
        <v>0</v>
      </c>
      <c r="S3665">
        <f>SUMIFS([1]Sheet1!$T:$T,[1]Sheet1!$I:$I,E3665,[1]Sheet1!$C:$C,A3665)</f>
        <v>30</v>
      </c>
      <c r="T3665">
        <f t="shared" si="173"/>
        <v>-30</v>
      </c>
      <c r="U3665" s="9" t="s">
        <v>148</v>
      </c>
      <c r="V3665" t="s">
        <v>184</v>
      </c>
      <c r="W3665" t="s">
        <v>178</v>
      </c>
      <c r="X3665" t="s">
        <v>503</v>
      </c>
      <c r="Y3665" t="s">
        <v>179</v>
      </c>
      <c r="Z3665" t="s">
        <v>247</v>
      </c>
      <c r="AB3665" t="str">
        <f t="shared" si="171"/>
        <v>53614</v>
      </c>
    </row>
    <row r="3666" ht="14.25" spans="1:28">
      <c r="A3666" s="5" t="s">
        <v>28</v>
      </c>
      <c r="B3666" s="5" t="s">
        <v>697</v>
      </c>
      <c r="C3666" s="5">
        <v>2027</v>
      </c>
      <c r="D3666" s="5" t="s">
        <v>30</v>
      </c>
      <c r="E3666" t="s">
        <v>2113</v>
      </c>
      <c r="F3666" t="s">
        <v>2110</v>
      </c>
      <c r="G3666" t="s">
        <v>2114</v>
      </c>
      <c r="H3666" t="s">
        <v>2115</v>
      </c>
      <c r="I3666" t="s">
        <v>147</v>
      </c>
      <c r="J3666" t="s">
        <v>36</v>
      </c>
      <c r="K3666">
        <v>1790</v>
      </c>
      <c r="O3666" t="s">
        <v>176</v>
      </c>
      <c r="P3666" t="s">
        <v>38</v>
      </c>
      <c r="U3666" s="9" t="s">
        <v>148</v>
      </c>
      <c r="V3666" t="s">
        <v>184</v>
      </c>
      <c r="W3666" t="s">
        <v>178</v>
      </c>
      <c r="X3666" t="s">
        <v>503</v>
      </c>
      <c r="Y3666" t="s">
        <v>179</v>
      </c>
      <c r="Z3666" t="s">
        <v>247</v>
      </c>
      <c r="AB3666" t="str">
        <f t="shared" si="171"/>
        <v>53614</v>
      </c>
    </row>
    <row r="3667" ht="14.25" spans="1:28">
      <c r="A3667" s="5" t="s">
        <v>28</v>
      </c>
      <c r="B3667" s="5" t="s">
        <v>697</v>
      </c>
      <c r="C3667" s="5">
        <v>2027</v>
      </c>
      <c r="D3667" s="5" t="s">
        <v>30</v>
      </c>
      <c r="E3667" t="s">
        <v>2113</v>
      </c>
      <c r="F3667" t="s">
        <v>2110</v>
      </c>
      <c r="G3667" t="s">
        <v>2114</v>
      </c>
      <c r="H3667" t="s">
        <v>2115</v>
      </c>
      <c r="I3667" t="s">
        <v>147</v>
      </c>
      <c r="J3667" t="s">
        <v>36</v>
      </c>
      <c r="K3667">
        <v>1790</v>
      </c>
      <c r="O3667" t="s">
        <v>176</v>
      </c>
      <c r="P3667" t="s">
        <v>42</v>
      </c>
      <c r="U3667" s="9" t="s">
        <v>148</v>
      </c>
      <c r="V3667" t="s">
        <v>184</v>
      </c>
      <c r="W3667" t="s">
        <v>178</v>
      </c>
      <c r="X3667" t="s">
        <v>503</v>
      </c>
      <c r="Y3667" t="s">
        <v>179</v>
      </c>
      <c r="Z3667" t="s">
        <v>247</v>
      </c>
      <c r="AB3667" t="str">
        <f t="shared" si="171"/>
        <v>53614</v>
      </c>
    </row>
    <row r="3668" ht="14.25" spans="1:28">
      <c r="A3668" s="5" t="s">
        <v>28</v>
      </c>
      <c r="B3668" s="5" t="s">
        <v>697</v>
      </c>
      <c r="C3668" s="5">
        <v>2027</v>
      </c>
      <c r="D3668" s="5" t="s">
        <v>30</v>
      </c>
      <c r="E3668" t="s">
        <v>2113</v>
      </c>
      <c r="F3668" t="s">
        <v>2110</v>
      </c>
      <c r="G3668" t="s">
        <v>2114</v>
      </c>
      <c r="H3668" t="s">
        <v>2115</v>
      </c>
      <c r="I3668" t="s">
        <v>147</v>
      </c>
      <c r="J3668" t="s">
        <v>36</v>
      </c>
      <c r="K3668">
        <v>1790</v>
      </c>
      <c r="O3668" t="s">
        <v>176</v>
      </c>
      <c r="P3668" t="s">
        <v>43</v>
      </c>
      <c r="U3668" s="9" t="s">
        <v>148</v>
      </c>
      <c r="V3668" t="s">
        <v>184</v>
      </c>
      <c r="W3668" t="s">
        <v>178</v>
      </c>
      <c r="X3668" t="s">
        <v>503</v>
      </c>
      <c r="Y3668" t="s">
        <v>179</v>
      </c>
      <c r="Z3668" t="s">
        <v>247</v>
      </c>
      <c r="AB3668" t="str">
        <f t="shared" si="171"/>
        <v>53614</v>
      </c>
    </row>
    <row r="3669" ht="14.25" spans="1:28">
      <c r="A3669" s="5" t="s">
        <v>28</v>
      </c>
      <c r="B3669" s="5" t="s">
        <v>697</v>
      </c>
      <c r="C3669" s="5">
        <v>2027</v>
      </c>
      <c r="D3669" s="5" t="s">
        <v>30</v>
      </c>
      <c r="E3669" t="s">
        <v>2113</v>
      </c>
      <c r="F3669" t="s">
        <v>2110</v>
      </c>
      <c r="G3669" t="s">
        <v>2114</v>
      </c>
      <c r="H3669" t="s">
        <v>2115</v>
      </c>
      <c r="I3669" t="s">
        <v>147</v>
      </c>
      <c r="J3669" t="s">
        <v>36</v>
      </c>
      <c r="K3669">
        <v>1790</v>
      </c>
      <c r="O3669" t="s">
        <v>176</v>
      </c>
      <c r="P3669" t="s">
        <v>44</v>
      </c>
      <c r="U3669" s="9" t="s">
        <v>148</v>
      </c>
      <c r="V3669" t="s">
        <v>184</v>
      </c>
      <c r="W3669" t="s">
        <v>178</v>
      </c>
      <c r="X3669" t="s">
        <v>503</v>
      </c>
      <c r="Y3669" t="s">
        <v>179</v>
      </c>
      <c r="Z3669" t="s">
        <v>247</v>
      </c>
      <c r="AB3669" t="str">
        <f t="shared" si="171"/>
        <v>53614</v>
      </c>
    </row>
    <row r="3670" ht="14.25" spans="1:28">
      <c r="A3670" s="5" t="s">
        <v>28</v>
      </c>
      <c r="B3670" s="5" t="s">
        <v>697</v>
      </c>
      <c r="C3670" s="5">
        <v>2027</v>
      </c>
      <c r="D3670" s="5" t="s">
        <v>30</v>
      </c>
      <c r="E3670" t="s">
        <v>2113</v>
      </c>
      <c r="F3670" t="s">
        <v>2110</v>
      </c>
      <c r="G3670" t="s">
        <v>2114</v>
      </c>
      <c r="H3670" t="s">
        <v>2115</v>
      </c>
      <c r="I3670" t="s">
        <v>147</v>
      </c>
      <c r="J3670" t="s">
        <v>36</v>
      </c>
      <c r="K3670">
        <v>1790</v>
      </c>
      <c r="O3670" t="s">
        <v>176</v>
      </c>
      <c r="P3670" t="s">
        <v>45</v>
      </c>
      <c r="U3670" s="9" t="s">
        <v>148</v>
      </c>
      <c r="V3670" t="s">
        <v>184</v>
      </c>
      <c r="W3670" t="s">
        <v>178</v>
      </c>
      <c r="X3670" t="s">
        <v>503</v>
      </c>
      <c r="Y3670" t="s">
        <v>179</v>
      </c>
      <c r="Z3670" t="s">
        <v>247</v>
      </c>
      <c r="AB3670" t="str">
        <f t="shared" si="171"/>
        <v>53614</v>
      </c>
    </row>
    <row r="3671" ht="14.25" spans="1:28">
      <c r="A3671" s="5" t="s">
        <v>28</v>
      </c>
      <c r="B3671" s="5" t="s">
        <v>697</v>
      </c>
      <c r="C3671" s="5">
        <v>2027</v>
      </c>
      <c r="D3671" s="5" t="s">
        <v>30</v>
      </c>
      <c r="E3671" t="s">
        <v>2116</v>
      </c>
      <c r="F3671" t="s">
        <v>2117</v>
      </c>
      <c r="G3671" t="s">
        <v>945</v>
      </c>
      <c r="H3671" t="s">
        <v>2118</v>
      </c>
      <c r="I3671" t="s">
        <v>119</v>
      </c>
      <c r="J3671" t="s">
        <v>36</v>
      </c>
      <c r="K3671">
        <v>2990</v>
      </c>
      <c r="O3671" t="s">
        <v>176</v>
      </c>
      <c r="P3671" t="s">
        <v>177</v>
      </c>
      <c r="R3671">
        <f t="shared" si="172"/>
        <v>0</v>
      </c>
      <c r="S3671">
        <f>SUMIFS([1]Sheet1!$T:$T,[1]Sheet1!$I:$I,E3671,[1]Sheet1!$C:$C,A3671)</f>
        <v>40</v>
      </c>
      <c r="T3671">
        <f t="shared" si="173"/>
        <v>-40</v>
      </c>
      <c r="U3671" s="9" t="s">
        <v>242</v>
      </c>
      <c r="V3671" t="s">
        <v>242</v>
      </c>
      <c r="W3671" t="s">
        <v>178</v>
      </c>
      <c r="X3671" t="s">
        <v>70</v>
      </c>
      <c r="Y3671" t="s">
        <v>179</v>
      </c>
      <c r="Z3671" t="s">
        <v>41</v>
      </c>
      <c r="AB3671" t="str">
        <f t="shared" si="171"/>
        <v>53620</v>
      </c>
    </row>
    <row r="3672" ht="14.25" spans="1:28">
      <c r="A3672" s="5" t="s">
        <v>28</v>
      </c>
      <c r="B3672" s="5" t="s">
        <v>697</v>
      </c>
      <c r="C3672" s="5">
        <v>2027</v>
      </c>
      <c r="D3672" s="5" t="s">
        <v>30</v>
      </c>
      <c r="E3672" t="s">
        <v>2116</v>
      </c>
      <c r="F3672" t="s">
        <v>2117</v>
      </c>
      <c r="G3672" t="s">
        <v>945</v>
      </c>
      <c r="H3672" t="s">
        <v>2118</v>
      </c>
      <c r="I3672" t="s">
        <v>119</v>
      </c>
      <c r="J3672" t="s">
        <v>36</v>
      </c>
      <c r="K3672">
        <v>2990</v>
      </c>
      <c r="O3672" t="s">
        <v>176</v>
      </c>
      <c r="P3672" t="s">
        <v>38</v>
      </c>
      <c r="U3672" s="9" t="s">
        <v>242</v>
      </c>
      <c r="V3672" t="s">
        <v>242</v>
      </c>
      <c r="W3672" t="s">
        <v>178</v>
      </c>
      <c r="X3672" t="s">
        <v>70</v>
      </c>
      <c r="Y3672" t="s">
        <v>179</v>
      </c>
      <c r="Z3672" t="s">
        <v>41</v>
      </c>
      <c r="AB3672" t="str">
        <f t="shared" si="171"/>
        <v>53620</v>
      </c>
    </row>
    <row r="3673" ht="14.25" spans="1:28">
      <c r="A3673" s="5" t="s">
        <v>28</v>
      </c>
      <c r="B3673" s="5" t="s">
        <v>697</v>
      </c>
      <c r="C3673" s="5">
        <v>2027</v>
      </c>
      <c r="D3673" s="5" t="s">
        <v>30</v>
      </c>
      <c r="E3673" t="s">
        <v>2116</v>
      </c>
      <c r="F3673" t="s">
        <v>2117</v>
      </c>
      <c r="G3673" t="s">
        <v>945</v>
      </c>
      <c r="H3673" t="s">
        <v>2118</v>
      </c>
      <c r="I3673" t="s">
        <v>119</v>
      </c>
      <c r="J3673" t="s">
        <v>36</v>
      </c>
      <c r="K3673">
        <v>2990</v>
      </c>
      <c r="O3673" t="s">
        <v>176</v>
      </c>
      <c r="P3673" t="s">
        <v>42</v>
      </c>
      <c r="U3673" s="9" t="s">
        <v>242</v>
      </c>
      <c r="V3673" t="s">
        <v>242</v>
      </c>
      <c r="W3673" t="s">
        <v>178</v>
      </c>
      <c r="X3673" t="s">
        <v>70</v>
      </c>
      <c r="Y3673" t="s">
        <v>179</v>
      </c>
      <c r="Z3673" t="s">
        <v>41</v>
      </c>
      <c r="AB3673" t="str">
        <f t="shared" si="171"/>
        <v>53620</v>
      </c>
    </row>
    <row r="3674" ht="14.25" spans="1:28">
      <c r="A3674" s="5" t="s">
        <v>28</v>
      </c>
      <c r="B3674" s="5" t="s">
        <v>697</v>
      </c>
      <c r="C3674" s="5">
        <v>2027</v>
      </c>
      <c r="D3674" s="5" t="s">
        <v>30</v>
      </c>
      <c r="E3674" t="s">
        <v>2116</v>
      </c>
      <c r="F3674" t="s">
        <v>2117</v>
      </c>
      <c r="G3674" t="s">
        <v>945</v>
      </c>
      <c r="H3674" t="s">
        <v>2118</v>
      </c>
      <c r="I3674" t="s">
        <v>119</v>
      </c>
      <c r="J3674" t="s">
        <v>36</v>
      </c>
      <c r="K3674">
        <v>2990</v>
      </c>
      <c r="O3674" t="s">
        <v>176</v>
      </c>
      <c r="P3674" t="s">
        <v>43</v>
      </c>
      <c r="U3674" s="9" t="s">
        <v>242</v>
      </c>
      <c r="V3674" t="s">
        <v>242</v>
      </c>
      <c r="W3674" t="s">
        <v>178</v>
      </c>
      <c r="X3674" t="s">
        <v>70</v>
      </c>
      <c r="Y3674" t="s">
        <v>179</v>
      </c>
      <c r="Z3674" t="s">
        <v>41</v>
      </c>
      <c r="AB3674" t="str">
        <f t="shared" si="171"/>
        <v>53620</v>
      </c>
    </row>
    <row r="3675" ht="14.25" spans="1:28">
      <c r="A3675" s="5" t="s">
        <v>28</v>
      </c>
      <c r="B3675" s="5" t="s">
        <v>697</v>
      </c>
      <c r="C3675" s="5">
        <v>2027</v>
      </c>
      <c r="D3675" s="5" t="s">
        <v>30</v>
      </c>
      <c r="E3675" t="s">
        <v>2116</v>
      </c>
      <c r="F3675" t="s">
        <v>2117</v>
      </c>
      <c r="G3675" t="s">
        <v>945</v>
      </c>
      <c r="H3675" t="s">
        <v>2118</v>
      </c>
      <c r="I3675" t="s">
        <v>119</v>
      </c>
      <c r="J3675" t="s">
        <v>36</v>
      </c>
      <c r="K3675">
        <v>2990</v>
      </c>
      <c r="O3675" t="s">
        <v>176</v>
      </c>
      <c r="P3675" t="s">
        <v>44</v>
      </c>
      <c r="U3675" s="9" t="s">
        <v>242</v>
      </c>
      <c r="V3675" t="s">
        <v>242</v>
      </c>
      <c r="W3675" t="s">
        <v>178</v>
      </c>
      <c r="X3675" t="s">
        <v>70</v>
      </c>
      <c r="Y3675" t="s">
        <v>179</v>
      </c>
      <c r="Z3675" t="s">
        <v>41</v>
      </c>
      <c r="AB3675" t="str">
        <f t="shared" si="171"/>
        <v>53620</v>
      </c>
    </row>
    <row r="3676" ht="14.25" spans="1:28">
      <c r="A3676" s="5" t="s">
        <v>28</v>
      </c>
      <c r="B3676" s="5" t="s">
        <v>697</v>
      </c>
      <c r="C3676" s="5">
        <v>2027</v>
      </c>
      <c r="D3676" s="5" t="s">
        <v>30</v>
      </c>
      <c r="E3676" t="s">
        <v>2116</v>
      </c>
      <c r="F3676" t="s">
        <v>2117</v>
      </c>
      <c r="G3676" t="s">
        <v>945</v>
      </c>
      <c r="H3676" t="s">
        <v>2118</v>
      </c>
      <c r="I3676" t="s">
        <v>119</v>
      </c>
      <c r="J3676" t="s">
        <v>36</v>
      </c>
      <c r="K3676">
        <v>2990</v>
      </c>
      <c r="O3676" t="s">
        <v>176</v>
      </c>
      <c r="P3676" t="s">
        <v>45</v>
      </c>
      <c r="U3676" s="9" t="s">
        <v>242</v>
      </c>
      <c r="V3676" t="s">
        <v>242</v>
      </c>
      <c r="W3676" t="s">
        <v>178</v>
      </c>
      <c r="X3676" t="s">
        <v>70</v>
      </c>
      <c r="Y3676" t="s">
        <v>179</v>
      </c>
      <c r="Z3676" t="s">
        <v>41</v>
      </c>
      <c r="AB3676" t="str">
        <f t="shared" si="171"/>
        <v>53620</v>
      </c>
    </row>
    <row r="3677" ht="14.25" spans="1:28">
      <c r="A3677" s="5" t="s">
        <v>28</v>
      </c>
      <c r="B3677" s="5" t="s">
        <v>697</v>
      </c>
      <c r="C3677" s="5">
        <v>2027</v>
      </c>
      <c r="D3677" s="5" t="s">
        <v>30</v>
      </c>
      <c r="E3677" t="s">
        <v>2119</v>
      </c>
      <c r="F3677" t="s">
        <v>2120</v>
      </c>
      <c r="G3677" t="s">
        <v>189</v>
      </c>
      <c r="H3677" t="s">
        <v>2121</v>
      </c>
      <c r="I3677" t="s">
        <v>147</v>
      </c>
      <c r="J3677" t="s">
        <v>36</v>
      </c>
      <c r="K3677">
        <v>1390</v>
      </c>
      <c r="O3677" t="s">
        <v>176</v>
      </c>
      <c r="P3677" t="s">
        <v>177</v>
      </c>
      <c r="R3677">
        <f t="shared" si="172"/>
        <v>0</v>
      </c>
      <c r="S3677">
        <f>SUMIFS([1]Sheet1!$T:$T,[1]Sheet1!$I:$I,E3677,[1]Sheet1!$C:$C,A3677)</f>
        <v>12</v>
      </c>
      <c r="T3677">
        <f t="shared" si="173"/>
        <v>-12</v>
      </c>
      <c r="U3677" s="9" t="s">
        <v>638</v>
      </c>
      <c r="V3677" t="s">
        <v>638</v>
      </c>
      <c r="W3677" t="s">
        <v>178</v>
      </c>
      <c r="X3677" t="s">
        <v>191</v>
      </c>
      <c r="Y3677" t="s">
        <v>179</v>
      </c>
      <c r="Z3677" t="s">
        <v>41</v>
      </c>
      <c r="AB3677" t="str">
        <f t="shared" si="171"/>
        <v>53627</v>
      </c>
    </row>
    <row r="3678" ht="14.25" spans="1:28">
      <c r="A3678" s="5" t="s">
        <v>28</v>
      </c>
      <c r="B3678" s="5" t="s">
        <v>697</v>
      </c>
      <c r="C3678" s="5">
        <v>2027</v>
      </c>
      <c r="D3678" s="5" t="s">
        <v>30</v>
      </c>
      <c r="E3678" t="s">
        <v>2119</v>
      </c>
      <c r="F3678" t="s">
        <v>2120</v>
      </c>
      <c r="G3678" t="s">
        <v>189</v>
      </c>
      <c r="H3678" t="s">
        <v>2121</v>
      </c>
      <c r="I3678" t="s">
        <v>147</v>
      </c>
      <c r="J3678" t="s">
        <v>36</v>
      </c>
      <c r="K3678">
        <v>1390</v>
      </c>
      <c r="O3678" t="s">
        <v>176</v>
      </c>
      <c r="P3678" t="s">
        <v>38</v>
      </c>
      <c r="U3678" s="9" t="s">
        <v>638</v>
      </c>
      <c r="V3678" t="s">
        <v>638</v>
      </c>
      <c r="W3678" t="s">
        <v>178</v>
      </c>
      <c r="X3678" t="s">
        <v>191</v>
      </c>
      <c r="Y3678" t="s">
        <v>179</v>
      </c>
      <c r="Z3678" t="s">
        <v>41</v>
      </c>
      <c r="AB3678" t="str">
        <f t="shared" si="171"/>
        <v>53627</v>
      </c>
    </row>
    <row r="3679" ht="14.25" spans="1:28">
      <c r="A3679" s="5" t="s">
        <v>28</v>
      </c>
      <c r="B3679" s="5" t="s">
        <v>697</v>
      </c>
      <c r="C3679" s="5">
        <v>2027</v>
      </c>
      <c r="D3679" s="5" t="s">
        <v>30</v>
      </c>
      <c r="E3679" t="s">
        <v>2119</v>
      </c>
      <c r="F3679" t="s">
        <v>2120</v>
      </c>
      <c r="G3679" t="s">
        <v>189</v>
      </c>
      <c r="H3679" t="s">
        <v>2121</v>
      </c>
      <c r="I3679" t="s">
        <v>147</v>
      </c>
      <c r="J3679" t="s">
        <v>36</v>
      </c>
      <c r="K3679">
        <v>1390</v>
      </c>
      <c r="O3679" t="s">
        <v>176</v>
      </c>
      <c r="P3679" t="s">
        <v>42</v>
      </c>
      <c r="U3679" s="9" t="s">
        <v>638</v>
      </c>
      <c r="V3679" t="s">
        <v>638</v>
      </c>
      <c r="W3679" t="s">
        <v>178</v>
      </c>
      <c r="X3679" t="s">
        <v>191</v>
      </c>
      <c r="Y3679" t="s">
        <v>179</v>
      </c>
      <c r="Z3679" t="s">
        <v>41</v>
      </c>
      <c r="AB3679" t="str">
        <f t="shared" si="171"/>
        <v>53627</v>
      </c>
    </row>
    <row r="3680" ht="14.25" spans="1:28">
      <c r="A3680" s="5" t="s">
        <v>28</v>
      </c>
      <c r="B3680" s="5" t="s">
        <v>697</v>
      </c>
      <c r="C3680" s="5">
        <v>2027</v>
      </c>
      <c r="D3680" s="5" t="s">
        <v>30</v>
      </c>
      <c r="E3680" t="s">
        <v>2119</v>
      </c>
      <c r="F3680" t="s">
        <v>2120</v>
      </c>
      <c r="G3680" t="s">
        <v>189</v>
      </c>
      <c r="H3680" t="s">
        <v>2121</v>
      </c>
      <c r="I3680" t="s">
        <v>147</v>
      </c>
      <c r="J3680" t="s">
        <v>36</v>
      </c>
      <c r="K3680">
        <v>1390</v>
      </c>
      <c r="O3680" t="s">
        <v>176</v>
      </c>
      <c r="P3680" t="s">
        <v>43</v>
      </c>
      <c r="U3680" s="9" t="s">
        <v>638</v>
      </c>
      <c r="V3680" t="s">
        <v>638</v>
      </c>
      <c r="W3680" t="s">
        <v>178</v>
      </c>
      <c r="X3680" t="s">
        <v>191</v>
      </c>
      <c r="Y3680" t="s">
        <v>179</v>
      </c>
      <c r="Z3680" t="s">
        <v>41</v>
      </c>
      <c r="AB3680" t="str">
        <f t="shared" si="171"/>
        <v>53627</v>
      </c>
    </row>
    <row r="3681" ht="14.25" spans="1:28">
      <c r="A3681" s="5" t="s">
        <v>28</v>
      </c>
      <c r="B3681" s="5" t="s">
        <v>697</v>
      </c>
      <c r="C3681" s="5">
        <v>2027</v>
      </c>
      <c r="D3681" s="5" t="s">
        <v>30</v>
      </c>
      <c r="E3681" t="s">
        <v>2119</v>
      </c>
      <c r="F3681" t="s">
        <v>2120</v>
      </c>
      <c r="G3681" t="s">
        <v>189</v>
      </c>
      <c r="H3681" t="s">
        <v>2121</v>
      </c>
      <c r="I3681" t="s">
        <v>147</v>
      </c>
      <c r="J3681" t="s">
        <v>36</v>
      </c>
      <c r="K3681">
        <v>1390</v>
      </c>
      <c r="O3681" t="s">
        <v>176</v>
      </c>
      <c r="P3681" t="s">
        <v>44</v>
      </c>
      <c r="U3681" s="9" t="s">
        <v>638</v>
      </c>
      <c r="V3681" t="s">
        <v>638</v>
      </c>
      <c r="W3681" t="s">
        <v>178</v>
      </c>
      <c r="X3681" t="s">
        <v>191</v>
      </c>
      <c r="Y3681" t="s">
        <v>179</v>
      </c>
      <c r="Z3681" t="s">
        <v>41</v>
      </c>
      <c r="AB3681" t="str">
        <f t="shared" si="171"/>
        <v>53627</v>
      </c>
    </row>
    <row r="3682" ht="14.25" spans="1:28">
      <c r="A3682" s="5" t="s">
        <v>28</v>
      </c>
      <c r="B3682" s="5" t="s">
        <v>697</v>
      </c>
      <c r="C3682" s="5">
        <v>2027</v>
      </c>
      <c r="D3682" s="5" t="s">
        <v>30</v>
      </c>
      <c r="E3682" t="s">
        <v>2119</v>
      </c>
      <c r="F3682" t="s">
        <v>2120</v>
      </c>
      <c r="G3682" t="s">
        <v>189</v>
      </c>
      <c r="H3682" t="s">
        <v>2121</v>
      </c>
      <c r="I3682" t="s">
        <v>147</v>
      </c>
      <c r="J3682" t="s">
        <v>36</v>
      </c>
      <c r="K3682">
        <v>1390</v>
      </c>
      <c r="O3682" t="s">
        <v>176</v>
      </c>
      <c r="P3682" t="s">
        <v>45</v>
      </c>
      <c r="U3682" s="9" t="s">
        <v>638</v>
      </c>
      <c r="V3682" t="s">
        <v>638</v>
      </c>
      <c r="W3682" t="s">
        <v>178</v>
      </c>
      <c r="X3682" t="s">
        <v>191</v>
      </c>
      <c r="Y3682" t="s">
        <v>179</v>
      </c>
      <c r="Z3682" t="s">
        <v>41</v>
      </c>
      <c r="AB3682" t="str">
        <f t="shared" si="171"/>
        <v>53627</v>
      </c>
    </row>
    <row r="3683" ht="14.25" spans="1:28">
      <c r="A3683" s="5" t="s">
        <v>28</v>
      </c>
      <c r="B3683" s="5" t="s">
        <v>697</v>
      </c>
      <c r="C3683" s="5">
        <v>2027</v>
      </c>
      <c r="D3683" s="5" t="s">
        <v>30</v>
      </c>
      <c r="E3683" t="s">
        <v>2122</v>
      </c>
      <c r="F3683" t="s">
        <v>2123</v>
      </c>
      <c r="G3683" t="s">
        <v>182</v>
      </c>
      <c r="H3683" t="s">
        <v>2124</v>
      </c>
      <c r="I3683" t="s">
        <v>112</v>
      </c>
      <c r="J3683" t="s">
        <v>36</v>
      </c>
      <c r="K3683">
        <v>1790</v>
      </c>
      <c r="O3683" t="s">
        <v>176</v>
      </c>
      <c r="P3683" t="s">
        <v>177</v>
      </c>
      <c r="R3683">
        <f t="shared" si="172"/>
        <v>0</v>
      </c>
      <c r="S3683">
        <f>SUMIFS([1]Sheet1!$T:$T,[1]Sheet1!$I:$I,E3683,[1]Sheet1!$C:$C,A3683)</f>
        <v>0</v>
      </c>
      <c r="T3683">
        <f t="shared" si="173"/>
        <v>0</v>
      </c>
      <c r="U3683" s="9" t="s">
        <v>638</v>
      </c>
      <c r="V3683" t="s">
        <v>638</v>
      </c>
      <c r="W3683" t="s">
        <v>178</v>
      </c>
      <c r="X3683" t="s">
        <v>102</v>
      </c>
      <c r="Y3683" t="s">
        <v>179</v>
      </c>
      <c r="Z3683" t="s">
        <v>41</v>
      </c>
      <c r="AB3683" t="str">
        <f t="shared" si="171"/>
        <v>53642</v>
      </c>
    </row>
    <row r="3684" ht="14.25" spans="1:28">
      <c r="A3684" s="5" t="s">
        <v>28</v>
      </c>
      <c r="B3684" s="5" t="s">
        <v>697</v>
      </c>
      <c r="C3684" s="5">
        <v>2027</v>
      </c>
      <c r="D3684" s="5" t="s">
        <v>30</v>
      </c>
      <c r="E3684" t="s">
        <v>2122</v>
      </c>
      <c r="F3684" t="s">
        <v>2123</v>
      </c>
      <c r="G3684" t="s">
        <v>182</v>
      </c>
      <c r="H3684" t="s">
        <v>2124</v>
      </c>
      <c r="I3684" t="s">
        <v>112</v>
      </c>
      <c r="J3684" t="s">
        <v>36</v>
      </c>
      <c r="K3684">
        <v>1790</v>
      </c>
      <c r="O3684" t="s">
        <v>176</v>
      </c>
      <c r="P3684" t="s">
        <v>38</v>
      </c>
      <c r="U3684" s="9" t="s">
        <v>638</v>
      </c>
      <c r="V3684" t="s">
        <v>638</v>
      </c>
      <c r="W3684" t="s">
        <v>178</v>
      </c>
      <c r="X3684" t="s">
        <v>102</v>
      </c>
      <c r="Y3684" t="s">
        <v>179</v>
      </c>
      <c r="Z3684" t="s">
        <v>41</v>
      </c>
      <c r="AB3684" t="str">
        <f t="shared" si="171"/>
        <v>53642</v>
      </c>
    </row>
    <row r="3685" ht="14.25" spans="1:28">
      <c r="A3685" s="5" t="s">
        <v>28</v>
      </c>
      <c r="B3685" s="5" t="s">
        <v>697</v>
      </c>
      <c r="C3685" s="5">
        <v>2027</v>
      </c>
      <c r="D3685" s="5" t="s">
        <v>30</v>
      </c>
      <c r="E3685" t="s">
        <v>2122</v>
      </c>
      <c r="F3685" t="s">
        <v>2123</v>
      </c>
      <c r="G3685" t="s">
        <v>182</v>
      </c>
      <c r="H3685" t="s">
        <v>2124</v>
      </c>
      <c r="I3685" t="s">
        <v>112</v>
      </c>
      <c r="J3685" t="s">
        <v>36</v>
      </c>
      <c r="K3685">
        <v>1790</v>
      </c>
      <c r="O3685" t="s">
        <v>176</v>
      </c>
      <c r="P3685" t="s">
        <v>42</v>
      </c>
      <c r="U3685" s="9" t="s">
        <v>638</v>
      </c>
      <c r="V3685" t="s">
        <v>638</v>
      </c>
      <c r="W3685" t="s">
        <v>178</v>
      </c>
      <c r="X3685" t="s">
        <v>102</v>
      </c>
      <c r="Y3685" t="s">
        <v>179</v>
      </c>
      <c r="Z3685" t="s">
        <v>41</v>
      </c>
      <c r="AB3685" t="str">
        <f t="shared" si="171"/>
        <v>53642</v>
      </c>
    </row>
    <row r="3686" ht="14.25" spans="1:28">
      <c r="A3686" s="5" t="s">
        <v>28</v>
      </c>
      <c r="B3686" s="5" t="s">
        <v>697</v>
      </c>
      <c r="C3686" s="5">
        <v>2027</v>
      </c>
      <c r="D3686" s="5" t="s">
        <v>30</v>
      </c>
      <c r="E3686" t="s">
        <v>2122</v>
      </c>
      <c r="F3686" t="s">
        <v>2123</v>
      </c>
      <c r="G3686" t="s">
        <v>182</v>
      </c>
      <c r="H3686" t="s">
        <v>2124</v>
      </c>
      <c r="I3686" t="s">
        <v>112</v>
      </c>
      <c r="J3686" t="s">
        <v>36</v>
      </c>
      <c r="K3686">
        <v>1790</v>
      </c>
      <c r="O3686" t="s">
        <v>176</v>
      </c>
      <c r="P3686" t="s">
        <v>43</v>
      </c>
      <c r="U3686" s="9" t="s">
        <v>638</v>
      </c>
      <c r="V3686" t="s">
        <v>638</v>
      </c>
      <c r="W3686" t="s">
        <v>178</v>
      </c>
      <c r="X3686" t="s">
        <v>102</v>
      </c>
      <c r="Y3686" t="s">
        <v>179</v>
      </c>
      <c r="Z3686" t="s">
        <v>41</v>
      </c>
      <c r="AB3686" t="str">
        <f t="shared" si="171"/>
        <v>53642</v>
      </c>
    </row>
    <row r="3687" ht="14.25" spans="1:28">
      <c r="A3687" s="5" t="s">
        <v>28</v>
      </c>
      <c r="B3687" s="5" t="s">
        <v>697</v>
      </c>
      <c r="C3687" s="5">
        <v>2027</v>
      </c>
      <c r="D3687" s="5" t="s">
        <v>30</v>
      </c>
      <c r="E3687" t="s">
        <v>2122</v>
      </c>
      <c r="F3687" t="s">
        <v>2123</v>
      </c>
      <c r="G3687" t="s">
        <v>182</v>
      </c>
      <c r="H3687" t="s">
        <v>2124</v>
      </c>
      <c r="I3687" t="s">
        <v>112</v>
      </c>
      <c r="J3687" t="s">
        <v>36</v>
      </c>
      <c r="K3687">
        <v>1790</v>
      </c>
      <c r="O3687" t="s">
        <v>176</v>
      </c>
      <c r="P3687" t="s">
        <v>44</v>
      </c>
      <c r="U3687" s="9" t="s">
        <v>638</v>
      </c>
      <c r="V3687" t="s">
        <v>638</v>
      </c>
      <c r="W3687" t="s">
        <v>178</v>
      </c>
      <c r="X3687" t="s">
        <v>102</v>
      </c>
      <c r="Y3687" t="s">
        <v>179</v>
      </c>
      <c r="Z3687" t="s">
        <v>41</v>
      </c>
      <c r="AB3687" t="str">
        <f t="shared" si="171"/>
        <v>53642</v>
      </c>
    </row>
    <row r="3688" ht="14.25" spans="1:28">
      <c r="A3688" s="5" t="s">
        <v>28</v>
      </c>
      <c r="B3688" s="5" t="s">
        <v>697</v>
      </c>
      <c r="C3688" s="5">
        <v>2027</v>
      </c>
      <c r="D3688" s="5" t="s">
        <v>30</v>
      </c>
      <c r="E3688" t="s">
        <v>2122</v>
      </c>
      <c r="F3688" t="s">
        <v>2123</v>
      </c>
      <c r="G3688" t="s">
        <v>182</v>
      </c>
      <c r="H3688" t="s">
        <v>2124</v>
      </c>
      <c r="I3688" t="s">
        <v>112</v>
      </c>
      <c r="J3688" t="s">
        <v>36</v>
      </c>
      <c r="K3688">
        <v>1790</v>
      </c>
      <c r="O3688" t="s">
        <v>176</v>
      </c>
      <c r="P3688" t="s">
        <v>45</v>
      </c>
      <c r="U3688" s="9" t="s">
        <v>638</v>
      </c>
      <c r="V3688" t="s">
        <v>638</v>
      </c>
      <c r="W3688" t="s">
        <v>178</v>
      </c>
      <c r="X3688" t="s">
        <v>102</v>
      </c>
      <c r="Y3688" t="s">
        <v>179</v>
      </c>
      <c r="Z3688" t="s">
        <v>41</v>
      </c>
      <c r="AB3688" t="str">
        <f t="shared" si="171"/>
        <v>53642</v>
      </c>
    </row>
    <row r="3689" ht="14.25" spans="1:28">
      <c r="A3689" s="5" t="s">
        <v>28</v>
      </c>
      <c r="B3689" s="5" t="s">
        <v>697</v>
      </c>
      <c r="C3689" s="5">
        <v>2027</v>
      </c>
      <c r="D3689" s="5" t="s">
        <v>30</v>
      </c>
      <c r="E3689" t="s">
        <v>2125</v>
      </c>
      <c r="F3689" t="s">
        <v>2126</v>
      </c>
      <c r="G3689" t="s">
        <v>182</v>
      </c>
      <c r="H3689" t="s">
        <v>2127</v>
      </c>
      <c r="I3689" t="s">
        <v>119</v>
      </c>
      <c r="J3689" t="s">
        <v>36</v>
      </c>
      <c r="K3689">
        <v>990</v>
      </c>
      <c r="O3689" t="s">
        <v>176</v>
      </c>
      <c r="P3689" t="s">
        <v>177</v>
      </c>
      <c r="R3689">
        <f t="shared" si="172"/>
        <v>0</v>
      </c>
      <c r="S3689">
        <f>SUMIFS([1]Sheet1!$T:$T,[1]Sheet1!$I:$I,E3689,[1]Sheet1!$C:$C,A3689)</f>
        <v>0</v>
      </c>
      <c r="T3689">
        <f t="shared" si="173"/>
        <v>0</v>
      </c>
      <c r="U3689" s="9" t="s">
        <v>148</v>
      </c>
      <c r="V3689" t="s">
        <v>164</v>
      </c>
      <c r="W3689" t="s">
        <v>178</v>
      </c>
      <c r="X3689" t="s">
        <v>102</v>
      </c>
      <c r="Y3689" t="s">
        <v>179</v>
      </c>
      <c r="Z3689" t="s">
        <v>247</v>
      </c>
      <c r="AB3689" t="str">
        <f t="shared" si="171"/>
        <v>53773</v>
      </c>
    </row>
    <row r="3690" ht="14.25" spans="1:28">
      <c r="A3690" s="5" t="s">
        <v>28</v>
      </c>
      <c r="B3690" s="5" t="s">
        <v>697</v>
      </c>
      <c r="C3690" s="5">
        <v>2027</v>
      </c>
      <c r="D3690" s="5" t="s">
        <v>30</v>
      </c>
      <c r="E3690" t="s">
        <v>2125</v>
      </c>
      <c r="F3690" t="s">
        <v>2126</v>
      </c>
      <c r="G3690" t="s">
        <v>182</v>
      </c>
      <c r="H3690" t="s">
        <v>2127</v>
      </c>
      <c r="I3690" t="s">
        <v>119</v>
      </c>
      <c r="J3690" t="s">
        <v>36</v>
      </c>
      <c r="K3690">
        <v>990</v>
      </c>
      <c r="O3690" t="s">
        <v>176</v>
      </c>
      <c r="P3690" t="s">
        <v>38</v>
      </c>
      <c r="U3690" s="9" t="s">
        <v>148</v>
      </c>
      <c r="V3690" t="s">
        <v>164</v>
      </c>
      <c r="W3690" t="s">
        <v>178</v>
      </c>
      <c r="X3690" t="s">
        <v>102</v>
      </c>
      <c r="Y3690" t="s">
        <v>179</v>
      </c>
      <c r="Z3690" t="s">
        <v>247</v>
      </c>
      <c r="AB3690" t="str">
        <f t="shared" si="171"/>
        <v>53773</v>
      </c>
    </row>
    <row r="3691" ht="14.25" spans="1:28">
      <c r="A3691" s="5" t="s">
        <v>28</v>
      </c>
      <c r="B3691" s="5" t="s">
        <v>697</v>
      </c>
      <c r="C3691" s="5">
        <v>2027</v>
      </c>
      <c r="D3691" s="5" t="s">
        <v>30</v>
      </c>
      <c r="E3691" t="s">
        <v>2125</v>
      </c>
      <c r="F3691" t="s">
        <v>2126</v>
      </c>
      <c r="G3691" t="s">
        <v>182</v>
      </c>
      <c r="H3691" t="s">
        <v>2127</v>
      </c>
      <c r="I3691" t="s">
        <v>119</v>
      </c>
      <c r="J3691" t="s">
        <v>36</v>
      </c>
      <c r="K3691">
        <v>990</v>
      </c>
      <c r="O3691" t="s">
        <v>176</v>
      </c>
      <c r="P3691" t="s">
        <v>42</v>
      </c>
      <c r="U3691" s="9" t="s">
        <v>148</v>
      </c>
      <c r="V3691" t="s">
        <v>164</v>
      </c>
      <c r="W3691" t="s">
        <v>178</v>
      </c>
      <c r="X3691" t="s">
        <v>102</v>
      </c>
      <c r="Y3691" t="s">
        <v>179</v>
      </c>
      <c r="Z3691" t="s">
        <v>247</v>
      </c>
      <c r="AB3691" t="str">
        <f t="shared" si="171"/>
        <v>53773</v>
      </c>
    </row>
    <row r="3692" ht="14.25" spans="1:28">
      <c r="A3692" s="5" t="s">
        <v>28</v>
      </c>
      <c r="B3692" s="5" t="s">
        <v>697</v>
      </c>
      <c r="C3692" s="5">
        <v>2027</v>
      </c>
      <c r="D3692" s="5" t="s">
        <v>30</v>
      </c>
      <c r="E3692" t="s">
        <v>2125</v>
      </c>
      <c r="F3692" t="s">
        <v>2126</v>
      </c>
      <c r="G3692" t="s">
        <v>182</v>
      </c>
      <c r="H3692" t="s">
        <v>2127</v>
      </c>
      <c r="I3692" t="s">
        <v>119</v>
      </c>
      <c r="J3692" t="s">
        <v>36</v>
      </c>
      <c r="K3692">
        <v>990</v>
      </c>
      <c r="O3692" t="s">
        <v>176</v>
      </c>
      <c r="P3692" t="s">
        <v>43</v>
      </c>
      <c r="U3692" s="9" t="s">
        <v>148</v>
      </c>
      <c r="V3692" t="s">
        <v>164</v>
      </c>
      <c r="W3692" t="s">
        <v>178</v>
      </c>
      <c r="X3692" t="s">
        <v>102</v>
      </c>
      <c r="Y3692" t="s">
        <v>179</v>
      </c>
      <c r="Z3692" t="s">
        <v>247</v>
      </c>
      <c r="AB3692" t="str">
        <f t="shared" si="171"/>
        <v>53773</v>
      </c>
    </row>
    <row r="3693" ht="14.25" spans="1:28">
      <c r="A3693" s="5" t="s">
        <v>28</v>
      </c>
      <c r="B3693" s="5" t="s">
        <v>697</v>
      </c>
      <c r="C3693" s="5">
        <v>2027</v>
      </c>
      <c r="D3693" s="5" t="s">
        <v>30</v>
      </c>
      <c r="E3693" t="s">
        <v>2125</v>
      </c>
      <c r="F3693" t="s">
        <v>2126</v>
      </c>
      <c r="G3693" t="s">
        <v>182</v>
      </c>
      <c r="H3693" t="s">
        <v>2127</v>
      </c>
      <c r="I3693" t="s">
        <v>119</v>
      </c>
      <c r="J3693" t="s">
        <v>36</v>
      </c>
      <c r="K3693">
        <v>990</v>
      </c>
      <c r="O3693" t="s">
        <v>176</v>
      </c>
      <c r="P3693" t="s">
        <v>44</v>
      </c>
      <c r="U3693" s="9" t="s">
        <v>148</v>
      </c>
      <c r="V3693" t="s">
        <v>164</v>
      </c>
      <c r="W3693" t="s">
        <v>178</v>
      </c>
      <c r="X3693" t="s">
        <v>102</v>
      </c>
      <c r="Y3693" t="s">
        <v>179</v>
      </c>
      <c r="Z3693" t="s">
        <v>247</v>
      </c>
      <c r="AB3693" t="str">
        <f t="shared" si="171"/>
        <v>53773</v>
      </c>
    </row>
    <row r="3694" ht="14.25" spans="1:28">
      <c r="A3694" s="5" t="s">
        <v>28</v>
      </c>
      <c r="B3694" s="5" t="s">
        <v>697</v>
      </c>
      <c r="C3694" s="5">
        <v>2027</v>
      </c>
      <c r="D3694" s="5" t="s">
        <v>30</v>
      </c>
      <c r="E3694" t="s">
        <v>2125</v>
      </c>
      <c r="F3694" t="s">
        <v>2126</v>
      </c>
      <c r="G3694" t="s">
        <v>182</v>
      </c>
      <c r="H3694" t="s">
        <v>2127</v>
      </c>
      <c r="I3694" t="s">
        <v>119</v>
      </c>
      <c r="J3694" t="s">
        <v>36</v>
      </c>
      <c r="K3694">
        <v>990</v>
      </c>
      <c r="O3694" t="s">
        <v>176</v>
      </c>
      <c r="P3694" t="s">
        <v>45</v>
      </c>
      <c r="U3694" s="9" t="s">
        <v>148</v>
      </c>
      <c r="V3694" t="s">
        <v>164</v>
      </c>
      <c r="W3694" t="s">
        <v>178</v>
      </c>
      <c r="X3694" t="s">
        <v>102</v>
      </c>
      <c r="Y3694" t="s">
        <v>179</v>
      </c>
      <c r="Z3694" t="s">
        <v>247</v>
      </c>
      <c r="AB3694" t="str">
        <f t="shared" si="171"/>
        <v>53773</v>
      </c>
    </row>
    <row r="3695" ht="14.25" spans="1:28">
      <c r="A3695" s="5" t="s">
        <v>28</v>
      </c>
      <c r="B3695" s="5" t="s">
        <v>697</v>
      </c>
      <c r="C3695" s="5">
        <v>2027</v>
      </c>
      <c r="D3695" s="5" t="s">
        <v>30</v>
      </c>
      <c r="E3695" t="s">
        <v>2128</v>
      </c>
      <c r="F3695" t="s">
        <v>2126</v>
      </c>
      <c r="G3695" t="s">
        <v>189</v>
      </c>
      <c r="H3695" t="s">
        <v>2129</v>
      </c>
      <c r="I3695" t="s">
        <v>119</v>
      </c>
      <c r="J3695" t="s">
        <v>36</v>
      </c>
      <c r="K3695">
        <v>990</v>
      </c>
      <c r="O3695" t="s">
        <v>176</v>
      </c>
      <c r="P3695" t="s">
        <v>177</v>
      </c>
      <c r="R3695">
        <f t="shared" si="172"/>
        <v>0</v>
      </c>
      <c r="S3695">
        <f>SUMIFS([1]Sheet1!$T:$T,[1]Sheet1!$I:$I,E3695,[1]Sheet1!$C:$C,A3695)</f>
        <v>0</v>
      </c>
      <c r="T3695">
        <f t="shared" si="173"/>
        <v>0</v>
      </c>
      <c r="U3695" s="9" t="s">
        <v>148</v>
      </c>
      <c r="V3695" t="s">
        <v>164</v>
      </c>
      <c r="W3695" t="s">
        <v>178</v>
      </c>
      <c r="X3695" t="s">
        <v>191</v>
      </c>
      <c r="Y3695" t="s">
        <v>179</v>
      </c>
      <c r="Z3695" t="s">
        <v>247</v>
      </c>
      <c r="AB3695" t="str">
        <f t="shared" si="171"/>
        <v>53773</v>
      </c>
    </row>
    <row r="3696" ht="14.25" spans="1:28">
      <c r="A3696" s="5" t="s">
        <v>28</v>
      </c>
      <c r="B3696" s="5" t="s">
        <v>697</v>
      </c>
      <c r="C3696" s="5">
        <v>2027</v>
      </c>
      <c r="D3696" s="5" t="s">
        <v>30</v>
      </c>
      <c r="E3696" t="s">
        <v>2128</v>
      </c>
      <c r="F3696" t="s">
        <v>2126</v>
      </c>
      <c r="G3696" t="s">
        <v>189</v>
      </c>
      <c r="H3696" t="s">
        <v>2129</v>
      </c>
      <c r="I3696" t="s">
        <v>119</v>
      </c>
      <c r="J3696" t="s">
        <v>36</v>
      </c>
      <c r="K3696">
        <v>990</v>
      </c>
      <c r="O3696" t="s">
        <v>176</v>
      </c>
      <c r="P3696" t="s">
        <v>38</v>
      </c>
      <c r="U3696" s="9" t="s">
        <v>148</v>
      </c>
      <c r="V3696" t="s">
        <v>164</v>
      </c>
      <c r="W3696" t="s">
        <v>178</v>
      </c>
      <c r="X3696" t="s">
        <v>191</v>
      </c>
      <c r="Y3696" t="s">
        <v>179</v>
      </c>
      <c r="Z3696" t="s">
        <v>247</v>
      </c>
      <c r="AB3696" t="str">
        <f t="shared" si="171"/>
        <v>53773</v>
      </c>
    </row>
    <row r="3697" ht="14.25" spans="1:28">
      <c r="A3697" s="5" t="s">
        <v>28</v>
      </c>
      <c r="B3697" s="5" t="s">
        <v>697</v>
      </c>
      <c r="C3697" s="5">
        <v>2027</v>
      </c>
      <c r="D3697" s="5" t="s">
        <v>30</v>
      </c>
      <c r="E3697" t="s">
        <v>2128</v>
      </c>
      <c r="F3697" t="s">
        <v>2126</v>
      </c>
      <c r="G3697" t="s">
        <v>189</v>
      </c>
      <c r="H3697" t="s">
        <v>2129</v>
      </c>
      <c r="I3697" t="s">
        <v>119</v>
      </c>
      <c r="J3697" t="s">
        <v>36</v>
      </c>
      <c r="K3697">
        <v>990</v>
      </c>
      <c r="O3697" t="s">
        <v>176</v>
      </c>
      <c r="P3697" t="s">
        <v>42</v>
      </c>
      <c r="U3697" s="9" t="s">
        <v>148</v>
      </c>
      <c r="V3697" t="s">
        <v>164</v>
      </c>
      <c r="W3697" t="s">
        <v>178</v>
      </c>
      <c r="X3697" t="s">
        <v>191</v>
      </c>
      <c r="Y3697" t="s">
        <v>179</v>
      </c>
      <c r="Z3697" t="s">
        <v>247</v>
      </c>
      <c r="AB3697" t="str">
        <f t="shared" si="171"/>
        <v>53773</v>
      </c>
    </row>
    <row r="3698" ht="14.25" spans="1:28">
      <c r="A3698" s="5" t="s">
        <v>28</v>
      </c>
      <c r="B3698" s="5" t="s">
        <v>697</v>
      </c>
      <c r="C3698" s="5">
        <v>2027</v>
      </c>
      <c r="D3698" s="5" t="s">
        <v>30</v>
      </c>
      <c r="E3698" t="s">
        <v>2128</v>
      </c>
      <c r="F3698" t="s">
        <v>2126</v>
      </c>
      <c r="G3698" t="s">
        <v>189</v>
      </c>
      <c r="H3698" t="s">
        <v>2129</v>
      </c>
      <c r="I3698" t="s">
        <v>119</v>
      </c>
      <c r="J3698" t="s">
        <v>36</v>
      </c>
      <c r="K3698">
        <v>990</v>
      </c>
      <c r="O3698" t="s">
        <v>176</v>
      </c>
      <c r="P3698" t="s">
        <v>43</v>
      </c>
      <c r="U3698" s="9" t="s">
        <v>148</v>
      </c>
      <c r="V3698" t="s">
        <v>164</v>
      </c>
      <c r="W3698" t="s">
        <v>178</v>
      </c>
      <c r="X3698" t="s">
        <v>191</v>
      </c>
      <c r="Y3698" t="s">
        <v>179</v>
      </c>
      <c r="Z3698" t="s">
        <v>247</v>
      </c>
      <c r="AB3698" t="str">
        <f t="shared" si="171"/>
        <v>53773</v>
      </c>
    </row>
    <row r="3699" ht="14.25" spans="1:28">
      <c r="A3699" s="5" t="s">
        <v>28</v>
      </c>
      <c r="B3699" s="5" t="s">
        <v>697</v>
      </c>
      <c r="C3699" s="5">
        <v>2027</v>
      </c>
      <c r="D3699" s="5" t="s">
        <v>30</v>
      </c>
      <c r="E3699" t="s">
        <v>2128</v>
      </c>
      <c r="F3699" t="s">
        <v>2126</v>
      </c>
      <c r="G3699" t="s">
        <v>189</v>
      </c>
      <c r="H3699" t="s">
        <v>2129</v>
      </c>
      <c r="I3699" t="s">
        <v>119</v>
      </c>
      <c r="J3699" t="s">
        <v>36</v>
      </c>
      <c r="K3699">
        <v>990</v>
      </c>
      <c r="O3699" t="s">
        <v>176</v>
      </c>
      <c r="P3699" t="s">
        <v>44</v>
      </c>
      <c r="U3699" s="9" t="s">
        <v>148</v>
      </c>
      <c r="V3699" t="s">
        <v>164</v>
      </c>
      <c r="W3699" t="s">
        <v>178</v>
      </c>
      <c r="X3699" t="s">
        <v>191</v>
      </c>
      <c r="Y3699" t="s">
        <v>179</v>
      </c>
      <c r="Z3699" t="s">
        <v>247</v>
      </c>
      <c r="AB3699" t="str">
        <f t="shared" ref="AB3699:AB3762" si="174">MID(E3699,6,5)</f>
        <v>53773</v>
      </c>
    </row>
    <row r="3700" ht="14.25" spans="1:28">
      <c r="A3700" s="5" t="s">
        <v>28</v>
      </c>
      <c r="B3700" s="5" t="s">
        <v>697</v>
      </c>
      <c r="C3700" s="5">
        <v>2027</v>
      </c>
      <c r="D3700" s="5" t="s">
        <v>30</v>
      </c>
      <c r="E3700" t="s">
        <v>2128</v>
      </c>
      <c r="F3700" t="s">
        <v>2126</v>
      </c>
      <c r="G3700" t="s">
        <v>189</v>
      </c>
      <c r="H3700" t="s">
        <v>2129</v>
      </c>
      <c r="I3700" t="s">
        <v>119</v>
      </c>
      <c r="J3700" t="s">
        <v>36</v>
      </c>
      <c r="K3700">
        <v>990</v>
      </c>
      <c r="O3700" t="s">
        <v>176</v>
      </c>
      <c r="P3700" t="s">
        <v>45</v>
      </c>
      <c r="U3700" s="9" t="s">
        <v>148</v>
      </c>
      <c r="V3700" t="s">
        <v>164</v>
      </c>
      <c r="W3700" t="s">
        <v>178</v>
      </c>
      <c r="X3700" t="s">
        <v>191</v>
      </c>
      <c r="Y3700" t="s">
        <v>179</v>
      </c>
      <c r="Z3700" t="s">
        <v>247</v>
      </c>
      <c r="AB3700" t="str">
        <f t="shared" si="174"/>
        <v>53773</v>
      </c>
    </row>
    <row r="3701" ht="14.25" spans="1:28">
      <c r="A3701" s="5" t="s">
        <v>28</v>
      </c>
      <c r="B3701" s="5" t="s">
        <v>697</v>
      </c>
      <c r="C3701" s="5">
        <v>2027</v>
      </c>
      <c r="D3701" s="5" t="s">
        <v>30</v>
      </c>
      <c r="E3701" t="s">
        <v>2130</v>
      </c>
      <c r="F3701" t="s">
        <v>2131</v>
      </c>
      <c r="G3701" t="s">
        <v>182</v>
      </c>
      <c r="H3701" t="s">
        <v>2132</v>
      </c>
      <c r="I3701" t="s">
        <v>147</v>
      </c>
      <c r="J3701" t="s">
        <v>36</v>
      </c>
      <c r="K3701">
        <v>1590</v>
      </c>
      <c r="O3701" t="s">
        <v>176</v>
      </c>
      <c r="P3701" t="s">
        <v>177</v>
      </c>
      <c r="R3701">
        <f t="shared" si="172"/>
        <v>0</v>
      </c>
      <c r="S3701">
        <f>SUMIFS([1]Sheet1!$T:$T,[1]Sheet1!$I:$I,E3701,[1]Sheet1!$C:$C,A3701)</f>
        <v>40</v>
      </c>
      <c r="T3701">
        <f t="shared" si="173"/>
        <v>-40</v>
      </c>
      <c r="U3701" s="9" t="s">
        <v>148</v>
      </c>
      <c r="V3701" t="s">
        <v>164</v>
      </c>
      <c r="W3701" t="s">
        <v>178</v>
      </c>
      <c r="X3701" t="s">
        <v>102</v>
      </c>
      <c r="Y3701" t="s">
        <v>179</v>
      </c>
      <c r="Z3701" t="s">
        <v>247</v>
      </c>
      <c r="AB3701" t="str">
        <f t="shared" si="174"/>
        <v>53827</v>
      </c>
    </row>
    <row r="3702" ht="14.25" spans="1:28">
      <c r="A3702" s="5" t="s">
        <v>28</v>
      </c>
      <c r="B3702" s="5" t="s">
        <v>697</v>
      </c>
      <c r="C3702" s="5">
        <v>2027</v>
      </c>
      <c r="D3702" s="5" t="s">
        <v>30</v>
      </c>
      <c r="E3702" t="s">
        <v>2130</v>
      </c>
      <c r="F3702" t="s">
        <v>2131</v>
      </c>
      <c r="G3702" t="s">
        <v>182</v>
      </c>
      <c r="H3702" t="s">
        <v>2132</v>
      </c>
      <c r="I3702" t="s">
        <v>147</v>
      </c>
      <c r="J3702" t="s">
        <v>36</v>
      </c>
      <c r="K3702">
        <v>1590</v>
      </c>
      <c r="O3702" t="s">
        <v>176</v>
      </c>
      <c r="P3702" t="s">
        <v>38</v>
      </c>
      <c r="U3702" s="9" t="s">
        <v>148</v>
      </c>
      <c r="V3702" t="s">
        <v>164</v>
      </c>
      <c r="W3702" t="s">
        <v>178</v>
      </c>
      <c r="X3702" t="s">
        <v>102</v>
      </c>
      <c r="Y3702" t="s">
        <v>179</v>
      </c>
      <c r="Z3702" t="s">
        <v>247</v>
      </c>
      <c r="AB3702" t="str">
        <f t="shared" si="174"/>
        <v>53827</v>
      </c>
    </row>
    <row r="3703" ht="14.25" spans="1:28">
      <c r="A3703" s="5" t="s">
        <v>28</v>
      </c>
      <c r="B3703" s="5" t="s">
        <v>697</v>
      </c>
      <c r="C3703" s="5">
        <v>2027</v>
      </c>
      <c r="D3703" s="5" t="s">
        <v>30</v>
      </c>
      <c r="E3703" t="s">
        <v>2130</v>
      </c>
      <c r="F3703" t="s">
        <v>2131</v>
      </c>
      <c r="G3703" t="s">
        <v>182</v>
      </c>
      <c r="H3703" t="s">
        <v>2132</v>
      </c>
      <c r="I3703" t="s">
        <v>147</v>
      </c>
      <c r="J3703" t="s">
        <v>36</v>
      </c>
      <c r="K3703">
        <v>1590</v>
      </c>
      <c r="O3703" t="s">
        <v>176</v>
      </c>
      <c r="P3703" t="s">
        <v>42</v>
      </c>
      <c r="U3703" s="9" t="s">
        <v>148</v>
      </c>
      <c r="V3703" t="s">
        <v>164</v>
      </c>
      <c r="W3703" t="s">
        <v>178</v>
      </c>
      <c r="X3703" t="s">
        <v>102</v>
      </c>
      <c r="Y3703" t="s">
        <v>179</v>
      </c>
      <c r="Z3703" t="s">
        <v>247</v>
      </c>
      <c r="AB3703" t="str">
        <f t="shared" si="174"/>
        <v>53827</v>
      </c>
    </row>
    <row r="3704" ht="14.25" spans="1:28">
      <c r="A3704" s="5" t="s">
        <v>28</v>
      </c>
      <c r="B3704" s="5" t="s">
        <v>697</v>
      </c>
      <c r="C3704" s="5">
        <v>2027</v>
      </c>
      <c r="D3704" s="5" t="s">
        <v>30</v>
      </c>
      <c r="E3704" t="s">
        <v>2130</v>
      </c>
      <c r="F3704" t="s">
        <v>2131</v>
      </c>
      <c r="G3704" t="s">
        <v>182</v>
      </c>
      <c r="H3704" t="s">
        <v>2132</v>
      </c>
      <c r="I3704" t="s">
        <v>147</v>
      </c>
      <c r="J3704" t="s">
        <v>36</v>
      </c>
      <c r="K3704">
        <v>1590</v>
      </c>
      <c r="O3704" t="s">
        <v>176</v>
      </c>
      <c r="P3704" t="s">
        <v>43</v>
      </c>
      <c r="U3704" s="9" t="s">
        <v>148</v>
      </c>
      <c r="V3704" t="s">
        <v>164</v>
      </c>
      <c r="W3704" t="s">
        <v>178</v>
      </c>
      <c r="X3704" t="s">
        <v>102</v>
      </c>
      <c r="Y3704" t="s">
        <v>179</v>
      </c>
      <c r="Z3704" t="s">
        <v>247</v>
      </c>
      <c r="AB3704" t="str">
        <f t="shared" si="174"/>
        <v>53827</v>
      </c>
    </row>
    <row r="3705" ht="14.25" spans="1:28">
      <c r="A3705" s="5" t="s">
        <v>28</v>
      </c>
      <c r="B3705" s="5" t="s">
        <v>697</v>
      </c>
      <c r="C3705" s="5">
        <v>2027</v>
      </c>
      <c r="D3705" s="5" t="s">
        <v>30</v>
      </c>
      <c r="E3705" t="s">
        <v>2130</v>
      </c>
      <c r="F3705" t="s">
        <v>2131</v>
      </c>
      <c r="G3705" t="s">
        <v>182</v>
      </c>
      <c r="H3705" t="s">
        <v>2132</v>
      </c>
      <c r="I3705" t="s">
        <v>147</v>
      </c>
      <c r="J3705" t="s">
        <v>36</v>
      </c>
      <c r="K3705">
        <v>1590</v>
      </c>
      <c r="O3705" t="s">
        <v>176</v>
      </c>
      <c r="P3705" t="s">
        <v>44</v>
      </c>
      <c r="U3705" s="9" t="s">
        <v>148</v>
      </c>
      <c r="V3705" t="s">
        <v>164</v>
      </c>
      <c r="W3705" t="s">
        <v>178</v>
      </c>
      <c r="X3705" t="s">
        <v>102</v>
      </c>
      <c r="Y3705" t="s">
        <v>179</v>
      </c>
      <c r="Z3705" t="s">
        <v>247</v>
      </c>
      <c r="AB3705" t="str">
        <f t="shared" si="174"/>
        <v>53827</v>
      </c>
    </row>
    <row r="3706" ht="14.25" spans="1:28">
      <c r="A3706" s="5" t="s">
        <v>28</v>
      </c>
      <c r="B3706" s="5" t="s">
        <v>697</v>
      </c>
      <c r="C3706" s="5">
        <v>2027</v>
      </c>
      <c r="D3706" s="5" t="s">
        <v>30</v>
      </c>
      <c r="E3706" t="s">
        <v>2130</v>
      </c>
      <c r="F3706" t="s">
        <v>2131</v>
      </c>
      <c r="G3706" t="s">
        <v>182</v>
      </c>
      <c r="H3706" t="s">
        <v>2132</v>
      </c>
      <c r="I3706" t="s">
        <v>147</v>
      </c>
      <c r="J3706" t="s">
        <v>36</v>
      </c>
      <c r="K3706">
        <v>1590</v>
      </c>
      <c r="O3706" t="s">
        <v>176</v>
      </c>
      <c r="P3706" t="s">
        <v>45</v>
      </c>
      <c r="U3706" s="9" t="s">
        <v>148</v>
      </c>
      <c r="V3706" t="s">
        <v>164</v>
      </c>
      <c r="W3706" t="s">
        <v>178</v>
      </c>
      <c r="X3706" t="s">
        <v>102</v>
      </c>
      <c r="Y3706" t="s">
        <v>179</v>
      </c>
      <c r="Z3706" t="s">
        <v>247</v>
      </c>
      <c r="AB3706" t="str">
        <f t="shared" si="174"/>
        <v>53827</v>
      </c>
    </row>
    <row r="3707" ht="14.25" spans="1:28">
      <c r="A3707" s="5" t="s">
        <v>28</v>
      </c>
      <c r="B3707" s="5" t="s">
        <v>697</v>
      </c>
      <c r="C3707" s="5">
        <v>2027</v>
      </c>
      <c r="D3707" s="5" t="s">
        <v>30</v>
      </c>
      <c r="E3707" t="s">
        <v>2133</v>
      </c>
      <c r="F3707" t="s">
        <v>2131</v>
      </c>
      <c r="G3707" t="s">
        <v>254</v>
      </c>
      <c r="H3707" t="s">
        <v>2134</v>
      </c>
      <c r="I3707" t="s">
        <v>147</v>
      </c>
      <c r="J3707" t="s">
        <v>36</v>
      </c>
      <c r="K3707">
        <v>1590</v>
      </c>
      <c r="O3707" t="s">
        <v>176</v>
      </c>
      <c r="P3707" t="s">
        <v>177</v>
      </c>
      <c r="R3707">
        <f t="shared" si="172"/>
        <v>0</v>
      </c>
      <c r="S3707">
        <f>SUMIFS([1]Sheet1!$T:$T,[1]Sheet1!$I:$I,E3707,[1]Sheet1!$C:$C,A3707)</f>
        <v>40</v>
      </c>
      <c r="T3707">
        <f t="shared" si="173"/>
        <v>-40</v>
      </c>
      <c r="U3707" s="9" t="s">
        <v>148</v>
      </c>
      <c r="V3707" t="s">
        <v>164</v>
      </c>
      <c r="W3707" t="s">
        <v>178</v>
      </c>
      <c r="X3707" t="s">
        <v>86</v>
      </c>
      <c r="Y3707" t="s">
        <v>179</v>
      </c>
      <c r="Z3707" t="s">
        <v>247</v>
      </c>
      <c r="AB3707" t="str">
        <f t="shared" si="174"/>
        <v>53827</v>
      </c>
    </row>
    <row r="3708" ht="14.25" spans="1:28">
      <c r="A3708" s="5" t="s">
        <v>28</v>
      </c>
      <c r="B3708" s="5" t="s">
        <v>697</v>
      </c>
      <c r="C3708" s="5">
        <v>2027</v>
      </c>
      <c r="D3708" s="5" t="s">
        <v>30</v>
      </c>
      <c r="E3708" t="s">
        <v>2133</v>
      </c>
      <c r="F3708" t="s">
        <v>2131</v>
      </c>
      <c r="G3708" t="s">
        <v>254</v>
      </c>
      <c r="H3708" t="s">
        <v>2134</v>
      </c>
      <c r="I3708" t="s">
        <v>147</v>
      </c>
      <c r="J3708" t="s">
        <v>36</v>
      </c>
      <c r="K3708">
        <v>1590</v>
      </c>
      <c r="O3708" t="s">
        <v>176</v>
      </c>
      <c r="P3708" t="s">
        <v>38</v>
      </c>
      <c r="U3708" s="9" t="s">
        <v>148</v>
      </c>
      <c r="V3708" t="s">
        <v>164</v>
      </c>
      <c r="W3708" t="s">
        <v>178</v>
      </c>
      <c r="X3708" t="s">
        <v>86</v>
      </c>
      <c r="Y3708" t="s">
        <v>179</v>
      </c>
      <c r="Z3708" t="s">
        <v>247</v>
      </c>
      <c r="AB3708" t="str">
        <f t="shared" si="174"/>
        <v>53827</v>
      </c>
    </row>
    <row r="3709" ht="14.25" spans="1:28">
      <c r="A3709" s="5" t="s">
        <v>28</v>
      </c>
      <c r="B3709" s="5" t="s">
        <v>697</v>
      </c>
      <c r="C3709" s="5">
        <v>2027</v>
      </c>
      <c r="D3709" s="5" t="s">
        <v>30</v>
      </c>
      <c r="E3709" t="s">
        <v>2133</v>
      </c>
      <c r="F3709" t="s">
        <v>2131</v>
      </c>
      <c r="G3709" t="s">
        <v>254</v>
      </c>
      <c r="H3709" t="s">
        <v>2134</v>
      </c>
      <c r="I3709" t="s">
        <v>147</v>
      </c>
      <c r="J3709" t="s">
        <v>36</v>
      </c>
      <c r="K3709">
        <v>1590</v>
      </c>
      <c r="O3709" t="s">
        <v>176</v>
      </c>
      <c r="P3709" t="s">
        <v>42</v>
      </c>
      <c r="U3709" s="9" t="s">
        <v>148</v>
      </c>
      <c r="V3709" t="s">
        <v>164</v>
      </c>
      <c r="W3709" t="s">
        <v>178</v>
      </c>
      <c r="X3709" t="s">
        <v>86</v>
      </c>
      <c r="Y3709" t="s">
        <v>179</v>
      </c>
      <c r="Z3709" t="s">
        <v>247</v>
      </c>
      <c r="AB3709" t="str">
        <f t="shared" si="174"/>
        <v>53827</v>
      </c>
    </row>
    <row r="3710" ht="14.25" spans="1:28">
      <c r="A3710" s="5" t="s">
        <v>28</v>
      </c>
      <c r="B3710" s="5" t="s">
        <v>697</v>
      </c>
      <c r="C3710" s="5">
        <v>2027</v>
      </c>
      <c r="D3710" s="5" t="s">
        <v>30</v>
      </c>
      <c r="E3710" t="s">
        <v>2133</v>
      </c>
      <c r="F3710" t="s">
        <v>2131</v>
      </c>
      <c r="G3710" t="s">
        <v>254</v>
      </c>
      <c r="H3710" t="s">
        <v>2134</v>
      </c>
      <c r="I3710" t="s">
        <v>147</v>
      </c>
      <c r="J3710" t="s">
        <v>36</v>
      </c>
      <c r="K3710">
        <v>1590</v>
      </c>
      <c r="O3710" t="s">
        <v>176</v>
      </c>
      <c r="P3710" t="s">
        <v>43</v>
      </c>
      <c r="U3710" s="9" t="s">
        <v>148</v>
      </c>
      <c r="V3710" t="s">
        <v>164</v>
      </c>
      <c r="W3710" t="s">
        <v>178</v>
      </c>
      <c r="X3710" t="s">
        <v>86</v>
      </c>
      <c r="Y3710" t="s">
        <v>179</v>
      </c>
      <c r="Z3710" t="s">
        <v>247</v>
      </c>
      <c r="AB3710" t="str">
        <f t="shared" si="174"/>
        <v>53827</v>
      </c>
    </row>
    <row r="3711" ht="14.25" spans="1:28">
      <c r="A3711" s="5" t="s">
        <v>28</v>
      </c>
      <c r="B3711" s="5" t="s">
        <v>697</v>
      </c>
      <c r="C3711" s="5">
        <v>2027</v>
      </c>
      <c r="D3711" s="5" t="s">
        <v>30</v>
      </c>
      <c r="E3711" t="s">
        <v>2133</v>
      </c>
      <c r="F3711" t="s">
        <v>2131</v>
      </c>
      <c r="G3711" t="s">
        <v>254</v>
      </c>
      <c r="H3711" t="s">
        <v>2134</v>
      </c>
      <c r="I3711" t="s">
        <v>147</v>
      </c>
      <c r="J3711" t="s">
        <v>36</v>
      </c>
      <c r="K3711">
        <v>1590</v>
      </c>
      <c r="O3711" t="s">
        <v>176</v>
      </c>
      <c r="P3711" t="s">
        <v>44</v>
      </c>
      <c r="U3711" s="9" t="s">
        <v>148</v>
      </c>
      <c r="V3711" t="s">
        <v>164</v>
      </c>
      <c r="W3711" t="s">
        <v>178</v>
      </c>
      <c r="X3711" t="s">
        <v>86</v>
      </c>
      <c r="Y3711" t="s">
        <v>179</v>
      </c>
      <c r="Z3711" t="s">
        <v>247</v>
      </c>
      <c r="AB3711" t="str">
        <f t="shared" si="174"/>
        <v>53827</v>
      </c>
    </row>
    <row r="3712" ht="14.25" spans="1:28">
      <c r="A3712" s="5" t="s">
        <v>28</v>
      </c>
      <c r="B3712" s="5" t="s">
        <v>697</v>
      </c>
      <c r="C3712" s="5">
        <v>2027</v>
      </c>
      <c r="D3712" s="5" t="s">
        <v>30</v>
      </c>
      <c r="E3712" t="s">
        <v>2133</v>
      </c>
      <c r="F3712" t="s">
        <v>2131</v>
      </c>
      <c r="G3712" t="s">
        <v>254</v>
      </c>
      <c r="H3712" t="s">
        <v>2134</v>
      </c>
      <c r="I3712" t="s">
        <v>147</v>
      </c>
      <c r="J3712" t="s">
        <v>36</v>
      </c>
      <c r="K3712">
        <v>1590</v>
      </c>
      <c r="O3712" t="s">
        <v>176</v>
      </c>
      <c r="P3712" t="s">
        <v>45</v>
      </c>
      <c r="U3712" s="9" t="s">
        <v>148</v>
      </c>
      <c r="V3712" t="s">
        <v>164</v>
      </c>
      <c r="W3712" t="s">
        <v>178</v>
      </c>
      <c r="X3712" t="s">
        <v>86</v>
      </c>
      <c r="Y3712" t="s">
        <v>179</v>
      </c>
      <c r="Z3712" t="s">
        <v>247</v>
      </c>
      <c r="AB3712" t="str">
        <f t="shared" si="174"/>
        <v>53827</v>
      </c>
    </row>
    <row r="3713" ht="14.25" spans="1:28">
      <c r="A3713" s="5" t="s">
        <v>28</v>
      </c>
      <c r="B3713" s="5" t="s">
        <v>697</v>
      </c>
      <c r="C3713" s="5">
        <v>2027</v>
      </c>
      <c r="D3713" s="5" t="s">
        <v>30</v>
      </c>
      <c r="E3713" t="s">
        <v>256</v>
      </c>
      <c r="F3713" t="s">
        <v>257</v>
      </c>
      <c r="G3713" t="s">
        <v>65</v>
      </c>
      <c r="H3713" t="s">
        <v>258</v>
      </c>
      <c r="I3713" t="s">
        <v>119</v>
      </c>
      <c r="J3713" t="s">
        <v>36</v>
      </c>
      <c r="K3713">
        <v>1590</v>
      </c>
      <c r="O3713" t="s">
        <v>195</v>
      </c>
      <c r="P3713" t="s">
        <v>74</v>
      </c>
      <c r="R3713">
        <f t="shared" si="172"/>
        <v>0</v>
      </c>
      <c r="S3713">
        <f>SUMIFS([1]Sheet1!$T:$T,[1]Sheet1!$I:$I,E3713,[1]Sheet1!$C:$C,A3713)</f>
        <v>150</v>
      </c>
      <c r="T3713">
        <f t="shared" si="173"/>
        <v>-150</v>
      </c>
      <c r="U3713" s="9" t="s">
        <v>136</v>
      </c>
      <c r="V3713" t="s">
        <v>137</v>
      </c>
      <c r="W3713" t="s">
        <v>178</v>
      </c>
      <c r="X3713" t="s">
        <v>70</v>
      </c>
      <c r="Y3713" t="s">
        <v>179</v>
      </c>
      <c r="Z3713" t="s">
        <v>259</v>
      </c>
      <c r="AB3713" t="str">
        <f t="shared" si="174"/>
        <v>54935</v>
      </c>
    </row>
    <row r="3714" ht="14.25" spans="1:28">
      <c r="A3714" s="5" t="s">
        <v>28</v>
      </c>
      <c r="B3714" s="5" t="s">
        <v>697</v>
      </c>
      <c r="C3714" s="5">
        <v>2027</v>
      </c>
      <c r="D3714" s="5" t="s">
        <v>30</v>
      </c>
      <c r="E3714" t="s">
        <v>256</v>
      </c>
      <c r="F3714" t="s">
        <v>257</v>
      </c>
      <c r="G3714" t="s">
        <v>65</v>
      </c>
      <c r="H3714" t="s">
        <v>258</v>
      </c>
      <c r="I3714" t="s">
        <v>119</v>
      </c>
      <c r="J3714" t="s">
        <v>36</v>
      </c>
      <c r="K3714">
        <v>1590</v>
      </c>
      <c r="O3714" t="s">
        <v>195</v>
      </c>
      <c r="P3714" t="s">
        <v>76</v>
      </c>
      <c r="U3714" s="9" t="s">
        <v>136</v>
      </c>
      <c r="V3714" t="s">
        <v>137</v>
      </c>
      <c r="W3714" t="s">
        <v>178</v>
      </c>
      <c r="X3714" t="s">
        <v>70</v>
      </c>
      <c r="Y3714" t="s">
        <v>179</v>
      </c>
      <c r="Z3714" t="s">
        <v>259</v>
      </c>
      <c r="AB3714" t="str">
        <f t="shared" si="174"/>
        <v>54935</v>
      </c>
    </row>
    <row r="3715" ht="14.25" spans="1:28">
      <c r="A3715" s="5" t="s">
        <v>28</v>
      </c>
      <c r="B3715" s="5" t="s">
        <v>697</v>
      </c>
      <c r="C3715" s="5">
        <v>2027</v>
      </c>
      <c r="D3715" s="5" t="s">
        <v>30</v>
      </c>
      <c r="E3715" t="s">
        <v>256</v>
      </c>
      <c r="F3715" t="s">
        <v>257</v>
      </c>
      <c r="G3715" t="s">
        <v>65</v>
      </c>
      <c r="H3715" t="s">
        <v>258</v>
      </c>
      <c r="I3715" t="s">
        <v>119</v>
      </c>
      <c r="J3715" t="s">
        <v>36</v>
      </c>
      <c r="K3715">
        <v>1590</v>
      </c>
      <c r="O3715" t="s">
        <v>195</v>
      </c>
      <c r="P3715" t="s">
        <v>77</v>
      </c>
      <c r="U3715" s="9" t="s">
        <v>136</v>
      </c>
      <c r="V3715" t="s">
        <v>137</v>
      </c>
      <c r="W3715" t="s">
        <v>178</v>
      </c>
      <c r="X3715" t="s">
        <v>70</v>
      </c>
      <c r="Y3715" t="s">
        <v>179</v>
      </c>
      <c r="Z3715" t="s">
        <v>259</v>
      </c>
      <c r="AB3715" t="str">
        <f t="shared" si="174"/>
        <v>54935</v>
      </c>
    </row>
    <row r="3716" ht="14.25" spans="1:28">
      <c r="A3716" s="5" t="s">
        <v>28</v>
      </c>
      <c r="B3716" s="5" t="s">
        <v>697</v>
      </c>
      <c r="C3716" s="5">
        <v>2027</v>
      </c>
      <c r="D3716" s="5" t="s">
        <v>30</v>
      </c>
      <c r="E3716" t="s">
        <v>256</v>
      </c>
      <c r="F3716" t="s">
        <v>257</v>
      </c>
      <c r="G3716" t="s">
        <v>65</v>
      </c>
      <c r="H3716" t="s">
        <v>258</v>
      </c>
      <c r="I3716" t="s">
        <v>119</v>
      </c>
      <c r="J3716" t="s">
        <v>36</v>
      </c>
      <c r="K3716">
        <v>1590</v>
      </c>
      <c r="O3716" t="s">
        <v>195</v>
      </c>
      <c r="P3716" t="s">
        <v>78</v>
      </c>
      <c r="U3716" s="9" t="s">
        <v>136</v>
      </c>
      <c r="V3716" t="s">
        <v>137</v>
      </c>
      <c r="W3716" t="s">
        <v>178</v>
      </c>
      <c r="X3716" t="s">
        <v>70</v>
      </c>
      <c r="Y3716" t="s">
        <v>179</v>
      </c>
      <c r="Z3716" t="s">
        <v>259</v>
      </c>
      <c r="AB3716" t="str">
        <f t="shared" si="174"/>
        <v>54935</v>
      </c>
    </row>
    <row r="3717" ht="14.25" spans="1:28">
      <c r="A3717" s="5" t="s">
        <v>28</v>
      </c>
      <c r="B3717" s="5" t="s">
        <v>697</v>
      </c>
      <c r="C3717" s="5">
        <v>2027</v>
      </c>
      <c r="D3717" s="5" t="s">
        <v>30</v>
      </c>
      <c r="E3717" t="s">
        <v>256</v>
      </c>
      <c r="F3717" t="s">
        <v>257</v>
      </c>
      <c r="G3717" t="s">
        <v>65</v>
      </c>
      <c r="H3717" t="s">
        <v>258</v>
      </c>
      <c r="I3717" t="s">
        <v>119</v>
      </c>
      <c r="J3717" t="s">
        <v>36</v>
      </c>
      <c r="K3717">
        <v>1590</v>
      </c>
      <c r="O3717" t="s">
        <v>195</v>
      </c>
      <c r="P3717" t="s">
        <v>79</v>
      </c>
      <c r="U3717" s="9" t="s">
        <v>136</v>
      </c>
      <c r="V3717" t="s">
        <v>137</v>
      </c>
      <c r="W3717" t="s">
        <v>178</v>
      </c>
      <c r="X3717" t="s">
        <v>70</v>
      </c>
      <c r="Y3717" t="s">
        <v>179</v>
      </c>
      <c r="Z3717" t="s">
        <v>259</v>
      </c>
      <c r="AB3717" t="str">
        <f t="shared" si="174"/>
        <v>54935</v>
      </c>
    </row>
    <row r="3718" ht="14.25" spans="1:28">
      <c r="A3718" s="5" t="s">
        <v>28</v>
      </c>
      <c r="B3718" s="5" t="s">
        <v>697</v>
      </c>
      <c r="C3718" s="5">
        <v>2027</v>
      </c>
      <c r="D3718" s="5" t="s">
        <v>30</v>
      </c>
      <c r="E3718" t="s">
        <v>2135</v>
      </c>
      <c r="F3718" t="s">
        <v>257</v>
      </c>
      <c r="G3718" t="s">
        <v>346</v>
      </c>
      <c r="H3718" t="s">
        <v>2136</v>
      </c>
      <c r="I3718" t="s">
        <v>147</v>
      </c>
      <c r="J3718" t="s">
        <v>36</v>
      </c>
      <c r="K3718">
        <v>1590</v>
      </c>
      <c r="O3718" t="s">
        <v>195</v>
      </c>
      <c r="P3718" t="s">
        <v>74</v>
      </c>
      <c r="R3718">
        <f t="shared" ref="R3714:R3777" si="175">SUMIFS(Q:Q,E:E,E3718)</f>
        <v>0</v>
      </c>
      <c r="S3718">
        <f>SUMIFS([1]Sheet1!$T:$T,[1]Sheet1!$I:$I,E3718,[1]Sheet1!$C:$C,A3718)</f>
        <v>100</v>
      </c>
      <c r="T3718">
        <f t="shared" ref="T3714:T3777" si="176">R3718-S3718</f>
        <v>-100</v>
      </c>
      <c r="U3718" s="9" t="s">
        <v>136</v>
      </c>
      <c r="V3718" t="s">
        <v>137</v>
      </c>
      <c r="W3718" t="s">
        <v>178</v>
      </c>
      <c r="X3718" t="s">
        <v>191</v>
      </c>
      <c r="Y3718" t="s">
        <v>179</v>
      </c>
      <c r="Z3718" t="s">
        <v>259</v>
      </c>
      <c r="AB3718" t="str">
        <f t="shared" si="174"/>
        <v>54935</v>
      </c>
    </row>
    <row r="3719" ht="14.25" spans="1:28">
      <c r="A3719" s="5" t="s">
        <v>28</v>
      </c>
      <c r="B3719" s="5" t="s">
        <v>697</v>
      </c>
      <c r="C3719" s="5">
        <v>2027</v>
      </c>
      <c r="D3719" s="5" t="s">
        <v>30</v>
      </c>
      <c r="E3719" t="s">
        <v>2135</v>
      </c>
      <c r="F3719" t="s">
        <v>257</v>
      </c>
      <c r="G3719" t="s">
        <v>346</v>
      </c>
      <c r="H3719" t="s">
        <v>2136</v>
      </c>
      <c r="I3719" t="s">
        <v>147</v>
      </c>
      <c r="J3719" t="s">
        <v>36</v>
      </c>
      <c r="K3719">
        <v>1590</v>
      </c>
      <c r="O3719" t="s">
        <v>195</v>
      </c>
      <c r="P3719" t="s">
        <v>76</v>
      </c>
      <c r="U3719" s="9" t="s">
        <v>136</v>
      </c>
      <c r="V3719" t="s">
        <v>137</v>
      </c>
      <c r="W3719" t="s">
        <v>178</v>
      </c>
      <c r="X3719" t="s">
        <v>191</v>
      </c>
      <c r="Y3719" t="s">
        <v>179</v>
      </c>
      <c r="Z3719" t="s">
        <v>259</v>
      </c>
      <c r="AB3719" t="str">
        <f t="shared" si="174"/>
        <v>54935</v>
      </c>
    </row>
    <row r="3720" ht="14.25" spans="1:28">
      <c r="A3720" s="5" t="s">
        <v>28</v>
      </c>
      <c r="B3720" s="5" t="s">
        <v>697</v>
      </c>
      <c r="C3720" s="5">
        <v>2027</v>
      </c>
      <c r="D3720" s="5" t="s">
        <v>30</v>
      </c>
      <c r="E3720" t="s">
        <v>2135</v>
      </c>
      <c r="F3720" t="s">
        <v>257</v>
      </c>
      <c r="G3720" t="s">
        <v>346</v>
      </c>
      <c r="H3720" t="s">
        <v>2136</v>
      </c>
      <c r="I3720" t="s">
        <v>147</v>
      </c>
      <c r="J3720" t="s">
        <v>36</v>
      </c>
      <c r="K3720">
        <v>1590</v>
      </c>
      <c r="O3720" t="s">
        <v>195</v>
      </c>
      <c r="P3720" t="s">
        <v>77</v>
      </c>
      <c r="U3720" s="9" t="s">
        <v>136</v>
      </c>
      <c r="V3720" t="s">
        <v>137</v>
      </c>
      <c r="W3720" t="s">
        <v>178</v>
      </c>
      <c r="X3720" t="s">
        <v>191</v>
      </c>
      <c r="Y3720" t="s">
        <v>179</v>
      </c>
      <c r="Z3720" t="s">
        <v>259</v>
      </c>
      <c r="AB3720" t="str">
        <f t="shared" si="174"/>
        <v>54935</v>
      </c>
    </row>
    <row r="3721" ht="14.25" spans="1:28">
      <c r="A3721" s="5" t="s">
        <v>28</v>
      </c>
      <c r="B3721" s="5" t="s">
        <v>697</v>
      </c>
      <c r="C3721" s="5">
        <v>2027</v>
      </c>
      <c r="D3721" s="5" t="s">
        <v>30</v>
      </c>
      <c r="E3721" t="s">
        <v>2135</v>
      </c>
      <c r="F3721" t="s">
        <v>257</v>
      </c>
      <c r="G3721" t="s">
        <v>346</v>
      </c>
      <c r="H3721" t="s">
        <v>2136</v>
      </c>
      <c r="I3721" t="s">
        <v>147</v>
      </c>
      <c r="J3721" t="s">
        <v>36</v>
      </c>
      <c r="K3721">
        <v>1590</v>
      </c>
      <c r="O3721" t="s">
        <v>195</v>
      </c>
      <c r="P3721" t="s">
        <v>78</v>
      </c>
      <c r="U3721" s="9" t="s">
        <v>136</v>
      </c>
      <c r="V3721" t="s">
        <v>137</v>
      </c>
      <c r="W3721" t="s">
        <v>178</v>
      </c>
      <c r="X3721" t="s">
        <v>191</v>
      </c>
      <c r="Y3721" t="s">
        <v>179</v>
      </c>
      <c r="Z3721" t="s">
        <v>259</v>
      </c>
      <c r="AB3721" t="str">
        <f t="shared" si="174"/>
        <v>54935</v>
      </c>
    </row>
    <row r="3722" ht="14.25" spans="1:28">
      <c r="A3722" s="5" t="s">
        <v>28</v>
      </c>
      <c r="B3722" s="5" t="s">
        <v>697</v>
      </c>
      <c r="C3722" s="5">
        <v>2027</v>
      </c>
      <c r="D3722" s="5" t="s">
        <v>30</v>
      </c>
      <c r="E3722" t="s">
        <v>2135</v>
      </c>
      <c r="F3722" t="s">
        <v>257</v>
      </c>
      <c r="G3722" t="s">
        <v>346</v>
      </c>
      <c r="H3722" t="s">
        <v>2136</v>
      </c>
      <c r="I3722" t="s">
        <v>147</v>
      </c>
      <c r="J3722" t="s">
        <v>36</v>
      </c>
      <c r="K3722">
        <v>1590</v>
      </c>
      <c r="O3722" t="s">
        <v>195</v>
      </c>
      <c r="P3722" t="s">
        <v>79</v>
      </c>
      <c r="U3722" s="9" t="s">
        <v>136</v>
      </c>
      <c r="V3722" t="s">
        <v>137</v>
      </c>
      <c r="W3722" t="s">
        <v>178</v>
      </c>
      <c r="X3722" t="s">
        <v>191</v>
      </c>
      <c r="Y3722" t="s">
        <v>179</v>
      </c>
      <c r="Z3722" t="s">
        <v>259</v>
      </c>
      <c r="AB3722" t="str">
        <f t="shared" si="174"/>
        <v>54935</v>
      </c>
    </row>
    <row r="3723" ht="14.25" spans="1:28">
      <c r="A3723" s="5" t="s">
        <v>28</v>
      </c>
      <c r="B3723" s="5" t="s">
        <v>697</v>
      </c>
      <c r="C3723" s="5">
        <v>2027</v>
      </c>
      <c r="D3723" s="5" t="s">
        <v>30</v>
      </c>
      <c r="E3723" t="s">
        <v>2137</v>
      </c>
      <c r="F3723" t="s">
        <v>2138</v>
      </c>
      <c r="G3723" t="s">
        <v>182</v>
      </c>
      <c r="H3723" t="s">
        <v>2139</v>
      </c>
      <c r="I3723" t="s">
        <v>112</v>
      </c>
      <c r="J3723" t="s">
        <v>36</v>
      </c>
      <c r="K3723">
        <v>2190</v>
      </c>
      <c r="O3723" t="s">
        <v>176</v>
      </c>
      <c r="P3723" t="s">
        <v>177</v>
      </c>
      <c r="R3723">
        <f t="shared" si="175"/>
        <v>0</v>
      </c>
      <c r="S3723">
        <f>SUMIFS([1]Sheet1!$T:$T,[1]Sheet1!$I:$I,E3723,[1]Sheet1!$C:$C,A3723)</f>
        <v>30</v>
      </c>
      <c r="T3723">
        <f t="shared" si="176"/>
        <v>-30</v>
      </c>
      <c r="U3723" s="9" t="s">
        <v>638</v>
      </c>
      <c r="V3723" t="s">
        <v>638</v>
      </c>
      <c r="W3723" t="s">
        <v>178</v>
      </c>
      <c r="X3723" t="s">
        <v>102</v>
      </c>
      <c r="Y3723" t="s">
        <v>179</v>
      </c>
      <c r="Z3723" t="s">
        <v>41</v>
      </c>
      <c r="AB3723" t="str">
        <f t="shared" si="174"/>
        <v>53863</v>
      </c>
    </row>
    <row r="3724" ht="14.25" spans="1:28">
      <c r="A3724" s="5" t="s">
        <v>28</v>
      </c>
      <c r="B3724" s="5" t="s">
        <v>697</v>
      </c>
      <c r="C3724" s="5">
        <v>2027</v>
      </c>
      <c r="D3724" s="5" t="s">
        <v>30</v>
      </c>
      <c r="E3724" t="s">
        <v>2137</v>
      </c>
      <c r="F3724" t="s">
        <v>2138</v>
      </c>
      <c r="G3724" t="s">
        <v>182</v>
      </c>
      <c r="H3724" t="s">
        <v>2139</v>
      </c>
      <c r="I3724" t="s">
        <v>112</v>
      </c>
      <c r="J3724" t="s">
        <v>36</v>
      </c>
      <c r="K3724">
        <v>2190</v>
      </c>
      <c r="O3724" t="s">
        <v>176</v>
      </c>
      <c r="P3724" t="s">
        <v>38</v>
      </c>
      <c r="U3724" s="9" t="s">
        <v>638</v>
      </c>
      <c r="V3724" t="s">
        <v>638</v>
      </c>
      <c r="W3724" t="s">
        <v>178</v>
      </c>
      <c r="X3724" t="s">
        <v>102</v>
      </c>
      <c r="Y3724" t="s">
        <v>179</v>
      </c>
      <c r="Z3724" t="s">
        <v>41</v>
      </c>
      <c r="AB3724" t="str">
        <f t="shared" si="174"/>
        <v>53863</v>
      </c>
    </row>
    <row r="3725" ht="14.25" spans="1:28">
      <c r="A3725" s="5" t="s">
        <v>28</v>
      </c>
      <c r="B3725" s="5" t="s">
        <v>697</v>
      </c>
      <c r="C3725" s="5">
        <v>2027</v>
      </c>
      <c r="D3725" s="5" t="s">
        <v>30</v>
      </c>
      <c r="E3725" t="s">
        <v>2137</v>
      </c>
      <c r="F3725" t="s">
        <v>2138</v>
      </c>
      <c r="G3725" t="s">
        <v>182</v>
      </c>
      <c r="H3725" t="s">
        <v>2139</v>
      </c>
      <c r="I3725" t="s">
        <v>112</v>
      </c>
      <c r="J3725" t="s">
        <v>36</v>
      </c>
      <c r="K3725">
        <v>2190</v>
      </c>
      <c r="O3725" t="s">
        <v>176</v>
      </c>
      <c r="P3725" t="s">
        <v>42</v>
      </c>
      <c r="U3725" s="9" t="s">
        <v>638</v>
      </c>
      <c r="V3725" t="s">
        <v>638</v>
      </c>
      <c r="W3725" t="s">
        <v>178</v>
      </c>
      <c r="X3725" t="s">
        <v>102</v>
      </c>
      <c r="Y3725" t="s">
        <v>179</v>
      </c>
      <c r="Z3725" t="s">
        <v>41</v>
      </c>
      <c r="AB3725" t="str">
        <f t="shared" si="174"/>
        <v>53863</v>
      </c>
    </row>
    <row r="3726" ht="14.25" spans="1:28">
      <c r="A3726" s="5" t="s">
        <v>28</v>
      </c>
      <c r="B3726" s="5" t="s">
        <v>697</v>
      </c>
      <c r="C3726" s="5">
        <v>2027</v>
      </c>
      <c r="D3726" s="5" t="s">
        <v>30</v>
      </c>
      <c r="E3726" t="s">
        <v>2137</v>
      </c>
      <c r="F3726" t="s">
        <v>2138</v>
      </c>
      <c r="G3726" t="s">
        <v>182</v>
      </c>
      <c r="H3726" t="s">
        <v>2139</v>
      </c>
      <c r="I3726" t="s">
        <v>112</v>
      </c>
      <c r="J3726" t="s">
        <v>36</v>
      </c>
      <c r="K3726">
        <v>2190</v>
      </c>
      <c r="O3726" t="s">
        <v>176</v>
      </c>
      <c r="P3726" t="s">
        <v>43</v>
      </c>
      <c r="U3726" s="9" t="s">
        <v>638</v>
      </c>
      <c r="V3726" t="s">
        <v>638</v>
      </c>
      <c r="W3726" t="s">
        <v>178</v>
      </c>
      <c r="X3726" t="s">
        <v>102</v>
      </c>
      <c r="Y3726" t="s">
        <v>179</v>
      </c>
      <c r="Z3726" t="s">
        <v>41</v>
      </c>
      <c r="AB3726" t="str">
        <f t="shared" si="174"/>
        <v>53863</v>
      </c>
    </row>
    <row r="3727" ht="14.25" spans="1:28">
      <c r="A3727" s="5" t="s">
        <v>28</v>
      </c>
      <c r="B3727" s="5" t="s">
        <v>697</v>
      </c>
      <c r="C3727" s="5">
        <v>2027</v>
      </c>
      <c r="D3727" s="5" t="s">
        <v>30</v>
      </c>
      <c r="E3727" t="s">
        <v>2137</v>
      </c>
      <c r="F3727" t="s">
        <v>2138</v>
      </c>
      <c r="G3727" t="s">
        <v>182</v>
      </c>
      <c r="H3727" t="s">
        <v>2139</v>
      </c>
      <c r="I3727" t="s">
        <v>112</v>
      </c>
      <c r="J3727" t="s">
        <v>36</v>
      </c>
      <c r="K3727">
        <v>2190</v>
      </c>
      <c r="O3727" t="s">
        <v>176</v>
      </c>
      <c r="P3727" t="s">
        <v>44</v>
      </c>
      <c r="U3727" s="9" t="s">
        <v>638</v>
      </c>
      <c r="V3727" t="s">
        <v>638</v>
      </c>
      <c r="W3727" t="s">
        <v>178</v>
      </c>
      <c r="X3727" t="s">
        <v>102</v>
      </c>
      <c r="Y3727" t="s">
        <v>179</v>
      </c>
      <c r="Z3727" t="s">
        <v>41</v>
      </c>
      <c r="AB3727" t="str">
        <f t="shared" si="174"/>
        <v>53863</v>
      </c>
    </row>
    <row r="3728" ht="14.25" spans="1:28">
      <c r="A3728" s="5" t="s">
        <v>28</v>
      </c>
      <c r="B3728" s="5" t="s">
        <v>697</v>
      </c>
      <c r="C3728" s="5">
        <v>2027</v>
      </c>
      <c r="D3728" s="5" t="s">
        <v>30</v>
      </c>
      <c r="E3728" t="s">
        <v>2137</v>
      </c>
      <c r="F3728" t="s">
        <v>2138</v>
      </c>
      <c r="G3728" t="s">
        <v>182</v>
      </c>
      <c r="H3728" t="s">
        <v>2139</v>
      </c>
      <c r="I3728" t="s">
        <v>112</v>
      </c>
      <c r="J3728" t="s">
        <v>36</v>
      </c>
      <c r="K3728">
        <v>2190</v>
      </c>
      <c r="O3728" t="s">
        <v>176</v>
      </c>
      <c r="P3728" t="s">
        <v>45</v>
      </c>
      <c r="U3728" s="9" t="s">
        <v>638</v>
      </c>
      <c r="V3728" t="s">
        <v>638</v>
      </c>
      <c r="W3728" t="s">
        <v>178</v>
      </c>
      <c r="X3728" t="s">
        <v>102</v>
      </c>
      <c r="Y3728" t="s">
        <v>179</v>
      </c>
      <c r="Z3728" t="s">
        <v>41</v>
      </c>
      <c r="AB3728" t="str">
        <f t="shared" si="174"/>
        <v>53863</v>
      </c>
    </row>
    <row r="3729" ht="14.25" spans="1:28">
      <c r="A3729" s="5" t="s">
        <v>28</v>
      </c>
      <c r="B3729" s="5" t="s">
        <v>697</v>
      </c>
      <c r="C3729" s="5">
        <v>2027</v>
      </c>
      <c r="D3729" s="5" t="s">
        <v>30</v>
      </c>
      <c r="E3729" t="s">
        <v>2140</v>
      </c>
      <c r="F3729" t="s">
        <v>2138</v>
      </c>
      <c r="G3729" t="s">
        <v>1937</v>
      </c>
      <c r="H3729" t="s">
        <v>2141</v>
      </c>
      <c r="I3729" t="s">
        <v>112</v>
      </c>
      <c r="J3729" t="s">
        <v>36</v>
      </c>
      <c r="K3729">
        <v>2190</v>
      </c>
      <c r="O3729" t="s">
        <v>176</v>
      </c>
      <c r="P3729" t="s">
        <v>177</v>
      </c>
      <c r="R3729">
        <f t="shared" si="175"/>
        <v>0</v>
      </c>
      <c r="S3729">
        <f>SUMIFS([1]Sheet1!$T:$T,[1]Sheet1!$I:$I,E3729,[1]Sheet1!$C:$C,A3729)</f>
        <v>20</v>
      </c>
      <c r="T3729">
        <f t="shared" si="176"/>
        <v>-20</v>
      </c>
      <c r="U3729" s="9" t="s">
        <v>638</v>
      </c>
      <c r="V3729" t="s">
        <v>638</v>
      </c>
      <c r="W3729" t="s">
        <v>178</v>
      </c>
      <c r="X3729" t="s">
        <v>1106</v>
      </c>
      <c r="Y3729" t="s">
        <v>179</v>
      </c>
      <c r="Z3729" t="s">
        <v>41</v>
      </c>
      <c r="AB3729" t="str">
        <f t="shared" si="174"/>
        <v>53863</v>
      </c>
    </row>
    <row r="3730" ht="14.25" spans="1:28">
      <c r="A3730" s="5" t="s">
        <v>28</v>
      </c>
      <c r="B3730" s="5" t="s">
        <v>697</v>
      </c>
      <c r="C3730" s="5">
        <v>2027</v>
      </c>
      <c r="D3730" s="5" t="s">
        <v>30</v>
      </c>
      <c r="E3730" t="s">
        <v>2140</v>
      </c>
      <c r="F3730" t="s">
        <v>2138</v>
      </c>
      <c r="G3730" t="s">
        <v>1937</v>
      </c>
      <c r="H3730" t="s">
        <v>2141</v>
      </c>
      <c r="I3730" t="s">
        <v>112</v>
      </c>
      <c r="J3730" t="s">
        <v>36</v>
      </c>
      <c r="K3730">
        <v>2190</v>
      </c>
      <c r="O3730" t="s">
        <v>176</v>
      </c>
      <c r="P3730" t="s">
        <v>38</v>
      </c>
      <c r="U3730" s="9" t="s">
        <v>638</v>
      </c>
      <c r="V3730" t="s">
        <v>638</v>
      </c>
      <c r="W3730" t="s">
        <v>178</v>
      </c>
      <c r="X3730" t="s">
        <v>1106</v>
      </c>
      <c r="Y3730" t="s">
        <v>179</v>
      </c>
      <c r="Z3730" t="s">
        <v>41</v>
      </c>
      <c r="AB3730" t="str">
        <f t="shared" si="174"/>
        <v>53863</v>
      </c>
    </row>
    <row r="3731" ht="14.25" spans="1:28">
      <c r="A3731" s="5" t="s">
        <v>28</v>
      </c>
      <c r="B3731" s="5" t="s">
        <v>697</v>
      </c>
      <c r="C3731" s="5">
        <v>2027</v>
      </c>
      <c r="D3731" s="5" t="s">
        <v>30</v>
      </c>
      <c r="E3731" t="s">
        <v>2140</v>
      </c>
      <c r="F3731" t="s">
        <v>2138</v>
      </c>
      <c r="G3731" t="s">
        <v>1937</v>
      </c>
      <c r="H3731" t="s">
        <v>2141</v>
      </c>
      <c r="I3731" t="s">
        <v>112</v>
      </c>
      <c r="J3731" t="s">
        <v>36</v>
      </c>
      <c r="K3731">
        <v>2190</v>
      </c>
      <c r="O3731" t="s">
        <v>176</v>
      </c>
      <c r="P3731" t="s">
        <v>42</v>
      </c>
      <c r="U3731" s="9" t="s">
        <v>638</v>
      </c>
      <c r="V3731" t="s">
        <v>638</v>
      </c>
      <c r="W3731" t="s">
        <v>178</v>
      </c>
      <c r="X3731" t="s">
        <v>1106</v>
      </c>
      <c r="Y3731" t="s">
        <v>179</v>
      </c>
      <c r="Z3731" t="s">
        <v>41</v>
      </c>
      <c r="AB3731" t="str">
        <f t="shared" si="174"/>
        <v>53863</v>
      </c>
    </row>
    <row r="3732" ht="14.25" spans="1:28">
      <c r="A3732" s="5" t="s">
        <v>28</v>
      </c>
      <c r="B3732" s="5" t="s">
        <v>697</v>
      </c>
      <c r="C3732" s="5">
        <v>2027</v>
      </c>
      <c r="D3732" s="5" t="s">
        <v>30</v>
      </c>
      <c r="E3732" t="s">
        <v>2140</v>
      </c>
      <c r="F3732" t="s">
        <v>2138</v>
      </c>
      <c r="G3732" t="s">
        <v>1937</v>
      </c>
      <c r="H3732" t="s">
        <v>2141</v>
      </c>
      <c r="I3732" t="s">
        <v>112</v>
      </c>
      <c r="J3732" t="s">
        <v>36</v>
      </c>
      <c r="K3732">
        <v>2190</v>
      </c>
      <c r="O3732" t="s">
        <v>176</v>
      </c>
      <c r="P3732" t="s">
        <v>43</v>
      </c>
      <c r="U3732" s="9" t="s">
        <v>638</v>
      </c>
      <c r="V3732" t="s">
        <v>638</v>
      </c>
      <c r="W3732" t="s">
        <v>178</v>
      </c>
      <c r="X3732" t="s">
        <v>1106</v>
      </c>
      <c r="Y3732" t="s">
        <v>179</v>
      </c>
      <c r="Z3732" t="s">
        <v>41</v>
      </c>
      <c r="AB3732" t="str">
        <f t="shared" si="174"/>
        <v>53863</v>
      </c>
    </row>
    <row r="3733" ht="14.25" spans="1:28">
      <c r="A3733" s="5" t="s">
        <v>28</v>
      </c>
      <c r="B3733" s="5" t="s">
        <v>697</v>
      </c>
      <c r="C3733" s="5">
        <v>2027</v>
      </c>
      <c r="D3733" s="5" t="s">
        <v>30</v>
      </c>
      <c r="E3733" t="s">
        <v>2140</v>
      </c>
      <c r="F3733" t="s">
        <v>2138</v>
      </c>
      <c r="G3733" t="s">
        <v>1937</v>
      </c>
      <c r="H3733" t="s">
        <v>2141</v>
      </c>
      <c r="I3733" t="s">
        <v>112</v>
      </c>
      <c r="J3733" t="s">
        <v>36</v>
      </c>
      <c r="K3733">
        <v>2190</v>
      </c>
      <c r="O3733" t="s">
        <v>176</v>
      </c>
      <c r="P3733" t="s">
        <v>44</v>
      </c>
      <c r="U3733" s="9" t="s">
        <v>638</v>
      </c>
      <c r="V3733" t="s">
        <v>638</v>
      </c>
      <c r="W3733" t="s">
        <v>178</v>
      </c>
      <c r="X3733" t="s">
        <v>1106</v>
      </c>
      <c r="Y3733" t="s">
        <v>179</v>
      </c>
      <c r="Z3733" t="s">
        <v>41</v>
      </c>
      <c r="AB3733" t="str">
        <f t="shared" si="174"/>
        <v>53863</v>
      </c>
    </row>
    <row r="3734" ht="14.25" spans="1:28">
      <c r="A3734" s="5" t="s">
        <v>28</v>
      </c>
      <c r="B3734" s="5" t="s">
        <v>697</v>
      </c>
      <c r="C3734" s="5">
        <v>2027</v>
      </c>
      <c r="D3734" s="5" t="s">
        <v>30</v>
      </c>
      <c r="E3734" t="s">
        <v>2140</v>
      </c>
      <c r="F3734" t="s">
        <v>2138</v>
      </c>
      <c r="G3734" t="s">
        <v>1937</v>
      </c>
      <c r="H3734" t="s">
        <v>2141</v>
      </c>
      <c r="I3734" t="s">
        <v>112</v>
      </c>
      <c r="J3734" t="s">
        <v>36</v>
      </c>
      <c r="K3734">
        <v>2190</v>
      </c>
      <c r="O3734" t="s">
        <v>176</v>
      </c>
      <c r="P3734" t="s">
        <v>45</v>
      </c>
      <c r="U3734" s="9" t="s">
        <v>638</v>
      </c>
      <c r="V3734" t="s">
        <v>638</v>
      </c>
      <c r="W3734" t="s">
        <v>178</v>
      </c>
      <c r="X3734" t="s">
        <v>1106</v>
      </c>
      <c r="Y3734" t="s">
        <v>179</v>
      </c>
      <c r="Z3734" t="s">
        <v>41</v>
      </c>
      <c r="AB3734" t="str">
        <f t="shared" si="174"/>
        <v>53863</v>
      </c>
    </row>
    <row r="3735" ht="14.25" spans="1:28">
      <c r="A3735" s="5" t="s">
        <v>28</v>
      </c>
      <c r="B3735" s="5" t="s">
        <v>697</v>
      </c>
      <c r="C3735" s="5">
        <v>2027</v>
      </c>
      <c r="D3735" s="5" t="s">
        <v>30</v>
      </c>
      <c r="E3735" t="s">
        <v>2142</v>
      </c>
      <c r="F3735" t="s">
        <v>2143</v>
      </c>
      <c r="G3735" t="s">
        <v>1929</v>
      </c>
      <c r="H3735" t="s">
        <v>2144</v>
      </c>
      <c r="I3735" t="s">
        <v>147</v>
      </c>
      <c r="J3735" t="s">
        <v>36</v>
      </c>
      <c r="K3735">
        <v>1990</v>
      </c>
      <c r="O3735" t="s">
        <v>176</v>
      </c>
      <c r="P3735" t="s">
        <v>177</v>
      </c>
      <c r="R3735">
        <f t="shared" si="175"/>
        <v>0</v>
      </c>
      <c r="S3735">
        <f>SUMIFS([1]Sheet1!$T:$T,[1]Sheet1!$I:$I,E3735,[1]Sheet1!$C:$C,A3735)</f>
        <v>30</v>
      </c>
      <c r="T3735">
        <f t="shared" si="176"/>
        <v>-30</v>
      </c>
      <c r="U3735" s="9" t="s">
        <v>638</v>
      </c>
      <c r="V3735" t="s">
        <v>638</v>
      </c>
      <c r="W3735" t="s">
        <v>178</v>
      </c>
      <c r="X3735" t="s">
        <v>70</v>
      </c>
      <c r="Y3735" t="s">
        <v>179</v>
      </c>
      <c r="Z3735" t="s">
        <v>41</v>
      </c>
      <c r="AB3735" t="str">
        <f t="shared" si="174"/>
        <v>53868</v>
      </c>
    </row>
    <row r="3736" ht="14.25" spans="1:28">
      <c r="A3736" s="5" t="s">
        <v>28</v>
      </c>
      <c r="B3736" s="5" t="s">
        <v>697</v>
      </c>
      <c r="C3736" s="5">
        <v>2027</v>
      </c>
      <c r="D3736" s="5" t="s">
        <v>30</v>
      </c>
      <c r="E3736" t="s">
        <v>2142</v>
      </c>
      <c r="F3736" t="s">
        <v>2143</v>
      </c>
      <c r="G3736" t="s">
        <v>1929</v>
      </c>
      <c r="H3736" t="s">
        <v>2144</v>
      </c>
      <c r="I3736" t="s">
        <v>147</v>
      </c>
      <c r="J3736" t="s">
        <v>36</v>
      </c>
      <c r="K3736">
        <v>1990</v>
      </c>
      <c r="O3736" t="s">
        <v>176</v>
      </c>
      <c r="P3736" t="s">
        <v>38</v>
      </c>
      <c r="U3736" s="9" t="s">
        <v>638</v>
      </c>
      <c r="V3736" t="s">
        <v>638</v>
      </c>
      <c r="W3736" t="s">
        <v>178</v>
      </c>
      <c r="X3736" t="s">
        <v>70</v>
      </c>
      <c r="Y3736" t="s">
        <v>179</v>
      </c>
      <c r="Z3736" t="s">
        <v>41</v>
      </c>
      <c r="AB3736" t="str">
        <f t="shared" si="174"/>
        <v>53868</v>
      </c>
    </row>
    <row r="3737" ht="14.25" spans="1:28">
      <c r="A3737" s="5" t="s">
        <v>28</v>
      </c>
      <c r="B3737" s="5" t="s">
        <v>697</v>
      </c>
      <c r="C3737" s="5">
        <v>2027</v>
      </c>
      <c r="D3737" s="5" t="s">
        <v>30</v>
      </c>
      <c r="E3737" t="s">
        <v>2142</v>
      </c>
      <c r="F3737" t="s">
        <v>2143</v>
      </c>
      <c r="G3737" t="s">
        <v>1929</v>
      </c>
      <c r="H3737" t="s">
        <v>2144</v>
      </c>
      <c r="I3737" t="s">
        <v>147</v>
      </c>
      <c r="J3737" t="s">
        <v>36</v>
      </c>
      <c r="K3737">
        <v>1990</v>
      </c>
      <c r="O3737" t="s">
        <v>176</v>
      </c>
      <c r="P3737" t="s">
        <v>42</v>
      </c>
      <c r="U3737" s="9" t="s">
        <v>638</v>
      </c>
      <c r="V3737" t="s">
        <v>638</v>
      </c>
      <c r="W3737" t="s">
        <v>178</v>
      </c>
      <c r="X3737" t="s">
        <v>70</v>
      </c>
      <c r="Y3737" t="s">
        <v>179</v>
      </c>
      <c r="Z3737" t="s">
        <v>41</v>
      </c>
      <c r="AB3737" t="str">
        <f t="shared" si="174"/>
        <v>53868</v>
      </c>
    </row>
    <row r="3738" ht="14.25" spans="1:28">
      <c r="A3738" s="5" t="s">
        <v>28</v>
      </c>
      <c r="B3738" s="5" t="s">
        <v>697</v>
      </c>
      <c r="C3738" s="5">
        <v>2027</v>
      </c>
      <c r="D3738" s="5" t="s">
        <v>30</v>
      </c>
      <c r="E3738" t="s">
        <v>2142</v>
      </c>
      <c r="F3738" t="s">
        <v>2143</v>
      </c>
      <c r="G3738" t="s">
        <v>1929</v>
      </c>
      <c r="H3738" t="s">
        <v>2144</v>
      </c>
      <c r="I3738" t="s">
        <v>147</v>
      </c>
      <c r="J3738" t="s">
        <v>36</v>
      </c>
      <c r="K3738">
        <v>1990</v>
      </c>
      <c r="O3738" t="s">
        <v>176</v>
      </c>
      <c r="P3738" t="s">
        <v>43</v>
      </c>
      <c r="U3738" s="9" t="s">
        <v>638</v>
      </c>
      <c r="V3738" t="s">
        <v>638</v>
      </c>
      <c r="W3738" t="s">
        <v>178</v>
      </c>
      <c r="X3738" t="s">
        <v>70</v>
      </c>
      <c r="Y3738" t="s">
        <v>179</v>
      </c>
      <c r="Z3738" t="s">
        <v>41</v>
      </c>
      <c r="AB3738" t="str">
        <f t="shared" si="174"/>
        <v>53868</v>
      </c>
    </row>
    <row r="3739" ht="14.25" spans="1:28">
      <c r="A3739" s="5" t="s">
        <v>28</v>
      </c>
      <c r="B3739" s="5" t="s">
        <v>697</v>
      </c>
      <c r="C3739" s="5">
        <v>2027</v>
      </c>
      <c r="D3739" s="5" t="s">
        <v>30</v>
      </c>
      <c r="E3739" t="s">
        <v>2142</v>
      </c>
      <c r="F3739" t="s">
        <v>2143</v>
      </c>
      <c r="G3739" t="s">
        <v>1929</v>
      </c>
      <c r="H3739" t="s">
        <v>2144</v>
      </c>
      <c r="I3739" t="s">
        <v>147</v>
      </c>
      <c r="J3739" t="s">
        <v>36</v>
      </c>
      <c r="K3739">
        <v>1990</v>
      </c>
      <c r="O3739" t="s">
        <v>176</v>
      </c>
      <c r="P3739" t="s">
        <v>44</v>
      </c>
      <c r="U3739" s="9" t="s">
        <v>638</v>
      </c>
      <c r="V3739" t="s">
        <v>638</v>
      </c>
      <c r="W3739" t="s">
        <v>178</v>
      </c>
      <c r="X3739" t="s">
        <v>70</v>
      </c>
      <c r="Y3739" t="s">
        <v>179</v>
      </c>
      <c r="Z3739" t="s">
        <v>41</v>
      </c>
      <c r="AB3739" t="str">
        <f t="shared" si="174"/>
        <v>53868</v>
      </c>
    </row>
    <row r="3740" ht="14.25" spans="1:28">
      <c r="A3740" s="5" t="s">
        <v>28</v>
      </c>
      <c r="B3740" s="5" t="s">
        <v>697</v>
      </c>
      <c r="C3740" s="5">
        <v>2027</v>
      </c>
      <c r="D3740" s="5" t="s">
        <v>30</v>
      </c>
      <c r="E3740" t="s">
        <v>2142</v>
      </c>
      <c r="F3740" t="s">
        <v>2143</v>
      </c>
      <c r="G3740" t="s">
        <v>1929</v>
      </c>
      <c r="H3740" t="s">
        <v>2144</v>
      </c>
      <c r="I3740" t="s">
        <v>147</v>
      </c>
      <c r="J3740" t="s">
        <v>36</v>
      </c>
      <c r="K3740">
        <v>1990</v>
      </c>
      <c r="O3740" t="s">
        <v>176</v>
      </c>
      <c r="P3740" t="s">
        <v>45</v>
      </c>
      <c r="U3740" s="9" t="s">
        <v>638</v>
      </c>
      <c r="V3740" t="s">
        <v>638</v>
      </c>
      <c r="W3740" t="s">
        <v>178</v>
      </c>
      <c r="X3740" t="s">
        <v>70</v>
      </c>
      <c r="Y3740" t="s">
        <v>179</v>
      </c>
      <c r="Z3740" t="s">
        <v>41</v>
      </c>
      <c r="AB3740" t="str">
        <f t="shared" si="174"/>
        <v>53868</v>
      </c>
    </row>
    <row r="3741" ht="14.25" spans="1:28">
      <c r="A3741" s="5" t="s">
        <v>28</v>
      </c>
      <c r="B3741" s="5" t="s">
        <v>697</v>
      </c>
      <c r="C3741" s="5">
        <v>2027</v>
      </c>
      <c r="D3741" s="5" t="s">
        <v>30</v>
      </c>
      <c r="E3741" t="s">
        <v>2145</v>
      </c>
      <c r="F3741" t="s">
        <v>2143</v>
      </c>
      <c r="G3741" t="s">
        <v>1867</v>
      </c>
      <c r="H3741" t="s">
        <v>2146</v>
      </c>
      <c r="I3741" t="s">
        <v>147</v>
      </c>
      <c r="J3741" t="s">
        <v>36</v>
      </c>
      <c r="K3741">
        <v>1990</v>
      </c>
      <c r="O3741" t="s">
        <v>176</v>
      </c>
      <c r="P3741" t="s">
        <v>177</v>
      </c>
      <c r="R3741">
        <f t="shared" si="175"/>
        <v>0</v>
      </c>
      <c r="S3741">
        <f>SUMIFS([1]Sheet1!$T:$T,[1]Sheet1!$I:$I,E3741,[1]Sheet1!$C:$C,A3741)</f>
        <v>12</v>
      </c>
      <c r="T3741">
        <f t="shared" si="176"/>
        <v>-12</v>
      </c>
      <c r="U3741" s="9" t="s">
        <v>638</v>
      </c>
      <c r="V3741" t="s">
        <v>638</v>
      </c>
      <c r="W3741" t="s">
        <v>178</v>
      </c>
      <c r="X3741" t="s">
        <v>102</v>
      </c>
      <c r="Y3741" t="s">
        <v>179</v>
      </c>
      <c r="Z3741" t="s">
        <v>41</v>
      </c>
      <c r="AB3741" t="str">
        <f t="shared" si="174"/>
        <v>53868</v>
      </c>
    </row>
    <row r="3742" ht="14.25" spans="1:28">
      <c r="A3742" s="5" t="s">
        <v>28</v>
      </c>
      <c r="B3742" s="5" t="s">
        <v>697</v>
      </c>
      <c r="C3742" s="5">
        <v>2027</v>
      </c>
      <c r="D3742" s="5" t="s">
        <v>30</v>
      </c>
      <c r="E3742" t="s">
        <v>2145</v>
      </c>
      <c r="F3742" t="s">
        <v>2143</v>
      </c>
      <c r="G3742" t="s">
        <v>1867</v>
      </c>
      <c r="H3742" t="s">
        <v>2146</v>
      </c>
      <c r="I3742" t="s">
        <v>147</v>
      </c>
      <c r="J3742" t="s">
        <v>36</v>
      </c>
      <c r="K3742">
        <v>1990</v>
      </c>
      <c r="O3742" t="s">
        <v>176</v>
      </c>
      <c r="P3742" t="s">
        <v>38</v>
      </c>
      <c r="U3742" s="9" t="s">
        <v>638</v>
      </c>
      <c r="V3742" t="s">
        <v>638</v>
      </c>
      <c r="W3742" t="s">
        <v>178</v>
      </c>
      <c r="X3742" t="s">
        <v>102</v>
      </c>
      <c r="Y3742" t="s">
        <v>179</v>
      </c>
      <c r="Z3742" t="s">
        <v>41</v>
      </c>
      <c r="AB3742" t="str">
        <f t="shared" si="174"/>
        <v>53868</v>
      </c>
    </row>
    <row r="3743" ht="14.25" spans="1:28">
      <c r="A3743" s="5" t="s">
        <v>28</v>
      </c>
      <c r="B3743" s="5" t="s">
        <v>697</v>
      </c>
      <c r="C3743" s="5">
        <v>2027</v>
      </c>
      <c r="D3743" s="5" t="s">
        <v>30</v>
      </c>
      <c r="E3743" t="s">
        <v>2145</v>
      </c>
      <c r="F3743" t="s">
        <v>2143</v>
      </c>
      <c r="G3743" t="s">
        <v>1867</v>
      </c>
      <c r="H3743" t="s">
        <v>2146</v>
      </c>
      <c r="I3743" t="s">
        <v>147</v>
      </c>
      <c r="J3743" t="s">
        <v>36</v>
      </c>
      <c r="K3743">
        <v>1990</v>
      </c>
      <c r="O3743" t="s">
        <v>176</v>
      </c>
      <c r="P3743" t="s">
        <v>42</v>
      </c>
      <c r="U3743" s="9" t="s">
        <v>638</v>
      </c>
      <c r="V3743" t="s">
        <v>638</v>
      </c>
      <c r="W3743" t="s">
        <v>178</v>
      </c>
      <c r="X3743" t="s">
        <v>102</v>
      </c>
      <c r="Y3743" t="s">
        <v>179</v>
      </c>
      <c r="Z3743" t="s">
        <v>41</v>
      </c>
      <c r="AB3743" t="str">
        <f t="shared" si="174"/>
        <v>53868</v>
      </c>
    </row>
    <row r="3744" ht="14.25" spans="1:28">
      <c r="A3744" s="5" t="s">
        <v>28</v>
      </c>
      <c r="B3744" s="5" t="s">
        <v>697</v>
      </c>
      <c r="C3744" s="5">
        <v>2027</v>
      </c>
      <c r="D3744" s="5" t="s">
        <v>30</v>
      </c>
      <c r="E3744" t="s">
        <v>2145</v>
      </c>
      <c r="F3744" t="s">
        <v>2143</v>
      </c>
      <c r="G3744" t="s">
        <v>1867</v>
      </c>
      <c r="H3744" t="s">
        <v>2146</v>
      </c>
      <c r="I3744" t="s">
        <v>147</v>
      </c>
      <c r="J3744" t="s">
        <v>36</v>
      </c>
      <c r="K3744">
        <v>1990</v>
      </c>
      <c r="O3744" t="s">
        <v>176</v>
      </c>
      <c r="P3744" t="s">
        <v>43</v>
      </c>
      <c r="U3744" s="9" t="s">
        <v>638</v>
      </c>
      <c r="V3744" t="s">
        <v>638</v>
      </c>
      <c r="W3744" t="s">
        <v>178</v>
      </c>
      <c r="X3744" t="s">
        <v>102</v>
      </c>
      <c r="Y3744" t="s">
        <v>179</v>
      </c>
      <c r="Z3744" t="s">
        <v>41</v>
      </c>
      <c r="AB3744" t="str">
        <f t="shared" si="174"/>
        <v>53868</v>
      </c>
    </row>
    <row r="3745" ht="14.25" spans="1:28">
      <c r="A3745" s="5" t="s">
        <v>28</v>
      </c>
      <c r="B3745" s="5" t="s">
        <v>697</v>
      </c>
      <c r="C3745" s="5">
        <v>2027</v>
      </c>
      <c r="D3745" s="5" t="s">
        <v>30</v>
      </c>
      <c r="E3745" t="s">
        <v>2145</v>
      </c>
      <c r="F3745" t="s">
        <v>2143</v>
      </c>
      <c r="G3745" t="s">
        <v>1867</v>
      </c>
      <c r="H3745" t="s">
        <v>2146</v>
      </c>
      <c r="I3745" t="s">
        <v>147</v>
      </c>
      <c r="J3745" t="s">
        <v>36</v>
      </c>
      <c r="K3745">
        <v>1990</v>
      </c>
      <c r="O3745" t="s">
        <v>176</v>
      </c>
      <c r="P3745" t="s">
        <v>44</v>
      </c>
      <c r="U3745" s="9" t="s">
        <v>638</v>
      </c>
      <c r="V3745" t="s">
        <v>638</v>
      </c>
      <c r="W3745" t="s">
        <v>178</v>
      </c>
      <c r="X3745" t="s">
        <v>102</v>
      </c>
      <c r="Y3745" t="s">
        <v>179</v>
      </c>
      <c r="Z3745" t="s">
        <v>41</v>
      </c>
      <c r="AB3745" t="str">
        <f t="shared" si="174"/>
        <v>53868</v>
      </c>
    </row>
    <row r="3746" ht="14.25" spans="1:28">
      <c r="A3746" s="5" t="s">
        <v>28</v>
      </c>
      <c r="B3746" s="5" t="s">
        <v>697</v>
      </c>
      <c r="C3746" s="5">
        <v>2027</v>
      </c>
      <c r="D3746" s="5" t="s">
        <v>30</v>
      </c>
      <c r="E3746" t="s">
        <v>2145</v>
      </c>
      <c r="F3746" t="s">
        <v>2143</v>
      </c>
      <c r="G3746" t="s">
        <v>1867</v>
      </c>
      <c r="H3746" t="s">
        <v>2146</v>
      </c>
      <c r="I3746" t="s">
        <v>147</v>
      </c>
      <c r="J3746" t="s">
        <v>36</v>
      </c>
      <c r="K3746">
        <v>1990</v>
      </c>
      <c r="O3746" t="s">
        <v>176</v>
      </c>
      <c r="P3746" t="s">
        <v>45</v>
      </c>
      <c r="U3746" s="9" t="s">
        <v>638</v>
      </c>
      <c r="V3746" t="s">
        <v>638</v>
      </c>
      <c r="W3746" t="s">
        <v>178</v>
      </c>
      <c r="X3746" t="s">
        <v>102</v>
      </c>
      <c r="Y3746" t="s">
        <v>179</v>
      </c>
      <c r="Z3746" t="s">
        <v>41</v>
      </c>
      <c r="AB3746" t="str">
        <f t="shared" si="174"/>
        <v>53868</v>
      </c>
    </row>
    <row r="3747" ht="14.25" spans="1:28">
      <c r="A3747" s="5" t="s">
        <v>28</v>
      </c>
      <c r="B3747" s="5" t="s">
        <v>697</v>
      </c>
      <c r="C3747" s="5">
        <v>2027</v>
      </c>
      <c r="D3747" s="5" t="s">
        <v>30</v>
      </c>
      <c r="E3747" t="s">
        <v>2147</v>
      </c>
      <c r="F3747" t="s">
        <v>2148</v>
      </c>
      <c r="G3747" t="s">
        <v>182</v>
      </c>
      <c r="H3747" t="s">
        <v>2149</v>
      </c>
      <c r="I3747" t="s">
        <v>147</v>
      </c>
      <c r="J3747" t="s">
        <v>36</v>
      </c>
      <c r="K3747">
        <v>2590</v>
      </c>
      <c r="O3747" t="s">
        <v>176</v>
      </c>
      <c r="P3747" t="s">
        <v>177</v>
      </c>
      <c r="R3747">
        <f t="shared" si="175"/>
        <v>0</v>
      </c>
      <c r="S3747">
        <f>SUMIFS([1]Sheet1!$T:$T,[1]Sheet1!$I:$I,E3747,[1]Sheet1!$C:$C,A3747)</f>
        <v>40</v>
      </c>
      <c r="T3747">
        <f t="shared" si="176"/>
        <v>-40</v>
      </c>
      <c r="U3747" s="9" t="s">
        <v>638</v>
      </c>
      <c r="V3747" t="s">
        <v>638</v>
      </c>
      <c r="W3747" t="s">
        <v>178</v>
      </c>
      <c r="X3747" t="s">
        <v>102</v>
      </c>
      <c r="Y3747" t="s">
        <v>179</v>
      </c>
      <c r="Z3747" t="s">
        <v>41</v>
      </c>
      <c r="AB3747" t="str">
        <f t="shared" si="174"/>
        <v>53880</v>
      </c>
    </row>
    <row r="3748" ht="14.25" spans="1:28">
      <c r="A3748" s="5" t="s">
        <v>28</v>
      </c>
      <c r="B3748" s="5" t="s">
        <v>697</v>
      </c>
      <c r="C3748" s="5">
        <v>2027</v>
      </c>
      <c r="D3748" s="5" t="s">
        <v>30</v>
      </c>
      <c r="E3748" t="s">
        <v>2147</v>
      </c>
      <c r="F3748" t="s">
        <v>2148</v>
      </c>
      <c r="G3748" t="s">
        <v>182</v>
      </c>
      <c r="H3748" t="s">
        <v>2149</v>
      </c>
      <c r="I3748" t="s">
        <v>147</v>
      </c>
      <c r="J3748" t="s">
        <v>36</v>
      </c>
      <c r="K3748">
        <v>2590</v>
      </c>
      <c r="O3748" t="s">
        <v>176</v>
      </c>
      <c r="P3748" t="s">
        <v>38</v>
      </c>
      <c r="U3748" s="9" t="s">
        <v>638</v>
      </c>
      <c r="V3748" t="s">
        <v>638</v>
      </c>
      <c r="W3748" t="s">
        <v>178</v>
      </c>
      <c r="X3748" t="s">
        <v>102</v>
      </c>
      <c r="Y3748" t="s">
        <v>179</v>
      </c>
      <c r="Z3748" t="s">
        <v>41</v>
      </c>
      <c r="AB3748" t="str">
        <f t="shared" si="174"/>
        <v>53880</v>
      </c>
    </row>
    <row r="3749" ht="14.25" spans="1:28">
      <c r="A3749" s="5" t="s">
        <v>28</v>
      </c>
      <c r="B3749" s="5" t="s">
        <v>697</v>
      </c>
      <c r="C3749" s="5">
        <v>2027</v>
      </c>
      <c r="D3749" s="5" t="s">
        <v>30</v>
      </c>
      <c r="E3749" t="s">
        <v>2147</v>
      </c>
      <c r="F3749" t="s">
        <v>2148</v>
      </c>
      <c r="G3749" t="s">
        <v>182</v>
      </c>
      <c r="H3749" t="s">
        <v>2149</v>
      </c>
      <c r="I3749" t="s">
        <v>147</v>
      </c>
      <c r="J3749" t="s">
        <v>36</v>
      </c>
      <c r="K3749">
        <v>2590</v>
      </c>
      <c r="O3749" t="s">
        <v>176</v>
      </c>
      <c r="P3749" t="s">
        <v>42</v>
      </c>
      <c r="U3749" s="9" t="s">
        <v>638</v>
      </c>
      <c r="V3749" t="s">
        <v>638</v>
      </c>
      <c r="W3749" t="s">
        <v>178</v>
      </c>
      <c r="X3749" t="s">
        <v>102</v>
      </c>
      <c r="Y3749" t="s">
        <v>179</v>
      </c>
      <c r="Z3749" t="s">
        <v>41</v>
      </c>
      <c r="AB3749" t="str">
        <f t="shared" si="174"/>
        <v>53880</v>
      </c>
    </row>
    <row r="3750" ht="14.25" spans="1:28">
      <c r="A3750" s="5" t="s">
        <v>28</v>
      </c>
      <c r="B3750" s="5" t="s">
        <v>697</v>
      </c>
      <c r="C3750" s="5">
        <v>2027</v>
      </c>
      <c r="D3750" s="5" t="s">
        <v>30</v>
      </c>
      <c r="E3750" t="s">
        <v>2147</v>
      </c>
      <c r="F3750" t="s">
        <v>2148</v>
      </c>
      <c r="G3750" t="s">
        <v>182</v>
      </c>
      <c r="H3750" t="s">
        <v>2149</v>
      </c>
      <c r="I3750" t="s">
        <v>147</v>
      </c>
      <c r="J3750" t="s">
        <v>36</v>
      </c>
      <c r="K3750">
        <v>2590</v>
      </c>
      <c r="O3750" t="s">
        <v>176</v>
      </c>
      <c r="P3750" t="s">
        <v>43</v>
      </c>
      <c r="U3750" s="9" t="s">
        <v>638</v>
      </c>
      <c r="V3750" t="s">
        <v>638</v>
      </c>
      <c r="W3750" t="s">
        <v>178</v>
      </c>
      <c r="X3750" t="s">
        <v>102</v>
      </c>
      <c r="Y3750" t="s">
        <v>179</v>
      </c>
      <c r="Z3750" t="s">
        <v>41</v>
      </c>
      <c r="AB3750" t="str">
        <f t="shared" si="174"/>
        <v>53880</v>
      </c>
    </row>
    <row r="3751" ht="14.25" spans="1:28">
      <c r="A3751" s="5" t="s">
        <v>28</v>
      </c>
      <c r="B3751" s="5" t="s">
        <v>697</v>
      </c>
      <c r="C3751" s="5">
        <v>2027</v>
      </c>
      <c r="D3751" s="5" t="s">
        <v>30</v>
      </c>
      <c r="E3751" t="s">
        <v>2147</v>
      </c>
      <c r="F3751" t="s">
        <v>2148</v>
      </c>
      <c r="G3751" t="s">
        <v>182</v>
      </c>
      <c r="H3751" t="s">
        <v>2149</v>
      </c>
      <c r="I3751" t="s">
        <v>147</v>
      </c>
      <c r="J3751" t="s">
        <v>36</v>
      </c>
      <c r="K3751">
        <v>2590</v>
      </c>
      <c r="O3751" t="s">
        <v>176</v>
      </c>
      <c r="P3751" t="s">
        <v>44</v>
      </c>
      <c r="U3751" s="9" t="s">
        <v>638</v>
      </c>
      <c r="V3751" t="s">
        <v>638</v>
      </c>
      <c r="W3751" t="s">
        <v>178</v>
      </c>
      <c r="X3751" t="s">
        <v>102</v>
      </c>
      <c r="Y3751" t="s">
        <v>179</v>
      </c>
      <c r="Z3751" t="s">
        <v>41</v>
      </c>
      <c r="AB3751" t="str">
        <f t="shared" si="174"/>
        <v>53880</v>
      </c>
    </row>
    <row r="3752" ht="14.25" spans="1:28">
      <c r="A3752" s="5" t="s">
        <v>28</v>
      </c>
      <c r="B3752" s="5" t="s">
        <v>697</v>
      </c>
      <c r="C3752" s="5">
        <v>2027</v>
      </c>
      <c r="D3752" s="5" t="s">
        <v>30</v>
      </c>
      <c r="E3752" t="s">
        <v>2147</v>
      </c>
      <c r="F3752" t="s">
        <v>2148</v>
      </c>
      <c r="G3752" t="s">
        <v>182</v>
      </c>
      <c r="H3752" t="s">
        <v>2149</v>
      </c>
      <c r="I3752" t="s">
        <v>147</v>
      </c>
      <c r="J3752" t="s">
        <v>36</v>
      </c>
      <c r="K3752">
        <v>2590</v>
      </c>
      <c r="O3752" t="s">
        <v>176</v>
      </c>
      <c r="P3752" t="s">
        <v>45</v>
      </c>
      <c r="U3752" s="9" t="s">
        <v>638</v>
      </c>
      <c r="V3752" t="s">
        <v>638</v>
      </c>
      <c r="W3752" t="s">
        <v>178</v>
      </c>
      <c r="X3752" t="s">
        <v>102</v>
      </c>
      <c r="Y3752" t="s">
        <v>179</v>
      </c>
      <c r="Z3752" t="s">
        <v>41</v>
      </c>
      <c r="AB3752" t="str">
        <f t="shared" si="174"/>
        <v>53880</v>
      </c>
    </row>
    <row r="3753" ht="14.25" spans="1:28">
      <c r="A3753" s="5" t="s">
        <v>28</v>
      </c>
      <c r="B3753" s="5" t="s">
        <v>697</v>
      </c>
      <c r="C3753" s="5">
        <v>2027</v>
      </c>
      <c r="D3753" s="5" t="s">
        <v>30</v>
      </c>
      <c r="E3753" t="s">
        <v>2150</v>
      </c>
      <c r="F3753" t="s">
        <v>2148</v>
      </c>
      <c r="G3753" t="s">
        <v>2151</v>
      </c>
      <c r="H3753" t="s">
        <v>2152</v>
      </c>
      <c r="I3753" t="s">
        <v>147</v>
      </c>
      <c r="J3753" t="s">
        <v>36</v>
      </c>
      <c r="K3753">
        <v>2590</v>
      </c>
      <c r="O3753" t="s">
        <v>176</v>
      </c>
      <c r="P3753" t="s">
        <v>177</v>
      </c>
      <c r="R3753">
        <f t="shared" si="175"/>
        <v>0</v>
      </c>
      <c r="S3753">
        <f>SUMIFS([1]Sheet1!$T:$T,[1]Sheet1!$I:$I,E3753,[1]Sheet1!$C:$C,A3753)</f>
        <v>8</v>
      </c>
      <c r="T3753">
        <f t="shared" si="176"/>
        <v>-8</v>
      </c>
      <c r="U3753" s="9" t="s">
        <v>638</v>
      </c>
      <c r="V3753" t="s">
        <v>638</v>
      </c>
      <c r="W3753" t="s">
        <v>178</v>
      </c>
      <c r="X3753" t="s">
        <v>503</v>
      </c>
      <c r="Y3753" t="s">
        <v>179</v>
      </c>
      <c r="Z3753" t="s">
        <v>41</v>
      </c>
      <c r="AB3753" t="str">
        <f t="shared" si="174"/>
        <v>53880</v>
      </c>
    </row>
    <row r="3754" ht="14.25" spans="1:28">
      <c r="A3754" s="5" t="s">
        <v>28</v>
      </c>
      <c r="B3754" s="5" t="s">
        <v>697</v>
      </c>
      <c r="C3754" s="5">
        <v>2027</v>
      </c>
      <c r="D3754" s="5" t="s">
        <v>30</v>
      </c>
      <c r="E3754" t="s">
        <v>2150</v>
      </c>
      <c r="F3754" t="s">
        <v>2148</v>
      </c>
      <c r="G3754" t="s">
        <v>2151</v>
      </c>
      <c r="H3754" t="s">
        <v>2152</v>
      </c>
      <c r="I3754" t="s">
        <v>147</v>
      </c>
      <c r="J3754" t="s">
        <v>36</v>
      </c>
      <c r="K3754">
        <v>2590</v>
      </c>
      <c r="O3754" t="s">
        <v>176</v>
      </c>
      <c r="P3754" t="s">
        <v>38</v>
      </c>
      <c r="U3754" s="9" t="s">
        <v>638</v>
      </c>
      <c r="V3754" t="s">
        <v>638</v>
      </c>
      <c r="W3754" t="s">
        <v>178</v>
      </c>
      <c r="X3754" t="s">
        <v>503</v>
      </c>
      <c r="Y3754" t="s">
        <v>179</v>
      </c>
      <c r="Z3754" t="s">
        <v>41</v>
      </c>
      <c r="AB3754" t="str">
        <f t="shared" si="174"/>
        <v>53880</v>
      </c>
    </row>
    <row r="3755" ht="14.25" spans="1:28">
      <c r="A3755" s="5" t="s">
        <v>28</v>
      </c>
      <c r="B3755" s="5" t="s">
        <v>697</v>
      </c>
      <c r="C3755" s="5">
        <v>2027</v>
      </c>
      <c r="D3755" s="5" t="s">
        <v>30</v>
      </c>
      <c r="E3755" t="s">
        <v>2150</v>
      </c>
      <c r="F3755" t="s">
        <v>2148</v>
      </c>
      <c r="G3755" t="s">
        <v>2151</v>
      </c>
      <c r="H3755" t="s">
        <v>2152</v>
      </c>
      <c r="I3755" t="s">
        <v>147</v>
      </c>
      <c r="J3755" t="s">
        <v>36</v>
      </c>
      <c r="K3755">
        <v>2590</v>
      </c>
      <c r="O3755" t="s">
        <v>176</v>
      </c>
      <c r="P3755" t="s">
        <v>42</v>
      </c>
      <c r="U3755" s="9" t="s">
        <v>638</v>
      </c>
      <c r="V3755" t="s">
        <v>638</v>
      </c>
      <c r="W3755" t="s">
        <v>178</v>
      </c>
      <c r="X3755" t="s">
        <v>503</v>
      </c>
      <c r="Y3755" t="s">
        <v>179</v>
      </c>
      <c r="Z3755" t="s">
        <v>41</v>
      </c>
      <c r="AB3755" t="str">
        <f t="shared" si="174"/>
        <v>53880</v>
      </c>
    </row>
    <row r="3756" ht="14.25" spans="1:28">
      <c r="A3756" s="5" t="s">
        <v>28</v>
      </c>
      <c r="B3756" s="5" t="s">
        <v>697</v>
      </c>
      <c r="C3756" s="5">
        <v>2027</v>
      </c>
      <c r="D3756" s="5" t="s">
        <v>30</v>
      </c>
      <c r="E3756" t="s">
        <v>2150</v>
      </c>
      <c r="F3756" t="s">
        <v>2148</v>
      </c>
      <c r="G3756" t="s">
        <v>2151</v>
      </c>
      <c r="H3756" t="s">
        <v>2152</v>
      </c>
      <c r="I3756" t="s">
        <v>147</v>
      </c>
      <c r="J3756" t="s">
        <v>36</v>
      </c>
      <c r="K3756">
        <v>2590</v>
      </c>
      <c r="O3756" t="s">
        <v>176</v>
      </c>
      <c r="P3756" t="s">
        <v>43</v>
      </c>
      <c r="U3756" s="9" t="s">
        <v>638</v>
      </c>
      <c r="V3756" t="s">
        <v>638</v>
      </c>
      <c r="W3756" t="s">
        <v>178</v>
      </c>
      <c r="X3756" t="s">
        <v>503</v>
      </c>
      <c r="Y3756" t="s">
        <v>179</v>
      </c>
      <c r="Z3756" t="s">
        <v>41</v>
      </c>
      <c r="AB3756" t="str">
        <f t="shared" si="174"/>
        <v>53880</v>
      </c>
    </row>
    <row r="3757" ht="14.25" spans="1:28">
      <c r="A3757" s="5" t="s">
        <v>28</v>
      </c>
      <c r="B3757" s="5" t="s">
        <v>697</v>
      </c>
      <c r="C3757" s="5">
        <v>2027</v>
      </c>
      <c r="D3757" s="5" t="s">
        <v>30</v>
      </c>
      <c r="E3757" t="s">
        <v>2150</v>
      </c>
      <c r="F3757" t="s">
        <v>2148</v>
      </c>
      <c r="G3757" t="s">
        <v>2151</v>
      </c>
      <c r="H3757" t="s">
        <v>2152</v>
      </c>
      <c r="I3757" t="s">
        <v>147</v>
      </c>
      <c r="J3757" t="s">
        <v>36</v>
      </c>
      <c r="K3757">
        <v>2590</v>
      </c>
      <c r="O3757" t="s">
        <v>176</v>
      </c>
      <c r="P3757" t="s">
        <v>44</v>
      </c>
      <c r="U3757" s="9" t="s">
        <v>638</v>
      </c>
      <c r="V3757" t="s">
        <v>638</v>
      </c>
      <c r="W3757" t="s">
        <v>178</v>
      </c>
      <c r="X3757" t="s">
        <v>503</v>
      </c>
      <c r="Y3757" t="s">
        <v>179</v>
      </c>
      <c r="Z3757" t="s">
        <v>41</v>
      </c>
      <c r="AB3757" t="str">
        <f t="shared" si="174"/>
        <v>53880</v>
      </c>
    </row>
    <row r="3758" ht="14.25" spans="1:28">
      <c r="A3758" s="5" t="s">
        <v>28</v>
      </c>
      <c r="B3758" s="5" t="s">
        <v>697</v>
      </c>
      <c r="C3758" s="5">
        <v>2027</v>
      </c>
      <c r="D3758" s="5" t="s">
        <v>30</v>
      </c>
      <c r="E3758" t="s">
        <v>2150</v>
      </c>
      <c r="F3758" t="s">
        <v>2148</v>
      </c>
      <c r="G3758" t="s">
        <v>2151</v>
      </c>
      <c r="H3758" t="s">
        <v>2152</v>
      </c>
      <c r="I3758" t="s">
        <v>147</v>
      </c>
      <c r="J3758" t="s">
        <v>36</v>
      </c>
      <c r="K3758">
        <v>2590</v>
      </c>
      <c r="O3758" t="s">
        <v>176</v>
      </c>
      <c r="P3758" t="s">
        <v>45</v>
      </c>
      <c r="U3758" s="9" t="s">
        <v>638</v>
      </c>
      <c r="V3758" t="s">
        <v>638</v>
      </c>
      <c r="W3758" t="s">
        <v>178</v>
      </c>
      <c r="X3758" t="s">
        <v>503</v>
      </c>
      <c r="Y3758" t="s">
        <v>179</v>
      </c>
      <c r="Z3758" t="s">
        <v>41</v>
      </c>
      <c r="AB3758" t="str">
        <f t="shared" si="174"/>
        <v>53880</v>
      </c>
    </row>
    <row r="3759" ht="14.25" spans="1:28">
      <c r="A3759" s="5" t="s">
        <v>28</v>
      </c>
      <c r="B3759" s="5" t="s">
        <v>697</v>
      </c>
      <c r="C3759" s="5">
        <v>2027</v>
      </c>
      <c r="D3759" s="5" t="s">
        <v>30</v>
      </c>
      <c r="E3759" t="s">
        <v>2153</v>
      </c>
      <c r="F3759" t="s">
        <v>2154</v>
      </c>
      <c r="G3759" t="s">
        <v>182</v>
      </c>
      <c r="H3759" t="s">
        <v>2155</v>
      </c>
      <c r="I3759" t="s">
        <v>147</v>
      </c>
      <c r="J3759" t="s">
        <v>36</v>
      </c>
      <c r="K3759">
        <v>1390</v>
      </c>
      <c r="O3759" t="s">
        <v>176</v>
      </c>
      <c r="P3759" t="s">
        <v>177</v>
      </c>
      <c r="R3759">
        <f t="shared" si="175"/>
        <v>0</v>
      </c>
      <c r="S3759">
        <f>SUMIFS([1]Sheet1!$T:$T,[1]Sheet1!$I:$I,E3759,[1]Sheet1!$C:$C,A3759)</f>
        <v>20</v>
      </c>
      <c r="T3759">
        <f t="shared" si="176"/>
        <v>-20</v>
      </c>
      <c r="U3759" s="9" t="s">
        <v>148</v>
      </c>
      <c r="V3759" t="s">
        <v>2046</v>
      </c>
      <c r="W3759" t="s">
        <v>178</v>
      </c>
      <c r="X3759" t="s">
        <v>102</v>
      </c>
      <c r="Y3759" t="s">
        <v>179</v>
      </c>
      <c r="Z3759" t="s">
        <v>247</v>
      </c>
      <c r="AB3759" t="str">
        <f t="shared" si="174"/>
        <v>53882</v>
      </c>
    </row>
    <row r="3760" ht="14.25" spans="1:28">
      <c r="A3760" s="5" t="s">
        <v>28</v>
      </c>
      <c r="B3760" s="5" t="s">
        <v>697</v>
      </c>
      <c r="C3760" s="5">
        <v>2027</v>
      </c>
      <c r="D3760" s="5" t="s">
        <v>30</v>
      </c>
      <c r="E3760" t="s">
        <v>2153</v>
      </c>
      <c r="F3760" t="s">
        <v>2154</v>
      </c>
      <c r="G3760" t="s">
        <v>182</v>
      </c>
      <c r="H3760" t="s">
        <v>2155</v>
      </c>
      <c r="I3760" t="s">
        <v>147</v>
      </c>
      <c r="J3760" t="s">
        <v>36</v>
      </c>
      <c r="K3760">
        <v>1390</v>
      </c>
      <c r="O3760" t="s">
        <v>176</v>
      </c>
      <c r="P3760" t="s">
        <v>38</v>
      </c>
      <c r="U3760" s="9" t="s">
        <v>148</v>
      </c>
      <c r="V3760" t="s">
        <v>2046</v>
      </c>
      <c r="W3760" t="s">
        <v>178</v>
      </c>
      <c r="X3760" t="s">
        <v>102</v>
      </c>
      <c r="Y3760" t="s">
        <v>179</v>
      </c>
      <c r="Z3760" t="s">
        <v>247</v>
      </c>
      <c r="AB3760" t="str">
        <f t="shared" si="174"/>
        <v>53882</v>
      </c>
    </row>
    <row r="3761" ht="14.25" spans="1:28">
      <c r="A3761" s="5" t="s">
        <v>28</v>
      </c>
      <c r="B3761" s="5" t="s">
        <v>697</v>
      </c>
      <c r="C3761" s="5">
        <v>2027</v>
      </c>
      <c r="D3761" s="5" t="s">
        <v>30</v>
      </c>
      <c r="E3761" t="s">
        <v>2153</v>
      </c>
      <c r="F3761" t="s">
        <v>2154</v>
      </c>
      <c r="G3761" t="s">
        <v>182</v>
      </c>
      <c r="H3761" t="s">
        <v>2155</v>
      </c>
      <c r="I3761" t="s">
        <v>147</v>
      </c>
      <c r="J3761" t="s">
        <v>36</v>
      </c>
      <c r="K3761">
        <v>1390</v>
      </c>
      <c r="O3761" t="s">
        <v>176</v>
      </c>
      <c r="P3761" t="s">
        <v>42</v>
      </c>
      <c r="U3761" s="9" t="s">
        <v>148</v>
      </c>
      <c r="V3761" t="s">
        <v>2046</v>
      </c>
      <c r="W3761" t="s">
        <v>178</v>
      </c>
      <c r="X3761" t="s">
        <v>102</v>
      </c>
      <c r="Y3761" t="s">
        <v>179</v>
      </c>
      <c r="Z3761" t="s">
        <v>247</v>
      </c>
      <c r="AB3761" t="str">
        <f t="shared" si="174"/>
        <v>53882</v>
      </c>
    </row>
    <row r="3762" ht="14.25" spans="1:28">
      <c r="A3762" s="5" t="s">
        <v>28</v>
      </c>
      <c r="B3762" s="5" t="s">
        <v>697</v>
      </c>
      <c r="C3762" s="5">
        <v>2027</v>
      </c>
      <c r="D3762" s="5" t="s">
        <v>30</v>
      </c>
      <c r="E3762" t="s">
        <v>2153</v>
      </c>
      <c r="F3762" t="s">
        <v>2154</v>
      </c>
      <c r="G3762" t="s">
        <v>182</v>
      </c>
      <c r="H3762" t="s">
        <v>2155</v>
      </c>
      <c r="I3762" t="s">
        <v>147</v>
      </c>
      <c r="J3762" t="s">
        <v>36</v>
      </c>
      <c r="K3762">
        <v>1390</v>
      </c>
      <c r="O3762" t="s">
        <v>176</v>
      </c>
      <c r="P3762" t="s">
        <v>43</v>
      </c>
      <c r="U3762" s="9" t="s">
        <v>148</v>
      </c>
      <c r="V3762" t="s">
        <v>2046</v>
      </c>
      <c r="W3762" t="s">
        <v>178</v>
      </c>
      <c r="X3762" t="s">
        <v>102</v>
      </c>
      <c r="Y3762" t="s">
        <v>179</v>
      </c>
      <c r="Z3762" t="s">
        <v>247</v>
      </c>
      <c r="AB3762" t="str">
        <f t="shared" si="174"/>
        <v>53882</v>
      </c>
    </row>
    <row r="3763" ht="14.25" spans="1:28">
      <c r="A3763" s="5" t="s">
        <v>28</v>
      </c>
      <c r="B3763" s="5" t="s">
        <v>697</v>
      </c>
      <c r="C3763" s="5">
        <v>2027</v>
      </c>
      <c r="D3763" s="5" t="s">
        <v>30</v>
      </c>
      <c r="E3763" t="s">
        <v>2153</v>
      </c>
      <c r="F3763" t="s">
        <v>2154</v>
      </c>
      <c r="G3763" t="s">
        <v>182</v>
      </c>
      <c r="H3763" t="s">
        <v>2155</v>
      </c>
      <c r="I3763" t="s">
        <v>147</v>
      </c>
      <c r="J3763" t="s">
        <v>36</v>
      </c>
      <c r="K3763">
        <v>1390</v>
      </c>
      <c r="O3763" t="s">
        <v>176</v>
      </c>
      <c r="P3763" t="s">
        <v>44</v>
      </c>
      <c r="U3763" s="9" t="s">
        <v>148</v>
      </c>
      <c r="V3763" t="s">
        <v>2046</v>
      </c>
      <c r="W3763" t="s">
        <v>178</v>
      </c>
      <c r="X3763" t="s">
        <v>102</v>
      </c>
      <c r="Y3763" t="s">
        <v>179</v>
      </c>
      <c r="Z3763" t="s">
        <v>247</v>
      </c>
      <c r="AB3763" t="str">
        <f t="shared" ref="AB3763:AB3826" si="177">MID(E3763,6,5)</f>
        <v>53882</v>
      </c>
    </row>
    <row r="3764" ht="14.25" spans="1:28">
      <c r="A3764" s="5" t="s">
        <v>28</v>
      </c>
      <c r="B3764" s="5" t="s">
        <v>697</v>
      </c>
      <c r="C3764" s="5">
        <v>2027</v>
      </c>
      <c r="D3764" s="5" t="s">
        <v>30</v>
      </c>
      <c r="E3764" t="s">
        <v>2153</v>
      </c>
      <c r="F3764" t="s">
        <v>2154</v>
      </c>
      <c r="G3764" t="s">
        <v>182</v>
      </c>
      <c r="H3764" t="s">
        <v>2155</v>
      </c>
      <c r="I3764" t="s">
        <v>147</v>
      </c>
      <c r="J3764" t="s">
        <v>36</v>
      </c>
      <c r="K3764">
        <v>1390</v>
      </c>
      <c r="O3764" t="s">
        <v>176</v>
      </c>
      <c r="P3764" t="s">
        <v>45</v>
      </c>
      <c r="U3764" s="9" t="s">
        <v>148</v>
      </c>
      <c r="V3764" t="s">
        <v>2046</v>
      </c>
      <c r="W3764" t="s">
        <v>178</v>
      </c>
      <c r="X3764" t="s">
        <v>102</v>
      </c>
      <c r="Y3764" t="s">
        <v>179</v>
      </c>
      <c r="Z3764" t="s">
        <v>247</v>
      </c>
      <c r="AB3764" t="str">
        <f t="shared" si="177"/>
        <v>53882</v>
      </c>
    </row>
    <row r="3765" ht="14.25" spans="1:28">
      <c r="A3765" s="5" t="s">
        <v>28</v>
      </c>
      <c r="B3765" s="5" t="s">
        <v>697</v>
      </c>
      <c r="C3765" s="5">
        <v>2027</v>
      </c>
      <c r="D3765" s="5" t="s">
        <v>30</v>
      </c>
      <c r="E3765" t="s">
        <v>2156</v>
      </c>
      <c r="F3765" t="s">
        <v>2154</v>
      </c>
      <c r="G3765" t="s">
        <v>254</v>
      </c>
      <c r="H3765" t="s">
        <v>2157</v>
      </c>
      <c r="I3765" t="s">
        <v>147</v>
      </c>
      <c r="J3765" t="s">
        <v>36</v>
      </c>
      <c r="K3765">
        <v>1390</v>
      </c>
      <c r="O3765" t="s">
        <v>176</v>
      </c>
      <c r="P3765" t="s">
        <v>177</v>
      </c>
      <c r="R3765">
        <f t="shared" si="175"/>
        <v>0</v>
      </c>
      <c r="S3765">
        <f>SUMIFS([1]Sheet1!$T:$T,[1]Sheet1!$I:$I,E3765,[1]Sheet1!$C:$C,A3765)</f>
        <v>20</v>
      </c>
      <c r="T3765">
        <f t="shared" si="176"/>
        <v>-20</v>
      </c>
      <c r="U3765" s="9" t="s">
        <v>148</v>
      </c>
      <c r="V3765" t="s">
        <v>2046</v>
      </c>
      <c r="W3765" t="s">
        <v>178</v>
      </c>
      <c r="X3765" t="s">
        <v>86</v>
      </c>
      <c r="Y3765" t="s">
        <v>179</v>
      </c>
      <c r="Z3765" t="s">
        <v>247</v>
      </c>
      <c r="AB3765" t="str">
        <f t="shared" si="177"/>
        <v>53882</v>
      </c>
    </row>
    <row r="3766" ht="14.25" spans="1:28">
      <c r="A3766" s="5" t="s">
        <v>28</v>
      </c>
      <c r="B3766" s="5" t="s">
        <v>697</v>
      </c>
      <c r="C3766" s="5">
        <v>2027</v>
      </c>
      <c r="D3766" s="5" t="s">
        <v>30</v>
      </c>
      <c r="E3766" t="s">
        <v>2156</v>
      </c>
      <c r="F3766" t="s">
        <v>2154</v>
      </c>
      <c r="G3766" t="s">
        <v>254</v>
      </c>
      <c r="H3766" t="s">
        <v>2157</v>
      </c>
      <c r="I3766" t="s">
        <v>147</v>
      </c>
      <c r="J3766" t="s">
        <v>36</v>
      </c>
      <c r="K3766">
        <v>1390</v>
      </c>
      <c r="O3766" t="s">
        <v>176</v>
      </c>
      <c r="P3766" t="s">
        <v>38</v>
      </c>
      <c r="U3766" s="9" t="s">
        <v>148</v>
      </c>
      <c r="V3766" t="s">
        <v>2046</v>
      </c>
      <c r="W3766" t="s">
        <v>178</v>
      </c>
      <c r="X3766" t="s">
        <v>86</v>
      </c>
      <c r="Y3766" t="s">
        <v>179</v>
      </c>
      <c r="Z3766" t="s">
        <v>247</v>
      </c>
      <c r="AB3766" t="str">
        <f t="shared" si="177"/>
        <v>53882</v>
      </c>
    </row>
    <row r="3767" ht="14.25" spans="1:28">
      <c r="A3767" s="5" t="s">
        <v>28</v>
      </c>
      <c r="B3767" s="5" t="s">
        <v>697</v>
      </c>
      <c r="C3767" s="5">
        <v>2027</v>
      </c>
      <c r="D3767" s="5" t="s">
        <v>30</v>
      </c>
      <c r="E3767" t="s">
        <v>2156</v>
      </c>
      <c r="F3767" t="s">
        <v>2154</v>
      </c>
      <c r="G3767" t="s">
        <v>254</v>
      </c>
      <c r="H3767" t="s">
        <v>2157</v>
      </c>
      <c r="I3767" t="s">
        <v>147</v>
      </c>
      <c r="J3767" t="s">
        <v>36</v>
      </c>
      <c r="K3767">
        <v>1390</v>
      </c>
      <c r="O3767" t="s">
        <v>176</v>
      </c>
      <c r="P3767" t="s">
        <v>42</v>
      </c>
      <c r="U3767" s="9" t="s">
        <v>148</v>
      </c>
      <c r="V3767" t="s">
        <v>2046</v>
      </c>
      <c r="W3767" t="s">
        <v>178</v>
      </c>
      <c r="X3767" t="s">
        <v>86</v>
      </c>
      <c r="Y3767" t="s">
        <v>179</v>
      </c>
      <c r="Z3767" t="s">
        <v>247</v>
      </c>
      <c r="AB3767" t="str">
        <f t="shared" si="177"/>
        <v>53882</v>
      </c>
    </row>
    <row r="3768" ht="14.25" spans="1:28">
      <c r="A3768" s="5" t="s">
        <v>28</v>
      </c>
      <c r="B3768" s="5" t="s">
        <v>697</v>
      </c>
      <c r="C3768" s="5">
        <v>2027</v>
      </c>
      <c r="D3768" s="5" t="s">
        <v>30</v>
      </c>
      <c r="E3768" t="s">
        <v>2156</v>
      </c>
      <c r="F3768" t="s">
        <v>2154</v>
      </c>
      <c r="G3768" t="s">
        <v>254</v>
      </c>
      <c r="H3768" t="s">
        <v>2157</v>
      </c>
      <c r="I3768" t="s">
        <v>147</v>
      </c>
      <c r="J3768" t="s">
        <v>36</v>
      </c>
      <c r="K3768">
        <v>1390</v>
      </c>
      <c r="O3768" t="s">
        <v>176</v>
      </c>
      <c r="P3768" t="s">
        <v>43</v>
      </c>
      <c r="U3768" s="9" t="s">
        <v>148</v>
      </c>
      <c r="V3768" t="s">
        <v>2046</v>
      </c>
      <c r="W3768" t="s">
        <v>178</v>
      </c>
      <c r="X3768" t="s">
        <v>86</v>
      </c>
      <c r="Y3768" t="s">
        <v>179</v>
      </c>
      <c r="Z3768" t="s">
        <v>247</v>
      </c>
      <c r="AB3768" t="str">
        <f t="shared" si="177"/>
        <v>53882</v>
      </c>
    </row>
    <row r="3769" ht="14.25" spans="1:28">
      <c r="A3769" s="5" t="s">
        <v>28</v>
      </c>
      <c r="B3769" s="5" t="s">
        <v>697</v>
      </c>
      <c r="C3769" s="5">
        <v>2027</v>
      </c>
      <c r="D3769" s="5" t="s">
        <v>30</v>
      </c>
      <c r="E3769" t="s">
        <v>2156</v>
      </c>
      <c r="F3769" t="s">
        <v>2154</v>
      </c>
      <c r="G3769" t="s">
        <v>254</v>
      </c>
      <c r="H3769" t="s">
        <v>2157</v>
      </c>
      <c r="I3769" t="s">
        <v>147</v>
      </c>
      <c r="J3769" t="s">
        <v>36</v>
      </c>
      <c r="K3769">
        <v>1390</v>
      </c>
      <c r="O3769" t="s">
        <v>176</v>
      </c>
      <c r="P3769" t="s">
        <v>44</v>
      </c>
      <c r="U3769" s="9" t="s">
        <v>148</v>
      </c>
      <c r="V3769" t="s">
        <v>2046</v>
      </c>
      <c r="W3769" t="s">
        <v>178</v>
      </c>
      <c r="X3769" t="s">
        <v>86</v>
      </c>
      <c r="Y3769" t="s">
        <v>179</v>
      </c>
      <c r="Z3769" t="s">
        <v>247</v>
      </c>
      <c r="AB3769" t="str">
        <f t="shared" si="177"/>
        <v>53882</v>
      </c>
    </row>
    <row r="3770" ht="14.25" spans="1:28">
      <c r="A3770" s="5" t="s">
        <v>28</v>
      </c>
      <c r="B3770" s="5" t="s">
        <v>697</v>
      </c>
      <c r="C3770" s="5">
        <v>2027</v>
      </c>
      <c r="D3770" s="5" t="s">
        <v>30</v>
      </c>
      <c r="E3770" t="s">
        <v>2156</v>
      </c>
      <c r="F3770" t="s">
        <v>2154</v>
      </c>
      <c r="G3770" t="s">
        <v>254</v>
      </c>
      <c r="H3770" t="s">
        <v>2157</v>
      </c>
      <c r="I3770" t="s">
        <v>147</v>
      </c>
      <c r="J3770" t="s">
        <v>36</v>
      </c>
      <c r="K3770">
        <v>1390</v>
      </c>
      <c r="O3770" t="s">
        <v>176</v>
      </c>
      <c r="P3770" t="s">
        <v>45</v>
      </c>
      <c r="U3770" s="9" t="s">
        <v>148</v>
      </c>
      <c r="V3770" t="s">
        <v>2046</v>
      </c>
      <c r="W3770" t="s">
        <v>178</v>
      </c>
      <c r="X3770" t="s">
        <v>86</v>
      </c>
      <c r="Y3770" t="s">
        <v>179</v>
      </c>
      <c r="Z3770" t="s">
        <v>247</v>
      </c>
      <c r="AB3770" t="str">
        <f t="shared" si="177"/>
        <v>53882</v>
      </c>
    </row>
    <row r="3771" ht="14.25" spans="1:28">
      <c r="A3771" s="5" t="s">
        <v>28</v>
      </c>
      <c r="B3771" s="5" t="s">
        <v>697</v>
      </c>
      <c r="C3771" s="5">
        <v>2027</v>
      </c>
      <c r="D3771" s="5" t="s">
        <v>30</v>
      </c>
      <c r="E3771" t="s">
        <v>2158</v>
      </c>
      <c r="F3771" t="s">
        <v>2159</v>
      </c>
      <c r="G3771" t="s">
        <v>2160</v>
      </c>
      <c r="H3771" t="s">
        <v>2161</v>
      </c>
      <c r="I3771" t="s">
        <v>119</v>
      </c>
      <c r="J3771" t="s">
        <v>36</v>
      </c>
      <c r="K3771">
        <v>490</v>
      </c>
      <c r="O3771" t="s">
        <v>176</v>
      </c>
      <c r="P3771" t="s">
        <v>177</v>
      </c>
      <c r="R3771">
        <f t="shared" si="175"/>
        <v>0</v>
      </c>
      <c r="S3771">
        <f>SUMIFS([1]Sheet1!$T:$T,[1]Sheet1!$I:$I,E3771,[1]Sheet1!$C:$C,A3771)</f>
        <v>100</v>
      </c>
      <c r="T3771">
        <f t="shared" si="176"/>
        <v>-100</v>
      </c>
      <c r="U3771" s="9" t="s">
        <v>148</v>
      </c>
      <c r="V3771" t="s">
        <v>460</v>
      </c>
      <c r="W3771" t="s">
        <v>178</v>
      </c>
      <c r="X3771" t="s">
        <v>1455</v>
      </c>
      <c r="Y3771" t="s">
        <v>179</v>
      </c>
      <c r="Z3771" t="s">
        <v>247</v>
      </c>
      <c r="AB3771" t="str">
        <f t="shared" si="177"/>
        <v>53894</v>
      </c>
    </row>
    <row r="3772" ht="14.25" spans="1:28">
      <c r="A3772" s="5" t="s">
        <v>28</v>
      </c>
      <c r="B3772" s="5" t="s">
        <v>697</v>
      </c>
      <c r="C3772" s="5">
        <v>2027</v>
      </c>
      <c r="D3772" s="5" t="s">
        <v>30</v>
      </c>
      <c r="E3772" t="s">
        <v>2158</v>
      </c>
      <c r="F3772" t="s">
        <v>2159</v>
      </c>
      <c r="G3772" t="s">
        <v>2160</v>
      </c>
      <c r="H3772" t="s">
        <v>2161</v>
      </c>
      <c r="I3772" t="s">
        <v>119</v>
      </c>
      <c r="J3772" t="s">
        <v>36</v>
      </c>
      <c r="K3772">
        <v>490</v>
      </c>
      <c r="O3772" t="s">
        <v>176</v>
      </c>
      <c r="P3772" t="s">
        <v>38</v>
      </c>
      <c r="U3772" s="9" t="s">
        <v>148</v>
      </c>
      <c r="V3772" t="s">
        <v>460</v>
      </c>
      <c r="W3772" t="s">
        <v>178</v>
      </c>
      <c r="X3772" t="s">
        <v>1455</v>
      </c>
      <c r="Y3772" t="s">
        <v>179</v>
      </c>
      <c r="Z3772" t="s">
        <v>247</v>
      </c>
      <c r="AB3772" t="str">
        <f t="shared" si="177"/>
        <v>53894</v>
      </c>
    </row>
    <row r="3773" ht="14.25" spans="1:28">
      <c r="A3773" s="5" t="s">
        <v>28</v>
      </c>
      <c r="B3773" s="5" t="s">
        <v>697</v>
      </c>
      <c r="C3773" s="5">
        <v>2027</v>
      </c>
      <c r="D3773" s="5" t="s">
        <v>30</v>
      </c>
      <c r="E3773" t="s">
        <v>2158</v>
      </c>
      <c r="F3773" t="s">
        <v>2159</v>
      </c>
      <c r="G3773" t="s">
        <v>2160</v>
      </c>
      <c r="H3773" t="s">
        <v>2161</v>
      </c>
      <c r="I3773" t="s">
        <v>119</v>
      </c>
      <c r="J3773" t="s">
        <v>36</v>
      </c>
      <c r="K3773">
        <v>490</v>
      </c>
      <c r="O3773" t="s">
        <v>176</v>
      </c>
      <c r="P3773" t="s">
        <v>42</v>
      </c>
      <c r="U3773" s="9" t="s">
        <v>148</v>
      </c>
      <c r="V3773" t="s">
        <v>460</v>
      </c>
      <c r="W3773" t="s">
        <v>178</v>
      </c>
      <c r="X3773" t="s">
        <v>1455</v>
      </c>
      <c r="Y3773" t="s">
        <v>179</v>
      </c>
      <c r="Z3773" t="s">
        <v>247</v>
      </c>
      <c r="AB3773" t="str">
        <f t="shared" si="177"/>
        <v>53894</v>
      </c>
    </row>
    <row r="3774" ht="14.25" spans="1:28">
      <c r="A3774" s="5" t="s">
        <v>28</v>
      </c>
      <c r="B3774" s="5" t="s">
        <v>697</v>
      </c>
      <c r="C3774" s="5">
        <v>2027</v>
      </c>
      <c r="D3774" s="5" t="s">
        <v>30</v>
      </c>
      <c r="E3774" t="s">
        <v>2158</v>
      </c>
      <c r="F3774" t="s">
        <v>2159</v>
      </c>
      <c r="G3774" t="s">
        <v>2160</v>
      </c>
      <c r="H3774" t="s">
        <v>2161</v>
      </c>
      <c r="I3774" t="s">
        <v>119</v>
      </c>
      <c r="J3774" t="s">
        <v>36</v>
      </c>
      <c r="K3774">
        <v>490</v>
      </c>
      <c r="O3774" t="s">
        <v>176</v>
      </c>
      <c r="P3774" t="s">
        <v>43</v>
      </c>
      <c r="U3774" s="9" t="s">
        <v>148</v>
      </c>
      <c r="V3774" t="s">
        <v>460</v>
      </c>
      <c r="W3774" t="s">
        <v>178</v>
      </c>
      <c r="X3774" t="s">
        <v>1455</v>
      </c>
      <c r="Y3774" t="s">
        <v>179</v>
      </c>
      <c r="Z3774" t="s">
        <v>247</v>
      </c>
      <c r="AB3774" t="str">
        <f t="shared" si="177"/>
        <v>53894</v>
      </c>
    </row>
    <row r="3775" ht="14.25" spans="1:28">
      <c r="A3775" s="5" t="s">
        <v>28</v>
      </c>
      <c r="B3775" s="5" t="s">
        <v>697</v>
      </c>
      <c r="C3775" s="5">
        <v>2027</v>
      </c>
      <c r="D3775" s="5" t="s">
        <v>30</v>
      </c>
      <c r="E3775" t="s">
        <v>2158</v>
      </c>
      <c r="F3775" t="s">
        <v>2159</v>
      </c>
      <c r="G3775" t="s">
        <v>2160</v>
      </c>
      <c r="H3775" t="s">
        <v>2161</v>
      </c>
      <c r="I3775" t="s">
        <v>119</v>
      </c>
      <c r="J3775" t="s">
        <v>36</v>
      </c>
      <c r="K3775">
        <v>490</v>
      </c>
      <c r="O3775" t="s">
        <v>176</v>
      </c>
      <c r="P3775" t="s">
        <v>44</v>
      </c>
      <c r="U3775" s="9" t="s">
        <v>148</v>
      </c>
      <c r="V3775" t="s">
        <v>460</v>
      </c>
      <c r="W3775" t="s">
        <v>178</v>
      </c>
      <c r="X3775" t="s">
        <v>1455</v>
      </c>
      <c r="Y3775" t="s">
        <v>179</v>
      </c>
      <c r="Z3775" t="s">
        <v>247</v>
      </c>
      <c r="AB3775" t="str">
        <f t="shared" si="177"/>
        <v>53894</v>
      </c>
    </row>
    <row r="3776" ht="14.25" spans="1:28">
      <c r="A3776" s="5" t="s">
        <v>28</v>
      </c>
      <c r="B3776" s="5" t="s">
        <v>697</v>
      </c>
      <c r="C3776" s="5">
        <v>2027</v>
      </c>
      <c r="D3776" s="5" t="s">
        <v>30</v>
      </c>
      <c r="E3776" t="s">
        <v>2158</v>
      </c>
      <c r="F3776" t="s">
        <v>2159</v>
      </c>
      <c r="G3776" t="s">
        <v>2160</v>
      </c>
      <c r="H3776" t="s">
        <v>2161</v>
      </c>
      <c r="I3776" t="s">
        <v>119</v>
      </c>
      <c r="J3776" t="s">
        <v>36</v>
      </c>
      <c r="K3776">
        <v>490</v>
      </c>
      <c r="O3776" t="s">
        <v>176</v>
      </c>
      <c r="P3776" t="s">
        <v>45</v>
      </c>
      <c r="U3776" s="9" t="s">
        <v>148</v>
      </c>
      <c r="V3776" t="s">
        <v>460</v>
      </c>
      <c r="W3776" t="s">
        <v>178</v>
      </c>
      <c r="X3776" t="s">
        <v>1455</v>
      </c>
      <c r="Y3776" t="s">
        <v>179</v>
      </c>
      <c r="Z3776" t="s">
        <v>247</v>
      </c>
      <c r="AB3776" t="str">
        <f t="shared" si="177"/>
        <v>53894</v>
      </c>
    </row>
    <row r="3777" ht="14.25" spans="1:28">
      <c r="A3777" s="5" t="s">
        <v>28</v>
      </c>
      <c r="B3777" s="5" t="s">
        <v>697</v>
      </c>
      <c r="C3777" s="5">
        <v>2027</v>
      </c>
      <c r="D3777" s="5" t="s">
        <v>30</v>
      </c>
      <c r="E3777" t="s">
        <v>2162</v>
      </c>
      <c r="F3777" t="s">
        <v>2159</v>
      </c>
      <c r="G3777" t="s">
        <v>1911</v>
      </c>
      <c r="H3777" t="s">
        <v>2163</v>
      </c>
      <c r="I3777" t="s">
        <v>119</v>
      </c>
      <c r="J3777" t="s">
        <v>36</v>
      </c>
      <c r="K3777">
        <v>490</v>
      </c>
      <c r="O3777" t="s">
        <v>176</v>
      </c>
      <c r="P3777" t="s">
        <v>177</v>
      </c>
      <c r="R3777">
        <f t="shared" si="175"/>
        <v>0</v>
      </c>
      <c r="S3777">
        <f>SUMIFS([1]Sheet1!$T:$T,[1]Sheet1!$I:$I,E3777,[1]Sheet1!$C:$C,A3777)</f>
        <v>60</v>
      </c>
      <c r="T3777">
        <f t="shared" si="176"/>
        <v>-60</v>
      </c>
      <c r="U3777" s="9" t="s">
        <v>148</v>
      </c>
      <c r="V3777" t="s">
        <v>460</v>
      </c>
      <c r="W3777" t="s">
        <v>178</v>
      </c>
      <c r="X3777" t="s">
        <v>1455</v>
      </c>
      <c r="Y3777" t="s">
        <v>179</v>
      </c>
      <c r="Z3777" t="s">
        <v>247</v>
      </c>
      <c r="AB3777" t="str">
        <f t="shared" si="177"/>
        <v>53894</v>
      </c>
    </row>
    <row r="3778" ht="14.25" spans="1:28">
      <c r="A3778" s="5" t="s">
        <v>28</v>
      </c>
      <c r="B3778" s="5" t="s">
        <v>697</v>
      </c>
      <c r="C3778" s="5">
        <v>2027</v>
      </c>
      <c r="D3778" s="5" t="s">
        <v>30</v>
      </c>
      <c r="E3778" t="s">
        <v>2162</v>
      </c>
      <c r="F3778" t="s">
        <v>2159</v>
      </c>
      <c r="G3778" t="s">
        <v>1911</v>
      </c>
      <c r="H3778" t="s">
        <v>2163</v>
      </c>
      <c r="I3778" t="s">
        <v>119</v>
      </c>
      <c r="J3778" t="s">
        <v>36</v>
      </c>
      <c r="K3778">
        <v>490</v>
      </c>
      <c r="O3778" t="s">
        <v>176</v>
      </c>
      <c r="P3778" t="s">
        <v>38</v>
      </c>
      <c r="U3778" s="9" t="s">
        <v>148</v>
      </c>
      <c r="V3778" t="s">
        <v>460</v>
      </c>
      <c r="W3778" t="s">
        <v>178</v>
      </c>
      <c r="X3778" t="s">
        <v>1455</v>
      </c>
      <c r="Y3778" t="s">
        <v>179</v>
      </c>
      <c r="Z3778" t="s">
        <v>247</v>
      </c>
      <c r="AB3778" t="str">
        <f t="shared" si="177"/>
        <v>53894</v>
      </c>
    </row>
    <row r="3779" ht="14.25" spans="1:28">
      <c r="A3779" s="5" t="s">
        <v>28</v>
      </c>
      <c r="B3779" s="5" t="s">
        <v>697</v>
      </c>
      <c r="C3779" s="5">
        <v>2027</v>
      </c>
      <c r="D3779" s="5" t="s">
        <v>30</v>
      </c>
      <c r="E3779" t="s">
        <v>2162</v>
      </c>
      <c r="F3779" t="s">
        <v>2159</v>
      </c>
      <c r="G3779" t="s">
        <v>1911</v>
      </c>
      <c r="H3779" t="s">
        <v>2163</v>
      </c>
      <c r="I3779" t="s">
        <v>119</v>
      </c>
      <c r="J3779" t="s">
        <v>36</v>
      </c>
      <c r="K3779">
        <v>490</v>
      </c>
      <c r="O3779" t="s">
        <v>176</v>
      </c>
      <c r="P3779" t="s">
        <v>42</v>
      </c>
      <c r="U3779" s="9" t="s">
        <v>148</v>
      </c>
      <c r="V3779" t="s">
        <v>460</v>
      </c>
      <c r="W3779" t="s">
        <v>178</v>
      </c>
      <c r="X3779" t="s">
        <v>1455</v>
      </c>
      <c r="Y3779" t="s">
        <v>179</v>
      </c>
      <c r="Z3779" t="s">
        <v>247</v>
      </c>
      <c r="AB3779" t="str">
        <f t="shared" si="177"/>
        <v>53894</v>
      </c>
    </row>
    <row r="3780" ht="14.25" spans="1:28">
      <c r="A3780" s="5" t="s">
        <v>28</v>
      </c>
      <c r="B3780" s="5" t="s">
        <v>697</v>
      </c>
      <c r="C3780" s="5">
        <v>2027</v>
      </c>
      <c r="D3780" s="5" t="s">
        <v>30</v>
      </c>
      <c r="E3780" t="s">
        <v>2162</v>
      </c>
      <c r="F3780" t="s">
        <v>2159</v>
      </c>
      <c r="G3780" t="s">
        <v>1911</v>
      </c>
      <c r="H3780" t="s">
        <v>2163</v>
      </c>
      <c r="I3780" t="s">
        <v>119</v>
      </c>
      <c r="J3780" t="s">
        <v>36</v>
      </c>
      <c r="K3780">
        <v>490</v>
      </c>
      <c r="O3780" t="s">
        <v>176</v>
      </c>
      <c r="P3780" t="s">
        <v>43</v>
      </c>
      <c r="U3780" s="9" t="s">
        <v>148</v>
      </c>
      <c r="V3780" t="s">
        <v>460</v>
      </c>
      <c r="W3780" t="s">
        <v>178</v>
      </c>
      <c r="X3780" t="s">
        <v>1455</v>
      </c>
      <c r="Y3780" t="s">
        <v>179</v>
      </c>
      <c r="Z3780" t="s">
        <v>247</v>
      </c>
      <c r="AB3780" t="str">
        <f t="shared" si="177"/>
        <v>53894</v>
      </c>
    </row>
    <row r="3781" ht="14.25" spans="1:28">
      <c r="A3781" s="5" t="s">
        <v>28</v>
      </c>
      <c r="B3781" s="5" t="s">
        <v>697</v>
      </c>
      <c r="C3781" s="5">
        <v>2027</v>
      </c>
      <c r="D3781" s="5" t="s">
        <v>30</v>
      </c>
      <c r="E3781" t="s">
        <v>2162</v>
      </c>
      <c r="F3781" t="s">
        <v>2159</v>
      </c>
      <c r="G3781" t="s">
        <v>1911</v>
      </c>
      <c r="H3781" t="s">
        <v>2163</v>
      </c>
      <c r="I3781" t="s">
        <v>119</v>
      </c>
      <c r="J3781" t="s">
        <v>36</v>
      </c>
      <c r="K3781">
        <v>490</v>
      </c>
      <c r="O3781" t="s">
        <v>176</v>
      </c>
      <c r="P3781" t="s">
        <v>44</v>
      </c>
      <c r="U3781" s="9" t="s">
        <v>148</v>
      </c>
      <c r="V3781" t="s">
        <v>460</v>
      </c>
      <c r="W3781" t="s">
        <v>178</v>
      </c>
      <c r="X3781" t="s">
        <v>1455</v>
      </c>
      <c r="Y3781" t="s">
        <v>179</v>
      </c>
      <c r="Z3781" t="s">
        <v>247</v>
      </c>
      <c r="AB3781" t="str">
        <f t="shared" si="177"/>
        <v>53894</v>
      </c>
    </row>
    <row r="3782" ht="14.25" spans="1:28">
      <c r="A3782" s="5" t="s">
        <v>28</v>
      </c>
      <c r="B3782" s="5" t="s">
        <v>697</v>
      </c>
      <c r="C3782" s="5">
        <v>2027</v>
      </c>
      <c r="D3782" s="5" t="s">
        <v>30</v>
      </c>
      <c r="E3782" t="s">
        <v>2162</v>
      </c>
      <c r="F3782" t="s">
        <v>2159</v>
      </c>
      <c r="G3782" t="s">
        <v>1911</v>
      </c>
      <c r="H3782" t="s">
        <v>2163</v>
      </c>
      <c r="I3782" t="s">
        <v>119</v>
      </c>
      <c r="J3782" t="s">
        <v>36</v>
      </c>
      <c r="K3782">
        <v>490</v>
      </c>
      <c r="O3782" t="s">
        <v>176</v>
      </c>
      <c r="P3782" t="s">
        <v>45</v>
      </c>
      <c r="U3782" s="9" t="s">
        <v>148</v>
      </c>
      <c r="V3782" t="s">
        <v>460</v>
      </c>
      <c r="W3782" t="s">
        <v>178</v>
      </c>
      <c r="X3782" t="s">
        <v>1455</v>
      </c>
      <c r="Y3782" t="s">
        <v>179</v>
      </c>
      <c r="Z3782" t="s">
        <v>247</v>
      </c>
      <c r="AB3782" t="str">
        <f t="shared" si="177"/>
        <v>53894</v>
      </c>
    </row>
    <row r="3783" ht="14.25" spans="1:28">
      <c r="A3783" s="5" t="s">
        <v>28</v>
      </c>
      <c r="B3783" s="5" t="s">
        <v>697</v>
      </c>
      <c r="C3783" s="5">
        <v>2027</v>
      </c>
      <c r="D3783" s="5" t="s">
        <v>30</v>
      </c>
      <c r="E3783" t="s">
        <v>2164</v>
      </c>
      <c r="F3783" t="s">
        <v>2159</v>
      </c>
      <c r="G3783" t="s">
        <v>189</v>
      </c>
      <c r="H3783" t="s">
        <v>2165</v>
      </c>
      <c r="I3783" t="s">
        <v>119</v>
      </c>
      <c r="J3783" t="s">
        <v>36</v>
      </c>
      <c r="K3783">
        <v>490</v>
      </c>
      <c r="O3783" t="s">
        <v>176</v>
      </c>
      <c r="P3783" t="s">
        <v>177</v>
      </c>
      <c r="R3783">
        <f t="shared" ref="R3778:R3841" si="178">SUMIFS(Q:Q,E:E,E3783)</f>
        <v>0</v>
      </c>
      <c r="S3783">
        <f>SUMIFS([1]Sheet1!$T:$T,[1]Sheet1!$I:$I,E3783,[1]Sheet1!$C:$C,A3783)</f>
        <v>100</v>
      </c>
      <c r="T3783">
        <f t="shared" ref="T3778:T3841" si="179">R3783-S3783</f>
        <v>-100</v>
      </c>
      <c r="U3783" s="9" t="s">
        <v>148</v>
      </c>
      <c r="V3783" t="s">
        <v>460</v>
      </c>
      <c r="W3783" t="s">
        <v>178</v>
      </c>
      <c r="X3783" t="s">
        <v>191</v>
      </c>
      <c r="Y3783" t="s">
        <v>179</v>
      </c>
      <c r="Z3783" t="s">
        <v>247</v>
      </c>
      <c r="AB3783" t="str">
        <f t="shared" si="177"/>
        <v>53894</v>
      </c>
    </row>
    <row r="3784" ht="14.25" spans="1:28">
      <c r="A3784" s="5" t="s">
        <v>28</v>
      </c>
      <c r="B3784" s="5" t="s">
        <v>697</v>
      </c>
      <c r="C3784" s="5">
        <v>2027</v>
      </c>
      <c r="D3784" s="5" t="s">
        <v>30</v>
      </c>
      <c r="E3784" t="s">
        <v>2164</v>
      </c>
      <c r="F3784" t="s">
        <v>2159</v>
      </c>
      <c r="G3784" t="s">
        <v>189</v>
      </c>
      <c r="H3784" t="s">
        <v>2165</v>
      </c>
      <c r="I3784" t="s">
        <v>119</v>
      </c>
      <c r="J3784" t="s">
        <v>36</v>
      </c>
      <c r="K3784">
        <v>490</v>
      </c>
      <c r="O3784" t="s">
        <v>176</v>
      </c>
      <c r="P3784" t="s">
        <v>38</v>
      </c>
      <c r="U3784" s="9" t="s">
        <v>148</v>
      </c>
      <c r="V3784" t="s">
        <v>460</v>
      </c>
      <c r="W3784" t="s">
        <v>178</v>
      </c>
      <c r="X3784" t="s">
        <v>191</v>
      </c>
      <c r="Y3784" t="s">
        <v>179</v>
      </c>
      <c r="Z3784" t="s">
        <v>247</v>
      </c>
      <c r="AB3784" t="str">
        <f t="shared" si="177"/>
        <v>53894</v>
      </c>
    </row>
    <row r="3785" ht="14.25" spans="1:28">
      <c r="A3785" s="5" t="s">
        <v>28</v>
      </c>
      <c r="B3785" s="5" t="s">
        <v>697</v>
      </c>
      <c r="C3785" s="5">
        <v>2027</v>
      </c>
      <c r="D3785" s="5" t="s">
        <v>30</v>
      </c>
      <c r="E3785" t="s">
        <v>2164</v>
      </c>
      <c r="F3785" t="s">
        <v>2159</v>
      </c>
      <c r="G3785" t="s">
        <v>189</v>
      </c>
      <c r="H3785" t="s">
        <v>2165</v>
      </c>
      <c r="I3785" t="s">
        <v>119</v>
      </c>
      <c r="J3785" t="s">
        <v>36</v>
      </c>
      <c r="K3785">
        <v>490</v>
      </c>
      <c r="O3785" t="s">
        <v>176</v>
      </c>
      <c r="P3785" t="s">
        <v>42</v>
      </c>
      <c r="U3785" s="9" t="s">
        <v>148</v>
      </c>
      <c r="V3785" t="s">
        <v>460</v>
      </c>
      <c r="W3785" t="s">
        <v>178</v>
      </c>
      <c r="X3785" t="s">
        <v>191</v>
      </c>
      <c r="Y3785" t="s">
        <v>179</v>
      </c>
      <c r="Z3785" t="s">
        <v>247</v>
      </c>
      <c r="AB3785" t="str">
        <f t="shared" si="177"/>
        <v>53894</v>
      </c>
    </row>
    <row r="3786" ht="14.25" spans="1:28">
      <c r="A3786" s="5" t="s">
        <v>28</v>
      </c>
      <c r="B3786" s="5" t="s">
        <v>697</v>
      </c>
      <c r="C3786" s="5">
        <v>2027</v>
      </c>
      <c r="D3786" s="5" t="s">
        <v>30</v>
      </c>
      <c r="E3786" t="s">
        <v>2164</v>
      </c>
      <c r="F3786" t="s">
        <v>2159</v>
      </c>
      <c r="G3786" t="s">
        <v>189</v>
      </c>
      <c r="H3786" t="s">
        <v>2165</v>
      </c>
      <c r="I3786" t="s">
        <v>119</v>
      </c>
      <c r="J3786" t="s">
        <v>36</v>
      </c>
      <c r="K3786">
        <v>490</v>
      </c>
      <c r="O3786" t="s">
        <v>176</v>
      </c>
      <c r="P3786" t="s">
        <v>43</v>
      </c>
      <c r="U3786" s="9" t="s">
        <v>148</v>
      </c>
      <c r="V3786" t="s">
        <v>460</v>
      </c>
      <c r="W3786" t="s">
        <v>178</v>
      </c>
      <c r="X3786" t="s">
        <v>191</v>
      </c>
      <c r="Y3786" t="s">
        <v>179</v>
      </c>
      <c r="Z3786" t="s">
        <v>247</v>
      </c>
      <c r="AB3786" t="str">
        <f t="shared" si="177"/>
        <v>53894</v>
      </c>
    </row>
    <row r="3787" ht="14.25" spans="1:28">
      <c r="A3787" s="5" t="s">
        <v>28</v>
      </c>
      <c r="B3787" s="5" t="s">
        <v>697</v>
      </c>
      <c r="C3787" s="5">
        <v>2027</v>
      </c>
      <c r="D3787" s="5" t="s">
        <v>30</v>
      </c>
      <c r="E3787" t="s">
        <v>2164</v>
      </c>
      <c r="F3787" t="s">
        <v>2159</v>
      </c>
      <c r="G3787" t="s">
        <v>189</v>
      </c>
      <c r="H3787" t="s">
        <v>2165</v>
      </c>
      <c r="I3787" t="s">
        <v>119</v>
      </c>
      <c r="J3787" t="s">
        <v>36</v>
      </c>
      <c r="K3787">
        <v>490</v>
      </c>
      <c r="O3787" t="s">
        <v>176</v>
      </c>
      <c r="P3787" t="s">
        <v>44</v>
      </c>
      <c r="U3787" s="9" t="s">
        <v>148</v>
      </c>
      <c r="V3787" t="s">
        <v>460</v>
      </c>
      <c r="W3787" t="s">
        <v>178</v>
      </c>
      <c r="X3787" t="s">
        <v>191</v>
      </c>
      <c r="Y3787" t="s">
        <v>179</v>
      </c>
      <c r="Z3787" t="s">
        <v>247</v>
      </c>
      <c r="AB3787" t="str">
        <f t="shared" si="177"/>
        <v>53894</v>
      </c>
    </row>
    <row r="3788" ht="14.25" spans="1:28">
      <c r="A3788" s="5" t="s">
        <v>28</v>
      </c>
      <c r="B3788" s="5" t="s">
        <v>697</v>
      </c>
      <c r="C3788" s="5">
        <v>2027</v>
      </c>
      <c r="D3788" s="5" t="s">
        <v>30</v>
      </c>
      <c r="E3788" t="s">
        <v>2164</v>
      </c>
      <c r="F3788" t="s">
        <v>2159</v>
      </c>
      <c r="G3788" t="s">
        <v>189</v>
      </c>
      <c r="H3788" t="s">
        <v>2165</v>
      </c>
      <c r="I3788" t="s">
        <v>119</v>
      </c>
      <c r="J3788" t="s">
        <v>36</v>
      </c>
      <c r="K3788">
        <v>490</v>
      </c>
      <c r="O3788" t="s">
        <v>176</v>
      </c>
      <c r="P3788" t="s">
        <v>45</v>
      </c>
      <c r="U3788" s="9" t="s">
        <v>148</v>
      </c>
      <c r="V3788" t="s">
        <v>460</v>
      </c>
      <c r="W3788" t="s">
        <v>178</v>
      </c>
      <c r="X3788" t="s">
        <v>191</v>
      </c>
      <c r="Y3788" t="s">
        <v>179</v>
      </c>
      <c r="Z3788" t="s">
        <v>247</v>
      </c>
      <c r="AB3788" t="str">
        <f t="shared" si="177"/>
        <v>53894</v>
      </c>
    </row>
    <row r="3789" ht="14.25" spans="1:28">
      <c r="A3789" s="5" t="s">
        <v>28</v>
      </c>
      <c r="B3789" s="5" t="s">
        <v>697</v>
      </c>
      <c r="C3789" s="5">
        <v>2027</v>
      </c>
      <c r="D3789" s="5" t="s">
        <v>30</v>
      </c>
      <c r="E3789" t="s">
        <v>2166</v>
      </c>
      <c r="F3789" t="s">
        <v>2167</v>
      </c>
      <c r="G3789" t="s">
        <v>1911</v>
      </c>
      <c r="H3789" t="s">
        <v>2168</v>
      </c>
      <c r="I3789" t="s">
        <v>119</v>
      </c>
      <c r="J3789" t="s">
        <v>36</v>
      </c>
      <c r="K3789">
        <v>690</v>
      </c>
      <c r="O3789" t="s">
        <v>176</v>
      </c>
      <c r="P3789" t="s">
        <v>177</v>
      </c>
      <c r="R3789">
        <f t="shared" si="178"/>
        <v>0</v>
      </c>
      <c r="S3789">
        <f>SUMIFS([1]Sheet1!$T:$T,[1]Sheet1!$I:$I,E3789,[1]Sheet1!$C:$C,A3789)</f>
        <v>150</v>
      </c>
      <c r="T3789">
        <f t="shared" si="179"/>
        <v>-150</v>
      </c>
      <c r="U3789" s="9" t="s">
        <v>148</v>
      </c>
      <c r="V3789" t="s">
        <v>184</v>
      </c>
      <c r="W3789" t="s">
        <v>178</v>
      </c>
      <c r="X3789" t="s">
        <v>1455</v>
      </c>
      <c r="Y3789" t="s">
        <v>179</v>
      </c>
      <c r="Z3789" t="s">
        <v>247</v>
      </c>
      <c r="AB3789" t="str">
        <f t="shared" si="177"/>
        <v>53895</v>
      </c>
    </row>
    <row r="3790" ht="14.25" spans="1:28">
      <c r="A3790" s="5" t="s">
        <v>28</v>
      </c>
      <c r="B3790" s="5" t="s">
        <v>697</v>
      </c>
      <c r="C3790" s="5">
        <v>2027</v>
      </c>
      <c r="D3790" s="5" t="s">
        <v>30</v>
      </c>
      <c r="E3790" t="s">
        <v>2166</v>
      </c>
      <c r="F3790" t="s">
        <v>2167</v>
      </c>
      <c r="G3790" t="s">
        <v>1911</v>
      </c>
      <c r="H3790" t="s">
        <v>2168</v>
      </c>
      <c r="I3790" t="s">
        <v>119</v>
      </c>
      <c r="J3790" t="s">
        <v>36</v>
      </c>
      <c r="K3790">
        <v>690</v>
      </c>
      <c r="O3790" t="s">
        <v>176</v>
      </c>
      <c r="P3790" t="s">
        <v>38</v>
      </c>
      <c r="U3790" s="9" t="s">
        <v>148</v>
      </c>
      <c r="V3790" t="s">
        <v>184</v>
      </c>
      <c r="W3790" t="s">
        <v>178</v>
      </c>
      <c r="X3790" t="s">
        <v>1455</v>
      </c>
      <c r="Y3790" t="s">
        <v>179</v>
      </c>
      <c r="Z3790" t="s">
        <v>247</v>
      </c>
      <c r="AB3790" t="str">
        <f t="shared" si="177"/>
        <v>53895</v>
      </c>
    </row>
    <row r="3791" ht="14.25" spans="1:28">
      <c r="A3791" s="5" t="s">
        <v>28</v>
      </c>
      <c r="B3791" s="5" t="s">
        <v>697</v>
      </c>
      <c r="C3791" s="5">
        <v>2027</v>
      </c>
      <c r="D3791" s="5" t="s">
        <v>30</v>
      </c>
      <c r="E3791" t="s">
        <v>2166</v>
      </c>
      <c r="F3791" t="s">
        <v>2167</v>
      </c>
      <c r="G3791" t="s">
        <v>1911</v>
      </c>
      <c r="H3791" t="s">
        <v>2168</v>
      </c>
      <c r="I3791" t="s">
        <v>119</v>
      </c>
      <c r="J3791" t="s">
        <v>36</v>
      </c>
      <c r="K3791">
        <v>690</v>
      </c>
      <c r="O3791" t="s">
        <v>176</v>
      </c>
      <c r="P3791" t="s">
        <v>42</v>
      </c>
      <c r="U3791" s="9" t="s">
        <v>148</v>
      </c>
      <c r="V3791" t="s">
        <v>184</v>
      </c>
      <c r="W3791" t="s">
        <v>178</v>
      </c>
      <c r="X3791" t="s">
        <v>1455</v>
      </c>
      <c r="Y3791" t="s">
        <v>179</v>
      </c>
      <c r="Z3791" t="s">
        <v>247</v>
      </c>
      <c r="AB3791" t="str">
        <f t="shared" si="177"/>
        <v>53895</v>
      </c>
    </row>
    <row r="3792" ht="14.25" spans="1:28">
      <c r="A3792" s="5" t="s">
        <v>28</v>
      </c>
      <c r="B3792" s="5" t="s">
        <v>697</v>
      </c>
      <c r="C3792" s="5">
        <v>2027</v>
      </c>
      <c r="D3792" s="5" t="s">
        <v>30</v>
      </c>
      <c r="E3792" t="s">
        <v>2166</v>
      </c>
      <c r="F3792" t="s">
        <v>2167</v>
      </c>
      <c r="G3792" t="s">
        <v>1911</v>
      </c>
      <c r="H3792" t="s">
        <v>2168</v>
      </c>
      <c r="I3792" t="s">
        <v>119</v>
      </c>
      <c r="J3792" t="s">
        <v>36</v>
      </c>
      <c r="K3792">
        <v>690</v>
      </c>
      <c r="O3792" t="s">
        <v>176</v>
      </c>
      <c r="P3792" t="s">
        <v>43</v>
      </c>
      <c r="U3792" s="9" t="s">
        <v>148</v>
      </c>
      <c r="V3792" t="s">
        <v>184</v>
      </c>
      <c r="W3792" t="s">
        <v>178</v>
      </c>
      <c r="X3792" t="s">
        <v>1455</v>
      </c>
      <c r="Y3792" t="s">
        <v>179</v>
      </c>
      <c r="Z3792" t="s">
        <v>247</v>
      </c>
      <c r="AB3792" t="str">
        <f t="shared" si="177"/>
        <v>53895</v>
      </c>
    </row>
    <row r="3793" ht="14.25" spans="1:28">
      <c r="A3793" s="5" t="s">
        <v>28</v>
      </c>
      <c r="B3793" s="5" t="s">
        <v>697</v>
      </c>
      <c r="C3793" s="5">
        <v>2027</v>
      </c>
      <c r="D3793" s="5" t="s">
        <v>30</v>
      </c>
      <c r="E3793" t="s">
        <v>2166</v>
      </c>
      <c r="F3793" t="s">
        <v>2167</v>
      </c>
      <c r="G3793" t="s">
        <v>1911</v>
      </c>
      <c r="H3793" t="s">
        <v>2168</v>
      </c>
      <c r="I3793" t="s">
        <v>119</v>
      </c>
      <c r="J3793" t="s">
        <v>36</v>
      </c>
      <c r="K3793">
        <v>690</v>
      </c>
      <c r="O3793" t="s">
        <v>176</v>
      </c>
      <c r="P3793" t="s">
        <v>44</v>
      </c>
      <c r="U3793" s="9" t="s">
        <v>148</v>
      </c>
      <c r="V3793" t="s">
        <v>184</v>
      </c>
      <c r="W3793" t="s">
        <v>178</v>
      </c>
      <c r="X3793" t="s">
        <v>1455</v>
      </c>
      <c r="Y3793" t="s">
        <v>179</v>
      </c>
      <c r="Z3793" t="s">
        <v>247</v>
      </c>
      <c r="AB3793" t="str">
        <f t="shared" si="177"/>
        <v>53895</v>
      </c>
    </row>
    <row r="3794" ht="14.25" spans="1:28">
      <c r="A3794" s="5" t="s">
        <v>28</v>
      </c>
      <c r="B3794" s="5" t="s">
        <v>697</v>
      </c>
      <c r="C3794" s="5">
        <v>2027</v>
      </c>
      <c r="D3794" s="5" t="s">
        <v>30</v>
      </c>
      <c r="E3794" t="s">
        <v>2166</v>
      </c>
      <c r="F3794" t="s">
        <v>2167</v>
      </c>
      <c r="G3794" t="s">
        <v>1911</v>
      </c>
      <c r="H3794" t="s">
        <v>2168</v>
      </c>
      <c r="I3794" t="s">
        <v>119</v>
      </c>
      <c r="J3794" t="s">
        <v>36</v>
      </c>
      <c r="K3794">
        <v>690</v>
      </c>
      <c r="O3794" t="s">
        <v>176</v>
      </c>
      <c r="P3794" t="s">
        <v>45</v>
      </c>
      <c r="U3794" s="9" t="s">
        <v>148</v>
      </c>
      <c r="V3794" t="s">
        <v>184</v>
      </c>
      <c r="W3794" t="s">
        <v>178</v>
      </c>
      <c r="X3794" t="s">
        <v>1455</v>
      </c>
      <c r="Y3794" t="s">
        <v>179</v>
      </c>
      <c r="Z3794" t="s">
        <v>247</v>
      </c>
      <c r="AB3794" t="str">
        <f t="shared" si="177"/>
        <v>53895</v>
      </c>
    </row>
    <row r="3795" ht="14.25" spans="1:28">
      <c r="A3795" s="5" t="s">
        <v>28</v>
      </c>
      <c r="B3795" s="5" t="s">
        <v>697</v>
      </c>
      <c r="C3795" s="5">
        <v>2027</v>
      </c>
      <c r="D3795" s="5" t="s">
        <v>30</v>
      </c>
      <c r="E3795" t="s">
        <v>2169</v>
      </c>
      <c r="F3795" t="s">
        <v>2167</v>
      </c>
      <c r="G3795" t="s">
        <v>2170</v>
      </c>
      <c r="H3795" t="s">
        <v>2171</v>
      </c>
      <c r="I3795" t="s">
        <v>119</v>
      </c>
      <c r="J3795" t="s">
        <v>36</v>
      </c>
      <c r="K3795">
        <v>690</v>
      </c>
      <c r="O3795" t="s">
        <v>176</v>
      </c>
      <c r="P3795" t="s">
        <v>177</v>
      </c>
      <c r="R3795">
        <f t="shared" si="178"/>
        <v>0</v>
      </c>
      <c r="S3795">
        <f>SUMIFS([1]Sheet1!$T:$T,[1]Sheet1!$I:$I,E3795,[1]Sheet1!$C:$C,A3795)</f>
        <v>200</v>
      </c>
      <c r="T3795">
        <f t="shared" si="179"/>
        <v>-200</v>
      </c>
      <c r="U3795" s="9" t="s">
        <v>148</v>
      </c>
      <c r="V3795" t="s">
        <v>184</v>
      </c>
      <c r="W3795" t="s">
        <v>178</v>
      </c>
      <c r="X3795" t="s">
        <v>1455</v>
      </c>
      <c r="Y3795" t="s">
        <v>179</v>
      </c>
      <c r="Z3795" t="s">
        <v>247</v>
      </c>
      <c r="AB3795" t="str">
        <f t="shared" si="177"/>
        <v>53895</v>
      </c>
    </row>
    <row r="3796" ht="14.25" spans="1:28">
      <c r="A3796" s="5" t="s">
        <v>28</v>
      </c>
      <c r="B3796" s="5" t="s">
        <v>697</v>
      </c>
      <c r="C3796" s="5">
        <v>2027</v>
      </c>
      <c r="D3796" s="5" t="s">
        <v>30</v>
      </c>
      <c r="E3796" t="s">
        <v>2169</v>
      </c>
      <c r="F3796" t="s">
        <v>2167</v>
      </c>
      <c r="G3796" t="s">
        <v>2170</v>
      </c>
      <c r="H3796" t="s">
        <v>2171</v>
      </c>
      <c r="I3796" t="s">
        <v>119</v>
      </c>
      <c r="J3796" t="s">
        <v>36</v>
      </c>
      <c r="K3796">
        <v>690</v>
      </c>
      <c r="O3796" t="s">
        <v>176</v>
      </c>
      <c r="P3796" t="s">
        <v>38</v>
      </c>
      <c r="U3796" s="9" t="s">
        <v>148</v>
      </c>
      <c r="V3796" t="s">
        <v>184</v>
      </c>
      <c r="W3796" t="s">
        <v>178</v>
      </c>
      <c r="X3796" t="s">
        <v>1455</v>
      </c>
      <c r="Y3796" t="s">
        <v>179</v>
      </c>
      <c r="Z3796" t="s">
        <v>247</v>
      </c>
      <c r="AB3796" t="str">
        <f t="shared" si="177"/>
        <v>53895</v>
      </c>
    </row>
    <row r="3797" ht="14.25" spans="1:28">
      <c r="A3797" s="5" t="s">
        <v>28</v>
      </c>
      <c r="B3797" s="5" t="s">
        <v>697</v>
      </c>
      <c r="C3797" s="5">
        <v>2027</v>
      </c>
      <c r="D3797" s="5" t="s">
        <v>30</v>
      </c>
      <c r="E3797" t="s">
        <v>2169</v>
      </c>
      <c r="F3797" t="s">
        <v>2167</v>
      </c>
      <c r="G3797" t="s">
        <v>2170</v>
      </c>
      <c r="H3797" t="s">
        <v>2171</v>
      </c>
      <c r="I3797" t="s">
        <v>119</v>
      </c>
      <c r="J3797" t="s">
        <v>36</v>
      </c>
      <c r="K3797">
        <v>690</v>
      </c>
      <c r="O3797" t="s">
        <v>176</v>
      </c>
      <c r="P3797" t="s">
        <v>42</v>
      </c>
      <c r="U3797" s="9" t="s">
        <v>148</v>
      </c>
      <c r="V3797" t="s">
        <v>184</v>
      </c>
      <c r="W3797" t="s">
        <v>178</v>
      </c>
      <c r="X3797" t="s">
        <v>1455</v>
      </c>
      <c r="Y3797" t="s">
        <v>179</v>
      </c>
      <c r="Z3797" t="s">
        <v>247</v>
      </c>
      <c r="AB3797" t="str">
        <f t="shared" si="177"/>
        <v>53895</v>
      </c>
    </row>
    <row r="3798" ht="14.25" spans="1:28">
      <c r="A3798" s="5" t="s">
        <v>28</v>
      </c>
      <c r="B3798" s="5" t="s">
        <v>697</v>
      </c>
      <c r="C3798" s="5">
        <v>2027</v>
      </c>
      <c r="D3798" s="5" t="s">
        <v>30</v>
      </c>
      <c r="E3798" t="s">
        <v>2169</v>
      </c>
      <c r="F3798" t="s">
        <v>2167</v>
      </c>
      <c r="G3798" t="s">
        <v>2170</v>
      </c>
      <c r="H3798" t="s">
        <v>2171</v>
      </c>
      <c r="I3798" t="s">
        <v>119</v>
      </c>
      <c r="J3798" t="s">
        <v>36</v>
      </c>
      <c r="K3798">
        <v>690</v>
      </c>
      <c r="O3798" t="s">
        <v>176</v>
      </c>
      <c r="P3798" t="s">
        <v>43</v>
      </c>
      <c r="U3798" s="9" t="s">
        <v>148</v>
      </c>
      <c r="V3798" t="s">
        <v>184</v>
      </c>
      <c r="W3798" t="s">
        <v>178</v>
      </c>
      <c r="X3798" t="s">
        <v>1455</v>
      </c>
      <c r="Y3798" t="s">
        <v>179</v>
      </c>
      <c r="Z3798" t="s">
        <v>247</v>
      </c>
      <c r="AB3798" t="str">
        <f t="shared" si="177"/>
        <v>53895</v>
      </c>
    </row>
    <row r="3799" ht="14.25" spans="1:28">
      <c r="A3799" s="5" t="s">
        <v>28</v>
      </c>
      <c r="B3799" s="5" t="s">
        <v>697</v>
      </c>
      <c r="C3799" s="5">
        <v>2027</v>
      </c>
      <c r="D3799" s="5" t="s">
        <v>30</v>
      </c>
      <c r="E3799" t="s">
        <v>2169</v>
      </c>
      <c r="F3799" t="s">
        <v>2167</v>
      </c>
      <c r="G3799" t="s">
        <v>2170</v>
      </c>
      <c r="H3799" t="s">
        <v>2171</v>
      </c>
      <c r="I3799" t="s">
        <v>119</v>
      </c>
      <c r="J3799" t="s">
        <v>36</v>
      </c>
      <c r="K3799">
        <v>690</v>
      </c>
      <c r="O3799" t="s">
        <v>176</v>
      </c>
      <c r="P3799" t="s">
        <v>44</v>
      </c>
      <c r="U3799" s="9" t="s">
        <v>148</v>
      </c>
      <c r="V3799" t="s">
        <v>184</v>
      </c>
      <c r="W3799" t="s">
        <v>178</v>
      </c>
      <c r="X3799" t="s">
        <v>1455</v>
      </c>
      <c r="Y3799" t="s">
        <v>179</v>
      </c>
      <c r="Z3799" t="s">
        <v>247</v>
      </c>
      <c r="AB3799" t="str">
        <f t="shared" si="177"/>
        <v>53895</v>
      </c>
    </row>
    <row r="3800" ht="14.25" spans="1:28">
      <c r="A3800" s="5" t="s">
        <v>28</v>
      </c>
      <c r="B3800" s="5" t="s">
        <v>697</v>
      </c>
      <c r="C3800" s="5">
        <v>2027</v>
      </c>
      <c r="D3800" s="5" t="s">
        <v>30</v>
      </c>
      <c r="E3800" t="s">
        <v>2169</v>
      </c>
      <c r="F3800" t="s">
        <v>2167</v>
      </c>
      <c r="G3800" t="s">
        <v>2170</v>
      </c>
      <c r="H3800" t="s">
        <v>2171</v>
      </c>
      <c r="I3800" t="s">
        <v>119</v>
      </c>
      <c r="J3800" t="s">
        <v>36</v>
      </c>
      <c r="K3800">
        <v>690</v>
      </c>
      <c r="O3800" t="s">
        <v>176</v>
      </c>
      <c r="P3800" t="s">
        <v>45</v>
      </c>
      <c r="U3800" s="9" t="s">
        <v>148</v>
      </c>
      <c r="V3800" t="s">
        <v>184</v>
      </c>
      <c r="W3800" t="s">
        <v>178</v>
      </c>
      <c r="X3800" t="s">
        <v>1455</v>
      </c>
      <c r="Y3800" t="s">
        <v>179</v>
      </c>
      <c r="Z3800" t="s">
        <v>247</v>
      </c>
      <c r="AB3800" t="str">
        <f t="shared" si="177"/>
        <v>53895</v>
      </c>
    </row>
    <row r="3801" ht="14.25" spans="1:28">
      <c r="A3801" s="5" t="s">
        <v>28</v>
      </c>
      <c r="B3801" s="5" t="s">
        <v>697</v>
      </c>
      <c r="C3801" s="5">
        <v>2027</v>
      </c>
      <c r="D3801" s="5" t="s">
        <v>30</v>
      </c>
      <c r="E3801" t="s">
        <v>2172</v>
      </c>
      <c r="F3801" t="s">
        <v>2167</v>
      </c>
      <c r="G3801" t="s">
        <v>189</v>
      </c>
      <c r="H3801" t="s">
        <v>2173</v>
      </c>
      <c r="I3801" t="s">
        <v>119</v>
      </c>
      <c r="J3801" t="s">
        <v>36</v>
      </c>
      <c r="K3801">
        <v>690</v>
      </c>
      <c r="O3801" t="s">
        <v>176</v>
      </c>
      <c r="P3801" t="s">
        <v>177</v>
      </c>
      <c r="R3801">
        <f t="shared" si="178"/>
        <v>0</v>
      </c>
      <c r="S3801">
        <f>SUMIFS([1]Sheet1!$T:$T,[1]Sheet1!$I:$I,E3801,[1]Sheet1!$C:$C,A3801)</f>
        <v>300</v>
      </c>
      <c r="T3801">
        <f t="shared" si="179"/>
        <v>-300</v>
      </c>
      <c r="U3801" s="9" t="s">
        <v>148</v>
      </c>
      <c r="V3801" t="s">
        <v>184</v>
      </c>
      <c r="W3801" t="s">
        <v>178</v>
      </c>
      <c r="X3801" t="s">
        <v>191</v>
      </c>
      <c r="Y3801" t="s">
        <v>179</v>
      </c>
      <c r="Z3801" t="s">
        <v>247</v>
      </c>
      <c r="AB3801" t="str">
        <f t="shared" si="177"/>
        <v>53895</v>
      </c>
    </row>
    <row r="3802" ht="14.25" spans="1:28">
      <c r="A3802" s="5" t="s">
        <v>28</v>
      </c>
      <c r="B3802" s="5" t="s">
        <v>697</v>
      </c>
      <c r="C3802" s="5">
        <v>2027</v>
      </c>
      <c r="D3802" s="5" t="s">
        <v>30</v>
      </c>
      <c r="E3802" t="s">
        <v>2172</v>
      </c>
      <c r="F3802" t="s">
        <v>2167</v>
      </c>
      <c r="G3802" t="s">
        <v>189</v>
      </c>
      <c r="H3802" t="s">
        <v>2173</v>
      </c>
      <c r="I3802" t="s">
        <v>119</v>
      </c>
      <c r="J3802" t="s">
        <v>36</v>
      </c>
      <c r="K3802">
        <v>690</v>
      </c>
      <c r="O3802" t="s">
        <v>176</v>
      </c>
      <c r="P3802" t="s">
        <v>38</v>
      </c>
      <c r="U3802" s="9" t="s">
        <v>148</v>
      </c>
      <c r="V3802" t="s">
        <v>184</v>
      </c>
      <c r="W3802" t="s">
        <v>178</v>
      </c>
      <c r="X3802" t="s">
        <v>191</v>
      </c>
      <c r="Y3802" t="s">
        <v>179</v>
      </c>
      <c r="Z3802" t="s">
        <v>247</v>
      </c>
      <c r="AB3802" t="str">
        <f t="shared" si="177"/>
        <v>53895</v>
      </c>
    </row>
    <row r="3803" ht="14.25" spans="1:28">
      <c r="A3803" s="5" t="s">
        <v>28</v>
      </c>
      <c r="B3803" s="5" t="s">
        <v>697</v>
      </c>
      <c r="C3803" s="5">
        <v>2027</v>
      </c>
      <c r="D3803" s="5" t="s">
        <v>30</v>
      </c>
      <c r="E3803" t="s">
        <v>2172</v>
      </c>
      <c r="F3803" t="s">
        <v>2167</v>
      </c>
      <c r="G3803" t="s">
        <v>189</v>
      </c>
      <c r="H3803" t="s">
        <v>2173</v>
      </c>
      <c r="I3803" t="s">
        <v>119</v>
      </c>
      <c r="J3803" t="s">
        <v>36</v>
      </c>
      <c r="K3803">
        <v>690</v>
      </c>
      <c r="O3803" t="s">
        <v>176</v>
      </c>
      <c r="P3803" t="s">
        <v>42</v>
      </c>
      <c r="U3803" s="9" t="s">
        <v>148</v>
      </c>
      <c r="V3803" t="s">
        <v>184</v>
      </c>
      <c r="W3803" t="s">
        <v>178</v>
      </c>
      <c r="X3803" t="s">
        <v>191</v>
      </c>
      <c r="Y3803" t="s">
        <v>179</v>
      </c>
      <c r="Z3803" t="s">
        <v>247</v>
      </c>
      <c r="AB3803" t="str">
        <f t="shared" si="177"/>
        <v>53895</v>
      </c>
    </row>
    <row r="3804" ht="14.25" spans="1:28">
      <c r="A3804" s="5" t="s">
        <v>28</v>
      </c>
      <c r="B3804" s="5" t="s">
        <v>697</v>
      </c>
      <c r="C3804" s="5">
        <v>2027</v>
      </c>
      <c r="D3804" s="5" t="s">
        <v>30</v>
      </c>
      <c r="E3804" t="s">
        <v>2172</v>
      </c>
      <c r="F3804" t="s">
        <v>2167</v>
      </c>
      <c r="G3804" t="s">
        <v>189</v>
      </c>
      <c r="H3804" t="s">
        <v>2173</v>
      </c>
      <c r="I3804" t="s">
        <v>119</v>
      </c>
      <c r="J3804" t="s">
        <v>36</v>
      </c>
      <c r="K3804">
        <v>690</v>
      </c>
      <c r="O3804" t="s">
        <v>176</v>
      </c>
      <c r="P3804" t="s">
        <v>43</v>
      </c>
      <c r="U3804" s="9" t="s">
        <v>148</v>
      </c>
      <c r="V3804" t="s">
        <v>184</v>
      </c>
      <c r="W3804" t="s">
        <v>178</v>
      </c>
      <c r="X3804" t="s">
        <v>191</v>
      </c>
      <c r="Y3804" t="s">
        <v>179</v>
      </c>
      <c r="Z3804" t="s">
        <v>247</v>
      </c>
      <c r="AB3804" t="str">
        <f t="shared" si="177"/>
        <v>53895</v>
      </c>
    </row>
    <row r="3805" ht="14.25" spans="1:28">
      <c r="A3805" s="5" t="s">
        <v>28</v>
      </c>
      <c r="B3805" s="5" t="s">
        <v>697</v>
      </c>
      <c r="C3805" s="5">
        <v>2027</v>
      </c>
      <c r="D3805" s="5" t="s">
        <v>30</v>
      </c>
      <c r="E3805" t="s">
        <v>2172</v>
      </c>
      <c r="F3805" t="s">
        <v>2167</v>
      </c>
      <c r="G3805" t="s">
        <v>189</v>
      </c>
      <c r="H3805" t="s">
        <v>2173</v>
      </c>
      <c r="I3805" t="s">
        <v>119</v>
      </c>
      <c r="J3805" t="s">
        <v>36</v>
      </c>
      <c r="K3805">
        <v>690</v>
      </c>
      <c r="O3805" t="s">
        <v>176</v>
      </c>
      <c r="P3805" t="s">
        <v>44</v>
      </c>
      <c r="U3805" s="9" t="s">
        <v>148</v>
      </c>
      <c r="V3805" t="s">
        <v>184</v>
      </c>
      <c r="W3805" t="s">
        <v>178</v>
      </c>
      <c r="X3805" t="s">
        <v>191</v>
      </c>
      <c r="Y3805" t="s">
        <v>179</v>
      </c>
      <c r="Z3805" t="s">
        <v>247</v>
      </c>
      <c r="AB3805" t="str">
        <f t="shared" si="177"/>
        <v>53895</v>
      </c>
    </row>
    <row r="3806" ht="14.25" spans="1:28">
      <c r="A3806" s="5" t="s">
        <v>28</v>
      </c>
      <c r="B3806" s="5" t="s">
        <v>697</v>
      </c>
      <c r="C3806" s="5">
        <v>2027</v>
      </c>
      <c r="D3806" s="5" t="s">
        <v>30</v>
      </c>
      <c r="E3806" t="s">
        <v>2172</v>
      </c>
      <c r="F3806" t="s">
        <v>2167</v>
      </c>
      <c r="G3806" t="s">
        <v>189</v>
      </c>
      <c r="H3806" t="s">
        <v>2173</v>
      </c>
      <c r="I3806" t="s">
        <v>119</v>
      </c>
      <c r="J3806" t="s">
        <v>36</v>
      </c>
      <c r="K3806">
        <v>690</v>
      </c>
      <c r="O3806" t="s">
        <v>176</v>
      </c>
      <c r="P3806" t="s">
        <v>45</v>
      </c>
      <c r="U3806" s="9" t="s">
        <v>148</v>
      </c>
      <c r="V3806" t="s">
        <v>184</v>
      </c>
      <c r="W3806" t="s">
        <v>178</v>
      </c>
      <c r="X3806" t="s">
        <v>191</v>
      </c>
      <c r="Y3806" t="s">
        <v>179</v>
      </c>
      <c r="Z3806" t="s">
        <v>247</v>
      </c>
      <c r="AB3806" t="str">
        <f t="shared" si="177"/>
        <v>53895</v>
      </c>
    </row>
    <row r="3807" ht="14.25" spans="1:28">
      <c r="A3807" s="5" t="s">
        <v>28</v>
      </c>
      <c r="B3807" s="5" t="s">
        <v>697</v>
      </c>
      <c r="C3807" s="5">
        <v>2027</v>
      </c>
      <c r="D3807" s="5" t="s">
        <v>30</v>
      </c>
      <c r="E3807" t="s">
        <v>2174</v>
      </c>
      <c r="F3807" t="s">
        <v>2175</v>
      </c>
      <c r="G3807" t="s">
        <v>1882</v>
      </c>
      <c r="H3807" t="s">
        <v>2176</v>
      </c>
      <c r="I3807" t="s">
        <v>147</v>
      </c>
      <c r="J3807" t="s">
        <v>36</v>
      </c>
      <c r="K3807">
        <v>1590</v>
      </c>
      <c r="O3807" t="s">
        <v>176</v>
      </c>
      <c r="P3807" t="s">
        <v>177</v>
      </c>
      <c r="R3807">
        <f t="shared" si="178"/>
        <v>0</v>
      </c>
      <c r="S3807">
        <f>SUMIFS([1]Sheet1!$T:$T,[1]Sheet1!$I:$I,E3807,[1]Sheet1!$C:$C,A3807)</f>
        <v>0</v>
      </c>
      <c r="T3807">
        <f t="shared" si="179"/>
        <v>0</v>
      </c>
      <c r="U3807" s="9" t="s">
        <v>638</v>
      </c>
      <c r="V3807" t="s">
        <v>638</v>
      </c>
      <c r="W3807" t="s">
        <v>178</v>
      </c>
      <c r="Y3807" t="s">
        <v>179</v>
      </c>
      <c r="Z3807" t="s">
        <v>41</v>
      </c>
      <c r="AB3807" t="str">
        <f t="shared" si="177"/>
        <v>53901</v>
      </c>
    </row>
    <row r="3808" ht="14.25" spans="1:28">
      <c r="A3808" s="5" t="s">
        <v>28</v>
      </c>
      <c r="B3808" s="5" t="s">
        <v>697</v>
      </c>
      <c r="C3808" s="5">
        <v>2027</v>
      </c>
      <c r="D3808" s="5" t="s">
        <v>30</v>
      </c>
      <c r="E3808" t="s">
        <v>2174</v>
      </c>
      <c r="F3808" t="s">
        <v>2175</v>
      </c>
      <c r="G3808" t="s">
        <v>1882</v>
      </c>
      <c r="H3808" t="s">
        <v>2176</v>
      </c>
      <c r="I3808" t="s">
        <v>147</v>
      </c>
      <c r="J3808" t="s">
        <v>36</v>
      </c>
      <c r="K3808">
        <v>1590</v>
      </c>
      <c r="O3808" t="s">
        <v>176</v>
      </c>
      <c r="P3808" t="s">
        <v>38</v>
      </c>
      <c r="U3808" s="9" t="s">
        <v>638</v>
      </c>
      <c r="V3808" t="s">
        <v>638</v>
      </c>
      <c r="W3808" t="s">
        <v>178</v>
      </c>
      <c r="Y3808" t="s">
        <v>179</v>
      </c>
      <c r="Z3808" t="s">
        <v>41</v>
      </c>
      <c r="AB3808" t="str">
        <f t="shared" si="177"/>
        <v>53901</v>
      </c>
    </row>
    <row r="3809" ht="14.25" spans="1:28">
      <c r="A3809" s="5" t="s">
        <v>28</v>
      </c>
      <c r="B3809" s="5" t="s">
        <v>697</v>
      </c>
      <c r="C3809" s="5">
        <v>2027</v>
      </c>
      <c r="D3809" s="5" t="s">
        <v>30</v>
      </c>
      <c r="E3809" t="s">
        <v>2174</v>
      </c>
      <c r="F3809" t="s">
        <v>2175</v>
      </c>
      <c r="G3809" t="s">
        <v>1882</v>
      </c>
      <c r="H3809" t="s">
        <v>2176</v>
      </c>
      <c r="I3809" t="s">
        <v>147</v>
      </c>
      <c r="J3809" t="s">
        <v>36</v>
      </c>
      <c r="K3809">
        <v>1590</v>
      </c>
      <c r="O3809" t="s">
        <v>176</v>
      </c>
      <c r="P3809" t="s">
        <v>42</v>
      </c>
      <c r="U3809" s="9" t="s">
        <v>638</v>
      </c>
      <c r="V3809" t="s">
        <v>638</v>
      </c>
      <c r="W3809" t="s">
        <v>178</v>
      </c>
      <c r="Y3809" t="s">
        <v>179</v>
      </c>
      <c r="Z3809" t="s">
        <v>41</v>
      </c>
      <c r="AB3809" t="str">
        <f t="shared" si="177"/>
        <v>53901</v>
      </c>
    </row>
    <row r="3810" ht="14.25" spans="1:28">
      <c r="A3810" s="5" t="s">
        <v>28</v>
      </c>
      <c r="B3810" s="5" t="s">
        <v>697</v>
      </c>
      <c r="C3810" s="5">
        <v>2027</v>
      </c>
      <c r="D3810" s="5" t="s">
        <v>30</v>
      </c>
      <c r="E3810" t="s">
        <v>2174</v>
      </c>
      <c r="F3810" t="s">
        <v>2175</v>
      </c>
      <c r="G3810" t="s">
        <v>1882</v>
      </c>
      <c r="H3810" t="s">
        <v>2176</v>
      </c>
      <c r="I3810" t="s">
        <v>147</v>
      </c>
      <c r="J3810" t="s">
        <v>36</v>
      </c>
      <c r="K3810">
        <v>1590</v>
      </c>
      <c r="O3810" t="s">
        <v>176</v>
      </c>
      <c r="P3810" t="s">
        <v>43</v>
      </c>
      <c r="U3810" s="9" t="s">
        <v>638</v>
      </c>
      <c r="V3810" t="s">
        <v>638</v>
      </c>
      <c r="W3810" t="s">
        <v>178</v>
      </c>
      <c r="Y3810" t="s">
        <v>179</v>
      </c>
      <c r="Z3810" t="s">
        <v>41</v>
      </c>
      <c r="AB3810" t="str">
        <f t="shared" si="177"/>
        <v>53901</v>
      </c>
    </row>
    <row r="3811" ht="14.25" spans="1:28">
      <c r="A3811" s="5" t="s">
        <v>28</v>
      </c>
      <c r="B3811" s="5" t="s">
        <v>697</v>
      </c>
      <c r="C3811" s="5">
        <v>2027</v>
      </c>
      <c r="D3811" s="5" t="s">
        <v>30</v>
      </c>
      <c r="E3811" t="s">
        <v>2174</v>
      </c>
      <c r="F3811" t="s">
        <v>2175</v>
      </c>
      <c r="G3811" t="s">
        <v>1882</v>
      </c>
      <c r="H3811" t="s">
        <v>2176</v>
      </c>
      <c r="I3811" t="s">
        <v>147</v>
      </c>
      <c r="J3811" t="s">
        <v>36</v>
      </c>
      <c r="K3811">
        <v>1590</v>
      </c>
      <c r="O3811" t="s">
        <v>176</v>
      </c>
      <c r="P3811" t="s">
        <v>44</v>
      </c>
      <c r="U3811" s="9" t="s">
        <v>638</v>
      </c>
      <c r="V3811" t="s">
        <v>638</v>
      </c>
      <c r="W3811" t="s">
        <v>178</v>
      </c>
      <c r="Y3811" t="s">
        <v>179</v>
      </c>
      <c r="Z3811" t="s">
        <v>41</v>
      </c>
      <c r="AB3811" t="str">
        <f t="shared" si="177"/>
        <v>53901</v>
      </c>
    </row>
    <row r="3812" ht="14.25" spans="1:28">
      <c r="A3812" s="5" t="s">
        <v>28</v>
      </c>
      <c r="B3812" s="5" t="s">
        <v>697</v>
      </c>
      <c r="C3812" s="5">
        <v>2027</v>
      </c>
      <c r="D3812" s="5" t="s">
        <v>30</v>
      </c>
      <c r="E3812" t="s">
        <v>2174</v>
      </c>
      <c r="F3812" t="s">
        <v>2175</v>
      </c>
      <c r="G3812" t="s">
        <v>1882</v>
      </c>
      <c r="H3812" t="s">
        <v>2176</v>
      </c>
      <c r="I3812" t="s">
        <v>147</v>
      </c>
      <c r="J3812" t="s">
        <v>36</v>
      </c>
      <c r="K3812">
        <v>1590</v>
      </c>
      <c r="O3812" t="s">
        <v>176</v>
      </c>
      <c r="P3812" t="s">
        <v>45</v>
      </c>
      <c r="U3812" s="9" t="s">
        <v>638</v>
      </c>
      <c r="V3812" t="s">
        <v>638</v>
      </c>
      <c r="W3812" t="s">
        <v>178</v>
      </c>
      <c r="Y3812" t="s">
        <v>179</v>
      </c>
      <c r="Z3812" t="s">
        <v>41</v>
      </c>
      <c r="AB3812" t="str">
        <f t="shared" si="177"/>
        <v>53901</v>
      </c>
    </row>
    <row r="3813" ht="14.25" spans="1:28">
      <c r="A3813" s="5" t="s">
        <v>28</v>
      </c>
      <c r="B3813" s="5" t="s">
        <v>697</v>
      </c>
      <c r="C3813" s="5">
        <v>2027</v>
      </c>
      <c r="D3813" s="5" t="s">
        <v>30</v>
      </c>
      <c r="E3813" t="s">
        <v>2177</v>
      </c>
      <c r="F3813" t="s">
        <v>2175</v>
      </c>
      <c r="G3813" t="s">
        <v>182</v>
      </c>
      <c r="H3813" t="s">
        <v>2178</v>
      </c>
      <c r="I3813" t="s">
        <v>119</v>
      </c>
      <c r="J3813" t="s">
        <v>36</v>
      </c>
      <c r="K3813">
        <v>1590</v>
      </c>
      <c r="O3813" t="s">
        <v>176</v>
      </c>
      <c r="P3813" t="s">
        <v>177</v>
      </c>
      <c r="R3813">
        <f t="shared" si="178"/>
        <v>0</v>
      </c>
      <c r="S3813">
        <f>SUMIFS([1]Sheet1!$T:$T,[1]Sheet1!$I:$I,E3813,[1]Sheet1!$C:$C,A3813)</f>
        <v>0</v>
      </c>
      <c r="T3813">
        <f t="shared" si="179"/>
        <v>0</v>
      </c>
      <c r="U3813" s="9" t="s">
        <v>638</v>
      </c>
      <c r="V3813" t="s">
        <v>638</v>
      </c>
      <c r="W3813" t="s">
        <v>178</v>
      </c>
      <c r="X3813" t="s">
        <v>102</v>
      </c>
      <c r="Y3813" t="s">
        <v>179</v>
      </c>
      <c r="Z3813" t="s">
        <v>41</v>
      </c>
      <c r="AB3813" t="str">
        <f t="shared" si="177"/>
        <v>53901</v>
      </c>
    </row>
    <row r="3814" ht="14.25" spans="1:28">
      <c r="A3814" s="5" t="s">
        <v>28</v>
      </c>
      <c r="B3814" s="5" t="s">
        <v>697</v>
      </c>
      <c r="C3814" s="5">
        <v>2027</v>
      </c>
      <c r="D3814" s="5" t="s">
        <v>30</v>
      </c>
      <c r="E3814" t="s">
        <v>2177</v>
      </c>
      <c r="F3814" t="s">
        <v>2175</v>
      </c>
      <c r="G3814" t="s">
        <v>182</v>
      </c>
      <c r="H3814" t="s">
        <v>2178</v>
      </c>
      <c r="I3814" t="s">
        <v>119</v>
      </c>
      <c r="J3814" t="s">
        <v>36</v>
      </c>
      <c r="K3814">
        <v>1590</v>
      </c>
      <c r="O3814" t="s">
        <v>176</v>
      </c>
      <c r="P3814" t="s">
        <v>38</v>
      </c>
      <c r="U3814" s="9" t="s">
        <v>638</v>
      </c>
      <c r="V3814" t="s">
        <v>638</v>
      </c>
      <c r="W3814" t="s">
        <v>178</v>
      </c>
      <c r="X3814" t="s">
        <v>102</v>
      </c>
      <c r="Y3814" t="s">
        <v>179</v>
      </c>
      <c r="Z3814" t="s">
        <v>41</v>
      </c>
      <c r="AB3814" t="str">
        <f t="shared" si="177"/>
        <v>53901</v>
      </c>
    </row>
    <row r="3815" ht="14.25" spans="1:28">
      <c r="A3815" s="5" t="s">
        <v>28</v>
      </c>
      <c r="B3815" s="5" t="s">
        <v>697</v>
      </c>
      <c r="C3815" s="5">
        <v>2027</v>
      </c>
      <c r="D3815" s="5" t="s">
        <v>30</v>
      </c>
      <c r="E3815" t="s">
        <v>2177</v>
      </c>
      <c r="F3815" t="s">
        <v>2175</v>
      </c>
      <c r="G3815" t="s">
        <v>182</v>
      </c>
      <c r="H3815" t="s">
        <v>2178</v>
      </c>
      <c r="I3815" t="s">
        <v>119</v>
      </c>
      <c r="J3815" t="s">
        <v>36</v>
      </c>
      <c r="K3815">
        <v>1590</v>
      </c>
      <c r="O3815" t="s">
        <v>176</v>
      </c>
      <c r="P3815" t="s">
        <v>42</v>
      </c>
      <c r="U3815" s="9" t="s">
        <v>638</v>
      </c>
      <c r="V3815" t="s">
        <v>638</v>
      </c>
      <c r="W3815" t="s">
        <v>178</v>
      </c>
      <c r="X3815" t="s">
        <v>102</v>
      </c>
      <c r="Y3815" t="s">
        <v>179</v>
      </c>
      <c r="Z3815" t="s">
        <v>41</v>
      </c>
      <c r="AB3815" t="str">
        <f t="shared" si="177"/>
        <v>53901</v>
      </c>
    </row>
    <row r="3816" ht="14.25" spans="1:28">
      <c r="A3816" s="5" t="s">
        <v>28</v>
      </c>
      <c r="B3816" s="5" t="s">
        <v>697</v>
      </c>
      <c r="C3816" s="5">
        <v>2027</v>
      </c>
      <c r="D3816" s="5" t="s">
        <v>30</v>
      </c>
      <c r="E3816" t="s">
        <v>2177</v>
      </c>
      <c r="F3816" t="s">
        <v>2175</v>
      </c>
      <c r="G3816" t="s">
        <v>182</v>
      </c>
      <c r="H3816" t="s">
        <v>2178</v>
      </c>
      <c r="I3816" t="s">
        <v>119</v>
      </c>
      <c r="J3816" t="s">
        <v>36</v>
      </c>
      <c r="K3816">
        <v>1590</v>
      </c>
      <c r="O3816" t="s">
        <v>176</v>
      </c>
      <c r="P3816" t="s">
        <v>43</v>
      </c>
      <c r="U3816" s="9" t="s">
        <v>638</v>
      </c>
      <c r="V3816" t="s">
        <v>638</v>
      </c>
      <c r="W3816" t="s">
        <v>178</v>
      </c>
      <c r="X3816" t="s">
        <v>102</v>
      </c>
      <c r="Y3816" t="s">
        <v>179</v>
      </c>
      <c r="Z3816" t="s">
        <v>41</v>
      </c>
      <c r="AB3816" t="str">
        <f t="shared" si="177"/>
        <v>53901</v>
      </c>
    </row>
    <row r="3817" ht="14.25" spans="1:28">
      <c r="A3817" s="5" t="s">
        <v>28</v>
      </c>
      <c r="B3817" s="5" t="s">
        <v>697</v>
      </c>
      <c r="C3817" s="5">
        <v>2027</v>
      </c>
      <c r="D3817" s="5" t="s">
        <v>30</v>
      </c>
      <c r="E3817" t="s">
        <v>2177</v>
      </c>
      <c r="F3817" t="s">
        <v>2175</v>
      </c>
      <c r="G3817" t="s">
        <v>182</v>
      </c>
      <c r="H3817" t="s">
        <v>2178</v>
      </c>
      <c r="I3817" t="s">
        <v>119</v>
      </c>
      <c r="J3817" t="s">
        <v>36</v>
      </c>
      <c r="K3817">
        <v>1590</v>
      </c>
      <c r="O3817" t="s">
        <v>176</v>
      </c>
      <c r="P3817" t="s">
        <v>44</v>
      </c>
      <c r="U3817" s="9" t="s">
        <v>638</v>
      </c>
      <c r="V3817" t="s">
        <v>638</v>
      </c>
      <c r="W3817" t="s">
        <v>178</v>
      </c>
      <c r="X3817" t="s">
        <v>102</v>
      </c>
      <c r="Y3817" t="s">
        <v>179</v>
      </c>
      <c r="Z3817" t="s">
        <v>41</v>
      </c>
      <c r="AB3817" t="str">
        <f t="shared" si="177"/>
        <v>53901</v>
      </c>
    </row>
    <row r="3818" ht="14.25" spans="1:28">
      <c r="A3818" s="5" t="s">
        <v>28</v>
      </c>
      <c r="B3818" s="5" t="s">
        <v>697</v>
      </c>
      <c r="C3818" s="5">
        <v>2027</v>
      </c>
      <c r="D3818" s="5" t="s">
        <v>30</v>
      </c>
      <c r="E3818" t="s">
        <v>2177</v>
      </c>
      <c r="F3818" t="s">
        <v>2175</v>
      </c>
      <c r="G3818" t="s">
        <v>182</v>
      </c>
      <c r="H3818" t="s">
        <v>2178</v>
      </c>
      <c r="I3818" t="s">
        <v>119</v>
      </c>
      <c r="J3818" t="s">
        <v>36</v>
      </c>
      <c r="K3818">
        <v>1590</v>
      </c>
      <c r="O3818" t="s">
        <v>176</v>
      </c>
      <c r="P3818" t="s">
        <v>45</v>
      </c>
      <c r="U3818" s="9" t="s">
        <v>638</v>
      </c>
      <c r="V3818" t="s">
        <v>638</v>
      </c>
      <c r="W3818" t="s">
        <v>178</v>
      </c>
      <c r="X3818" t="s">
        <v>102</v>
      </c>
      <c r="Y3818" t="s">
        <v>179</v>
      </c>
      <c r="Z3818" t="s">
        <v>41</v>
      </c>
      <c r="AB3818" t="str">
        <f t="shared" si="177"/>
        <v>53901</v>
      </c>
    </row>
    <row r="3819" ht="14.25" spans="1:28">
      <c r="A3819" s="5" t="s">
        <v>28</v>
      </c>
      <c r="B3819" s="5" t="s">
        <v>697</v>
      </c>
      <c r="C3819" s="5">
        <v>2027</v>
      </c>
      <c r="D3819" s="5" t="s">
        <v>30</v>
      </c>
      <c r="E3819" t="s">
        <v>2179</v>
      </c>
      <c r="F3819" t="s">
        <v>2180</v>
      </c>
      <c r="G3819" t="s">
        <v>945</v>
      </c>
      <c r="H3819" t="s">
        <v>2181</v>
      </c>
      <c r="I3819" t="s">
        <v>112</v>
      </c>
      <c r="J3819" t="s">
        <v>36</v>
      </c>
      <c r="K3819">
        <v>2390</v>
      </c>
      <c r="O3819" t="s">
        <v>176</v>
      </c>
      <c r="P3819" t="s">
        <v>177</v>
      </c>
      <c r="R3819">
        <f t="shared" si="178"/>
        <v>0</v>
      </c>
      <c r="S3819">
        <f>SUMIFS([1]Sheet1!$T:$T,[1]Sheet1!$I:$I,E3819,[1]Sheet1!$C:$C,A3819)</f>
        <v>80</v>
      </c>
      <c r="T3819">
        <f t="shared" si="179"/>
        <v>-80</v>
      </c>
      <c r="U3819" s="9" t="s">
        <v>242</v>
      </c>
      <c r="V3819" t="s">
        <v>242</v>
      </c>
      <c r="W3819" t="s">
        <v>178</v>
      </c>
      <c r="X3819" t="s">
        <v>70</v>
      </c>
      <c r="Y3819" t="s">
        <v>179</v>
      </c>
      <c r="Z3819" t="s">
        <v>104</v>
      </c>
      <c r="AB3819" t="str">
        <f t="shared" si="177"/>
        <v>53908</v>
      </c>
    </row>
    <row r="3820" ht="14.25" spans="1:28">
      <c r="A3820" s="5" t="s">
        <v>28</v>
      </c>
      <c r="B3820" s="5" t="s">
        <v>697</v>
      </c>
      <c r="C3820" s="5">
        <v>2027</v>
      </c>
      <c r="D3820" s="5" t="s">
        <v>30</v>
      </c>
      <c r="E3820" t="s">
        <v>2179</v>
      </c>
      <c r="F3820" t="s">
        <v>2180</v>
      </c>
      <c r="G3820" t="s">
        <v>945</v>
      </c>
      <c r="H3820" t="s">
        <v>2181</v>
      </c>
      <c r="I3820" t="s">
        <v>112</v>
      </c>
      <c r="J3820" t="s">
        <v>36</v>
      </c>
      <c r="K3820">
        <v>2390</v>
      </c>
      <c r="O3820" t="s">
        <v>176</v>
      </c>
      <c r="P3820" t="s">
        <v>38</v>
      </c>
      <c r="U3820" s="9" t="s">
        <v>242</v>
      </c>
      <c r="V3820" t="s">
        <v>242</v>
      </c>
      <c r="W3820" t="s">
        <v>178</v>
      </c>
      <c r="X3820" t="s">
        <v>70</v>
      </c>
      <c r="Y3820" t="s">
        <v>179</v>
      </c>
      <c r="Z3820" t="s">
        <v>104</v>
      </c>
      <c r="AB3820" t="str">
        <f t="shared" si="177"/>
        <v>53908</v>
      </c>
    </row>
    <row r="3821" ht="14.25" spans="1:28">
      <c r="A3821" s="5" t="s">
        <v>28</v>
      </c>
      <c r="B3821" s="5" t="s">
        <v>697</v>
      </c>
      <c r="C3821" s="5">
        <v>2027</v>
      </c>
      <c r="D3821" s="5" t="s">
        <v>30</v>
      </c>
      <c r="E3821" t="s">
        <v>2179</v>
      </c>
      <c r="F3821" t="s">
        <v>2180</v>
      </c>
      <c r="G3821" t="s">
        <v>945</v>
      </c>
      <c r="H3821" t="s">
        <v>2181</v>
      </c>
      <c r="I3821" t="s">
        <v>112</v>
      </c>
      <c r="J3821" t="s">
        <v>36</v>
      </c>
      <c r="K3821">
        <v>2390</v>
      </c>
      <c r="O3821" t="s">
        <v>176</v>
      </c>
      <c r="P3821" t="s">
        <v>42</v>
      </c>
      <c r="U3821" s="9" t="s">
        <v>242</v>
      </c>
      <c r="V3821" t="s">
        <v>242</v>
      </c>
      <c r="W3821" t="s">
        <v>178</v>
      </c>
      <c r="X3821" t="s">
        <v>70</v>
      </c>
      <c r="Y3821" t="s">
        <v>179</v>
      </c>
      <c r="Z3821" t="s">
        <v>104</v>
      </c>
      <c r="AB3821" t="str">
        <f t="shared" si="177"/>
        <v>53908</v>
      </c>
    </row>
    <row r="3822" ht="14.25" spans="1:28">
      <c r="A3822" s="5" t="s">
        <v>28</v>
      </c>
      <c r="B3822" s="5" t="s">
        <v>697</v>
      </c>
      <c r="C3822" s="5">
        <v>2027</v>
      </c>
      <c r="D3822" s="5" t="s">
        <v>30</v>
      </c>
      <c r="E3822" t="s">
        <v>2179</v>
      </c>
      <c r="F3822" t="s">
        <v>2180</v>
      </c>
      <c r="G3822" t="s">
        <v>945</v>
      </c>
      <c r="H3822" t="s">
        <v>2181</v>
      </c>
      <c r="I3822" t="s">
        <v>112</v>
      </c>
      <c r="J3822" t="s">
        <v>36</v>
      </c>
      <c r="K3822">
        <v>2390</v>
      </c>
      <c r="O3822" t="s">
        <v>176</v>
      </c>
      <c r="P3822" t="s">
        <v>43</v>
      </c>
      <c r="U3822" s="9" t="s">
        <v>242</v>
      </c>
      <c r="V3822" t="s">
        <v>242</v>
      </c>
      <c r="W3822" t="s">
        <v>178</v>
      </c>
      <c r="X3822" t="s">
        <v>70</v>
      </c>
      <c r="Y3822" t="s">
        <v>179</v>
      </c>
      <c r="Z3822" t="s">
        <v>104</v>
      </c>
      <c r="AB3822" t="str">
        <f t="shared" si="177"/>
        <v>53908</v>
      </c>
    </row>
    <row r="3823" ht="14.25" spans="1:28">
      <c r="A3823" s="5" t="s">
        <v>28</v>
      </c>
      <c r="B3823" s="5" t="s">
        <v>697</v>
      </c>
      <c r="C3823" s="5">
        <v>2027</v>
      </c>
      <c r="D3823" s="5" t="s">
        <v>30</v>
      </c>
      <c r="E3823" t="s">
        <v>2179</v>
      </c>
      <c r="F3823" t="s">
        <v>2180</v>
      </c>
      <c r="G3823" t="s">
        <v>945</v>
      </c>
      <c r="H3823" t="s">
        <v>2181</v>
      </c>
      <c r="I3823" t="s">
        <v>112</v>
      </c>
      <c r="J3823" t="s">
        <v>36</v>
      </c>
      <c r="K3823">
        <v>2390</v>
      </c>
      <c r="O3823" t="s">
        <v>176</v>
      </c>
      <c r="P3823" t="s">
        <v>44</v>
      </c>
      <c r="U3823" s="9" t="s">
        <v>242</v>
      </c>
      <c r="V3823" t="s">
        <v>242</v>
      </c>
      <c r="W3823" t="s">
        <v>178</v>
      </c>
      <c r="X3823" t="s">
        <v>70</v>
      </c>
      <c r="Y3823" t="s">
        <v>179</v>
      </c>
      <c r="Z3823" t="s">
        <v>104</v>
      </c>
      <c r="AB3823" t="str">
        <f t="shared" si="177"/>
        <v>53908</v>
      </c>
    </row>
    <row r="3824" ht="14.25" spans="1:28">
      <c r="A3824" s="5" t="s">
        <v>28</v>
      </c>
      <c r="B3824" s="5" t="s">
        <v>697</v>
      </c>
      <c r="C3824" s="5">
        <v>2027</v>
      </c>
      <c r="D3824" s="5" t="s">
        <v>30</v>
      </c>
      <c r="E3824" t="s">
        <v>2179</v>
      </c>
      <c r="F3824" t="s">
        <v>2180</v>
      </c>
      <c r="G3824" t="s">
        <v>945</v>
      </c>
      <c r="H3824" t="s">
        <v>2181</v>
      </c>
      <c r="I3824" t="s">
        <v>112</v>
      </c>
      <c r="J3824" t="s">
        <v>36</v>
      </c>
      <c r="K3824">
        <v>2390</v>
      </c>
      <c r="O3824" t="s">
        <v>176</v>
      </c>
      <c r="P3824" t="s">
        <v>45</v>
      </c>
      <c r="U3824" s="9" t="s">
        <v>242</v>
      </c>
      <c r="V3824" t="s">
        <v>242</v>
      </c>
      <c r="W3824" t="s">
        <v>178</v>
      </c>
      <c r="X3824" t="s">
        <v>70</v>
      </c>
      <c r="Y3824" t="s">
        <v>179</v>
      </c>
      <c r="Z3824" t="s">
        <v>104</v>
      </c>
      <c r="AB3824" t="str">
        <f t="shared" si="177"/>
        <v>53908</v>
      </c>
    </row>
    <row r="3825" ht="14.25" spans="1:28">
      <c r="A3825" s="5" t="s">
        <v>28</v>
      </c>
      <c r="B3825" s="5" t="s">
        <v>697</v>
      </c>
      <c r="C3825" s="5">
        <v>2027</v>
      </c>
      <c r="D3825" s="5" t="s">
        <v>30</v>
      </c>
      <c r="E3825" t="s">
        <v>2182</v>
      </c>
      <c r="F3825" t="s">
        <v>2180</v>
      </c>
      <c r="G3825" t="s">
        <v>1937</v>
      </c>
      <c r="H3825" t="s">
        <v>2183</v>
      </c>
      <c r="I3825" t="s">
        <v>112</v>
      </c>
      <c r="J3825" t="s">
        <v>36</v>
      </c>
      <c r="K3825">
        <v>2390</v>
      </c>
      <c r="O3825" t="s">
        <v>176</v>
      </c>
      <c r="P3825" t="s">
        <v>177</v>
      </c>
      <c r="R3825">
        <f t="shared" si="178"/>
        <v>0</v>
      </c>
      <c r="S3825">
        <f>SUMIFS([1]Sheet1!$T:$T,[1]Sheet1!$I:$I,E3825,[1]Sheet1!$C:$C,A3825)</f>
        <v>30</v>
      </c>
      <c r="T3825">
        <f t="shared" si="179"/>
        <v>-30</v>
      </c>
      <c r="U3825" s="9" t="s">
        <v>242</v>
      </c>
      <c r="V3825" t="s">
        <v>242</v>
      </c>
      <c r="W3825" t="s">
        <v>178</v>
      </c>
      <c r="X3825" t="s">
        <v>1106</v>
      </c>
      <c r="Y3825" t="s">
        <v>179</v>
      </c>
      <c r="Z3825" t="s">
        <v>104</v>
      </c>
      <c r="AB3825" t="str">
        <f t="shared" si="177"/>
        <v>53908</v>
      </c>
    </row>
    <row r="3826" ht="14.25" spans="1:28">
      <c r="A3826" s="5" t="s">
        <v>28</v>
      </c>
      <c r="B3826" s="5" t="s">
        <v>697</v>
      </c>
      <c r="C3826" s="5">
        <v>2027</v>
      </c>
      <c r="D3826" s="5" t="s">
        <v>30</v>
      </c>
      <c r="E3826" t="s">
        <v>2182</v>
      </c>
      <c r="F3826" t="s">
        <v>2180</v>
      </c>
      <c r="G3826" t="s">
        <v>1937</v>
      </c>
      <c r="H3826" t="s">
        <v>2183</v>
      </c>
      <c r="I3826" t="s">
        <v>112</v>
      </c>
      <c r="J3826" t="s">
        <v>36</v>
      </c>
      <c r="K3826">
        <v>2390</v>
      </c>
      <c r="O3826" t="s">
        <v>176</v>
      </c>
      <c r="P3826" t="s">
        <v>38</v>
      </c>
      <c r="U3826" s="9" t="s">
        <v>242</v>
      </c>
      <c r="V3826" t="s">
        <v>242</v>
      </c>
      <c r="W3826" t="s">
        <v>178</v>
      </c>
      <c r="X3826" t="s">
        <v>1106</v>
      </c>
      <c r="Y3826" t="s">
        <v>179</v>
      </c>
      <c r="Z3826" t="s">
        <v>104</v>
      </c>
      <c r="AB3826" t="str">
        <f t="shared" si="177"/>
        <v>53908</v>
      </c>
    </row>
    <row r="3827" ht="14.25" spans="1:28">
      <c r="A3827" s="5" t="s">
        <v>28</v>
      </c>
      <c r="B3827" s="5" t="s">
        <v>697</v>
      </c>
      <c r="C3827" s="5">
        <v>2027</v>
      </c>
      <c r="D3827" s="5" t="s">
        <v>30</v>
      </c>
      <c r="E3827" t="s">
        <v>2182</v>
      </c>
      <c r="F3827" t="s">
        <v>2180</v>
      </c>
      <c r="G3827" t="s">
        <v>1937</v>
      </c>
      <c r="H3827" t="s">
        <v>2183</v>
      </c>
      <c r="I3827" t="s">
        <v>112</v>
      </c>
      <c r="J3827" t="s">
        <v>36</v>
      </c>
      <c r="K3827">
        <v>2390</v>
      </c>
      <c r="O3827" t="s">
        <v>176</v>
      </c>
      <c r="P3827" t="s">
        <v>42</v>
      </c>
      <c r="U3827" s="9" t="s">
        <v>242</v>
      </c>
      <c r="V3827" t="s">
        <v>242</v>
      </c>
      <c r="W3827" t="s">
        <v>178</v>
      </c>
      <c r="X3827" t="s">
        <v>1106</v>
      </c>
      <c r="Y3827" t="s">
        <v>179</v>
      </c>
      <c r="Z3827" t="s">
        <v>104</v>
      </c>
      <c r="AB3827" t="str">
        <f t="shared" ref="AB3827:AB3890" si="180">MID(E3827,6,5)</f>
        <v>53908</v>
      </c>
    </row>
    <row r="3828" ht="14.25" spans="1:28">
      <c r="A3828" s="5" t="s">
        <v>28</v>
      </c>
      <c r="B3828" s="5" t="s">
        <v>697</v>
      </c>
      <c r="C3828" s="5">
        <v>2027</v>
      </c>
      <c r="D3828" s="5" t="s">
        <v>30</v>
      </c>
      <c r="E3828" t="s">
        <v>2182</v>
      </c>
      <c r="F3828" t="s">
        <v>2180</v>
      </c>
      <c r="G3828" t="s">
        <v>1937</v>
      </c>
      <c r="H3828" t="s">
        <v>2183</v>
      </c>
      <c r="I3828" t="s">
        <v>112</v>
      </c>
      <c r="J3828" t="s">
        <v>36</v>
      </c>
      <c r="K3828">
        <v>2390</v>
      </c>
      <c r="O3828" t="s">
        <v>176</v>
      </c>
      <c r="P3828" t="s">
        <v>43</v>
      </c>
      <c r="U3828" s="9" t="s">
        <v>242</v>
      </c>
      <c r="V3828" t="s">
        <v>242</v>
      </c>
      <c r="W3828" t="s">
        <v>178</v>
      </c>
      <c r="X3828" t="s">
        <v>1106</v>
      </c>
      <c r="Y3828" t="s">
        <v>179</v>
      </c>
      <c r="Z3828" t="s">
        <v>104</v>
      </c>
      <c r="AB3828" t="str">
        <f t="shared" si="180"/>
        <v>53908</v>
      </c>
    </row>
    <row r="3829" ht="14.25" spans="1:28">
      <c r="A3829" s="5" t="s">
        <v>28</v>
      </c>
      <c r="B3829" s="5" t="s">
        <v>697</v>
      </c>
      <c r="C3829" s="5">
        <v>2027</v>
      </c>
      <c r="D3829" s="5" t="s">
        <v>30</v>
      </c>
      <c r="E3829" t="s">
        <v>2182</v>
      </c>
      <c r="F3829" t="s">
        <v>2180</v>
      </c>
      <c r="G3829" t="s">
        <v>1937</v>
      </c>
      <c r="H3829" t="s">
        <v>2183</v>
      </c>
      <c r="I3829" t="s">
        <v>112</v>
      </c>
      <c r="J3829" t="s">
        <v>36</v>
      </c>
      <c r="K3829">
        <v>2390</v>
      </c>
      <c r="O3829" t="s">
        <v>176</v>
      </c>
      <c r="P3829" t="s">
        <v>44</v>
      </c>
      <c r="U3829" s="9" t="s">
        <v>242</v>
      </c>
      <c r="V3829" t="s">
        <v>242</v>
      </c>
      <c r="W3829" t="s">
        <v>178</v>
      </c>
      <c r="X3829" t="s">
        <v>1106</v>
      </c>
      <c r="Y3829" t="s">
        <v>179</v>
      </c>
      <c r="Z3829" t="s">
        <v>104</v>
      </c>
      <c r="AB3829" t="str">
        <f t="shared" si="180"/>
        <v>53908</v>
      </c>
    </row>
    <row r="3830" ht="14.25" spans="1:28">
      <c r="A3830" s="5" t="s">
        <v>28</v>
      </c>
      <c r="B3830" s="5" t="s">
        <v>697</v>
      </c>
      <c r="C3830" s="5">
        <v>2027</v>
      </c>
      <c r="D3830" s="5" t="s">
        <v>30</v>
      </c>
      <c r="E3830" t="s">
        <v>2182</v>
      </c>
      <c r="F3830" t="s">
        <v>2180</v>
      </c>
      <c r="G3830" t="s">
        <v>1937</v>
      </c>
      <c r="H3830" t="s">
        <v>2183</v>
      </c>
      <c r="I3830" t="s">
        <v>112</v>
      </c>
      <c r="J3830" t="s">
        <v>36</v>
      </c>
      <c r="K3830">
        <v>2390</v>
      </c>
      <c r="O3830" t="s">
        <v>176</v>
      </c>
      <c r="P3830" t="s">
        <v>45</v>
      </c>
      <c r="U3830" s="9" t="s">
        <v>242</v>
      </c>
      <c r="V3830" t="s">
        <v>242</v>
      </c>
      <c r="W3830" t="s">
        <v>178</v>
      </c>
      <c r="X3830" t="s">
        <v>1106</v>
      </c>
      <c r="Y3830" t="s">
        <v>179</v>
      </c>
      <c r="Z3830" t="s">
        <v>104</v>
      </c>
      <c r="AB3830" t="str">
        <f t="shared" si="180"/>
        <v>53908</v>
      </c>
    </row>
    <row r="3831" ht="14.25" spans="1:28">
      <c r="A3831" s="5" t="s">
        <v>28</v>
      </c>
      <c r="B3831" s="5" t="s">
        <v>697</v>
      </c>
      <c r="C3831" s="5">
        <v>2027</v>
      </c>
      <c r="D3831" s="5" t="s">
        <v>30</v>
      </c>
      <c r="E3831" t="s">
        <v>2184</v>
      </c>
      <c r="F3831" t="s">
        <v>2185</v>
      </c>
      <c r="G3831" t="s">
        <v>84</v>
      </c>
      <c r="H3831" t="s">
        <v>2186</v>
      </c>
      <c r="I3831" t="s">
        <v>119</v>
      </c>
      <c r="J3831" t="s">
        <v>36</v>
      </c>
      <c r="K3831">
        <v>1990</v>
      </c>
      <c r="O3831" t="s">
        <v>176</v>
      </c>
      <c r="P3831" t="s">
        <v>177</v>
      </c>
      <c r="R3831">
        <f t="shared" si="178"/>
        <v>0</v>
      </c>
      <c r="S3831">
        <f>SUMIFS([1]Sheet1!$T:$T,[1]Sheet1!$I:$I,E3831,[1]Sheet1!$C:$C,A3831)</f>
        <v>0</v>
      </c>
      <c r="T3831">
        <f t="shared" si="179"/>
        <v>0</v>
      </c>
      <c r="U3831" s="9" t="s">
        <v>242</v>
      </c>
      <c r="V3831" t="s">
        <v>242</v>
      </c>
      <c r="W3831" t="s">
        <v>178</v>
      </c>
      <c r="X3831" t="s">
        <v>86</v>
      </c>
      <c r="Y3831" t="s">
        <v>179</v>
      </c>
      <c r="Z3831" t="s">
        <v>247</v>
      </c>
      <c r="AB3831" t="str">
        <f t="shared" si="180"/>
        <v>53956</v>
      </c>
    </row>
    <row r="3832" ht="14.25" spans="1:28">
      <c r="A3832" s="5" t="s">
        <v>28</v>
      </c>
      <c r="B3832" s="5" t="s">
        <v>697</v>
      </c>
      <c r="C3832" s="5">
        <v>2027</v>
      </c>
      <c r="D3832" s="5" t="s">
        <v>30</v>
      </c>
      <c r="E3832" t="s">
        <v>2184</v>
      </c>
      <c r="F3832" t="s">
        <v>2185</v>
      </c>
      <c r="G3832" t="s">
        <v>84</v>
      </c>
      <c r="H3832" t="s">
        <v>2186</v>
      </c>
      <c r="I3832" t="s">
        <v>119</v>
      </c>
      <c r="J3832" t="s">
        <v>36</v>
      </c>
      <c r="K3832">
        <v>1990</v>
      </c>
      <c r="O3832" t="s">
        <v>176</v>
      </c>
      <c r="P3832" t="s">
        <v>38</v>
      </c>
      <c r="U3832" s="9" t="s">
        <v>242</v>
      </c>
      <c r="V3832" t="s">
        <v>242</v>
      </c>
      <c r="W3832" t="s">
        <v>178</v>
      </c>
      <c r="X3832" t="s">
        <v>86</v>
      </c>
      <c r="Y3832" t="s">
        <v>179</v>
      </c>
      <c r="Z3832" t="s">
        <v>247</v>
      </c>
      <c r="AB3832" t="str">
        <f t="shared" si="180"/>
        <v>53956</v>
      </c>
    </row>
    <row r="3833" ht="14.25" spans="1:28">
      <c r="A3833" s="5" t="s">
        <v>28</v>
      </c>
      <c r="B3833" s="5" t="s">
        <v>697</v>
      </c>
      <c r="C3833" s="5">
        <v>2027</v>
      </c>
      <c r="D3833" s="5" t="s">
        <v>30</v>
      </c>
      <c r="E3833" t="s">
        <v>2184</v>
      </c>
      <c r="F3833" t="s">
        <v>2185</v>
      </c>
      <c r="G3833" t="s">
        <v>84</v>
      </c>
      <c r="H3833" t="s">
        <v>2186</v>
      </c>
      <c r="I3833" t="s">
        <v>119</v>
      </c>
      <c r="J3833" t="s">
        <v>36</v>
      </c>
      <c r="K3833">
        <v>1990</v>
      </c>
      <c r="O3833" t="s">
        <v>176</v>
      </c>
      <c r="P3833" t="s">
        <v>42</v>
      </c>
      <c r="U3833" s="9" t="s">
        <v>242</v>
      </c>
      <c r="V3833" t="s">
        <v>242</v>
      </c>
      <c r="W3833" t="s">
        <v>178</v>
      </c>
      <c r="X3833" t="s">
        <v>86</v>
      </c>
      <c r="Y3833" t="s">
        <v>179</v>
      </c>
      <c r="Z3833" t="s">
        <v>247</v>
      </c>
      <c r="AB3833" t="str">
        <f t="shared" si="180"/>
        <v>53956</v>
      </c>
    </row>
    <row r="3834" ht="14.25" spans="1:28">
      <c r="A3834" s="5" t="s">
        <v>28</v>
      </c>
      <c r="B3834" s="5" t="s">
        <v>697</v>
      </c>
      <c r="C3834" s="5">
        <v>2027</v>
      </c>
      <c r="D3834" s="5" t="s">
        <v>30</v>
      </c>
      <c r="E3834" t="s">
        <v>2184</v>
      </c>
      <c r="F3834" t="s">
        <v>2185</v>
      </c>
      <c r="G3834" t="s">
        <v>84</v>
      </c>
      <c r="H3834" t="s">
        <v>2186</v>
      </c>
      <c r="I3834" t="s">
        <v>119</v>
      </c>
      <c r="J3834" t="s">
        <v>36</v>
      </c>
      <c r="K3834">
        <v>1990</v>
      </c>
      <c r="O3834" t="s">
        <v>176</v>
      </c>
      <c r="P3834" t="s">
        <v>43</v>
      </c>
      <c r="U3834" s="9" t="s">
        <v>242</v>
      </c>
      <c r="V3834" t="s">
        <v>242</v>
      </c>
      <c r="W3834" t="s">
        <v>178</v>
      </c>
      <c r="X3834" t="s">
        <v>86</v>
      </c>
      <c r="Y3834" t="s">
        <v>179</v>
      </c>
      <c r="Z3834" t="s">
        <v>247</v>
      </c>
      <c r="AB3834" t="str">
        <f t="shared" si="180"/>
        <v>53956</v>
      </c>
    </row>
    <row r="3835" ht="14.25" spans="1:28">
      <c r="A3835" s="5" t="s">
        <v>28</v>
      </c>
      <c r="B3835" s="5" t="s">
        <v>697</v>
      </c>
      <c r="C3835" s="5">
        <v>2027</v>
      </c>
      <c r="D3835" s="5" t="s">
        <v>30</v>
      </c>
      <c r="E3835" t="s">
        <v>2184</v>
      </c>
      <c r="F3835" t="s">
        <v>2185</v>
      </c>
      <c r="G3835" t="s">
        <v>84</v>
      </c>
      <c r="H3835" t="s">
        <v>2186</v>
      </c>
      <c r="I3835" t="s">
        <v>119</v>
      </c>
      <c r="J3835" t="s">
        <v>36</v>
      </c>
      <c r="K3835">
        <v>1990</v>
      </c>
      <c r="O3835" t="s">
        <v>176</v>
      </c>
      <c r="P3835" t="s">
        <v>44</v>
      </c>
      <c r="U3835" s="9" t="s">
        <v>242</v>
      </c>
      <c r="V3835" t="s">
        <v>242</v>
      </c>
      <c r="W3835" t="s">
        <v>178</v>
      </c>
      <c r="X3835" t="s">
        <v>86</v>
      </c>
      <c r="Y3835" t="s">
        <v>179</v>
      </c>
      <c r="Z3835" t="s">
        <v>247</v>
      </c>
      <c r="AB3835" t="str">
        <f t="shared" si="180"/>
        <v>53956</v>
      </c>
    </row>
    <row r="3836" ht="14.25" spans="1:28">
      <c r="A3836" s="5" t="s">
        <v>28</v>
      </c>
      <c r="B3836" s="5" t="s">
        <v>697</v>
      </c>
      <c r="C3836" s="5">
        <v>2027</v>
      </c>
      <c r="D3836" s="5" t="s">
        <v>30</v>
      </c>
      <c r="E3836" t="s">
        <v>2184</v>
      </c>
      <c r="F3836" t="s">
        <v>2185</v>
      </c>
      <c r="G3836" t="s">
        <v>84</v>
      </c>
      <c r="H3836" t="s">
        <v>2186</v>
      </c>
      <c r="I3836" t="s">
        <v>119</v>
      </c>
      <c r="J3836" t="s">
        <v>36</v>
      </c>
      <c r="K3836">
        <v>1990</v>
      </c>
      <c r="O3836" t="s">
        <v>176</v>
      </c>
      <c r="P3836" t="s">
        <v>45</v>
      </c>
      <c r="U3836" s="9" t="s">
        <v>242</v>
      </c>
      <c r="V3836" t="s">
        <v>242</v>
      </c>
      <c r="W3836" t="s">
        <v>178</v>
      </c>
      <c r="X3836" t="s">
        <v>86</v>
      </c>
      <c r="Y3836" t="s">
        <v>179</v>
      </c>
      <c r="Z3836" t="s">
        <v>247</v>
      </c>
      <c r="AB3836" t="str">
        <f t="shared" si="180"/>
        <v>53956</v>
      </c>
    </row>
    <row r="3837" ht="14.25" spans="1:28">
      <c r="A3837" s="5" t="s">
        <v>28</v>
      </c>
      <c r="B3837" s="5" t="s">
        <v>697</v>
      </c>
      <c r="C3837" s="5">
        <v>2027</v>
      </c>
      <c r="D3837" s="5" t="s">
        <v>30</v>
      </c>
      <c r="E3837" t="s">
        <v>2187</v>
      </c>
      <c r="F3837" t="s">
        <v>2185</v>
      </c>
      <c r="G3837" t="s">
        <v>1901</v>
      </c>
      <c r="H3837" t="s">
        <v>2188</v>
      </c>
      <c r="I3837" t="s">
        <v>119</v>
      </c>
      <c r="J3837" t="s">
        <v>36</v>
      </c>
      <c r="K3837">
        <v>1990</v>
      </c>
      <c r="O3837" t="s">
        <v>176</v>
      </c>
      <c r="P3837" t="s">
        <v>177</v>
      </c>
      <c r="R3837">
        <f t="shared" si="178"/>
        <v>0</v>
      </c>
      <c r="S3837">
        <f>SUMIFS([1]Sheet1!$T:$T,[1]Sheet1!$I:$I,E3837,[1]Sheet1!$C:$C,A3837)</f>
        <v>0</v>
      </c>
      <c r="T3837">
        <f t="shared" si="179"/>
        <v>0</v>
      </c>
      <c r="U3837" s="9" t="s">
        <v>242</v>
      </c>
      <c r="V3837" t="s">
        <v>242</v>
      </c>
      <c r="W3837" t="s">
        <v>178</v>
      </c>
      <c r="X3837" t="s">
        <v>1131</v>
      </c>
      <c r="Y3837" t="s">
        <v>179</v>
      </c>
      <c r="Z3837" t="s">
        <v>247</v>
      </c>
      <c r="AB3837" t="str">
        <f t="shared" si="180"/>
        <v>53956</v>
      </c>
    </row>
    <row r="3838" ht="14.25" spans="1:28">
      <c r="A3838" s="5" t="s">
        <v>28</v>
      </c>
      <c r="B3838" s="5" t="s">
        <v>697</v>
      </c>
      <c r="C3838" s="5">
        <v>2027</v>
      </c>
      <c r="D3838" s="5" t="s">
        <v>30</v>
      </c>
      <c r="E3838" t="s">
        <v>2187</v>
      </c>
      <c r="F3838" t="s">
        <v>2185</v>
      </c>
      <c r="G3838" t="s">
        <v>1901</v>
      </c>
      <c r="H3838" t="s">
        <v>2188</v>
      </c>
      <c r="I3838" t="s">
        <v>119</v>
      </c>
      <c r="J3838" t="s">
        <v>36</v>
      </c>
      <c r="K3838">
        <v>1990</v>
      </c>
      <c r="O3838" t="s">
        <v>176</v>
      </c>
      <c r="P3838" t="s">
        <v>38</v>
      </c>
      <c r="U3838" s="9" t="s">
        <v>242</v>
      </c>
      <c r="V3838" t="s">
        <v>242</v>
      </c>
      <c r="W3838" t="s">
        <v>178</v>
      </c>
      <c r="X3838" t="s">
        <v>1131</v>
      </c>
      <c r="Y3838" t="s">
        <v>179</v>
      </c>
      <c r="Z3838" t="s">
        <v>247</v>
      </c>
      <c r="AB3838" t="str">
        <f t="shared" si="180"/>
        <v>53956</v>
      </c>
    </row>
    <row r="3839" ht="14.25" spans="1:28">
      <c r="A3839" s="5" t="s">
        <v>28</v>
      </c>
      <c r="B3839" s="5" t="s">
        <v>697</v>
      </c>
      <c r="C3839" s="5">
        <v>2027</v>
      </c>
      <c r="D3839" s="5" t="s">
        <v>30</v>
      </c>
      <c r="E3839" t="s">
        <v>2187</v>
      </c>
      <c r="F3839" t="s">
        <v>2185</v>
      </c>
      <c r="G3839" t="s">
        <v>1901</v>
      </c>
      <c r="H3839" t="s">
        <v>2188</v>
      </c>
      <c r="I3839" t="s">
        <v>119</v>
      </c>
      <c r="J3839" t="s">
        <v>36</v>
      </c>
      <c r="K3839">
        <v>1990</v>
      </c>
      <c r="O3839" t="s">
        <v>176</v>
      </c>
      <c r="P3839" t="s">
        <v>42</v>
      </c>
      <c r="U3839" s="9" t="s">
        <v>242</v>
      </c>
      <c r="V3839" t="s">
        <v>242</v>
      </c>
      <c r="W3839" t="s">
        <v>178</v>
      </c>
      <c r="X3839" t="s">
        <v>1131</v>
      </c>
      <c r="Y3839" t="s">
        <v>179</v>
      </c>
      <c r="Z3839" t="s">
        <v>247</v>
      </c>
      <c r="AB3839" t="str">
        <f t="shared" si="180"/>
        <v>53956</v>
      </c>
    </row>
    <row r="3840" ht="14.25" spans="1:28">
      <c r="A3840" s="5" t="s">
        <v>28</v>
      </c>
      <c r="B3840" s="5" t="s">
        <v>697</v>
      </c>
      <c r="C3840" s="5">
        <v>2027</v>
      </c>
      <c r="D3840" s="5" t="s">
        <v>30</v>
      </c>
      <c r="E3840" t="s">
        <v>2187</v>
      </c>
      <c r="F3840" t="s">
        <v>2185</v>
      </c>
      <c r="G3840" t="s">
        <v>1901</v>
      </c>
      <c r="H3840" t="s">
        <v>2188</v>
      </c>
      <c r="I3840" t="s">
        <v>119</v>
      </c>
      <c r="J3840" t="s">
        <v>36</v>
      </c>
      <c r="K3840">
        <v>1990</v>
      </c>
      <c r="O3840" t="s">
        <v>176</v>
      </c>
      <c r="P3840" t="s">
        <v>43</v>
      </c>
      <c r="U3840" s="9" t="s">
        <v>242</v>
      </c>
      <c r="V3840" t="s">
        <v>242</v>
      </c>
      <c r="W3840" t="s">
        <v>178</v>
      </c>
      <c r="X3840" t="s">
        <v>1131</v>
      </c>
      <c r="Y3840" t="s">
        <v>179</v>
      </c>
      <c r="Z3840" t="s">
        <v>247</v>
      </c>
      <c r="AB3840" t="str">
        <f t="shared" si="180"/>
        <v>53956</v>
      </c>
    </row>
    <row r="3841" ht="14.25" spans="1:28">
      <c r="A3841" s="5" t="s">
        <v>28</v>
      </c>
      <c r="B3841" s="5" t="s">
        <v>697</v>
      </c>
      <c r="C3841" s="5">
        <v>2027</v>
      </c>
      <c r="D3841" s="5" t="s">
        <v>30</v>
      </c>
      <c r="E3841" t="s">
        <v>2187</v>
      </c>
      <c r="F3841" t="s">
        <v>2185</v>
      </c>
      <c r="G3841" t="s">
        <v>1901</v>
      </c>
      <c r="H3841" t="s">
        <v>2188</v>
      </c>
      <c r="I3841" t="s">
        <v>119</v>
      </c>
      <c r="J3841" t="s">
        <v>36</v>
      </c>
      <c r="K3841">
        <v>1990</v>
      </c>
      <c r="O3841" t="s">
        <v>176</v>
      </c>
      <c r="P3841" t="s">
        <v>44</v>
      </c>
      <c r="U3841" s="9" t="s">
        <v>242</v>
      </c>
      <c r="V3841" t="s">
        <v>242</v>
      </c>
      <c r="W3841" t="s">
        <v>178</v>
      </c>
      <c r="X3841" t="s">
        <v>1131</v>
      </c>
      <c r="Y3841" t="s">
        <v>179</v>
      </c>
      <c r="Z3841" t="s">
        <v>247</v>
      </c>
      <c r="AB3841" t="str">
        <f t="shared" si="180"/>
        <v>53956</v>
      </c>
    </row>
    <row r="3842" ht="14.25" spans="1:28">
      <c r="A3842" s="5" t="s">
        <v>28</v>
      </c>
      <c r="B3842" s="5" t="s">
        <v>697</v>
      </c>
      <c r="C3842" s="5">
        <v>2027</v>
      </c>
      <c r="D3842" s="5" t="s">
        <v>30</v>
      </c>
      <c r="E3842" t="s">
        <v>2187</v>
      </c>
      <c r="F3842" t="s">
        <v>2185</v>
      </c>
      <c r="G3842" t="s">
        <v>1901</v>
      </c>
      <c r="H3842" t="s">
        <v>2188</v>
      </c>
      <c r="I3842" t="s">
        <v>119</v>
      </c>
      <c r="J3842" t="s">
        <v>36</v>
      </c>
      <c r="K3842">
        <v>1990</v>
      </c>
      <c r="O3842" t="s">
        <v>176</v>
      </c>
      <c r="P3842" t="s">
        <v>45</v>
      </c>
      <c r="U3842" s="9" t="s">
        <v>242</v>
      </c>
      <c r="V3842" t="s">
        <v>242</v>
      </c>
      <c r="W3842" t="s">
        <v>178</v>
      </c>
      <c r="X3842" t="s">
        <v>1131</v>
      </c>
      <c r="Y3842" t="s">
        <v>179</v>
      </c>
      <c r="Z3842" t="s">
        <v>247</v>
      </c>
      <c r="AB3842" t="str">
        <f t="shared" si="180"/>
        <v>53956</v>
      </c>
    </row>
    <row r="3843" ht="14.25" spans="1:28">
      <c r="A3843" s="5" t="s">
        <v>28</v>
      </c>
      <c r="B3843" s="5" t="s">
        <v>697</v>
      </c>
      <c r="C3843" s="5">
        <v>2027</v>
      </c>
      <c r="D3843" s="5" t="s">
        <v>30</v>
      </c>
      <c r="E3843" t="s">
        <v>260</v>
      </c>
      <c r="F3843" t="s">
        <v>261</v>
      </c>
      <c r="G3843" t="s">
        <v>262</v>
      </c>
      <c r="H3843" t="s">
        <v>263</v>
      </c>
      <c r="I3843" t="s">
        <v>119</v>
      </c>
      <c r="J3843" t="s">
        <v>36</v>
      </c>
      <c r="K3843">
        <v>2390</v>
      </c>
      <c r="O3843" t="s">
        <v>176</v>
      </c>
      <c r="P3843" t="s">
        <v>177</v>
      </c>
      <c r="R3843">
        <f t="shared" ref="R3842:R3905" si="181">SUMIFS(Q:Q,E:E,E3843)</f>
        <v>0</v>
      </c>
      <c r="S3843">
        <f>SUMIFS([1]Sheet1!$T:$T,[1]Sheet1!$I:$I,E3843,[1]Sheet1!$C:$C,A3843)</f>
        <v>60</v>
      </c>
      <c r="T3843">
        <f t="shared" ref="T3842:T3905" si="182">R3843-S3843</f>
        <v>-60</v>
      </c>
      <c r="U3843" s="9" t="s">
        <v>242</v>
      </c>
      <c r="V3843" t="s">
        <v>242</v>
      </c>
      <c r="W3843" t="s">
        <v>178</v>
      </c>
      <c r="Y3843" t="s">
        <v>179</v>
      </c>
      <c r="Z3843" t="s">
        <v>41</v>
      </c>
      <c r="AB3843" t="str">
        <f t="shared" si="180"/>
        <v>53957</v>
      </c>
    </row>
    <row r="3844" ht="14.25" spans="1:28">
      <c r="A3844" s="5" t="s">
        <v>28</v>
      </c>
      <c r="B3844" s="5" t="s">
        <v>697</v>
      </c>
      <c r="C3844" s="5">
        <v>2027</v>
      </c>
      <c r="D3844" s="5" t="s">
        <v>30</v>
      </c>
      <c r="E3844" t="s">
        <v>260</v>
      </c>
      <c r="F3844" t="s">
        <v>261</v>
      </c>
      <c r="G3844" t="s">
        <v>262</v>
      </c>
      <c r="H3844" t="s">
        <v>263</v>
      </c>
      <c r="I3844" t="s">
        <v>119</v>
      </c>
      <c r="J3844" t="s">
        <v>36</v>
      </c>
      <c r="K3844">
        <v>2390</v>
      </c>
      <c r="O3844" t="s">
        <v>176</v>
      </c>
      <c r="P3844" t="s">
        <v>38</v>
      </c>
      <c r="U3844" s="9" t="s">
        <v>242</v>
      </c>
      <c r="V3844" t="s">
        <v>242</v>
      </c>
      <c r="W3844" t="s">
        <v>178</v>
      </c>
      <c r="Y3844" t="s">
        <v>179</v>
      </c>
      <c r="Z3844" t="s">
        <v>41</v>
      </c>
      <c r="AB3844" t="str">
        <f t="shared" si="180"/>
        <v>53957</v>
      </c>
    </row>
    <row r="3845" ht="14.25" spans="1:28">
      <c r="A3845" s="5" t="s">
        <v>28</v>
      </c>
      <c r="B3845" s="5" t="s">
        <v>697</v>
      </c>
      <c r="C3845" s="5">
        <v>2027</v>
      </c>
      <c r="D3845" s="5" t="s">
        <v>30</v>
      </c>
      <c r="E3845" t="s">
        <v>260</v>
      </c>
      <c r="F3845" t="s">
        <v>261</v>
      </c>
      <c r="G3845" t="s">
        <v>262</v>
      </c>
      <c r="H3845" t="s">
        <v>263</v>
      </c>
      <c r="I3845" t="s">
        <v>119</v>
      </c>
      <c r="J3845" t="s">
        <v>36</v>
      </c>
      <c r="K3845">
        <v>2390</v>
      </c>
      <c r="O3845" t="s">
        <v>176</v>
      </c>
      <c r="P3845" t="s">
        <v>42</v>
      </c>
      <c r="U3845" s="9" t="s">
        <v>242</v>
      </c>
      <c r="V3845" t="s">
        <v>242</v>
      </c>
      <c r="W3845" t="s">
        <v>178</v>
      </c>
      <c r="Y3845" t="s">
        <v>179</v>
      </c>
      <c r="Z3845" t="s">
        <v>41</v>
      </c>
      <c r="AB3845" t="str">
        <f t="shared" si="180"/>
        <v>53957</v>
      </c>
    </row>
    <row r="3846" ht="14.25" spans="1:28">
      <c r="A3846" s="5" t="s">
        <v>28</v>
      </c>
      <c r="B3846" s="5" t="s">
        <v>697</v>
      </c>
      <c r="C3846" s="5">
        <v>2027</v>
      </c>
      <c r="D3846" s="5" t="s">
        <v>30</v>
      </c>
      <c r="E3846" t="s">
        <v>260</v>
      </c>
      <c r="F3846" t="s">
        <v>261</v>
      </c>
      <c r="G3846" t="s">
        <v>262</v>
      </c>
      <c r="H3846" t="s">
        <v>263</v>
      </c>
      <c r="I3846" t="s">
        <v>119</v>
      </c>
      <c r="J3846" t="s">
        <v>36</v>
      </c>
      <c r="K3846">
        <v>2390</v>
      </c>
      <c r="O3846" t="s">
        <v>176</v>
      </c>
      <c r="P3846" t="s">
        <v>43</v>
      </c>
      <c r="U3846" s="9" t="s">
        <v>242</v>
      </c>
      <c r="V3846" t="s">
        <v>242</v>
      </c>
      <c r="W3846" t="s">
        <v>178</v>
      </c>
      <c r="Y3846" t="s">
        <v>179</v>
      </c>
      <c r="Z3846" t="s">
        <v>41</v>
      </c>
      <c r="AB3846" t="str">
        <f t="shared" si="180"/>
        <v>53957</v>
      </c>
    </row>
    <row r="3847" ht="14.25" spans="1:28">
      <c r="A3847" s="5" t="s">
        <v>28</v>
      </c>
      <c r="B3847" s="5" t="s">
        <v>697</v>
      </c>
      <c r="C3847" s="5">
        <v>2027</v>
      </c>
      <c r="D3847" s="5" t="s">
        <v>30</v>
      </c>
      <c r="E3847" t="s">
        <v>260</v>
      </c>
      <c r="F3847" t="s">
        <v>261</v>
      </c>
      <c r="G3847" t="s">
        <v>262</v>
      </c>
      <c r="H3847" t="s">
        <v>263</v>
      </c>
      <c r="I3847" t="s">
        <v>119</v>
      </c>
      <c r="J3847" t="s">
        <v>36</v>
      </c>
      <c r="K3847">
        <v>2390</v>
      </c>
      <c r="O3847" t="s">
        <v>176</v>
      </c>
      <c r="P3847" t="s">
        <v>44</v>
      </c>
      <c r="U3847" s="9" t="s">
        <v>242</v>
      </c>
      <c r="V3847" t="s">
        <v>242</v>
      </c>
      <c r="W3847" t="s">
        <v>178</v>
      </c>
      <c r="Y3847" t="s">
        <v>179</v>
      </c>
      <c r="Z3847" t="s">
        <v>41</v>
      </c>
      <c r="AB3847" t="str">
        <f t="shared" si="180"/>
        <v>53957</v>
      </c>
    </row>
    <row r="3848" ht="14.25" spans="1:28">
      <c r="A3848" s="5" t="s">
        <v>28</v>
      </c>
      <c r="B3848" s="5" t="s">
        <v>697</v>
      </c>
      <c r="C3848" s="5">
        <v>2027</v>
      </c>
      <c r="D3848" s="5" t="s">
        <v>30</v>
      </c>
      <c r="E3848" t="s">
        <v>260</v>
      </c>
      <c r="F3848" t="s">
        <v>261</v>
      </c>
      <c r="G3848" t="s">
        <v>262</v>
      </c>
      <c r="H3848" t="s">
        <v>263</v>
      </c>
      <c r="I3848" t="s">
        <v>119</v>
      </c>
      <c r="J3848" t="s">
        <v>36</v>
      </c>
      <c r="K3848">
        <v>2390</v>
      </c>
      <c r="O3848" t="s">
        <v>176</v>
      </c>
      <c r="P3848" t="s">
        <v>45</v>
      </c>
      <c r="U3848" s="9" t="s">
        <v>242</v>
      </c>
      <c r="V3848" t="s">
        <v>242</v>
      </c>
      <c r="W3848" t="s">
        <v>178</v>
      </c>
      <c r="Y3848" t="s">
        <v>179</v>
      </c>
      <c r="Z3848" t="s">
        <v>41</v>
      </c>
      <c r="AB3848" t="str">
        <f t="shared" si="180"/>
        <v>53957</v>
      </c>
    </row>
    <row r="3849" ht="14.25" spans="1:28">
      <c r="A3849" s="5" t="s">
        <v>28</v>
      </c>
      <c r="B3849" s="5" t="s">
        <v>697</v>
      </c>
      <c r="C3849" s="5">
        <v>2027</v>
      </c>
      <c r="D3849" s="5" t="s">
        <v>30</v>
      </c>
      <c r="E3849" t="s">
        <v>2189</v>
      </c>
      <c r="F3849" t="s">
        <v>2190</v>
      </c>
      <c r="G3849" t="s">
        <v>56</v>
      </c>
      <c r="H3849" t="s">
        <v>2191</v>
      </c>
      <c r="I3849" t="s">
        <v>147</v>
      </c>
      <c r="J3849" t="s">
        <v>36</v>
      </c>
      <c r="K3849">
        <v>1590</v>
      </c>
      <c r="O3849" t="s">
        <v>176</v>
      </c>
      <c r="P3849" t="s">
        <v>177</v>
      </c>
      <c r="R3849">
        <f t="shared" si="181"/>
        <v>0</v>
      </c>
      <c r="S3849">
        <f>SUMIFS([1]Sheet1!$T:$T,[1]Sheet1!$I:$I,E3849,[1]Sheet1!$C:$C,A3849)</f>
        <v>40</v>
      </c>
      <c r="T3849">
        <f t="shared" si="182"/>
        <v>-40</v>
      </c>
      <c r="U3849" s="9" t="s">
        <v>148</v>
      </c>
      <c r="V3849" t="s">
        <v>565</v>
      </c>
      <c r="W3849" t="s">
        <v>178</v>
      </c>
      <c r="X3849" t="s">
        <v>58</v>
      </c>
      <c r="Y3849" t="s">
        <v>179</v>
      </c>
      <c r="Z3849" t="s">
        <v>41</v>
      </c>
      <c r="AB3849" t="str">
        <f t="shared" si="180"/>
        <v>53979</v>
      </c>
    </row>
    <row r="3850" ht="14.25" spans="1:28">
      <c r="A3850" s="5" t="s">
        <v>28</v>
      </c>
      <c r="B3850" s="5" t="s">
        <v>697</v>
      </c>
      <c r="C3850" s="5">
        <v>2027</v>
      </c>
      <c r="D3850" s="5" t="s">
        <v>30</v>
      </c>
      <c r="E3850" t="s">
        <v>2189</v>
      </c>
      <c r="F3850" t="s">
        <v>2190</v>
      </c>
      <c r="G3850" t="s">
        <v>56</v>
      </c>
      <c r="H3850" t="s">
        <v>2191</v>
      </c>
      <c r="I3850" t="s">
        <v>147</v>
      </c>
      <c r="J3850" t="s">
        <v>36</v>
      </c>
      <c r="K3850">
        <v>1590</v>
      </c>
      <c r="O3850" t="s">
        <v>176</v>
      </c>
      <c r="P3850" t="s">
        <v>38</v>
      </c>
      <c r="U3850" s="9" t="s">
        <v>148</v>
      </c>
      <c r="V3850" t="s">
        <v>565</v>
      </c>
      <c r="W3850" t="s">
        <v>178</v>
      </c>
      <c r="X3850" t="s">
        <v>58</v>
      </c>
      <c r="Y3850" t="s">
        <v>179</v>
      </c>
      <c r="Z3850" t="s">
        <v>41</v>
      </c>
      <c r="AB3850" t="str">
        <f t="shared" si="180"/>
        <v>53979</v>
      </c>
    </row>
    <row r="3851" ht="14.25" spans="1:28">
      <c r="A3851" s="5" t="s">
        <v>28</v>
      </c>
      <c r="B3851" s="5" t="s">
        <v>697</v>
      </c>
      <c r="C3851" s="5">
        <v>2027</v>
      </c>
      <c r="D3851" s="5" t="s">
        <v>30</v>
      </c>
      <c r="E3851" t="s">
        <v>2189</v>
      </c>
      <c r="F3851" t="s">
        <v>2190</v>
      </c>
      <c r="G3851" t="s">
        <v>56</v>
      </c>
      <c r="H3851" t="s">
        <v>2191</v>
      </c>
      <c r="I3851" t="s">
        <v>147</v>
      </c>
      <c r="J3851" t="s">
        <v>36</v>
      </c>
      <c r="K3851">
        <v>1590</v>
      </c>
      <c r="O3851" t="s">
        <v>176</v>
      </c>
      <c r="P3851" t="s">
        <v>42</v>
      </c>
      <c r="U3851" s="9" t="s">
        <v>148</v>
      </c>
      <c r="V3851" t="s">
        <v>565</v>
      </c>
      <c r="W3851" t="s">
        <v>178</v>
      </c>
      <c r="X3851" t="s">
        <v>58</v>
      </c>
      <c r="Y3851" t="s">
        <v>179</v>
      </c>
      <c r="Z3851" t="s">
        <v>41</v>
      </c>
      <c r="AB3851" t="str">
        <f t="shared" si="180"/>
        <v>53979</v>
      </c>
    </row>
    <row r="3852" ht="14.25" spans="1:28">
      <c r="A3852" s="5" t="s">
        <v>28</v>
      </c>
      <c r="B3852" s="5" t="s">
        <v>697</v>
      </c>
      <c r="C3852" s="5">
        <v>2027</v>
      </c>
      <c r="D3852" s="5" t="s">
        <v>30</v>
      </c>
      <c r="E3852" t="s">
        <v>2189</v>
      </c>
      <c r="F3852" t="s">
        <v>2190</v>
      </c>
      <c r="G3852" t="s">
        <v>56</v>
      </c>
      <c r="H3852" t="s">
        <v>2191</v>
      </c>
      <c r="I3852" t="s">
        <v>147</v>
      </c>
      <c r="J3852" t="s">
        <v>36</v>
      </c>
      <c r="K3852">
        <v>1590</v>
      </c>
      <c r="O3852" t="s">
        <v>176</v>
      </c>
      <c r="P3852" t="s">
        <v>43</v>
      </c>
      <c r="U3852" s="9" t="s">
        <v>148</v>
      </c>
      <c r="V3852" t="s">
        <v>565</v>
      </c>
      <c r="W3852" t="s">
        <v>178</v>
      </c>
      <c r="X3852" t="s">
        <v>58</v>
      </c>
      <c r="Y3852" t="s">
        <v>179</v>
      </c>
      <c r="Z3852" t="s">
        <v>41</v>
      </c>
      <c r="AB3852" t="str">
        <f t="shared" si="180"/>
        <v>53979</v>
      </c>
    </row>
    <row r="3853" ht="14.25" spans="1:28">
      <c r="A3853" s="5" t="s">
        <v>28</v>
      </c>
      <c r="B3853" s="5" t="s">
        <v>697</v>
      </c>
      <c r="C3853" s="5">
        <v>2027</v>
      </c>
      <c r="D3853" s="5" t="s">
        <v>30</v>
      </c>
      <c r="E3853" t="s">
        <v>2189</v>
      </c>
      <c r="F3853" t="s">
        <v>2190</v>
      </c>
      <c r="G3853" t="s">
        <v>56</v>
      </c>
      <c r="H3853" t="s">
        <v>2191</v>
      </c>
      <c r="I3853" t="s">
        <v>147</v>
      </c>
      <c r="J3853" t="s">
        <v>36</v>
      </c>
      <c r="K3853">
        <v>1590</v>
      </c>
      <c r="O3853" t="s">
        <v>176</v>
      </c>
      <c r="P3853" t="s">
        <v>44</v>
      </c>
      <c r="U3853" s="9" t="s">
        <v>148</v>
      </c>
      <c r="V3853" t="s">
        <v>565</v>
      </c>
      <c r="W3853" t="s">
        <v>178</v>
      </c>
      <c r="X3853" t="s">
        <v>58</v>
      </c>
      <c r="Y3853" t="s">
        <v>179</v>
      </c>
      <c r="Z3853" t="s">
        <v>41</v>
      </c>
      <c r="AB3853" t="str">
        <f t="shared" si="180"/>
        <v>53979</v>
      </c>
    </row>
    <row r="3854" ht="14.25" spans="1:28">
      <c r="A3854" s="5" t="s">
        <v>28</v>
      </c>
      <c r="B3854" s="5" t="s">
        <v>697</v>
      </c>
      <c r="C3854" s="5">
        <v>2027</v>
      </c>
      <c r="D3854" s="5" t="s">
        <v>30</v>
      </c>
      <c r="E3854" t="s">
        <v>2189</v>
      </c>
      <c r="F3854" t="s">
        <v>2190</v>
      </c>
      <c r="G3854" t="s">
        <v>56</v>
      </c>
      <c r="H3854" t="s">
        <v>2191</v>
      </c>
      <c r="I3854" t="s">
        <v>147</v>
      </c>
      <c r="J3854" t="s">
        <v>36</v>
      </c>
      <c r="K3854">
        <v>1590</v>
      </c>
      <c r="O3854" t="s">
        <v>176</v>
      </c>
      <c r="P3854" t="s">
        <v>45</v>
      </c>
      <c r="U3854" s="9" t="s">
        <v>148</v>
      </c>
      <c r="V3854" t="s">
        <v>565</v>
      </c>
      <c r="W3854" t="s">
        <v>178</v>
      </c>
      <c r="X3854" t="s">
        <v>58</v>
      </c>
      <c r="Y3854" t="s">
        <v>179</v>
      </c>
      <c r="Z3854" t="s">
        <v>41</v>
      </c>
      <c r="AB3854" t="str">
        <f t="shared" si="180"/>
        <v>53979</v>
      </c>
    </row>
    <row r="3855" ht="14.25" spans="1:28">
      <c r="A3855" s="5" t="s">
        <v>28</v>
      </c>
      <c r="B3855" s="5" t="s">
        <v>697</v>
      </c>
      <c r="C3855" s="5">
        <v>2027</v>
      </c>
      <c r="D3855" s="5" t="s">
        <v>30</v>
      </c>
      <c r="E3855" t="s">
        <v>2192</v>
      </c>
      <c r="F3855" t="s">
        <v>2190</v>
      </c>
      <c r="G3855" t="s">
        <v>254</v>
      </c>
      <c r="H3855" t="s">
        <v>2193</v>
      </c>
      <c r="I3855" t="s">
        <v>147</v>
      </c>
      <c r="J3855" t="s">
        <v>36</v>
      </c>
      <c r="K3855">
        <v>1590</v>
      </c>
      <c r="O3855" t="s">
        <v>176</v>
      </c>
      <c r="P3855" t="s">
        <v>177</v>
      </c>
      <c r="R3855">
        <f t="shared" si="181"/>
        <v>0</v>
      </c>
      <c r="S3855">
        <f>SUMIFS([1]Sheet1!$T:$T,[1]Sheet1!$I:$I,E3855,[1]Sheet1!$C:$C,A3855)</f>
        <v>150</v>
      </c>
      <c r="T3855">
        <f t="shared" si="182"/>
        <v>-150</v>
      </c>
      <c r="U3855" s="9" t="s">
        <v>148</v>
      </c>
      <c r="V3855" t="s">
        <v>565</v>
      </c>
      <c r="W3855" t="s">
        <v>178</v>
      </c>
      <c r="X3855" t="s">
        <v>86</v>
      </c>
      <c r="Y3855" t="s">
        <v>179</v>
      </c>
      <c r="Z3855" t="s">
        <v>41</v>
      </c>
      <c r="AB3855" t="str">
        <f t="shared" si="180"/>
        <v>53979</v>
      </c>
    </row>
    <row r="3856" ht="14.25" spans="1:28">
      <c r="A3856" s="5" t="s">
        <v>28</v>
      </c>
      <c r="B3856" s="5" t="s">
        <v>697</v>
      </c>
      <c r="C3856" s="5">
        <v>2027</v>
      </c>
      <c r="D3856" s="5" t="s">
        <v>30</v>
      </c>
      <c r="E3856" t="s">
        <v>2192</v>
      </c>
      <c r="F3856" t="s">
        <v>2190</v>
      </c>
      <c r="G3856" t="s">
        <v>254</v>
      </c>
      <c r="H3856" t="s">
        <v>2193</v>
      </c>
      <c r="I3856" t="s">
        <v>147</v>
      </c>
      <c r="J3856" t="s">
        <v>36</v>
      </c>
      <c r="K3856">
        <v>1590</v>
      </c>
      <c r="O3856" t="s">
        <v>176</v>
      </c>
      <c r="P3856" t="s">
        <v>38</v>
      </c>
      <c r="U3856" s="9" t="s">
        <v>148</v>
      </c>
      <c r="V3856" t="s">
        <v>565</v>
      </c>
      <c r="W3856" t="s">
        <v>178</v>
      </c>
      <c r="X3856" t="s">
        <v>86</v>
      </c>
      <c r="Y3856" t="s">
        <v>179</v>
      </c>
      <c r="Z3856" t="s">
        <v>41</v>
      </c>
      <c r="AB3856" t="str">
        <f t="shared" si="180"/>
        <v>53979</v>
      </c>
    </row>
    <row r="3857" ht="14.25" spans="1:28">
      <c r="A3857" s="5" t="s">
        <v>28</v>
      </c>
      <c r="B3857" s="5" t="s">
        <v>697</v>
      </c>
      <c r="C3857" s="5">
        <v>2027</v>
      </c>
      <c r="D3857" s="5" t="s">
        <v>30</v>
      </c>
      <c r="E3857" t="s">
        <v>2192</v>
      </c>
      <c r="F3857" t="s">
        <v>2190</v>
      </c>
      <c r="G3857" t="s">
        <v>254</v>
      </c>
      <c r="H3857" t="s">
        <v>2193</v>
      </c>
      <c r="I3857" t="s">
        <v>147</v>
      </c>
      <c r="J3857" t="s">
        <v>36</v>
      </c>
      <c r="K3857">
        <v>1590</v>
      </c>
      <c r="O3857" t="s">
        <v>176</v>
      </c>
      <c r="P3857" t="s">
        <v>42</v>
      </c>
      <c r="U3857" s="9" t="s">
        <v>148</v>
      </c>
      <c r="V3857" t="s">
        <v>565</v>
      </c>
      <c r="W3857" t="s">
        <v>178</v>
      </c>
      <c r="X3857" t="s">
        <v>86</v>
      </c>
      <c r="Y3857" t="s">
        <v>179</v>
      </c>
      <c r="Z3857" t="s">
        <v>41</v>
      </c>
      <c r="AB3857" t="str">
        <f t="shared" si="180"/>
        <v>53979</v>
      </c>
    </row>
    <row r="3858" ht="14.25" spans="1:28">
      <c r="A3858" s="5" t="s">
        <v>28</v>
      </c>
      <c r="B3858" s="5" t="s">
        <v>697</v>
      </c>
      <c r="C3858" s="5">
        <v>2027</v>
      </c>
      <c r="D3858" s="5" t="s">
        <v>30</v>
      </c>
      <c r="E3858" t="s">
        <v>2192</v>
      </c>
      <c r="F3858" t="s">
        <v>2190</v>
      </c>
      <c r="G3858" t="s">
        <v>254</v>
      </c>
      <c r="H3858" t="s">
        <v>2193</v>
      </c>
      <c r="I3858" t="s">
        <v>147</v>
      </c>
      <c r="J3858" t="s">
        <v>36</v>
      </c>
      <c r="K3858">
        <v>1590</v>
      </c>
      <c r="O3858" t="s">
        <v>176</v>
      </c>
      <c r="P3858" t="s">
        <v>43</v>
      </c>
      <c r="U3858" s="9" t="s">
        <v>148</v>
      </c>
      <c r="V3858" t="s">
        <v>565</v>
      </c>
      <c r="W3858" t="s">
        <v>178</v>
      </c>
      <c r="X3858" t="s">
        <v>86</v>
      </c>
      <c r="Y3858" t="s">
        <v>179</v>
      </c>
      <c r="Z3858" t="s">
        <v>41</v>
      </c>
      <c r="AB3858" t="str">
        <f t="shared" si="180"/>
        <v>53979</v>
      </c>
    </row>
    <row r="3859" ht="14.25" spans="1:28">
      <c r="A3859" s="5" t="s">
        <v>28</v>
      </c>
      <c r="B3859" s="5" t="s">
        <v>697</v>
      </c>
      <c r="C3859" s="5">
        <v>2027</v>
      </c>
      <c r="D3859" s="5" t="s">
        <v>30</v>
      </c>
      <c r="E3859" t="s">
        <v>2192</v>
      </c>
      <c r="F3859" t="s">
        <v>2190</v>
      </c>
      <c r="G3859" t="s">
        <v>254</v>
      </c>
      <c r="H3859" t="s">
        <v>2193</v>
      </c>
      <c r="I3859" t="s">
        <v>147</v>
      </c>
      <c r="J3859" t="s">
        <v>36</v>
      </c>
      <c r="K3859">
        <v>1590</v>
      </c>
      <c r="O3859" t="s">
        <v>176</v>
      </c>
      <c r="P3859" t="s">
        <v>44</v>
      </c>
      <c r="U3859" s="9" t="s">
        <v>148</v>
      </c>
      <c r="V3859" t="s">
        <v>565</v>
      </c>
      <c r="W3859" t="s">
        <v>178</v>
      </c>
      <c r="X3859" t="s">
        <v>86</v>
      </c>
      <c r="Y3859" t="s">
        <v>179</v>
      </c>
      <c r="Z3859" t="s">
        <v>41</v>
      </c>
      <c r="AB3859" t="str">
        <f t="shared" si="180"/>
        <v>53979</v>
      </c>
    </row>
    <row r="3860" ht="14.25" spans="1:28">
      <c r="A3860" s="5" t="s">
        <v>28</v>
      </c>
      <c r="B3860" s="5" t="s">
        <v>697</v>
      </c>
      <c r="C3860" s="5">
        <v>2027</v>
      </c>
      <c r="D3860" s="5" t="s">
        <v>30</v>
      </c>
      <c r="E3860" t="s">
        <v>2192</v>
      </c>
      <c r="F3860" t="s">
        <v>2190</v>
      </c>
      <c r="G3860" t="s">
        <v>254</v>
      </c>
      <c r="H3860" t="s">
        <v>2193</v>
      </c>
      <c r="I3860" t="s">
        <v>147</v>
      </c>
      <c r="J3860" t="s">
        <v>36</v>
      </c>
      <c r="K3860">
        <v>1590</v>
      </c>
      <c r="O3860" t="s">
        <v>176</v>
      </c>
      <c r="P3860" t="s">
        <v>45</v>
      </c>
      <c r="U3860" s="9" t="s">
        <v>148</v>
      </c>
      <c r="V3860" t="s">
        <v>565</v>
      </c>
      <c r="W3860" t="s">
        <v>178</v>
      </c>
      <c r="X3860" t="s">
        <v>86</v>
      </c>
      <c r="Y3860" t="s">
        <v>179</v>
      </c>
      <c r="Z3860" t="s">
        <v>41</v>
      </c>
      <c r="AB3860" t="str">
        <f t="shared" si="180"/>
        <v>53979</v>
      </c>
    </row>
    <row r="3861" ht="14.25" spans="1:28">
      <c r="A3861" s="5" t="s">
        <v>28</v>
      </c>
      <c r="B3861" s="5" t="s">
        <v>697</v>
      </c>
      <c r="C3861" s="5">
        <v>2027</v>
      </c>
      <c r="D3861" s="5" t="s">
        <v>30</v>
      </c>
      <c r="E3861" t="s">
        <v>2194</v>
      </c>
      <c r="F3861" t="s">
        <v>2195</v>
      </c>
      <c r="G3861" t="s">
        <v>1448</v>
      </c>
      <c r="H3861" t="s">
        <v>2196</v>
      </c>
      <c r="I3861" t="s">
        <v>147</v>
      </c>
      <c r="J3861" t="s">
        <v>36</v>
      </c>
      <c r="K3861">
        <v>1590</v>
      </c>
      <c r="O3861" t="s">
        <v>195</v>
      </c>
      <c r="P3861" t="s">
        <v>74</v>
      </c>
      <c r="R3861">
        <f t="shared" si="181"/>
        <v>0</v>
      </c>
      <c r="S3861">
        <f>SUMIFS([1]Sheet1!$T:$T,[1]Sheet1!$I:$I,E3861,[1]Sheet1!$C:$C,A3861)</f>
        <v>60</v>
      </c>
      <c r="T3861">
        <f t="shared" si="182"/>
        <v>-60</v>
      </c>
      <c r="U3861" s="9" t="s">
        <v>148</v>
      </c>
      <c r="V3861" t="s">
        <v>233</v>
      </c>
      <c r="W3861" t="s">
        <v>178</v>
      </c>
      <c r="X3861" t="s">
        <v>70</v>
      </c>
      <c r="Y3861" t="s">
        <v>179</v>
      </c>
      <c r="Z3861" t="s">
        <v>104</v>
      </c>
      <c r="AB3861" t="str">
        <f t="shared" si="180"/>
        <v>53985</v>
      </c>
    </row>
    <row r="3862" ht="14.25" spans="1:28">
      <c r="A3862" s="5" t="s">
        <v>28</v>
      </c>
      <c r="B3862" s="5" t="s">
        <v>697</v>
      </c>
      <c r="C3862" s="5">
        <v>2027</v>
      </c>
      <c r="D3862" s="5" t="s">
        <v>30</v>
      </c>
      <c r="E3862" t="s">
        <v>2194</v>
      </c>
      <c r="F3862" t="s">
        <v>2195</v>
      </c>
      <c r="G3862" t="s">
        <v>1448</v>
      </c>
      <c r="H3862" t="s">
        <v>2196</v>
      </c>
      <c r="I3862" t="s">
        <v>147</v>
      </c>
      <c r="J3862" t="s">
        <v>36</v>
      </c>
      <c r="K3862">
        <v>1590</v>
      </c>
      <c r="O3862" t="s">
        <v>195</v>
      </c>
      <c r="P3862" t="s">
        <v>76</v>
      </c>
      <c r="U3862" s="9" t="s">
        <v>148</v>
      </c>
      <c r="V3862" t="s">
        <v>233</v>
      </c>
      <c r="W3862" t="s">
        <v>178</v>
      </c>
      <c r="X3862" t="s">
        <v>70</v>
      </c>
      <c r="Y3862" t="s">
        <v>179</v>
      </c>
      <c r="Z3862" t="s">
        <v>104</v>
      </c>
      <c r="AB3862" t="str">
        <f t="shared" si="180"/>
        <v>53985</v>
      </c>
    </row>
    <row r="3863" ht="14.25" spans="1:28">
      <c r="A3863" s="5" t="s">
        <v>28</v>
      </c>
      <c r="B3863" s="5" t="s">
        <v>697</v>
      </c>
      <c r="C3863" s="5">
        <v>2027</v>
      </c>
      <c r="D3863" s="5" t="s">
        <v>30</v>
      </c>
      <c r="E3863" t="s">
        <v>2194</v>
      </c>
      <c r="F3863" t="s">
        <v>2195</v>
      </c>
      <c r="G3863" t="s">
        <v>1448</v>
      </c>
      <c r="H3863" t="s">
        <v>2196</v>
      </c>
      <c r="I3863" t="s">
        <v>147</v>
      </c>
      <c r="J3863" t="s">
        <v>36</v>
      </c>
      <c r="K3863">
        <v>1590</v>
      </c>
      <c r="O3863" t="s">
        <v>195</v>
      </c>
      <c r="P3863" t="s">
        <v>77</v>
      </c>
      <c r="U3863" s="9" t="s">
        <v>148</v>
      </c>
      <c r="V3863" t="s">
        <v>233</v>
      </c>
      <c r="W3863" t="s">
        <v>178</v>
      </c>
      <c r="X3863" t="s">
        <v>70</v>
      </c>
      <c r="Y3863" t="s">
        <v>179</v>
      </c>
      <c r="Z3863" t="s">
        <v>104</v>
      </c>
      <c r="AB3863" t="str">
        <f t="shared" si="180"/>
        <v>53985</v>
      </c>
    </row>
    <row r="3864" ht="14.25" spans="1:28">
      <c r="A3864" s="5" t="s">
        <v>28</v>
      </c>
      <c r="B3864" s="5" t="s">
        <v>697</v>
      </c>
      <c r="C3864" s="5">
        <v>2027</v>
      </c>
      <c r="D3864" s="5" t="s">
        <v>30</v>
      </c>
      <c r="E3864" t="s">
        <v>2194</v>
      </c>
      <c r="F3864" t="s">
        <v>2195</v>
      </c>
      <c r="G3864" t="s">
        <v>1448</v>
      </c>
      <c r="H3864" t="s">
        <v>2196</v>
      </c>
      <c r="I3864" t="s">
        <v>147</v>
      </c>
      <c r="J3864" t="s">
        <v>36</v>
      </c>
      <c r="K3864">
        <v>1590</v>
      </c>
      <c r="O3864" t="s">
        <v>195</v>
      </c>
      <c r="P3864" t="s">
        <v>78</v>
      </c>
      <c r="U3864" s="9" t="s">
        <v>148</v>
      </c>
      <c r="V3864" t="s">
        <v>233</v>
      </c>
      <c r="W3864" t="s">
        <v>178</v>
      </c>
      <c r="X3864" t="s">
        <v>70</v>
      </c>
      <c r="Y3864" t="s">
        <v>179</v>
      </c>
      <c r="Z3864" t="s">
        <v>104</v>
      </c>
      <c r="AB3864" t="str">
        <f t="shared" si="180"/>
        <v>53985</v>
      </c>
    </row>
    <row r="3865" ht="14.25" spans="1:28">
      <c r="A3865" s="5" t="s">
        <v>28</v>
      </c>
      <c r="B3865" s="5" t="s">
        <v>697</v>
      </c>
      <c r="C3865" s="5">
        <v>2027</v>
      </c>
      <c r="D3865" s="5" t="s">
        <v>30</v>
      </c>
      <c r="E3865" t="s">
        <v>2194</v>
      </c>
      <c r="F3865" t="s">
        <v>2195</v>
      </c>
      <c r="G3865" t="s">
        <v>1448</v>
      </c>
      <c r="H3865" t="s">
        <v>2196</v>
      </c>
      <c r="I3865" t="s">
        <v>147</v>
      </c>
      <c r="J3865" t="s">
        <v>36</v>
      </c>
      <c r="K3865">
        <v>1590</v>
      </c>
      <c r="O3865" t="s">
        <v>195</v>
      </c>
      <c r="P3865" t="s">
        <v>79</v>
      </c>
      <c r="U3865" s="9" t="s">
        <v>148</v>
      </c>
      <c r="V3865" t="s">
        <v>233</v>
      </c>
      <c r="W3865" t="s">
        <v>178</v>
      </c>
      <c r="X3865" t="s">
        <v>70</v>
      </c>
      <c r="Y3865" t="s">
        <v>179</v>
      </c>
      <c r="Z3865" t="s">
        <v>104</v>
      </c>
      <c r="AB3865" t="str">
        <f t="shared" si="180"/>
        <v>53985</v>
      </c>
    </row>
    <row r="3866" ht="14.25" spans="1:28">
      <c r="A3866" s="5" t="s">
        <v>28</v>
      </c>
      <c r="B3866" s="5" t="s">
        <v>697</v>
      </c>
      <c r="C3866" s="5">
        <v>2027</v>
      </c>
      <c r="D3866" s="5" t="s">
        <v>30</v>
      </c>
      <c r="E3866" t="s">
        <v>2197</v>
      </c>
      <c r="F3866" t="s">
        <v>2198</v>
      </c>
      <c r="G3866" t="s">
        <v>2199</v>
      </c>
      <c r="H3866" t="s">
        <v>2200</v>
      </c>
      <c r="I3866" t="s">
        <v>119</v>
      </c>
      <c r="J3866" t="s">
        <v>36</v>
      </c>
      <c r="K3866">
        <v>1790</v>
      </c>
      <c r="O3866" t="s">
        <v>195</v>
      </c>
      <c r="P3866" t="s">
        <v>74</v>
      </c>
      <c r="R3866">
        <f t="shared" si="181"/>
        <v>0</v>
      </c>
      <c r="S3866">
        <f>SUMIFS([1]Sheet1!$T:$T,[1]Sheet1!$I:$I,E3866,[1]Sheet1!$C:$C,A3866)</f>
        <v>0</v>
      </c>
      <c r="T3866">
        <f t="shared" si="182"/>
        <v>0</v>
      </c>
      <c r="U3866" s="9" t="s">
        <v>638</v>
      </c>
      <c r="V3866" t="s">
        <v>638</v>
      </c>
      <c r="W3866" t="s">
        <v>178</v>
      </c>
      <c r="Y3866" t="s">
        <v>179</v>
      </c>
      <c r="Z3866" t="s">
        <v>41</v>
      </c>
      <c r="AB3866" t="str">
        <f t="shared" si="180"/>
        <v>53990</v>
      </c>
    </row>
    <row r="3867" ht="14.25" spans="1:28">
      <c r="A3867" s="5" t="s">
        <v>28</v>
      </c>
      <c r="B3867" s="5" t="s">
        <v>697</v>
      </c>
      <c r="C3867" s="5">
        <v>2027</v>
      </c>
      <c r="D3867" s="5" t="s">
        <v>30</v>
      </c>
      <c r="E3867" t="s">
        <v>2197</v>
      </c>
      <c r="F3867" t="s">
        <v>2198</v>
      </c>
      <c r="G3867" t="s">
        <v>2199</v>
      </c>
      <c r="H3867" t="s">
        <v>2200</v>
      </c>
      <c r="I3867" t="s">
        <v>119</v>
      </c>
      <c r="J3867" t="s">
        <v>36</v>
      </c>
      <c r="K3867">
        <v>1790</v>
      </c>
      <c r="O3867" t="s">
        <v>195</v>
      </c>
      <c r="P3867" t="s">
        <v>76</v>
      </c>
      <c r="U3867" s="9" t="s">
        <v>638</v>
      </c>
      <c r="V3867" t="s">
        <v>638</v>
      </c>
      <c r="W3867" t="s">
        <v>178</v>
      </c>
      <c r="Y3867" t="s">
        <v>179</v>
      </c>
      <c r="Z3867" t="s">
        <v>41</v>
      </c>
      <c r="AB3867" t="str">
        <f t="shared" si="180"/>
        <v>53990</v>
      </c>
    </row>
    <row r="3868" ht="14.25" spans="1:28">
      <c r="A3868" s="5" t="s">
        <v>28</v>
      </c>
      <c r="B3868" s="5" t="s">
        <v>697</v>
      </c>
      <c r="C3868" s="5">
        <v>2027</v>
      </c>
      <c r="D3868" s="5" t="s">
        <v>30</v>
      </c>
      <c r="E3868" t="s">
        <v>2197</v>
      </c>
      <c r="F3868" t="s">
        <v>2198</v>
      </c>
      <c r="G3868" t="s">
        <v>2199</v>
      </c>
      <c r="H3868" t="s">
        <v>2200</v>
      </c>
      <c r="I3868" t="s">
        <v>119</v>
      </c>
      <c r="J3868" t="s">
        <v>36</v>
      </c>
      <c r="K3868">
        <v>1790</v>
      </c>
      <c r="O3868" t="s">
        <v>195</v>
      </c>
      <c r="P3868" t="s">
        <v>77</v>
      </c>
      <c r="U3868" s="9" t="s">
        <v>638</v>
      </c>
      <c r="V3868" t="s">
        <v>638</v>
      </c>
      <c r="W3868" t="s">
        <v>178</v>
      </c>
      <c r="Y3868" t="s">
        <v>179</v>
      </c>
      <c r="Z3868" t="s">
        <v>41</v>
      </c>
      <c r="AB3868" t="str">
        <f t="shared" si="180"/>
        <v>53990</v>
      </c>
    </row>
    <row r="3869" ht="14.25" spans="1:28">
      <c r="A3869" s="5" t="s">
        <v>28</v>
      </c>
      <c r="B3869" s="5" t="s">
        <v>697</v>
      </c>
      <c r="C3869" s="5">
        <v>2027</v>
      </c>
      <c r="D3869" s="5" t="s">
        <v>30</v>
      </c>
      <c r="E3869" t="s">
        <v>2197</v>
      </c>
      <c r="F3869" t="s">
        <v>2198</v>
      </c>
      <c r="G3869" t="s">
        <v>2199</v>
      </c>
      <c r="H3869" t="s">
        <v>2200</v>
      </c>
      <c r="I3869" t="s">
        <v>119</v>
      </c>
      <c r="J3869" t="s">
        <v>36</v>
      </c>
      <c r="K3869">
        <v>1790</v>
      </c>
      <c r="O3869" t="s">
        <v>195</v>
      </c>
      <c r="P3869" t="s">
        <v>78</v>
      </c>
      <c r="U3869" s="9" t="s">
        <v>638</v>
      </c>
      <c r="V3869" t="s">
        <v>638</v>
      </c>
      <c r="W3869" t="s">
        <v>178</v>
      </c>
      <c r="Y3869" t="s">
        <v>179</v>
      </c>
      <c r="Z3869" t="s">
        <v>41</v>
      </c>
      <c r="AB3869" t="str">
        <f t="shared" si="180"/>
        <v>53990</v>
      </c>
    </row>
    <row r="3870" ht="14.25" spans="1:28">
      <c r="A3870" s="5" t="s">
        <v>28</v>
      </c>
      <c r="B3870" s="5" t="s">
        <v>697</v>
      </c>
      <c r="C3870" s="5">
        <v>2027</v>
      </c>
      <c r="D3870" s="5" t="s">
        <v>30</v>
      </c>
      <c r="E3870" t="s">
        <v>2197</v>
      </c>
      <c r="F3870" t="s">
        <v>2198</v>
      </c>
      <c r="G3870" t="s">
        <v>2199</v>
      </c>
      <c r="H3870" t="s">
        <v>2200</v>
      </c>
      <c r="I3870" t="s">
        <v>119</v>
      </c>
      <c r="J3870" t="s">
        <v>36</v>
      </c>
      <c r="K3870">
        <v>1790</v>
      </c>
      <c r="O3870" t="s">
        <v>195</v>
      </c>
      <c r="P3870" t="s">
        <v>79</v>
      </c>
      <c r="U3870" s="9" t="s">
        <v>638</v>
      </c>
      <c r="V3870" t="s">
        <v>638</v>
      </c>
      <c r="W3870" t="s">
        <v>178</v>
      </c>
      <c r="Y3870" t="s">
        <v>179</v>
      </c>
      <c r="Z3870" t="s">
        <v>41</v>
      </c>
      <c r="AB3870" t="str">
        <f t="shared" si="180"/>
        <v>53990</v>
      </c>
    </row>
    <row r="3871" ht="14.25" spans="1:28">
      <c r="A3871" s="5" t="s">
        <v>28</v>
      </c>
      <c r="B3871" s="5" t="s">
        <v>697</v>
      </c>
      <c r="C3871" s="5">
        <v>2027</v>
      </c>
      <c r="D3871" s="5" t="s">
        <v>30</v>
      </c>
      <c r="E3871" t="s">
        <v>2201</v>
      </c>
      <c r="F3871" t="s">
        <v>2202</v>
      </c>
      <c r="G3871" t="s">
        <v>1911</v>
      </c>
      <c r="H3871" t="s">
        <v>2203</v>
      </c>
      <c r="I3871" t="s">
        <v>112</v>
      </c>
      <c r="J3871" t="s">
        <v>36</v>
      </c>
      <c r="K3871">
        <v>990</v>
      </c>
      <c r="O3871" t="s">
        <v>176</v>
      </c>
      <c r="P3871" t="s">
        <v>177</v>
      </c>
      <c r="R3871">
        <f t="shared" si="181"/>
        <v>0</v>
      </c>
      <c r="S3871">
        <f>SUMIFS([1]Sheet1!$T:$T,[1]Sheet1!$I:$I,E3871,[1]Sheet1!$C:$C,A3871)</f>
        <v>30</v>
      </c>
      <c r="T3871">
        <f t="shared" si="182"/>
        <v>-30</v>
      </c>
      <c r="U3871" s="9" t="s">
        <v>148</v>
      </c>
      <c r="V3871" t="s">
        <v>184</v>
      </c>
      <c r="W3871" t="s">
        <v>178</v>
      </c>
      <c r="X3871" t="s">
        <v>1455</v>
      </c>
      <c r="Y3871" t="s">
        <v>179</v>
      </c>
      <c r="Z3871" t="s">
        <v>41</v>
      </c>
      <c r="AB3871" t="str">
        <f t="shared" si="180"/>
        <v>54788</v>
      </c>
    </row>
    <row r="3872" ht="14.25" spans="1:28">
      <c r="A3872" s="5" t="s">
        <v>28</v>
      </c>
      <c r="B3872" s="5" t="s">
        <v>697</v>
      </c>
      <c r="C3872" s="5">
        <v>2027</v>
      </c>
      <c r="D3872" s="5" t="s">
        <v>30</v>
      </c>
      <c r="E3872" t="s">
        <v>2201</v>
      </c>
      <c r="F3872" t="s">
        <v>2202</v>
      </c>
      <c r="G3872" t="s">
        <v>1911</v>
      </c>
      <c r="H3872" t="s">
        <v>2203</v>
      </c>
      <c r="I3872" t="s">
        <v>112</v>
      </c>
      <c r="J3872" t="s">
        <v>36</v>
      </c>
      <c r="K3872">
        <v>990</v>
      </c>
      <c r="O3872" t="s">
        <v>176</v>
      </c>
      <c r="P3872" t="s">
        <v>38</v>
      </c>
      <c r="U3872" s="9" t="s">
        <v>148</v>
      </c>
      <c r="V3872" t="s">
        <v>184</v>
      </c>
      <c r="W3872" t="s">
        <v>178</v>
      </c>
      <c r="X3872" t="s">
        <v>1455</v>
      </c>
      <c r="Y3872" t="s">
        <v>179</v>
      </c>
      <c r="Z3872" t="s">
        <v>41</v>
      </c>
      <c r="AB3872" t="str">
        <f t="shared" si="180"/>
        <v>54788</v>
      </c>
    </row>
    <row r="3873" ht="14.25" spans="1:28">
      <c r="A3873" s="5" t="s">
        <v>28</v>
      </c>
      <c r="B3873" s="5" t="s">
        <v>697</v>
      </c>
      <c r="C3873" s="5">
        <v>2027</v>
      </c>
      <c r="D3873" s="5" t="s">
        <v>30</v>
      </c>
      <c r="E3873" t="s">
        <v>2201</v>
      </c>
      <c r="F3873" t="s">
        <v>2202</v>
      </c>
      <c r="G3873" t="s">
        <v>1911</v>
      </c>
      <c r="H3873" t="s">
        <v>2203</v>
      </c>
      <c r="I3873" t="s">
        <v>112</v>
      </c>
      <c r="J3873" t="s">
        <v>36</v>
      </c>
      <c r="K3873">
        <v>990</v>
      </c>
      <c r="O3873" t="s">
        <v>176</v>
      </c>
      <c r="P3873" t="s">
        <v>42</v>
      </c>
      <c r="U3873" s="9" t="s">
        <v>148</v>
      </c>
      <c r="V3873" t="s">
        <v>184</v>
      </c>
      <c r="W3873" t="s">
        <v>178</v>
      </c>
      <c r="X3873" t="s">
        <v>1455</v>
      </c>
      <c r="Y3873" t="s">
        <v>179</v>
      </c>
      <c r="Z3873" t="s">
        <v>41</v>
      </c>
      <c r="AB3873" t="str">
        <f t="shared" si="180"/>
        <v>54788</v>
      </c>
    </row>
    <row r="3874" ht="14.25" spans="1:28">
      <c r="A3874" s="5" t="s">
        <v>28</v>
      </c>
      <c r="B3874" s="5" t="s">
        <v>697</v>
      </c>
      <c r="C3874" s="5">
        <v>2027</v>
      </c>
      <c r="D3874" s="5" t="s">
        <v>30</v>
      </c>
      <c r="E3874" t="s">
        <v>2201</v>
      </c>
      <c r="F3874" t="s">
        <v>2202</v>
      </c>
      <c r="G3874" t="s">
        <v>1911</v>
      </c>
      <c r="H3874" t="s">
        <v>2203</v>
      </c>
      <c r="I3874" t="s">
        <v>112</v>
      </c>
      <c r="J3874" t="s">
        <v>36</v>
      </c>
      <c r="K3874">
        <v>990</v>
      </c>
      <c r="O3874" t="s">
        <v>176</v>
      </c>
      <c r="P3874" t="s">
        <v>43</v>
      </c>
      <c r="U3874" s="9" t="s">
        <v>148</v>
      </c>
      <c r="V3874" t="s">
        <v>184</v>
      </c>
      <c r="W3874" t="s">
        <v>178</v>
      </c>
      <c r="X3874" t="s">
        <v>1455</v>
      </c>
      <c r="Y3874" t="s">
        <v>179</v>
      </c>
      <c r="Z3874" t="s">
        <v>41</v>
      </c>
      <c r="AB3874" t="str">
        <f t="shared" si="180"/>
        <v>54788</v>
      </c>
    </row>
    <row r="3875" ht="14.25" spans="1:28">
      <c r="A3875" s="5" t="s">
        <v>28</v>
      </c>
      <c r="B3875" s="5" t="s">
        <v>697</v>
      </c>
      <c r="C3875" s="5">
        <v>2027</v>
      </c>
      <c r="D3875" s="5" t="s">
        <v>30</v>
      </c>
      <c r="E3875" t="s">
        <v>2201</v>
      </c>
      <c r="F3875" t="s">
        <v>2202</v>
      </c>
      <c r="G3875" t="s">
        <v>1911</v>
      </c>
      <c r="H3875" t="s">
        <v>2203</v>
      </c>
      <c r="I3875" t="s">
        <v>112</v>
      </c>
      <c r="J3875" t="s">
        <v>36</v>
      </c>
      <c r="K3875">
        <v>990</v>
      </c>
      <c r="O3875" t="s">
        <v>176</v>
      </c>
      <c r="P3875" t="s">
        <v>44</v>
      </c>
      <c r="U3875" s="9" t="s">
        <v>148</v>
      </c>
      <c r="V3875" t="s">
        <v>184</v>
      </c>
      <c r="W3875" t="s">
        <v>178</v>
      </c>
      <c r="X3875" t="s">
        <v>1455</v>
      </c>
      <c r="Y3875" t="s">
        <v>179</v>
      </c>
      <c r="Z3875" t="s">
        <v>41</v>
      </c>
      <c r="AB3875" t="str">
        <f t="shared" si="180"/>
        <v>54788</v>
      </c>
    </row>
    <row r="3876" ht="14.25" spans="1:28">
      <c r="A3876" s="5" t="s">
        <v>28</v>
      </c>
      <c r="B3876" s="5" t="s">
        <v>697</v>
      </c>
      <c r="C3876" s="5">
        <v>2027</v>
      </c>
      <c r="D3876" s="5" t="s">
        <v>30</v>
      </c>
      <c r="E3876" t="s">
        <v>2201</v>
      </c>
      <c r="F3876" t="s">
        <v>2202</v>
      </c>
      <c r="G3876" t="s">
        <v>1911</v>
      </c>
      <c r="H3876" t="s">
        <v>2203</v>
      </c>
      <c r="I3876" t="s">
        <v>112</v>
      </c>
      <c r="J3876" t="s">
        <v>36</v>
      </c>
      <c r="K3876">
        <v>990</v>
      </c>
      <c r="O3876" t="s">
        <v>176</v>
      </c>
      <c r="P3876" t="s">
        <v>45</v>
      </c>
      <c r="U3876" s="9" t="s">
        <v>148</v>
      </c>
      <c r="V3876" t="s">
        <v>184</v>
      </c>
      <c r="W3876" t="s">
        <v>178</v>
      </c>
      <c r="X3876" t="s">
        <v>1455</v>
      </c>
      <c r="Y3876" t="s">
        <v>179</v>
      </c>
      <c r="Z3876" t="s">
        <v>41</v>
      </c>
      <c r="AB3876" t="str">
        <f t="shared" si="180"/>
        <v>54788</v>
      </c>
    </row>
    <row r="3877" ht="14.25" spans="1:28">
      <c r="A3877" s="5" t="s">
        <v>28</v>
      </c>
      <c r="B3877" s="5" t="s">
        <v>697</v>
      </c>
      <c r="C3877" s="5">
        <v>2027</v>
      </c>
      <c r="D3877" s="5" t="s">
        <v>30</v>
      </c>
      <c r="E3877" t="s">
        <v>2204</v>
      </c>
      <c r="F3877" t="s">
        <v>2202</v>
      </c>
      <c r="G3877" t="s">
        <v>1905</v>
      </c>
      <c r="H3877" t="s">
        <v>2205</v>
      </c>
      <c r="I3877" t="s">
        <v>112</v>
      </c>
      <c r="J3877" t="s">
        <v>36</v>
      </c>
      <c r="K3877">
        <v>990</v>
      </c>
      <c r="O3877" t="s">
        <v>176</v>
      </c>
      <c r="P3877" t="s">
        <v>177</v>
      </c>
      <c r="R3877">
        <f t="shared" si="181"/>
        <v>0</v>
      </c>
      <c r="S3877">
        <f>SUMIFS([1]Sheet1!$T:$T,[1]Sheet1!$I:$I,E3877,[1]Sheet1!$C:$C,A3877)</f>
        <v>50</v>
      </c>
      <c r="T3877">
        <f t="shared" si="182"/>
        <v>-50</v>
      </c>
      <c r="U3877" s="9" t="s">
        <v>148</v>
      </c>
      <c r="V3877" t="s">
        <v>184</v>
      </c>
      <c r="W3877" t="s">
        <v>178</v>
      </c>
      <c r="X3877" t="s">
        <v>1455</v>
      </c>
      <c r="Y3877" t="s">
        <v>179</v>
      </c>
      <c r="Z3877" t="s">
        <v>41</v>
      </c>
      <c r="AB3877" t="str">
        <f t="shared" si="180"/>
        <v>54788</v>
      </c>
    </row>
    <row r="3878" ht="14.25" spans="1:28">
      <c r="A3878" s="5" t="s">
        <v>28</v>
      </c>
      <c r="B3878" s="5" t="s">
        <v>697</v>
      </c>
      <c r="C3878" s="5">
        <v>2027</v>
      </c>
      <c r="D3878" s="5" t="s">
        <v>30</v>
      </c>
      <c r="E3878" t="s">
        <v>2204</v>
      </c>
      <c r="F3878" t="s">
        <v>2202</v>
      </c>
      <c r="G3878" t="s">
        <v>1905</v>
      </c>
      <c r="H3878" t="s">
        <v>2205</v>
      </c>
      <c r="I3878" t="s">
        <v>112</v>
      </c>
      <c r="J3878" t="s">
        <v>36</v>
      </c>
      <c r="K3878">
        <v>990</v>
      </c>
      <c r="O3878" t="s">
        <v>176</v>
      </c>
      <c r="P3878" t="s">
        <v>38</v>
      </c>
      <c r="U3878" s="9" t="s">
        <v>148</v>
      </c>
      <c r="V3878" t="s">
        <v>184</v>
      </c>
      <c r="W3878" t="s">
        <v>178</v>
      </c>
      <c r="X3878" t="s">
        <v>1455</v>
      </c>
      <c r="Y3878" t="s">
        <v>179</v>
      </c>
      <c r="Z3878" t="s">
        <v>41</v>
      </c>
      <c r="AB3878" t="str">
        <f t="shared" si="180"/>
        <v>54788</v>
      </c>
    </row>
    <row r="3879" ht="14.25" spans="1:28">
      <c r="A3879" s="5" t="s">
        <v>28</v>
      </c>
      <c r="B3879" s="5" t="s">
        <v>697</v>
      </c>
      <c r="C3879" s="5">
        <v>2027</v>
      </c>
      <c r="D3879" s="5" t="s">
        <v>30</v>
      </c>
      <c r="E3879" t="s">
        <v>2204</v>
      </c>
      <c r="F3879" t="s">
        <v>2202</v>
      </c>
      <c r="G3879" t="s">
        <v>1905</v>
      </c>
      <c r="H3879" t="s">
        <v>2205</v>
      </c>
      <c r="I3879" t="s">
        <v>112</v>
      </c>
      <c r="J3879" t="s">
        <v>36</v>
      </c>
      <c r="K3879">
        <v>990</v>
      </c>
      <c r="O3879" t="s">
        <v>176</v>
      </c>
      <c r="P3879" t="s">
        <v>42</v>
      </c>
      <c r="U3879" s="9" t="s">
        <v>148</v>
      </c>
      <c r="V3879" t="s">
        <v>184</v>
      </c>
      <c r="W3879" t="s">
        <v>178</v>
      </c>
      <c r="X3879" t="s">
        <v>1455</v>
      </c>
      <c r="Y3879" t="s">
        <v>179</v>
      </c>
      <c r="Z3879" t="s">
        <v>41</v>
      </c>
      <c r="AB3879" t="str">
        <f t="shared" si="180"/>
        <v>54788</v>
      </c>
    </row>
    <row r="3880" ht="14.25" spans="1:28">
      <c r="A3880" s="5" t="s">
        <v>28</v>
      </c>
      <c r="B3880" s="5" t="s">
        <v>697</v>
      </c>
      <c r="C3880" s="5">
        <v>2027</v>
      </c>
      <c r="D3880" s="5" t="s">
        <v>30</v>
      </c>
      <c r="E3880" t="s">
        <v>2204</v>
      </c>
      <c r="F3880" t="s">
        <v>2202</v>
      </c>
      <c r="G3880" t="s">
        <v>1905</v>
      </c>
      <c r="H3880" t="s">
        <v>2205</v>
      </c>
      <c r="I3880" t="s">
        <v>112</v>
      </c>
      <c r="J3880" t="s">
        <v>36</v>
      </c>
      <c r="K3880">
        <v>990</v>
      </c>
      <c r="O3880" t="s">
        <v>176</v>
      </c>
      <c r="P3880" t="s">
        <v>43</v>
      </c>
      <c r="U3880" s="9" t="s">
        <v>148</v>
      </c>
      <c r="V3880" t="s">
        <v>184</v>
      </c>
      <c r="W3880" t="s">
        <v>178</v>
      </c>
      <c r="X3880" t="s">
        <v>1455</v>
      </c>
      <c r="Y3880" t="s">
        <v>179</v>
      </c>
      <c r="Z3880" t="s">
        <v>41</v>
      </c>
      <c r="AB3880" t="str">
        <f t="shared" si="180"/>
        <v>54788</v>
      </c>
    </row>
    <row r="3881" ht="14.25" spans="1:28">
      <c r="A3881" s="5" t="s">
        <v>28</v>
      </c>
      <c r="B3881" s="5" t="s">
        <v>697</v>
      </c>
      <c r="C3881" s="5">
        <v>2027</v>
      </c>
      <c r="D3881" s="5" t="s">
        <v>30</v>
      </c>
      <c r="E3881" t="s">
        <v>2204</v>
      </c>
      <c r="F3881" t="s">
        <v>2202</v>
      </c>
      <c r="G3881" t="s">
        <v>1905</v>
      </c>
      <c r="H3881" t="s">
        <v>2205</v>
      </c>
      <c r="I3881" t="s">
        <v>112</v>
      </c>
      <c r="J3881" t="s">
        <v>36</v>
      </c>
      <c r="K3881">
        <v>990</v>
      </c>
      <c r="O3881" t="s">
        <v>176</v>
      </c>
      <c r="P3881" t="s">
        <v>44</v>
      </c>
      <c r="U3881" s="9" t="s">
        <v>148</v>
      </c>
      <c r="V3881" t="s">
        <v>184</v>
      </c>
      <c r="W3881" t="s">
        <v>178</v>
      </c>
      <c r="X3881" t="s">
        <v>1455</v>
      </c>
      <c r="Y3881" t="s">
        <v>179</v>
      </c>
      <c r="Z3881" t="s">
        <v>41</v>
      </c>
      <c r="AB3881" t="str">
        <f t="shared" si="180"/>
        <v>54788</v>
      </c>
    </row>
    <row r="3882" ht="14.25" spans="1:28">
      <c r="A3882" s="5" t="s">
        <v>28</v>
      </c>
      <c r="B3882" s="5" t="s">
        <v>697</v>
      </c>
      <c r="C3882" s="5">
        <v>2027</v>
      </c>
      <c r="D3882" s="5" t="s">
        <v>30</v>
      </c>
      <c r="E3882" t="s">
        <v>2204</v>
      </c>
      <c r="F3882" t="s">
        <v>2202</v>
      </c>
      <c r="G3882" t="s">
        <v>1905</v>
      </c>
      <c r="H3882" t="s">
        <v>2205</v>
      </c>
      <c r="I3882" t="s">
        <v>112</v>
      </c>
      <c r="J3882" t="s">
        <v>36</v>
      </c>
      <c r="K3882">
        <v>990</v>
      </c>
      <c r="O3882" t="s">
        <v>176</v>
      </c>
      <c r="P3882" t="s">
        <v>45</v>
      </c>
      <c r="U3882" s="9" t="s">
        <v>148</v>
      </c>
      <c r="V3882" t="s">
        <v>184</v>
      </c>
      <c r="W3882" t="s">
        <v>178</v>
      </c>
      <c r="X3882" t="s">
        <v>1455</v>
      </c>
      <c r="Y3882" t="s">
        <v>179</v>
      </c>
      <c r="Z3882" t="s">
        <v>41</v>
      </c>
      <c r="AB3882" t="str">
        <f t="shared" si="180"/>
        <v>54788</v>
      </c>
    </row>
    <row r="3883" ht="14.25" spans="1:28">
      <c r="A3883" s="5" t="s">
        <v>28</v>
      </c>
      <c r="B3883" s="5" t="s">
        <v>697</v>
      </c>
      <c r="C3883" s="5">
        <v>2027</v>
      </c>
      <c r="D3883" s="5" t="s">
        <v>30</v>
      </c>
      <c r="E3883" t="s">
        <v>2206</v>
      </c>
      <c r="F3883" t="s">
        <v>2207</v>
      </c>
      <c r="G3883" t="s">
        <v>2208</v>
      </c>
      <c r="H3883" t="s">
        <v>2209</v>
      </c>
      <c r="I3883" t="s">
        <v>147</v>
      </c>
      <c r="J3883" t="s">
        <v>36</v>
      </c>
      <c r="K3883">
        <v>990</v>
      </c>
      <c r="O3883" t="s">
        <v>176</v>
      </c>
      <c r="P3883" t="s">
        <v>177</v>
      </c>
      <c r="R3883">
        <f t="shared" si="181"/>
        <v>0</v>
      </c>
      <c r="S3883">
        <f>SUMIFS([1]Sheet1!$T:$T,[1]Sheet1!$I:$I,E3883,[1]Sheet1!$C:$C,A3883)</f>
        <v>0</v>
      </c>
      <c r="T3883">
        <f t="shared" si="182"/>
        <v>0</v>
      </c>
      <c r="U3883" s="9" t="s">
        <v>148</v>
      </c>
      <c r="V3883" t="s">
        <v>164</v>
      </c>
      <c r="W3883" t="s">
        <v>178</v>
      </c>
      <c r="Y3883" t="s">
        <v>179</v>
      </c>
      <c r="Z3883" t="s">
        <v>41</v>
      </c>
      <c r="AB3883" t="str">
        <f t="shared" si="180"/>
        <v>54791</v>
      </c>
    </row>
    <row r="3884" ht="14.25" spans="1:28">
      <c r="A3884" s="5" t="s">
        <v>28</v>
      </c>
      <c r="B3884" s="5" t="s">
        <v>697</v>
      </c>
      <c r="C3884" s="5">
        <v>2027</v>
      </c>
      <c r="D3884" s="5" t="s">
        <v>30</v>
      </c>
      <c r="E3884" t="s">
        <v>2206</v>
      </c>
      <c r="F3884" t="s">
        <v>2207</v>
      </c>
      <c r="G3884" t="s">
        <v>2208</v>
      </c>
      <c r="H3884" t="s">
        <v>2209</v>
      </c>
      <c r="I3884" t="s">
        <v>147</v>
      </c>
      <c r="J3884" t="s">
        <v>36</v>
      </c>
      <c r="K3884">
        <v>990</v>
      </c>
      <c r="O3884" t="s">
        <v>176</v>
      </c>
      <c r="P3884" t="s">
        <v>38</v>
      </c>
      <c r="U3884" s="9" t="s">
        <v>148</v>
      </c>
      <c r="V3884" t="s">
        <v>164</v>
      </c>
      <c r="W3884" t="s">
        <v>178</v>
      </c>
      <c r="Y3884" t="s">
        <v>179</v>
      </c>
      <c r="Z3884" t="s">
        <v>41</v>
      </c>
      <c r="AB3884" t="str">
        <f t="shared" si="180"/>
        <v>54791</v>
      </c>
    </row>
    <row r="3885" ht="14.25" spans="1:28">
      <c r="A3885" s="5" t="s">
        <v>28</v>
      </c>
      <c r="B3885" s="5" t="s">
        <v>697</v>
      </c>
      <c r="C3885" s="5">
        <v>2027</v>
      </c>
      <c r="D3885" s="5" t="s">
        <v>30</v>
      </c>
      <c r="E3885" t="s">
        <v>2206</v>
      </c>
      <c r="F3885" t="s">
        <v>2207</v>
      </c>
      <c r="G3885" t="s">
        <v>2208</v>
      </c>
      <c r="H3885" t="s">
        <v>2209</v>
      </c>
      <c r="I3885" t="s">
        <v>147</v>
      </c>
      <c r="J3885" t="s">
        <v>36</v>
      </c>
      <c r="K3885">
        <v>990</v>
      </c>
      <c r="O3885" t="s">
        <v>176</v>
      </c>
      <c r="P3885" t="s">
        <v>42</v>
      </c>
      <c r="U3885" s="9" t="s">
        <v>148</v>
      </c>
      <c r="V3885" t="s">
        <v>164</v>
      </c>
      <c r="W3885" t="s">
        <v>178</v>
      </c>
      <c r="Y3885" t="s">
        <v>179</v>
      </c>
      <c r="Z3885" t="s">
        <v>41</v>
      </c>
      <c r="AB3885" t="str">
        <f t="shared" si="180"/>
        <v>54791</v>
      </c>
    </row>
    <row r="3886" ht="14.25" spans="1:28">
      <c r="A3886" s="5" t="s">
        <v>28</v>
      </c>
      <c r="B3886" s="5" t="s">
        <v>697</v>
      </c>
      <c r="C3886" s="5">
        <v>2027</v>
      </c>
      <c r="D3886" s="5" t="s">
        <v>30</v>
      </c>
      <c r="E3886" t="s">
        <v>2206</v>
      </c>
      <c r="F3886" t="s">
        <v>2207</v>
      </c>
      <c r="G3886" t="s">
        <v>2208</v>
      </c>
      <c r="H3886" t="s">
        <v>2209</v>
      </c>
      <c r="I3886" t="s">
        <v>147</v>
      </c>
      <c r="J3886" t="s">
        <v>36</v>
      </c>
      <c r="K3886">
        <v>990</v>
      </c>
      <c r="O3886" t="s">
        <v>176</v>
      </c>
      <c r="P3886" t="s">
        <v>43</v>
      </c>
      <c r="U3886" s="9" t="s">
        <v>148</v>
      </c>
      <c r="V3886" t="s">
        <v>164</v>
      </c>
      <c r="W3886" t="s">
        <v>178</v>
      </c>
      <c r="Y3886" t="s">
        <v>179</v>
      </c>
      <c r="Z3886" t="s">
        <v>41</v>
      </c>
      <c r="AB3886" t="str">
        <f t="shared" si="180"/>
        <v>54791</v>
      </c>
    </row>
    <row r="3887" ht="14.25" spans="1:28">
      <c r="A3887" s="5" t="s">
        <v>28</v>
      </c>
      <c r="B3887" s="5" t="s">
        <v>697</v>
      </c>
      <c r="C3887" s="5">
        <v>2027</v>
      </c>
      <c r="D3887" s="5" t="s">
        <v>30</v>
      </c>
      <c r="E3887" t="s">
        <v>2206</v>
      </c>
      <c r="F3887" t="s">
        <v>2207</v>
      </c>
      <c r="G3887" t="s">
        <v>2208</v>
      </c>
      <c r="H3887" t="s">
        <v>2209</v>
      </c>
      <c r="I3887" t="s">
        <v>147</v>
      </c>
      <c r="J3887" t="s">
        <v>36</v>
      </c>
      <c r="K3887">
        <v>990</v>
      </c>
      <c r="O3887" t="s">
        <v>176</v>
      </c>
      <c r="P3887" t="s">
        <v>44</v>
      </c>
      <c r="U3887" s="9" t="s">
        <v>148</v>
      </c>
      <c r="V3887" t="s">
        <v>164</v>
      </c>
      <c r="W3887" t="s">
        <v>178</v>
      </c>
      <c r="Y3887" t="s">
        <v>179</v>
      </c>
      <c r="Z3887" t="s">
        <v>41</v>
      </c>
      <c r="AB3887" t="str">
        <f t="shared" si="180"/>
        <v>54791</v>
      </c>
    </row>
    <row r="3888" ht="14.25" spans="1:28">
      <c r="A3888" s="5" t="s">
        <v>28</v>
      </c>
      <c r="B3888" s="5" t="s">
        <v>697</v>
      </c>
      <c r="C3888" s="5">
        <v>2027</v>
      </c>
      <c r="D3888" s="5" t="s">
        <v>30</v>
      </c>
      <c r="E3888" t="s">
        <v>2206</v>
      </c>
      <c r="F3888" t="s">
        <v>2207</v>
      </c>
      <c r="G3888" t="s">
        <v>2208</v>
      </c>
      <c r="H3888" t="s">
        <v>2209</v>
      </c>
      <c r="I3888" t="s">
        <v>147</v>
      </c>
      <c r="J3888" t="s">
        <v>36</v>
      </c>
      <c r="K3888">
        <v>990</v>
      </c>
      <c r="O3888" t="s">
        <v>176</v>
      </c>
      <c r="P3888" t="s">
        <v>45</v>
      </c>
      <c r="U3888" s="9" t="s">
        <v>148</v>
      </c>
      <c r="V3888" t="s">
        <v>164</v>
      </c>
      <c r="W3888" t="s">
        <v>178</v>
      </c>
      <c r="Y3888" t="s">
        <v>179</v>
      </c>
      <c r="Z3888" t="s">
        <v>41</v>
      </c>
      <c r="AB3888" t="str">
        <f t="shared" si="180"/>
        <v>54791</v>
      </c>
    </row>
    <row r="3889" ht="14.25" spans="1:28">
      <c r="A3889" s="5" t="s">
        <v>28</v>
      </c>
      <c r="B3889" s="5" t="s">
        <v>697</v>
      </c>
      <c r="C3889" s="5">
        <v>2027</v>
      </c>
      <c r="D3889" s="5" t="s">
        <v>30</v>
      </c>
      <c r="E3889" t="s">
        <v>2210</v>
      </c>
      <c r="F3889" t="s">
        <v>2207</v>
      </c>
      <c r="G3889" t="s">
        <v>2007</v>
      </c>
      <c r="H3889" t="s">
        <v>2211</v>
      </c>
      <c r="I3889" t="s">
        <v>147</v>
      </c>
      <c r="J3889" t="s">
        <v>36</v>
      </c>
      <c r="K3889">
        <v>990</v>
      </c>
      <c r="O3889" t="s">
        <v>176</v>
      </c>
      <c r="P3889" t="s">
        <v>177</v>
      </c>
      <c r="R3889">
        <f t="shared" si="181"/>
        <v>0</v>
      </c>
      <c r="S3889">
        <f>SUMIFS([1]Sheet1!$T:$T,[1]Sheet1!$I:$I,E3889,[1]Sheet1!$C:$C,A3889)</f>
        <v>0</v>
      </c>
      <c r="T3889">
        <f t="shared" si="182"/>
        <v>0</v>
      </c>
      <c r="U3889" s="9" t="s">
        <v>148</v>
      </c>
      <c r="V3889" t="s">
        <v>164</v>
      </c>
      <c r="W3889" t="s">
        <v>178</v>
      </c>
      <c r="X3889" t="s">
        <v>62</v>
      </c>
      <c r="Y3889" t="s">
        <v>179</v>
      </c>
      <c r="Z3889" t="s">
        <v>41</v>
      </c>
      <c r="AB3889" t="str">
        <f t="shared" si="180"/>
        <v>54791</v>
      </c>
    </row>
    <row r="3890" ht="14.25" spans="1:28">
      <c r="A3890" s="5" t="s">
        <v>28</v>
      </c>
      <c r="B3890" s="5" t="s">
        <v>697</v>
      </c>
      <c r="C3890" s="5">
        <v>2027</v>
      </c>
      <c r="D3890" s="5" t="s">
        <v>30</v>
      </c>
      <c r="E3890" t="s">
        <v>2210</v>
      </c>
      <c r="F3890" t="s">
        <v>2207</v>
      </c>
      <c r="G3890" t="s">
        <v>2007</v>
      </c>
      <c r="H3890" t="s">
        <v>2211</v>
      </c>
      <c r="I3890" t="s">
        <v>147</v>
      </c>
      <c r="J3890" t="s">
        <v>36</v>
      </c>
      <c r="K3890">
        <v>990</v>
      </c>
      <c r="O3890" t="s">
        <v>176</v>
      </c>
      <c r="P3890" t="s">
        <v>38</v>
      </c>
      <c r="U3890" s="9" t="s">
        <v>148</v>
      </c>
      <c r="V3890" t="s">
        <v>164</v>
      </c>
      <c r="W3890" t="s">
        <v>178</v>
      </c>
      <c r="X3890" t="s">
        <v>62</v>
      </c>
      <c r="Y3890" t="s">
        <v>179</v>
      </c>
      <c r="Z3890" t="s">
        <v>41</v>
      </c>
      <c r="AB3890" t="str">
        <f t="shared" si="180"/>
        <v>54791</v>
      </c>
    </row>
    <row r="3891" ht="14.25" spans="1:28">
      <c r="A3891" s="5" t="s">
        <v>28</v>
      </c>
      <c r="B3891" s="5" t="s">
        <v>697</v>
      </c>
      <c r="C3891" s="5">
        <v>2027</v>
      </c>
      <c r="D3891" s="5" t="s">
        <v>30</v>
      </c>
      <c r="E3891" t="s">
        <v>2210</v>
      </c>
      <c r="F3891" t="s">
        <v>2207</v>
      </c>
      <c r="G3891" t="s">
        <v>2007</v>
      </c>
      <c r="H3891" t="s">
        <v>2211</v>
      </c>
      <c r="I3891" t="s">
        <v>147</v>
      </c>
      <c r="J3891" t="s">
        <v>36</v>
      </c>
      <c r="K3891">
        <v>990</v>
      </c>
      <c r="O3891" t="s">
        <v>176</v>
      </c>
      <c r="P3891" t="s">
        <v>42</v>
      </c>
      <c r="U3891" s="9" t="s">
        <v>148</v>
      </c>
      <c r="V3891" t="s">
        <v>164</v>
      </c>
      <c r="W3891" t="s">
        <v>178</v>
      </c>
      <c r="X3891" t="s">
        <v>62</v>
      </c>
      <c r="Y3891" t="s">
        <v>179</v>
      </c>
      <c r="Z3891" t="s">
        <v>41</v>
      </c>
      <c r="AB3891" t="str">
        <f t="shared" ref="AB3891:AB3954" si="183">MID(E3891,6,5)</f>
        <v>54791</v>
      </c>
    </row>
    <row r="3892" ht="14.25" spans="1:28">
      <c r="A3892" s="5" t="s">
        <v>28</v>
      </c>
      <c r="B3892" s="5" t="s">
        <v>697</v>
      </c>
      <c r="C3892" s="5">
        <v>2027</v>
      </c>
      <c r="D3892" s="5" t="s">
        <v>30</v>
      </c>
      <c r="E3892" t="s">
        <v>2210</v>
      </c>
      <c r="F3892" t="s">
        <v>2207</v>
      </c>
      <c r="G3892" t="s">
        <v>2007</v>
      </c>
      <c r="H3892" t="s">
        <v>2211</v>
      </c>
      <c r="I3892" t="s">
        <v>147</v>
      </c>
      <c r="J3892" t="s">
        <v>36</v>
      </c>
      <c r="K3892">
        <v>990</v>
      </c>
      <c r="O3892" t="s">
        <v>176</v>
      </c>
      <c r="P3892" t="s">
        <v>43</v>
      </c>
      <c r="U3892" s="9" t="s">
        <v>148</v>
      </c>
      <c r="V3892" t="s">
        <v>164</v>
      </c>
      <c r="W3892" t="s">
        <v>178</v>
      </c>
      <c r="X3892" t="s">
        <v>62</v>
      </c>
      <c r="Y3892" t="s">
        <v>179</v>
      </c>
      <c r="Z3892" t="s">
        <v>41</v>
      </c>
      <c r="AB3892" t="str">
        <f t="shared" si="183"/>
        <v>54791</v>
      </c>
    </row>
    <row r="3893" ht="14.25" spans="1:28">
      <c r="A3893" s="5" t="s">
        <v>28</v>
      </c>
      <c r="B3893" s="5" t="s">
        <v>697</v>
      </c>
      <c r="C3893" s="5">
        <v>2027</v>
      </c>
      <c r="D3893" s="5" t="s">
        <v>30</v>
      </c>
      <c r="E3893" t="s">
        <v>2210</v>
      </c>
      <c r="F3893" t="s">
        <v>2207</v>
      </c>
      <c r="G3893" t="s">
        <v>2007</v>
      </c>
      <c r="H3893" t="s">
        <v>2211</v>
      </c>
      <c r="I3893" t="s">
        <v>147</v>
      </c>
      <c r="J3893" t="s">
        <v>36</v>
      </c>
      <c r="K3893">
        <v>990</v>
      </c>
      <c r="O3893" t="s">
        <v>176</v>
      </c>
      <c r="P3893" t="s">
        <v>44</v>
      </c>
      <c r="U3893" s="9" t="s">
        <v>148</v>
      </c>
      <c r="V3893" t="s">
        <v>164</v>
      </c>
      <c r="W3893" t="s">
        <v>178</v>
      </c>
      <c r="X3893" t="s">
        <v>62</v>
      </c>
      <c r="Y3893" t="s">
        <v>179</v>
      </c>
      <c r="Z3893" t="s">
        <v>41</v>
      </c>
      <c r="AB3893" t="str">
        <f t="shared" si="183"/>
        <v>54791</v>
      </c>
    </row>
    <row r="3894" ht="14.25" spans="1:28">
      <c r="A3894" s="5" t="s">
        <v>28</v>
      </c>
      <c r="B3894" s="5" t="s">
        <v>697</v>
      </c>
      <c r="C3894" s="5">
        <v>2027</v>
      </c>
      <c r="D3894" s="5" t="s">
        <v>30</v>
      </c>
      <c r="E3894" t="s">
        <v>2210</v>
      </c>
      <c r="F3894" t="s">
        <v>2207</v>
      </c>
      <c r="G3894" t="s">
        <v>2007</v>
      </c>
      <c r="H3894" t="s">
        <v>2211</v>
      </c>
      <c r="I3894" t="s">
        <v>147</v>
      </c>
      <c r="J3894" t="s">
        <v>36</v>
      </c>
      <c r="K3894">
        <v>990</v>
      </c>
      <c r="O3894" t="s">
        <v>176</v>
      </c>
      <c r="P3894" t="s">
        <v>45</v>
      </c>
      <c r="U3894" s="9" t="s">
        <v>148</v>
      </c>
      <c r="V3894" t="s">
        <v>164</v>
      </c>
      <c r="W3894" t="s">
        <v>178</v>
      </c>
      <c r="X3894" t="s">
        <v>62</v>
      </c>
      <c r="Y3894" t="s">
        <v>179</v>
      </c>
      <c r="Z3894" t="s">
        <v>41</v>
      </c>
      <c r="AB3894" t="str">
        <f t="shared" si="183"/>
        <v>54791</v>
      </c>
    </row>
    <row r="3895" ht="14.25" spans="1:28">
      <c r="A3895" s="5" t="s">
        <v>28</v>
      </c>
      <c r="B3895" s="5" t="s">
        <v>697</v>
      </c>
      <c r="C3895" s="5">
        <v>2027</v>
      </c>
      <c r="D3895" s="5" t="s">
        <v>30</v>
      </c>
      <c r="E3895" t="s">
        <v>2212</v>
      </c>
      <c r="F3895" t="s">
        <v>2213</v>
      </c>
      <c r="G3895" t="s">
        <v>2214</v>
      </c>
      <c r="H3895" t="s">
        <v>2215</v>
      </c>
      <c r="I3895" t="s">
        <v>147</v>
      </c>
      <c r="J3895" t="s">
        <v>36</v>
      </c>
      <c r="K3895">
        <v>1590</v>
      </c>
      <c r="O3895" t="s">
        <v>176</v>
      </c>
      <c r="P3895" t="s">
        <v>177</v>
      </c>
      <c r="R3895">
        <f t="shared" si="181"/>
        <v>0</v>
      </c>
      <c r="S3895">
        <f>SUMIFS([1]Sheet1!$T:$T,[1]Sheet1!$I:$I,E3895,[1]Sheet1!$C:$C,A3895)</f>
        <v>50</v>
      </c>
      <c r="T3895">
        <f t="shared" si="182"/>
        <v>-50</v>
      </c>
      <c r="U3895" s="9" t="s">
        <v>148</v>
      </c>
      <c r="V3895" t="s">
        <v>164</v>
      </c>
      <c r="W3895" t="s">
        <v>178</v>
      </c>
      <c r="X3895" t="s">
        <v>1455</v>
      </c>
      <c r="Y3895" t="s">
        <v>179</v>
      </c>
      <c r="Z3895" t="s">
        <v>104</v>
      </c>
      <c r="AB3895" t="str">
        <f t="shared" si="183"/>
        <v>54043</v>
      </c>
    </row>
    <row r="3896" ht="14.25" spans="1:28">
      <c r="A3896" s="5" t="s">
        <v>28</v>
      </c>
      <c r="B3896" s="5" t="s">
        <v>697</v>
      </c>
      <c r="C3896" s="5">
        <v>2027</v>
      </c>
      <c r="D3896" s="5" t="s">
        <v>30</v>
      </c>
      <c r="E3896" t="s">
        <v>2212</v>
      </c>
      <c r="F3896" t="s">
        <v>2213</v>
      </c>
      <c r="G3896" t="s">
        <v>2214</v>
      </c>
      <c r="H3896" t="s">
        <v>2215</v>
      </c>
      <c r="I3896" t="s">
        <v>147</v>
      </c>
      <c r="J3896" t="s">
        <v>36</v>
      </c>
      <c r="K3896">
        <v>1590</v>
      </c>
      <c r="O3896" t="s">
        <v>176</v>
      </c>
      <c r="P3896" t="s">
        <v>38</v>
      </c>
      <c r="U3896" s="9" t="s">
        <v>148</v>
      </c>
      <c r="V3896" t="s">
        <v>164</v>
      </c>
      <c r="W3896" t="s">
        <v>178</v>
      </c>
      <c r="X3896" t="s">
        <v>1455</v>
      </c>
      <c r="Y3896" t="s">
        <v>179</v>
      </c>
      <c r="Z3896" t="s">
        <v>104</v>
      </c>
      <c r="AB3896" t="str">
        <f t="shared" si="183"/>
        <v>54043</v>
      </c>
    </row>
    <row r="3897" ht="14.25" spans="1:28">
      <c r="A3897" s="5" t="s">
        <v>28</v>
      </c>
      <c r="B3897" s="5" t="s">
        <v>697</v>
      </c>
      <c r="C3897" s="5">
        <v>2027</v>
      </c>
      <c r="D3897" s="5" t="s">
        <v>30</v>
      </c>
      <c r="E3897" t="s">
        <v>2212</v>
      </c>
      <c r="F3897" t="s">
        <v>2213</v>
      </c>
      <c r="G3897" t="s">
        <v>2214</v>
      </c>
      <c r="H3897" t="s">
        <v>2215</v>
      </c>
      <c r="I3897" t="s">
        <v>147</v>
      </c>
      <c r="J3897" t="s">
        <v>36</v>
      </c>
      <c r="K3897">
        <v>1590</v>
      </c>
      <c r="O3897" t="s">
        <v>176</v>
      </c>
      <c r="P3897" t="s">
        <v>42</v>
      </c>
      <c r="U3897" s="9" t="s">
        <v>148</v>
      </c>
      <c r="V3897" t="s">
        <v>164</v>
      </c>
      <c r="W3897" t="s">
        <v>178</v>
      </c>
      <c r="X3897" t="s">
        <v>1455</v>
      </c>
      <c r="Y3897" t="s">
        <v>179</v>
      </c>
      <c r="Z3897" t="s">
        <v>104</v>
      </c>
      <c r="AB3897" t="str">
        <f t="shared" si="183"/>
        <v>54043</v>
      </c>
    </row>
    <row r="3898" ht="14.25" spans="1:28">
      <c r="A3898" s="5" t="s">
        <v>28</v>
      </c>
      <c r="B3898" s="5" t="s">
        <v>697</v>
      </c>
      <c r="C3898" s="5">
        <v>2027</v>
      </c>
      <c r="D3898" s="5" t="s">
        <v>30</v>
      </c>
      <c r="E3898" t="s">
        <v>2212</v>
      </c>
      <c r="F3898" t="s">
        <v>2213</v>
      </c>
      <c r="G3898" t="s">
        <v>2214</v>
      </c>
      <c r="H3898" t="s">
        <v>2215</v>
      </c>
      <c r="I3898" t="s">
        <v>147</v>
      </c>
      <c r="J3898" t="s">
        <v>36</v>
      </c>
      <c r="K3898">
        <v>1590</v>
      </c>
      <c r="O3898" t="s">
        <v>176</v>
      </c>
      <c r="P3898" t="s">
        <v>43</v>
      </c>
      <c r="U3898" s="9" t="s">
        <v>148</v>
      </c>
      <c r="V3898" t="s">
        <v>164</v>
      </c>
      <c r="W3898" t="s">
        <v>178</v>
      </c>
      <c r="X3898" t="s">
        <v>1455</v>
      </c>
      <c r="Y3898" t="s">
        <v>179</v>
      </c>
      <c r="Z3898" t="s">
        <v>104</v>
      </c>
      <c r="AB3898" t="str">
        <f t="shared" si="183"/>
        <v>54043</v>
      </c>
    </row>
    <row r="3899" ht="14.25" spans="1:28">
      <c r="A3899" s="5" t="s">
        <v>28</v>
      </c>
      <c r="B3899" s="5" t="s">
        <v>697</v>
      </c>
      <c r="C3899" s="5">
        <v>2027</v>
      </c>
      <c r="D3899" s="5" t="s">
        <v>30</v>
      </c>
      <c r="E3899" t="s">
        <v>2212</v>
      </c>
      <c r="F3899" t="s">
        <v>2213</v>
      </c>
      <c r="G3899" t="s">
        <v>2214</v>
      </c>
      <c r="H3899" t="s">
        <v>2215</v>
      </c>
      <c r="I3899" t="s">
        <v>147</v>
      </c>
      <c r="J3899" t="s">
        <v>36</v>
      </c>
      <c r="K3899">
        <v>1590</v>
      </c>
      <c r="O3899" t="s">
        <v>176</v>
      </c>
      <c r="P3899" t="s">
        <v>44</v>
      </c>
      <c r="U3899" s="9" t="s">
        <v>148</v>
      </c>
      <c r="V3899" t="s">
        <v>164</v>
      </c>
      <c r="W3899" t="s">
        <v>178</v>
      </c>
      <c r="X3899" t="s">
        <v>1455</v>
      </c>
      <c r="Y3899" t="s">
        <v>179</v>
      </c>
      <c r="Z3899" t="s">
        <v>104</v>
      </c>
      <c r="AB3899" t="str">
        <f t="shared" si="183"/>
        <v>54043</v>
      </c>
    </row>
    <row r="3900" ht="14.25" spans="1:28">
      <c r="A3900" s="5" t="s">
        <v>28</v>
      </c>
      <c r="B3900" s="5" t="s">
        <v>697</v>
      </c>
      <c r="C3900" s="5">
        <v>2027</v>
      </c>
      <c r="D3900" s="5" t="s">
        <v>30</v>
      </c>
      <c r="E3900" t="s">
        <v>2212</v>
      </c>
      <c r="F3900" t="s">
        <v>2213</v>
      </c>
      <c r="G3900" t="s">
        <v>2214</v>
      </c>
      <c r="H3900" t="s">
        <v>2215</v>
      </c>
      <c r="I3900" t="s">
        <v>147</v>
      </c>
      <c r="J3900" t="s">
        <v>36</v>
      </c>
      <c r="K3900">
        <v>1590</v>
      </c>
      <c r="O3900" t="s">
        <v>176</v>
      </c>
      <c r="P3900" t="s">
        <v>45</v>
      </c>
      <c r="U3900" s="9" t="s">
        <v>148</v>
      </c>
      <c r="V3900" t="s">
        <v>164</v>
      </c>
      <c r="W3900" t="s">
        <v>178</v>
      </c>
      <c r="X3900" t="s">
        <v>1455</v>
      </c>
      <c r="Y3900" t="s">
        <v>179</v>
      </c>
      <c r="Z3900" t="s">
        <v>104</v>
      </c>
      <c r="AB3900" t="str">
        <f t="shared" si="183"/>
        <v>54043</v>
      </c>
    </row>
    <row r="3901" ht="14.25" spans="1:28">
      <c r="A3901" s="5" t="s">
        <v>28</v>
      </c>
      <c r="B3901" s="5" t="s">
        <v>697</v>
      </c>
      <c r="C3901" s="5">
        <v>2027</v>
      </c>
      <c r="D3901" s="5" t="s">
        <v>30</v>
      </c>
      <c r="E3901" t="s">
        <v>2216</v>
      </c>
      <c r="F3901" t="s">
        <v>2213</v>
      </c>
      <c r="G3901" t="s">
        <v>2217</v>
      </c>
      <c r="H3901" t="s">
        <v>2218</v>
      </c>
      <c r="I3901" t="s">
        <v>147</v>
      </c>
      <c r="J3901" t="s">
        <v>36</v>
      </c>
      <c r="K3901">
        <v>1590</v>
      </c>
      <c r="O3901" t="s">
        <v>176</v>
      </c>
      <c r="P3901" t="s">
        <v>177</v>
      </c>
      <c r="R3901">
        <f t="shared" si="181"/>
        <v>0</v>
      </c>
      <c r="S3901">
        <f>SUMIFS([1]Sheet1!$T:$T,[1]Sheet1!$I:$I,E3901,[1]Sheet1!$C:$C,A3901)</f>
        <v>40</v>
      </c>
      <c r="T3901">
        <f t="shared" si="182"/>
        <v>-40</v>
      </c>
      <c r="U3901" s="9" t="s">
        <v>148</v>
      </c>
      <c r="V3901" t="s">
        <v>164</v>
      </c>
      <c r="W3901" t="s">
        <v>178</v>
      </c>
      <c r="X3901" t="s">
        <v>1455</v>
      </c>
      <c r="Y3901" t="s">
        <v>179</v>
      </c>
      <c r="Z3901" t="s">
        <v>104</v>
      </c>
      <c r="AB3901" t="str">
        <f t="shared" si="183"/>
        <v>54043</v>
      </c>
    </row>
    <row r="3902" ht="14.25" spans="1:28">
      <c r="A3902" s="5" t="s">
        <v>28</v>
      </c>
      <c r="B3902" s="5" t="s">
        <v>697</v>
      </c>
      <c r="C3902" s="5">
        <v>2027</v>
      </c>
      <c r="D3902" s="5" t="s">
        <v>30</v>
      </c>
      <c r="E3902" t="s">
        <v>2216</v>
      </c>
      <c r="F3902" t="s">
        <v>2213</v>
      </c>
      <c r="G3902" t="s">
        <v>2217</v>
      </c>
      <c r="H3902" t="s">
        <v>2218</v>
      </c>
      <c r="I3902" t="s">
        <v>147</v>
      </c>
      <c r="J3902" t="s">
        <v>36</v>
      </c>
      <c r="K3902">
        <v>1590</v>
      </c>
      <c r="O3902" t="s">
        <v>176</v>
      </c>
      <c r="P3902" t="s">
        <v>38</v>
      </c>
      <c r="U3902" s="9" t="s">
        <v>148</v>
      </c>
      <c r="V3902" t="s">
        <v>164</v>
      </c>
      <c r="W3902" t="s">
        <v>178</v>
      </c>
      <c r="X3902" t="s">
        <v>1455</v>
      </c>
      <c r="Y3902" t="s">
        <v>179</v>
      </c>
      <c r="Z3902" t="s">
        <v>104</v>
      </c>
      <c r="AB3902" t="str">
        <f t="shared" si="183"/>
        <v>54043</v>
      </c>
    </row>
    <row r="3903" ht="14.25" spans="1:28">
      <c r="A3903" s="5" t="s">
        <v>28</v>
      </c>
      <c r="B3903" s="5" t="s">
        <v>697</v>
      </c>
      <c r="C3903" s="5">
        <v>2027</v>
      </c>
      <c r="D3903" s="5" t="s">
        <v>30</v>
      </c>
      <c r="E3903" t="s">
        <v>2216</v>
      </c>
      <c r="F3903" t="s">
        <v>2213</v>
      </c>
      <c r="G3903" t="s">
        <v>2217</v>
      </c>
      <c r="H3903" t="s">
        <v>2218</v>
      </c>
      <c r="I3903" t="s">
        <v>147</v>
      </c>
      <c r="J3903" t="s">
        <v>36</v>
      </c>
      <c r="K3903">
        <v>1590</v>
      </c>
      <c r="O3903" t="s">
        <v>176</v>
      </c>
      <c r="P3903" t="s">
        <v>42</v>
      </c>
      <c r="U3903" s="9" t="s">
        <v>148</v>
      </c>
      <c r="V3903" t="s">
        <v>164</v>
      </c>
      <c r="W3903" t="s">
        <v>178</v>
      </c>
      <c r="X3903" t="s">
        <v>1455</v>
      </c>
      <c r="Y3903" t="s">
        <v>179</v>
      </c>
      <c r="Z3903" t="s">
        <v>104</v>
      </c>
      <c r="AB3903" t="str">
        <f t="shared" si="183"/>
        <v>54043</v>
      </c>
    </row>
    <row r="3904" ht="14.25" spans="1:28">
      <c r="A3904" s="5" t="s">
        <v>28</v>
      </c>
      <c r="B3904" s="5" t="s">
        <v>697</v>
      </c>
      <c r="C3904" s="5">
        <v>2027</v>
      </c>
      <c r="D3904" s="5" t="s">
        <v>30</v>
      </c>
      <c r="E3904" t="s">
        <v>2216</v>
      </c>
      <c r="F3904" t="s">
        <v>2213</v>
      </c>
      <c r="G3904" t="s">
        <v>2217</v>
      </c>
      <c r="H3904" t="s">
        <v>2218</v>
      </c>
      <c r="I3904" t="s">
        <v>147</v>
      </c>
      <c r="J3904" t="s">
        <v>36</v>
      </c>
      <c r="K3904">
        <v>1590</v>
      </c>
      <c r="O3904" t="s">
        <v>176</v>
      </c>
      <c r="P3904" t="s">
        <v>43</v>
      </c>
      <c r="U3904" s="9" t="s">
        <v>148</v>
      </c>
      <c r="V3904" t="s">
        <v>164</v>
      </c>
      <c r="W3904" t="s">
        <v>178</v>
      </c>
      <c r="X3904" t="s">
        <v>1455</v>
      </c>
      <c r="Y3904" t="s">
        <v>179</v>
      </c>
      <c r="Z3904" t="s">
        <v>104</v>
      </c>
      <c r="AB3904" t="str">
        <f t="shared" si="183"/>
        <v>54043</v>
      </c>
    </row>
    <row r="3905" ht="14.25" spans="1:28">
      <c r="A3905" s="5" t="s">
        <v>28</v>
      </c>
      <c r="B3905" s="5" t="s">
        <v>697</v>
      </c>
      <c r="C3905" s="5">
        <v>2027</v>
      </c>
      <c r="D3905" s="5" t="s">
        <v>30</v>
      </c>
      <c r="E3905" t="s">
        <v>2216</v>
      </c>
      <c r="F3905" t="s">
        <v>2213</v>
      </c>
      <c r="G3905" t="s">
        <v>2217</v>
      </c>
      <c r="H3905" t="s">
        <v>2218</v>
      </c>
      <c r="I3905" t="s">
        <v>147</v>
      </c>
      <c r="J3905" t="s">
        <v>36</v>
      </c>
      <c r="K3905">
        <v>1590</v>
      </c>
      <c r="O3905" t="s">
        <v>176</v>
      </c>
      <c r="P3905" t="s">
        <v>44</v>
      </c>
      <c r="U3905" s="9" t="s">
        <v>148</v>
      </c>
      <c r="V3905" t="s">
        <v>164</v>
      </c>
      <c r="W3905" t="s">
        <v>178</v>
      </c>
      <c r="X3905" t="s">
        <v>1455</v>
      </c>
      <c r="Y3905" t="s">
        <v>179</v>
      </c>
      <c r="Z3905" t="s">
        <v>104</v>
      </c>
      <c r="AB3905" t="str">
        <f t="shared" si="183"/>
        <v>54043</v>
      </c>
    </row>
    <row r="3906" ht="14.25" spans="1:28">
      <c r="A3906" s="5" t="s">
        <v>28</v>
      </c>
      <c r="B3906" s="5" t="s">
        <v>697</v>
      </c>
      <c r="C3906" s="5">
        <v>2027</v>
      </c>
      <c r="D3906" s="5" t="s">
        <v>30</v>
      </c>
      <c r="E3906" t="s">
        <v>2216</v>
      </c>
      <c r="F3906" t="s">
        <v>2213</v>
      </c>
      <c r="G3906" t="s">
        <v>2217</v>
      </c>
      <c r="H3906" t="s">
        <v>2218</v>
      </c>
      <c r="I3906" t="s">
        <v>147</v>
      </c>
      <c r="J3906" t="s">
        <v>36</v>
      </c>
      <c r="K3906">
        <v>1590</v>
      </c>
      <c r="O3906" t="s">
        <v>176</v>
      </c>
      <c r="P3906" t="s">
        <v>45</v>
      </c>
      <c r="U3906" s="9" t="s">
        <v>148</v>
      </c>
      <c r="V3906" t="s">
        <v>164</v>
      </c>
      <c r="W3906" t="s">
        <v>178</v>
      </c>
      <c r="X3906" t="s">
        <v>1455</v>
      </c>
      <c r="Y3906" t="s">
        <v>179</v>
      </c>
      <c r="Z3906" t="s">
        <v>104</v>
      </c>
      <c r="AB3906" t="str">
        <f t="shared" si="183"/>
        <v>54043</v>
      </c>
    </row>
    <row r="3907" ht="14.25" spans="1:28">
      <c r="A3907" s="5" t="s">
        <v>28</v>
      </c>
      <c r="B3907" s="5" t="s">
        <v>697</v>
      </c>
      <c r="C3907" s="5">
        <v>2027</v>
      </c>
      <c r="D3907" s="5" t="s">
        <v>30</v>
      </c>
      <c r="E3907" t="s">
        <v>2219</v>
      </c>
      <c r="F3907" t="s">
        <v>2220</v>
      </c>
      <c r="G3907" t="s">
        <v>346</v>
      </c>
      <c r="H3907" t="s">
        <v>2221</v>
      </c>
      <c r="I3907" t="s">
        <v>147</v>
      </c>
      <c r="J3907" t="s">
        <v>36</v>
      </c>
      <c r="K3907">
        <v>1390</v>
      </c>
      <c r="O3907" t="s">
        <v>195</v>
      </c>
      <c r="P3907" t="s">
        <v>74</v>
      </c>
      <c r="R3907">
        <f t="shared" ref="R3906:R3969" si="184">SUMIFS(Q:Q,E:E,E3907)</f>
        <v>0</v>
      </c>
      <c r="S3907">
        <f>SUMIFS([1]Sheet1!$T:$T,[1]Sheet1!$I:$I,E3907,[1]Sheet1!$C:$C,A3907)</f>
        <v>60</v>
      </c>
      <c r="T3907">
        <f t="shared" ref="T3906:T3969" si="185">R3907-S3907</f>
        <v>-60</v>
      </c>
      <c r="U3907" s="9" t="s">
        <v>136</v>
      </c>
      <c r="V3907" t="s">
        <v>1150</v>
      </c>
      <c r="W3907" t="s">
        <v>178</v>
      </c>
      <c r="X3907" t="s">
        <v>191</v>
      </c>
      <c r="Y3907" t="s">
        <v>179</v>
      </c>
      <c r="Z3907" t="s">
        <v>41</v>
      </c>
      <c r="AB3907" t="str">
        <f t="shared" si="183"/>
        <v>54045</v>
      </c>
    </row>
    <row r="3908" ht="14.25" spans="1:28">
      <c r="A3908" s="5" t="s">
        <v>28</v>
      </c>
      <c r="B3908" s="5" t="s">
        <v>697</v>
      </c>
      <c r="C3908" s="5">
        <v>2027</v>
      </c>
      <c r="D3908" s="5" t="s">
        <v>30</v>
      </c>
      <c r="E3908" t="s">
        <v>2219</v>
      </c>
      <c r="F3908" t="s">
        <v>2220</v>
      </c>
      <c r="G3908" t="s">
        <v>346</v>
      </c>
      <c r="H3908" t="s">
        <v>2221</v>
      </c>
      <c r="I3908" t="s">
        <v>147</v>
      </c>
      <c r="J3908" t="s">
        <v>36</v>
      </c>
      <c r="K3908">
        <v>1390</v>
      </c>
      <c r="O3908" t="s">
        <v>195</v>
      </c>
      <c r="P3908" t="s">
        <v>76</v>
      </c>
      <c r="U3908" s="9" t="s">
        <v>136</v>
      </c>
      <c r="V3908" t="s">
        <v>1150</v>
      </c>
      <c r="W3908" t="s">
        <v>178</v>
      </c>
      <c r="X3908" t="s">
        <v>191</v>
      </c>
      <c r="Y3908" t="s">
        <v>179</v>
      </c>
      <c r="Z3908" t="s">
        <v>41</v>
      </c>
      <c r="AB3908" t="str">
        <f t="shared" si="183"/>
        <v>54045</v>
      </c>
    </row>
    <row r="3909" ht="14.25" spans="1:28">
      <c r="A3909" s="5" t="s">
        <v>28</v>
      </c>
      <c r="B3909" s="5" t="s">
        <v>697</v>
      </c>
      <c r="C3909" s="5">
        <v>2027</v>
      </c>
      <c r="D3909" s="5" t="s">
        <v>30</v>
      </c>
      <c r="E3909" t="s">
        <v>2219</v>
      </c>
      <c r="F3909" t="s">
        <v>2220</v>
      </c>
      <c r="G3909" t="s">
        <v>346</v>
      </c>
      <c r="H3909" t="s">
        <v>2221</v>
      </c>
      <c r="I3909" t="s">
        <v>147</v>
      </c>
      <c r="J3909" t="s">
        <v>36</v>
      </c>
      <c r="K3909">
        <v>1390</v>
      </c>
      <c r="O3909" t="s">
        <v>195</v>
      </c>
      <c r="P3909" t="s">
        <v>77</v>
      </c>
      <c r="U3909" s="9" t="s">
        <v>136</v>
      </c>
      <c r="V3909" t="s">
        <v>1150</v>
      </c>
      <c r="W3909" t="s">
        <v>178</v>
      </c>
      <c r="X3909" t="s">
        <v>191</v>
      </c>
      <c r="Y3909" t="s">
        <v>179</v>
      </c>
      <c r="Z3909" t="s">
        <v>41</v>
      </c>
      <c r="AB3909" t="str">
        <f t="shared" si="183"/>
        <v>54045</v>
      </c>
    </row>
    <row r="3910" ht="14.25" spans="1:28">
      <c r="A3910" s="5" t="s">
        <v>28</v>
      </c>
      <c r="B3910" s="5" t="s">
        <v>697</v>
      </c>
      <c r="C3910" s="5">
        <v>2027</v>
      </c>
      <c r="D3910" s="5" t="s">
        <v>30</v>
      </c>
      <c r="E3910" t="s">
        <v>2219</v>
      </c>
      <c r="F3910" t="s">
        <v>2220</v>
      </c>
      <c r="G3910" t="s">
        <v>346</v>
      </c>
      <c r="H3910" t="s">
        <v>2221</v>
      </c>
      <c r="I3910" t="s">
        <v>147</v>
      </c>
      <c r="J3910" t="s">
        <v>36</v>
      </c>
      <c r="K3910">
        <v>1390</v>
      </c>
      <c r="O3910" t="s">
        <v>195</v>
      </c>
      <c r="P3910" t="s">
        <v>78</v>
      </c>
      <c r="U3910" s="9" t="s">
        <v>136</v>
      </c>
      <c r="V3910" t="s">
        <v>1150</v>
      </c>
      <c r="W3910" t="s">
        <v>178</v>
      </c>
      <c r="X3910" t="s">
        <v>191</v>
      </c>
      <c r="Y3910" t="s">
        <v>179</v>
      </c>
      <c r="Z3910" t="s">
        <v>41</v>
      </c>
      <c r="AB3910" t="str">
        <f t="shared" si="183"/>
        <v>54045</v>
      </c>
    </row>
    <row r="3911" ht="14.25" spans="1:28">
      <c r="A3911" s="5" t="s">
        <v>28</v>
      </c>
      <c r="B3911" s="5" t="s">
        <v>697</v>
      </c>
      <c r="C3911" s="5">
        <v>2027</v>
      </c>
      <c r="D3911" s="5" t="s">
        <v>30</v>
      </c>
      <c r="E3911" t="s">
        <v>2219</v>
      </c>
      <c r="F3911" t="s">
        <v>2220</v>
      </c>
      <c r="G3911" t="s">
        <v>346</v>
      </c>
      <c r="H3911" t="s">
        <v>2221</v>
      </c>
      <c r="I3911" t="s">
        <v>147</v>
      </c>
      <c r="J3911" t="s">
        <v>36</v>
      </c>
      <c r="K3911">
        <v>1390</v>
      </c>
      <c r="O3911" t="s">
        <v>195</v>
      </c>
      <c r="P3911" t="s">
        <v>79</v>
      </c>
      <c r="U3911" s="9" t="s">
        <v>136</v>
      </c>
      <c r="V3911" t="s">
        <v>1150</v>
      </c>
      <c r="W3911" t="s">
        <v>178</v>
      </c>
      <c r="X3911" t="s">
        <v>191</v>
      </c>
      <c r="Y3911" t="s">
        <v>179</v>
      </c>
      <c r="Z3911" t="s">
        <v>41</v>
      </c>
      <c r="AB3911" t="str">
        <f t="shared" si="183"/>
        <v>54045</v>
      </c>
    </row>
    <row r="3912" ht="14.25" spans="1:28">
      <c r="A3912" s="5" t="s">
        <v>28</v>
      </c>
      <c r="B3912" s="5" t="s">
        <v>697</v>
      </c>
      <c r="C3912" s="5">
        <v>2027</v>
      </c>
      <c r="D3912" s="5" t="s">
        <v>30</v>
      </c>
      <c r="E3912" t="s">
        <v>2222</v>
      </c>
      <c r="F3912" t="s">
        <v>2223</v>
      </c>
      <c r="G3912" t="s">
        <v>1929</v>
      </c>
      <c r="H3912" t="s">
        <v>2224</v>
      </c>
      <c r="I3912" t="s">
        <v>112</v>
      </c>
      <c r="J3912" t="s">
        <v>36</v>
      </c>
      <c r="K3912">
        <v>1790</v>
      </c>
      <c r="O3912" t="s">
        <v>176</v>
      </c>
      <c r="P3912" t="s">
        <v>177</v>
      </c>
      <c r="R3912">
        <f t="shared" si="184"/>
        <v>0</v>
      </c>
      <c r="S3912">
        <f>SUMIFS([1]Sheet1!$T:$T,[1]Sheet1!$I:$I,E3912,[1]Sheet1!$C:$C,A3912)</f>
        <v>30</v>
      </c>
      <c r="T3912">
        <f t="shared" si="185"/>
        <v>-30</v>
      </c>
      <c r="U3912" s="9" t="s">
        <v>136</v>
      </c>
      <c r="V3912" t="s">
        <v>656</v>
      </c>
      <c r="W3912" t="s">
        <v>178</v>
      </c>
      <c r="X3912" t="s">
        <v>70</v>
      </c>
      <c r="Y3912" t="s">
        <v>179</v>
      </c>
      <c r="Z3912" t="s">
        <v>1978</v>
      </c>
      <c r="AB3912" t="str">
        <f t="shared" si="183"/>
        <v>54056</v>
      </c>
    </row>
    <row r="3913" ht="14.25" spans="1:28">
      <c r="A3913" s="5" t="s">
        <v>28</v>
      </c>
      <c r="B3913" s="5" t="s">
        <v>697</v>
      </c>
      <c r="C3913" s="5">
        <v>2027</v>
      </c>
      <c r="D3913" s="5" t="s">
        <v>30</v>
      </c>
      <c r="E3913" t="s">
        <v>2222</v>
      </c>
      <c r="F3913" t="s">
        <v>2223</v>
      </c>
      <c r="G3913" t="s">
        <v>1929</v>
      </c>
      <c r="H3913" t="s">
        <v>2224</v>
      </c>
      <c r="I3913" t="s">
        <v>112</v>
      </c>
      <c r="J3913" t="s">
        <v>36</v>
      </c>
      <c r="K3913">
        <v>1790</v>
      </c>
      <c r="O3913" t="s">
        <v>176</v>
      </c>
      <c r="P3913" t="s">
        <v>38</v>
      </c>
      <c r="U3913" s="9" t="s">
        <v>136</v>
      </c>
      <c r="V3913" t="s">
        <v>656</v>
      </c>
      <c r="W3913" t="s">
        <v>178</v>
      </c>
      <c r="X3913" t="s">
        <v>70</v>
      </c>
      <c r="Y3913" t="s">
        <v>179</v>
      </c>
      <c r="Z3913" t="s">
        <v>1978</v>
      </c>
      <c r="AB3913" t="str">
        <f t="shared" si="183"/>
        <v>54056</v>
      </c>
    </row>
    <row r="3914" ht="14.25" spans="1:28">
      <c r="A3914" s="5" t="s">
        <v>28</v>
      </c>
      <c r="B3914" s="5" t="s">
        <v>697</v>
      </c>
      <c r="C3914" s="5">
        <v>2027</v>
      </c>
      <c r="D3914" s="5" t="s">
        <v>30</v>
      </c>
      <c r="E3914" t="s">
        <v>2222</v>
      </c>
      <c r="F3914" t="s">
        <v>2223</v>
      </c>
      <c r="G3914" t="s">
        <v>1929</v>
      </c>
      <c r="H3914" t="s">
        <v>2224</v>
      </c>
      <c r="I3914" t="s">
        <v>112</v>
      </c>
      <c r="J3914" t="s">
        <v>36</v>
      </c>
      <c r="K3914">
        <v>1790</v>
      </c>
      <c r="O3914" t="s">
        <v>176</v>
      </c>
      <c r="P3914" t="s">
        <v>42</v>
      </c>
      <c r="U3914" s="9" t="s">
        <v>136</v>
      </c>
      <c r="V3914" t="s">
        <v>656</v>
      </c>
      <c r="W3914" t="s">
        <v>178</v>
      </c>
      <c r="X3914" t="s">
        <v>70</v>
      </c>
      <c r="Y3914" t="s">
        <v>179</v>
      </c>
      <c r="Z3914" t="s">
        <v>1978</v>
      </c>
      <c r="AB3914" t="str">
        <f t="shared" si="183"/>
        <v>54056</v>
      </c>
    </row>
    <row r="3915" ht="14.25" spans="1:28">
      <c r="A3915" s="5" t="s">
        <v>28</v>
      </c>
      <c r="B3915" s="5" t="s">
        <v>697</v>
      </c>
      <c r="C3915" s="5">
        <v>2027</v>
      </c>
      <c r="D3915" s="5" t="s">
        <v>30</v>
      </c>
      <c r="E3915" t="s">
        <v>2222</v>
      </c>
      <c r="F3915" t="s">
        <v>2223</v>
      </c>
      <c r="G3915" t="s">
        <v>1929</v>
      </c>
      <c r="H3915" t="s">
        <v>2224</v>
      </c>
      <c r="I3915" t="s">
        <v>112</v>
      </c>
      <c r="J3915" t="s">
        <v>36</v>
      </c>
      <c r="K3915">
        <v>1790</v>
      </c>
      <c r="O3915" t="s">
        <v>176</v>
      </c>
      <c r="P3915" t="s">
        <v>43</v>
      </c>
      <c r="U3915" s="9" t="s">
        <v>136</v>
      </c>
      <c r="V3915" t="s">
        <v>656</v>
      </c>
      <c r="W3915" t="s">
        <v>178</v>
      </c>
      <c r="X3915" t="s">
        <v>70</v>
      </c>
      <c r="Y3915" t="s">
        <v>179</v>
      </c>
      <c r="Z3915" t="s">
        <v>1978</v>
      </c>
      <c r="AB3915" t="str">
        <f t="shared" si="183"/>
        <v>54056</v>
      </c>
    </row>
    <row r="3916" ht="14.25" spans="1:28">
      <c r="A3916" s="5" t="s">
        <v>28</v>
      </c>
      <c r="B3916" s="5" t="s">
        <v>697</v>
      </c>
      <c r="C3916" s="5">
        <v>2027</v>
      </c>
      <c r="D3916" s="5" t="s">
        <v>30</v>
      </c>
      <c r="E3916" t="s">
        <v>2222</v>
      </c>
      <c r="F3916" t="s">
        <v>2223</v>
      </c>
      <c r="G3916" t="s">
        <v>1929</v>
      </c>
      <c r="H3916" t="s">
        <v>2224</v>
      </c>
      <c r="I3916" t="s">
        <v>112</v>
      </c>
      <c r="J3916" t="s">
        <v>36</v>
      </c>
      <c r="K3916">
        <v>1790</v>
      </c>
      <c r="O3916" t="s">
        <v>176</v>
      </c>
      <c r="P3916" t="s">
        <v>44</v>
      </c>
      <c r="U3916" s="9" t="s">
        <v>136</v>
      </c>
      <c r="V3916" t="s">
        <v>656</v>
      </c>
      <c r="W3916" t="s">
        <v>178</v>
      </c>
      <c r="X3916" t="s">
        <v>70</v>
      </c>
      <c r="Y3916" t="s">
        <v>179</v>
      </c>
      <c r="Z3916" t="s">
        <v>1978</v>
      </c>
      <c r="AB3916" t="str">
        <f t="shared" si="183"/>
        <v>54056</v>
      </c>
    </row>
    <row r="3917" ht="14.25" spans="1:28">
      <c r="A3917" s="5" t="s">
        <v>28</v>
      </c>
      <c r="B3917" s="5" t="s">
        <v>697</v>
      </c>
      <c r="C3917" s="5">
        <v>2027</v>
      </c>
      <c r="D3917" s="5" t="s">
        <v>30</v>
      </c>
      <c r="E3917" t="s">
        <v>2222</v>
      </c>
      <c r="F3917" t="s">
        <v>2223</v>
      </c>
      <c r="G3917" t="s">
        <v>1929</v>
      </c>
      <c r="H3917" t="s">
        <v>2224</v>
      </c>
      <c r="I3917" t="s">
        <v>112</v>
      </c>
      <c r="J3917" t="s">
        <v>36</v>
      </c>
      <c r="K3917">
        <v>1790</v>
      </c>
      <c r="O3917" t="s">
        <v>176</v>
      </c>
      <c r="P3917" t="s">
        <v>45</v>
      </c>
      <c r="U3917" s="9" t="s">
        <v>136</v>
      </c>
      <c r="V3917" t="s">
        <v>656</v>
      </c>
      <c r="W3917" t="s">
        <v>178</v>
      </c>
      <c r="X3917" t="s">
        <v>70</v>
      </c>
      <c r="Y3917" t="s">
        <v>179</v>
      </c>
      <c r="Z3917" t="s">
        <v>1978</v>
      </c>
      <c r="AB3917" t="str">
        <f t="shared" si="183"/>
        <v>54056</v>
      </c>
    </row>
    <row r="3918" ht="14.25" spans="1:28">
      <c r="A3918" s="5" t="s">
        <v>28</v>
      </c>
      <c r="B3918" s="5" t="s">
        <v>697</v>
      </c>
      <c r="C3918" s="5">
        <v>2027</v>
      </c>
      <c r="D3918" s="5" t="s">
        <v>30</v>
      </c>
      <c r="E3918" t="s">
        <v>2225</v>
      </c>
      <c r="F3918" t="s">
        <v>2223</v>
      </c>
      <c r="G3918" t="s">
        <v>1937</v>
      </c>
      <c r="H3918" t="s">
        <v>2226</v>
      </c>
      <c r="I3918" t="s">
        <v>112</v>
      </c>
      <c r="J3918" t="s">
        <v>36</v>
      </c>
      <c r="K3918">
        <v>1790</v>
      </c>
      <c r="O3918" t="s">
        <v>176</v>
      </c>
      <c r="P3918" t="s">
        <v>177</v>
      </c>
      <c r="R3918">
        <f t="shared" si="184"/>
        <v>0</v>
      </c>
      <c r="S3918">
        <f>SUMIFS([1]Sheet1!$T:$T,[1]Sheet1!$I:$I,E3918,[1]Sheet1!$C:$C,A3918)</f>
        <v>18</v>
      </c>
      <c r="T3918">
        <f t="shared" si="185"/>
        <v>-18</v>
      </c>
      <c r="U3918" s="9" t="s">
        <v>136</v>
      </c>
      <c r="V3918" t="s">
        <v>656</v>
      </c>
      <c r="W3918" t="s">
        <v>178</v>
      </c>
      <c r="X3918" t="s">
        <v>1106</v>
      </c>
      <c r="Y3918" t="s">
        <v>179</v>
      </c>
      <c r="Z3918" t="s">
        <v>1978</v>
      </c>
      <c r="AB3918" t="str">
        <f t="shared" si="183"/>
        <v>54056</v>
      </c>
    </row>
    <row r="3919" ht="14.25" spans="1:28">
      <c r="A3919" s="5" t="s">
        <v>28</v>
      </c>
      <c r="B3919" s="5" t="s">
        <v>697</v>
      </c>
      <c r="C3919" s="5">
        <v>2027</v>
      </c>
      <c r="D3919" s="5" t="s">
        <v>30</v>
      </c>
      <c r="E3919" t="s">
        <v>2225</v>
      </c>
      <c r="F3919" t="s">
        <v>2223</v>
      </c>
      <c r="G3919" t="s">
        <v>1937</v>
      </c>
      <c r="H3919" t="s">
        <v>2226</v>
      </c>
      <c r="I3919" t="s">
        <v>112</v>
      </c>
      <c r="J3919" t="s">
        <v>36</v>
      </c>
      <c r="K3919">
        <v>1790</v>
      </c>
      <c r="O3919" t="s">
        <v>176</v>
      </c>
      <c r="P3919" t="s">
        <v>38</v>
      </c>
      <c r="U3919" s="9" t="s">
        <v>136</v>
      </c>
      <c r="V3919" t="s">
        <v>656</v>
      </c>
      <c r="W3919" t="s">
        <v>178</v>
      </c>
      <c r="X3919" t="s">
        <v>1106</v>
      </c>
      <c r="Y3919" t="s">
        <v>179</v>
      </c>
      <c r="Z3919" t="s">
        <v>1978</v>
      </c>
      <c r="AB3919" t="str">
        <f t="shared" si="183"/>
        <v>54056</v>
      </c>
    </row>
    <row r="3920" ht="14.25" spans="1:28">
      <c r="A3920" s="5" t="s">
        <v>28</v>
      </c>
      <c r="B3920" s="5" t="s">
        <v>697</v>
      </c>
      <c r="C3920" s="5">
        <v>2027</v>
      </c>
      <c r="D3920" s="5" t="s">
        <v>30</v>
      </c>
      <c r="E3920" t="s">
        <v>2225</v>
      </c>
      <c r="F3920" t="s">
        <v>2223</v>
      </c>
      <c r="G3920" t="s">
        <v>1937</v>
      </c>
      <c r="H3920" t="s">
        <v>2226</v>
      </c>
      <c r="I3920" t="s">
        <v>112</v>
      </c>
      <c r="J3920" t="s">
        <v>36</v>
      </c>
      <c r="K3920">
        <v>1790</v>
      </c>
      <c r="O3920" t="s">
        <v>176</v>
      </c>
      <c r="P3920" t="s">
        <v>42</v>
      </c>
      <c r="U3920" s="9" t="s">
        <v>136</v>
      </c>
      <c r="V3920" t="s">
        <v>656</v>
      </c>
      <c r="W3920" t="s">
        <v>178</v>
      </c>
      <c r="X3920" t="s">
        <v>1106</v>
      </c>
      <c r="Y3920" t="s">
        <v>179</v>
      </c>
      <c r="Z3920" t="s">
        <v>1978</v>
      </c>
      <c r="AB3920" t="str">
        <f t="shared" si="183"/>
        <v>54056</v>
      </c>
    </row>
    <row r="3921" ht="14.25" spans="1:28">
      <c r="A3921" s="5" t="s">
        <v>28</v>
      </c>
      <c r="B3921" s="5" t="s">
        <v>697</v>
      </c>
      <c r="C3921" s="5">
        <v>2027</v>
      </c>
      <c r="D3921" s="5" t="s">
        <v>30</v>
      </c>
      <c r="E3921" t="s">
        <v>2225</v>
      </c>
      <c r="F3921" t="s">
        <v>2223</v>
      </c>
      <c r="G3921" t="s">
        <v>1937</v>
      </c>
      <c r="H3921" t="s">
        <v>2226</v>
      </c>
      <c r="I3921" t="s">
        <v>112</v>
      </c>
      <c r="J3921" t="s">
        <v>36</v>
      </c>
      <c r="K3921">
        <v>1790</v>
      </c>
      <c r="O3921" t="s">
        <v>176</v>
      </c>
      <c r="P3921" t="s">
        <v>43</v>
      </c>
      <c r="U3921" s="9" t="s">
        <v>136</v>
      </c>
      <c r="V3921" t="s">
        <v>656</v>
      </c>
      <c r="W3921" t="s">
        <v>178</v>
      </c>
      <c r="X3921" t="s">
        <v>1106</v>
      </c>
      <c r="Y3921" t="s">
        <v>179</v>
      </c>
      <c r="Z3921" t="s">
        <v>1978</v>
      </c>
      <c r="AB3921" t="str">
        <f t="shared" si="183"/>
        <v>54056</v>
      </c>
    </row>
    <row r="3922" ht="14.25" spans="1:28">
      <c r="A3922" s="5" t="s">
        <v>28</v>
      </c>
      <c r="B3922" s="5" t="s">
        <v>697</v>
      </c>
      <c r="C3922" s="5">
        <v>2027</v>
      </c>
      <c r="D3922" s="5" t="s">
        <v>30</v>
      </c>
      <c r="E3922" t="s">
        <v>2225</v>
      </c>
      <c r="F3922" t="s">
        <v>2223</v>
      </c>
      <c r="G3922" t="s">
        <v>1937</v>
      </c>
      <c r="H3922" t="s">
        <v>2226</v>
      </c>
      <c r="I3922" t="s">
        <v>112</v>
      </c>
      <c r="J3922" t="s">
        <v>36</v>
      </c>
      <c r="K3922">
        <v>1790</v>
      </c>
      <c r="O3922" t="s">
        <v>176</v>
      </c>
      <c r="P3922" t="s">
        <v>44</v>
      </c>
      <c r="U3922" s="9" t="s">
        <v>136</v>
      </c>
      <c r="V3922" t="s">
        <v>656</v>
      </c>
      <c r="W3922" t="s">
        <v>178</v>
      </c>
      <c r="X3922" t="s">
        <v>1106</v>
      </c>
      <c r="Y3922" t="s">
        <v>179</v>
      </c>
      <c r="Z3922" t="s">
        <v>1978</v>
      </c>
      <c r="AB3922" t="str">
        <f t="shared" si="183"/>
        <v>54056</v>
      </c>
    </row>
    <row r="3923" ht="14.25" spans="1:28">
      <c r="A3923" s="5" t="s">
        <v>28</v>
      </c>
      <c r="B3923" s="5" t="s">
        <v>697</v>
      </c>
      <c r="C3923" s="5">
        <v>2027</v>
      </c>
      <c r="D3923" s="5" t="s">
        <v>30</v>
      </c>
      <c r="E3923" t="s">
        <v>2225</v>
      </c>
      <c r="F3923" t="s">
        <v>2223</v>
      </c>
      <c r="G3923" t="s">
        <v>1937</v>
      </c>
      <c r="H3923" t="s">
        <v>2226</v>
      </c>
      <c r="I3923" t="s">
        <v>112</v>
      </c>
      <c r="J3923" t="s">
        <v>36</v>
      </c>
      <c r="K3923">
        <v>1790</v>
      </c>
      <c r="O3923" t="s">
        <v>176</v>
      </c>
      <c r="P3923" t="s">
        <v>45</v>
      </c>
      <c r="U3923" s="9" t="s">
        <v>136</v>
      </c>
      <c r="V3923" t="s">
        <v>656</v>
      </c>
      <c r="W3923" t="s">
        <v>178</v>
      </c>
      <c r="X3923" t="s">
        <v>1106</v>
      </c>
      <c r="Y3923" t="s">
        <v>179</v>
      </c>
      <c r="Z3923" t="s">
        <v>1978</v>
      </c>
      <c r="AB3923" t="str">
        <f t="shared" si="183"/>
        <v>54056</v>
      </c>
    </row>
    <row r="3924" ht="14.25" spans="1:28">
      <c r="A3924" s="5" t="s">
        <v>28</v>
      </c>
      <c r="B3924" s="5" t="s">
        <v>697</v>
      </c>
      <c r="C3924" s="5">
        <v>2027</v>
      </c>
      <c r="D3924" s="5" t="s">
        <v>30</v>
      </c>
      <c r="E3924" t="s">
        <v>2227</v>
      </c>
      <c r="F3924" t="s">
        <v>2228</v>
      </c>
      <c r="G3924" t="s">
        <v>182</v>
      </c>
      <c r="H3924" t="s">
        <v>2229</v>
      </c>
      <c r="I3924" t="s">
        <v>147</v>
      </c>
      <c r="J3924" t="s">
        <v>36</v>
      </c>
      <c r="K3924">
        <v>2590</v>
      </c>
      <c r="O3924" t="s">
        <v>176</v>
      </c>
      <c r="P3924" t="s">
        <v>177</v>
      </c>
      <c r="R3924">
        <f t="shared" si="184"/>
        <v>0</v>
      </c>
      <c r="S3924">
        <f>SUMIFS([1]Sheet1!$T:$T,[1]Sheet1!$I:$I,E3924,[1]Sheet1!$C:$C,A3924)</f>
        <v>30</v>
      </c>
      <c r="T3924">
        <f t="shared" si="185"/>
        <v>-30</v>
      </c>
      <c r="U3924" s="9" t="s">
        <v>242</v>
      </c>
      <c r="V3924" t="s">
        <v>242</v>
      </c>
      <c r="W3924" t="s">
        <v>178</v>
      </c>
      <c r="X3924" t="s">
        <v>102</v>
      </c>
      <c r="Y3924" t="s">
        <v>179</v>
      </c>
      <c r="Z3924" t="s">
        <v>41</v>
      </c>
      <c r="AB3924" t="str">
        <f t="shared" si="183"/>
        <v>54103</v>
      </c>
    </row>
    <row r="3925" ht="14.25" spans="1:28">
      <c r="A3925" s="5" t="s">
        <v>28</v>
      </c>
      <c r="B3925" s="5" t="s">
        <v>697</v>
      </c>
      <c r="C3925" s="5">
        <v>2027</v>
      </c>
      <c r="D3925" s="5" t="s">
        <v>30</v>
      </c>
      <c r="E3925" t="s">
        <v>2227</v>
      </c>
      <c r="F3925" t="s">
        <v>2228</v>
      </c>
      <c r="G3925" t="s">
        <v>182</v>
      </c>
      <c r="H3925" t="s">
        <v>2229</v>
      </c>
      <c r="I3925" t="s">
        <v>147</v>
      </c>
      <c r="J3925" t="s">
        <v>36</v>
      </c>
      <c r="K3925">
        <v>2590</v>
      </c>
      <c r="O3925" t="s">
        <v>176</v>
      </c>
      <c r="P3925" t="s">
        <v>38</v>
      </c>
      <c r="U3925" s="9" t="s">
        <v>242</v>
      </c>
      <c r="V3925" t="s">
        <v>242</v>
      </c>
      <c r="W3925" t="s">
        <v>178</v>
      </c>
      <c r="X3925" t="s">
        <v>102</v>
      </c>
      <c r="Y3925" t="s">
        <v>179</v>
      </c>
      <c r="Z3925" t="s">
        <v>41</v>
      </c>
      <c r="AB3925" t="str">
        <f t="shared" si="183"/>
        <v>54103</v>
      </c>
    </row>
    <row r="3926" ht="14.25" spans="1:28">
      <c r="A3926" s="5" t="s">
        <v>28</v>
      </c>
      <c r="B3926" s="5" t="s">
        <v>697</v>
      </c>
      <c r="C3926" s="5">
        <v>2027</v>
      </c>
      <c r="D3926" s="5" t="s">
        <v>30</v>
      </c>
      <c r="E3926" t="s">
        <v>2227</v>
      </c>
      <c r="F3926" t="s">
        <v>2228</v>
      </c>
      <c r="G3926" t="s">
        <v>182</v>
      </c>
      <c r="H3926" t="s">
        <v>2229</v>
      </c>
      <c r="I3926" t="s">
        <v>147</v>
      </c>
      <c r="J3926" t="s">
        <v>36</v>
      </c>
      <c r="K3926">
        <v>2590</v>
      </c>
      <c r="O3926" t="s">
        <v>176</v>
      </c>
      <c r="P3926" t="s">
        <v>42</v>
      </c>
      <c r="U3926" s="9" t="s">
        <v>242</v>
      </c>
      <c r="V3926" t="s">
        <v>242</v>
      </c>
      <c r="W3926" t="s">
        <v>178</v>
      </c>
      <c r="X3926" t="s">
        <v>102</v>
      </c>
      <c r="Y3926" t="s">
        <v>179</v>
      </c>
      <c r="Z3926" t="s">
        <v>41</v>
      </c>
      <c r="AB3926" t="str">
        <f t="shared" si="183"/>
        <v>54103</v>
      </c>
    </row>
    <row r="3927" ht="14.25" spans="1:28">
      <c r="A3927" s="5" t="s">
        <v>28</v>
      </c>
      <c r="B3927" s="5" t="s">
        <v>697</v>
      </c>
      <c r="C3927" s="5">
        <v>2027</v>
      </c>
      <c r="D3927" s="5" t="s">
        <v>30</v>
      </c>
      <c r="E3927" t="s">
        <v>2227</v>
      </c>
      <c r="F3927" t="s">
        <v>2228</v>
      </c>
      <c r="G3927" t="s">
        <v>182</v>
      </c>
      <c r="H3927" t="s">
        <v>2229</v>
      </c>
      <c r="I3927" t="s">
        <v>147</v>
      </c>
      <c r="J3927" t="s">
        <v>36</v>
      </c>
      <c r="K3927">
        <v>2590</v>
      </c>
      <c r="O3927" t="s">
        <v>176</v>
      </c>
      <c r="P3927" t="s">
        <v>43</v>
      </c>
      <c r="U3927" s="9" t="s">
        <v>242</v>
      </c>
      <c r="V3927" t="s">
        <v>242</v>
      </c>
      <c r="W3927" t="s">
        <v>178</v>
      </c>
      <c r="X3927" t="s">
        <v>102</v>
      </c>
      <c r="Y3927" t="s">
        <v>179</v>
      </c>
      <c r="Z3927" t="s">
        <v>41</v>
      </c>
      <c r="AB3927" t="str">
        <f t="shared" si="183"/>
        <v>54103</v>
      </c>
    </row>
    <row r="3928" ht="14.25" spans="1:28">
      <c r="A3928" s="5" t="s">
        <v>28</v>
      </c>
      <c r="B3928" s="5" t="s">
        <v>697</v>
      </c>
      <c r="C3928" s="5">
        <v>2027</v>
      </c>
      <c r="D3928" s="5" t="s">
        <v>30</v>
      </c>
      <c r="E3928" t="s">
        <v>2227</v>
      </c>
      <c r="F3928" t="s">
        <v>2228</v>
      </c>
      <c r="G3928" t="s">
        <v>182</v>
      </c>
      <c r="H3928" t="s">
        <v>2229</v>
      </c>
      <c r="I3928" t="s">
        <v>147</v>
      </c>
      <c r="J3928" t="s">
        <v>36</v>
      </c>
      <c r="K3928">
        <v>2590</v>
      </c>
      <c r="O3928" t="s">
        <v>176</v>
      </c>
      <c r="P3928" t="s">
        <v>44</v>
      </c>
      <c r="U3928" s="9" t="s">
        <v>242</v>
      </c>
      <c r="V3928" t="s">
        <v>242</v>
      </c>
      <c r="W3928" t="s">
        <v>178</v>
      </c>
      <c r="X3928" t="s">
        <v>102</v>
      </c>
      <c r="Y3928" t="s">
        <v>179</v>
      </c>
      <c r="Z3928" t="s">
        <v>41</v>
      </c>
      <c r="AB3928" t="str">
        <f t="shared" si="183"/>
        <v>54103</v>
      </c>
    </row>
    <row r="3929" ht="14.25" spans="1:28">
      <c r="A3929" s="5" t="s">
        <v>28</v>
      </c>
      <c r="B3929" s="5" t="s">
        <v>697</v>
      </c>
      <c r="C3929" s="5">
        <v>2027</v>
      </c>
      <c r="D3929" s="5" t="s">
        <v>30</v>
      </c>
      <c r="E3929" t="s">
        <v>2227</v>
      </c>
      <c r="F3929" t="s">
        <v>2228</v>
      </c>
      <c r="G3929" t="s">
        <v>182</v>
      </c>
      <c r="H3929" t="s">
        <v>2229</v>
      </c>
      <c r="I3929" t="s">
        <v>147</v>
      </c>
      <c r="J3929" t="s">
        <v>36</v>
      </c>
      <c r="K3929">
        <v>2590</v>
      </c>
      <c r="O3929" t="s">
        <v>176</v>
      </c>
      <c r="P3929" t="s">
        <v>45</v>
      </c>
      <c r="U3929" s="9" t="s">
        <v>242</v>
      </c>
      <c r="V3929" t="s">
        <v>242</v>
      </c>
      <c r="W3929" t="s">
        <v>178</v>
      </c>
      <c r="X3929" t="s">
        <v>102</v>
      </c>
      <c r="Y3929" t="s">
        <v>179</v>
      </c>
      <c r="Z3929" t="s">
        <v>41</v>
      </c>
      <c r="AB3929" t="str">
        <f t="shared" si="183"/>
        <v>54103</v>
      </c>
    </row>
    <row r="3930" ht="14.25" spans="1:28">
      <c r="A3930" s="5" t="s">
        <v>28</v>
      </c>
      <c r="B3930" s="5" t="s">
        <v>697</v>
      </c>
      <c r="C3930" s="5">
        <v>2027</v>
      </c>
      <c r="D3930" s="5" t="s">
        <v>30</v>
      </c>
      <c r="E3930" t="s">
        <v>2230</v>
      </c>
      <c r="F3930" t="s">
        <v>2228</v>
      </c>
      <c r="G3930" t="s">
        <v>2231</v>
      </c>
      <c r="H3930" t="s">
        <v>2232</v>
      </c>
      <c r="I3930" t="s">
        <v>147</v>
      </c>
      <c r="J3930" t="s">
        <v>36</v>
      </c>
      <c r="K3930">
        <v>2590</v>
      </c>
      <c r="O3930" t="s">
        <v>176</v>
      </c>
      <c r="P3930" t="s">
        <v>177</v>
      </c>
      <c r="R3930">
        <f t="shared" si="184"/>
        <v>0</v>
      </c>
      <c r="S3930">
        <f>SUMIFS([1]Sheet1!$T:$T,[1]Sheet1!$I:$I,E3930,[1]Sheet1!$C:$C,A3930)</f>
        <v>80</v>
      </c>
      <c r="T3930">
        <f t="shared" si="185"/>
        <v>-80</v>
      </c>
      <c r="U3930" s="9" t="s">
        <v>242</v>
      </c>
      <c r="V3930" t="s">
        <v>242</v>
      </c>
      <c r="W3930" t="s">
        <v>178</v>
      </c>
      <c r="X3930" t="s">
        <v>70</v>
      </c>
      <c r="Y3930" t="s">
        <v>179</v>
      </c>
      <c r="Z3930" t="s">
        <v>41</v>
      </c>
      <c r="AB3930" t="str">
        <f t="shared" si="183"/>
        <v>54103</v>
      </c>
    </row>
    <row r="3931" ht="14.25" spans="1:28">
      <c r="A3931" s="5" t="s">
        <v>28</v>
      </c>
      <c r="B3931" s="5" t="s">
        <v>697</v>
      </c>
      <c r="C3931" s="5">
        <v>2027</v>
      </c>
      <c r="D3931" s="5" t="s">
        <v>30</v>
      </c>
      <c r="E3931" t="s">
        <v>2230</v>
      </c>
      <c r="F3931" t="s">
        <v>2228</v>
      </c>
      <c r="G3931" t="s">
        <v>2231</v>
      </c>
      <c r="H3931" t="s">
        <v>2232</v>
      </c>
      <c r="I3931" t="s">
        <v>147</v>
      </c>
      <c r="J3931" t="s">
        <v>36</v>
      </c>
      <c r="K3931">
        <v>2590</v>
      </c>
      <c r="O3931" t="s">
        <v>176</v>
      </c>
      <c r="P3931" t="s">
        <v>38</v>
      </c>
      <c r="U3931" s="9" t="s">
        <v>242</v>
      </c>
      <c r="V3931" t="s">
        <v>242</v>
      </c>
      <c r="W3931" t="s">
        <v>178</v>
      </c>
      <c r="X3931" t="s">
        <v>70</v>
      </c>
      <c r="Y3931" t="s">
        <v>179</v>
      </c>
      <c r="Z3931" t="s">
        <v>41</v>
      </c>
      <c r="AB3931" t="str">
        <f t="shared" si="183"/>
        <v>54103</v>
      </c>
    </row>
    <row r="3932" ht="14.25" spans="1:28">
      <c r="A3932" s="5" t="s">
        <v>28</v>
      </c>
      <c r="B3932" s="5" t="s">
        <v>697</v>
      </c>
      <c r="C3932" s="5">
        <v>2027</v>
      </c>
      <c r="D3932" s="5" t="s">
        <v>30</v>
      </c>
      <c r="E3932" t="s">
        <v>2230</v>
      </c>
      <c r="F3932" t="s">
        <v>2228</v>
      </c>
      <c r="G3932" t="s">
        <v>2231</v>
      </c>
      <c r="H3932" t="s">
        <v>2232</v>
      </c>
      <c r="I3932" t="s">
        <v>147</v>
      </c>
      <c r="J3932" t="s">
        <v>36</v>
      </c>
      <c r="K3932">
        <v>2590</v>
      </c>
      <c r="O3932" t="s">
        <v>176</v>
      </c>
      <c r="P3932" t="s">
        <v>42</v>
      </c>
      <c r="U3932" s="9" t="s">
        <v>242</v>
      </c>
      <c r="V3932" t="s">
        <v>242</v>
      </c>
      <c r="W3932" t="s">
        <v>178</v>
      </c>
      <c r="X3932" t="s">
        <v>70</v>
      </c>
      <c r="Y3932" t="s">
        <v>179</v>
      </c>
      <c r="Z3932" t="s">
        <v>41</v>
      </c>
      <c r="AB3932" t="str">
        <f t="shared" si="183"/>
        <v>54103</v>
      </c>
    </row>
    <row r="3933" ht="14.25" spans="1:28">
      <c r="A3933" s="5" t="s">
        <v>28</v>
      </c>
      <c r="B3933" s="5" t="s">
        <v>697</v>
      </c>
      <c r="C3933" s="5">
        <v>2027</v>
      </c>
      <c r="D3933" s="5" t="s">
        <v>30</v>
      </c>
      <c r="E3933" t="s">
        <v>2230</v>
      </c>
      <c r="F3933" t="s">
        <v>2228</v>
      </c>
      <c r="G3933" t="s">
        <v>2231</v>
      </c>
      <c r="H3933" t="s">
        <v>2232</v>
      </c>
      <c r="I3933" t="s">
        <v>147</v>
      </c>
      <c r="J3933" t="s">
        <v>36</v>
      </c>
      <c r="K3933">
        <v>2590</v>
      </c>
      <c r="O3933" t="s">
        <v>176</v>
      </c>
      <c r="P3933" t="s">
        <v>43</v>
      </c>
      <c r="U3933" s="9" t="s">
        <v>242</v>
      </c>
      <c r="V3933" t="s">
        <v>242</v>
      </c>
      <c r="W3933" t="s">
        <v>178</v>
      </c>
      <c r="X3933" t="s">
        <v>70</v>
      </c>
      <c r="Y3933" t="s">
        <v>179</v>
      </c>
      <c r="Z3933" t="s">
        <v>41</v>
      </c>
      <c r="AB3933" t="str">
        <f t="shared" si="183"/>
        <v>54103</v>
      </c>
    </row>
    <row r="3934" ht="14.25" spans="1:28">
      <c r="A3934" s="5" t="s">
        <v>28</v>
      </c>
      <c r="B3934" s="5" t="s">
        <v>697</v>
      </c>
      <c r="C3934" s="5">
        <v>2027</v>
      </c>
      <c r="D3934" s="5" t="s">
        <v>30</v>
      </c>
      <c r="E3934" t="s">
        <v>2230</v>
      </c>
      <c r="F3934" t="s">
        <v>2228</v>
      </c>
      <c r="G3934" t="s">
        <v>2231</v>
      </c>
      <c r="H3934" t="s">
        <v>2232</v>
      </c>
      <c r="I3934" t="s">
        <v>147</v>
      </c>
      <c r="J3934" t="s">
        <v>36</v>
      </c>
      <c r="K3934">
        <v>2590</v>
      </c>
      <c r="O3934" t="s">
        <v>176</v>
      </c>
      <c r="P3934" t="s">
        <v>44</v>
      </c>
      <c r="U3934" s="9" t="s">
        <v>242</v>
      </c>
      <c r="V3934" t="s">
        <v>242</v>
      </c>
      <c r="W3934" t="s">
        <v>178</v>
      </c>
      <c r="X3934" t="s">
        <v>70</v>
      </c>
      <c r="Y3934" t="s">
        <v>179</v>
      </c>
      <c r="Z3934" t="s">
        <v>41</v>
      </c>
      <c r="AB3934" t="str">
        <f t="shared" si="183"/>
        <v>54103</v>
      </c>
    </row>
    <row r="3935" ht="14.25" spans="1:28">
      <c r="A3935" s="5" t="s">
        <v>28</v>
      </c>
      <c r="B3935" s="5" t="s">
        <v>697</v>
      </c>
      <c r="C3935" s="5">
        <v>2027</v>
      </c>
      <c r="D3935" s="5" t="s">
        <v>30</v>
      </c>
      <c r="E3935" t="s">
        <v>2230</v>
      </c>
      <c r="F3935" t="s">
        <v>2228</v>
      </c>
      <c r="G3935" t="s">
        <v>2231</v>
      </c>
      <c r="H3935" t="s">
        <v>2232</v>
      </c>
      <c r="I3935" t="s">
        <v>147</v>
      </c>
      <c r="J3935" t="s">
        <v>36</v>
      </c>
      <c r="K3935">
        <v>2590</v>
      </c>
      <c r="O3935" t="s">
        <v>176</v>
      </c>
      <c r="P3935" t="s">
        <v>45</v>
      </c>
      <c r="U3935" s="9" t="s">
        <v>242</v>
      </c>
      <c r="V3935" t="s">
        <v>242</v>
      </c>
      <c r="W3935" t="s">
        <v>178</v>
      </c>
      <c r="X3935" t="s">
        <v>70</v>
      </c>
      <c r="Y3935" t="s">
        <v>179</v>
      </c>
      <c r="Z3935" t="s">
        <v>41</v>
      </c>
      <c r="AB3935" t="str">
        <f t="shared" si="183"/>
        <v>54103</v>
      </c>
    </row>
    <row r="3936" ht="14.25" spans="1:28">
      <c r="A3936" s="5" t="s">
        <v>28</v>
      </c>
      <c r="B3936" s="5" t="s">
        <v>697</v>
      </c>
      <c r="C3936" s="5">
        <v>2027</v>
      </c>
      <c r="D3936" s="5" t="s">
        <v>30</v>
      </c>
      <c r="E3936" t="s">
        <v>2233</v>
      </c>
      <c r="F3936" t="s">
        <v>2234</v>
      </c>
      <c r="G3936" t="s">
        <v>346</v>
      </c>
      <c r="H3936" t="s">
        <v>2235</v>
      </c>
      <c r="I3936" t="s">
        <v>112</v>
      </c>
      <c r="J3936" t="s">
        <v>36</v>
      </c>
      <c r="K3936">
        <v>2190</v>
      </c>
      <c r="O3936" t="s">
        <v>176</v>
      </c>
      <c r="P3936" t="s">
        <v>177</v>
      </c>
      <c r="R3936">
        <f t="shared" si="184"/>
        <v>0</v>
      </c>
      <c r="S3936">
        <f>SUMIFS([1]Sheet1!$T:$T,[1]Sheet1!$I:$I,E3936,[1]Sheet1!$C:$C,A3936)</f>
        <v>12</v>
      </c>
      <c r="T3936">
        <f t="shared" si="185"/>
        <v>-12</v>
      </c>
      <c r="U3936" s="9" t="s">
        <v>638</v>
      </c>
      <c r="V3936" t="s">
        <v>638</v>
      </c>
      <c r="W3936" t="s">
        <v>178</v>
      </c>
      <c r="X3936" t="s">
        <v>191</v>
      </c>
      <c r="Y3936" t="s">
        <v>179</v>
      </c>
      <c r="Z3936" t="s">
        <v>41</v>
      </c>
      <c r="AB3936" t="str">
        <f t="shared" si="183"/>
        <v>54186</v>
      </c>
    </row>
    <row r="3937" ht="14.25" spans="1:28">
      <c r="A3937" s="5" t="s">
        <v>28</v>
      </c>
      <c r="B3937" s="5" t="s">
        <v>697</v>
      </c>
      <c r="C3937" s="5">
        <v>2027</v>
      </c>
      <c r="D3937" s="5" t="s">
        <v>30</v>
      </c>
      <c r="E3937" t="s">
        <v>2233</v>
      </c>
      <c r="F3937" t="s">
        <v>2234</v>
      </c>
      <c r="G3937" t="s">
        <v>346</v>
      </c>
      <c r="H3937" t="s">
        <v>2235</v>
      </c>
      <c r="I3937" t="s">
        <v>112</v>
      </c>
      <c r="J3937" t="s">
        <v>36</v>
      </c>
      <c r="K3937">
        <v>2190</v>
      </c>
      <c r="O3937" t="s">
        <v>176</v>
      </c>
      <c r="P3937" t="s">
        <v>38</v>
      </c>
      <c r="U3937" s="9" t="s">
        <v>638</v>
      </c>
      <c r="V3937" t="s">
        <v>638</v>
      </c>
      <c r="W3937" t="s">
        <v>178</v>
      </c>
      <c r="X3937" t="s">
        <v>191</v>
      </c>
      <c r="Y3937" t="s">
        <v>179</v>
      </c>
      <c r="Z3937" t="s">
        <v>41</v>
      </c>
      <c r="AB3937" t="str">
        <f t="shared" si="183"/>
        <v>54186</v>
      </c>
    </row>
    <row r="3938" ht="14.25" spans="1:28">
      <c r="A3938" s="5" t="s">
        <v>28</v>
      </c>
      <c r="B3938" s="5" t="s">
        <v>697</v>
      </c>
      <c r="C3938" s="5">
        <v>2027</v>
      </c>
      <c r="D3938" s="5" t="s">
        <v>30</v>
      </c>
      <c r="E3938" t="s">
        <v>2233</v>
      </c>
      <c r="F3938" t="s">
        <v>2234</v>
      </c>
      <c r="G3938" t="s">
        <v>346</v>
      </c>
      <c r="H3938" t="s">
        <v>2235</v>
      </c>
      <c r="I3938" t="s">
        <v>112</v>
      </c>
      <c r="J3938" t="s">
        <v>36</v>
      </c>
      <c r="K3938">
        <v>2190</v>
      </c>
      <c r="O3938" t="s">
        <v>176</v>
      </c>
      <c r="P3938" t="s">
        <v>42</v>
      </c>
      <c r="U3938" s="9" t="s">
        <v>638</v>
      </c>
      <c r="V3938" t="s">
        <v>638</v>
      </c>
      <c r="W3938" t="s">
        <v>178</v>
      </c>
      <c r="X3938" t="s">
        <v>191</v>
      </c>
      <c r="Y3938" t="s">
        <v>179</v>
      </c>
      <c r="Z3938" t="s">
        <v>41</v>
      </c>
      <c r="AB3938" t="str">
        <f t="shared" si="183"/>
        <v>54186</v>
      </c>
    </row>
    <row r="3939" ht="14.25" spans="1:28">
      <c r="A3939" s="5" t="s">
        <v>28</v>
      </c>
      <c r="B3939" s="5" t="s">
        <v>697</v>
      </c>
      <c r="C3939" s="5">
        <v>2027</v>
      </c>
      <c r="D3939" s="5" t="s">
        <v>30</v>
      </c>
      <c r="E3939" t="s">
        <v>2233</v>
      </c>
      <c r="F3939" t="s">
        <v>2234</v>
      </c>
      <c r="G3939" t="s">
        <v>346</v>
      </c>
      <c r="H3939" t="s">
        <v>2235</v>
      </c>
      <c r="I3939" t="s">
        <v>112</v>
      </c>
      <c r="J3939" t="s">
        <v>36</v>
      </c>
      <c r="K3939">
        <v>2190</v>
      </c>
      <c r="O3939" t="s">
        <v>176</v>
      </c>
      <c r="P3939" t="s">
        <v>43</v>
      </c>
      <c r="U3939" s="9" t="s">
        <v>638</v>
      </c>
      <c r="V3939" t="s">
        <v>638</v>
      </c>
      <c r="W3939" t="s">
        <v>178</v>
      </c>
      <c r="X3939" t="s">
        <v>191</v>
      </c>
      <c r="Y3939" t="s">
        <v>179</v>
      </c>
      <c r="Z3939" t="s">
        <v>41</v>
      </c>
      <c r="AB3939" t="str">
        <f t="shared" si="183"/>
        <v>54186</v>
      </c>
    </row>
    <row r="3940" ht="14.25" spans="1:28">
      <c r="A3940" s="5" t="s">
        <v>28</v>
      </c>
      <c r="B3940" s="5" t="s">
        <v>697</v>
      </c>
      <c r="C3940" s="5">
        <v>2027</v>
      </c>
      <c r="D3940" s="5" t="s">
        <v>30</v>
      </c>
      <c r="E3940" t="s">
        <v>2233</v>
      </c>
      <c r="F3940" t="s">
        <v>2234</v>
      </c>
      <c r="G3940" t="s">
        <v>346</v>
      </c>
      <c r="H3940" t="s">
        <v>2235</v>
      </c>
      <c r="I3940" t="s">
        <v>112</v>
      </c>
      <c r="J3940" t="s">
        <v>36</v>
      </c>
      <c r="K3940">
        <v>2190</v>
      </c>
      <c r="O3940" t="s">
        <v>176</v>
      </c>
      <c r="P3940" t="s">
        <v>44</v>
      </c>
      <c r="U3940" s="9" t="s">
        <v>638</v>
      </c>
      <c r="V3940" t="s">
        <v>638</v>
      </c>
      <c r="W3940" t="s">
        <v>178</v>
      </c>
      <c r="X3940" t="s">
        <v>191</v>
      </c>
      <c r="Y3940" t="s">
        <v>179</v>
      </c>
      <c r="Z3940" t="s">
        <v>41</v>
      </c>
      <c r="AB3940" t="str">
        <f t="shared" si="183"/>
        <v>54186</v>
      </c>
    </row>
    <row r="3941" ht="14.25" spans="1:28">
      <c r="A3941" s="5" t="s">
        <v>28</v>
      </c>
      <c r="B3941" s="5" t="s">
        <v>697</v>
      </c>
      <c r="C3941" s="5">
        <v>2027</v>
      </c>
      <c r="D3941" s="5" t="s">
        <v>30</v>
      </c>
      <c r="E3941" t="s">
        <v>2233</v>
      </c>
      <c r="F3941" t="s">
        <v>2234</v>
      </c>
      <c r="G3941" t="s">
        <v>346</v>
      </c>
      <c r="H3941" t="s">
        <v>2235</v>
      </c>
      <c r="I3941" t="s">
        <v>112</v>
      </c>
      <c r="J3941" t="s">
        <v>36</v>
      </c>
      <c r="K3941">
        <v>2190</v>
      </c>
      <c r="O3941" t="s">
        <v>176</v>
      </c>
      <c r="P3941" t="s">
        <v>45</v>
      </c>
      <c r="U3941" s="9" t="s">
        <v>638</v>
      </c>
      <c r="V3941" t="s">
        <v>638</v>
      </c>
      <c r="W3941" t="s">
        <v>178</v>
      </c>
      <c r="X3941" t="s">
        <v>191</v>
      </c>
      <c r="Y3941" t="s">
        <v>179</v>
      </c>
      <c r="Z3941" t="s">
        <v>41</v>
      </c>
      <c r="AB3941" t="str">
        <f t="shared" si="183"/>
        <v>54186</v>
      </c>
    </row>
    <row r="3942" ht="14.25" spans="1:28">
      <c r="A3942" s="5" t="s">
        <v>28</v>
      </c>
      <c r="B3942" s="5" t="s">
        <v>697</v>
      </c>
      <c r="C3942" s="5">
        <v>2027</v>
      </c>
      <c r="D3942" s="5" t="s">
        <v>30</v>
      </c>
      <c r="E3942" t="s">
        <v>2236</v>
      </c>
      <c r="F3942" t="s">
        <v>2237</v>
      </c>
      <c r="G3942" t="s">
        <v>1920</v>
      </c>
      <c r="H3942" t="s">
        <v>2238</v>
      </c>
      <c r="I3942" t="s">
        <v>119</v>
      </c>
      <c r="J3942" t="s">
        <v>36</v>
      </c>
      <c r="K3942">
        <v>1990</v>
      </c>
      <c r="O3942" t="s">
        <v>195</v>
      </c>
      <c r="P3942" t="s">
        <v>74</v>
      </c>
      <c r="R3942">
        <f t="shared" si="184"/>
        <v>0</v>
      </c>
      <c r="S3942">
        <f>SUMIFS([1]Sheet1!$T:$T,[1]Sheet1!$I:$I,E3942,[1]Sheet1!$C:$C,A3942)</f>
        <v>40</v>
      </c>
      <c r="T3942">
        <f t="shared" si="185"/>
        <v>-40</v>
      </c>
      <c r="U3942" s="9" t="s">
        <v>638</v>
      </c>
      <c r="V3942" t="s">
        <v>638</v>
      </c>
      <c r="W3942" t="s">
        <v>178</v>
      </c>
      <c r="X3942" t="s">
        <v>94</v>
      </c>
      <c r="Y3942" t="s">
        <v>179</v>
      </c>
      <c r="Z3942" t="s">
        <v>41</v>
      </c>
      <c r="AB3942" t="str">
        <f t="shared" si="183"/>
        <v>54396</v>
      </c>
    </row>
    <row r="3943" ht="14.25" spans="1:28">
      <c r="A3943" s="5" t="s">
        <v>28</v>
      </c>
      <c r="B3943" s="5" t="s">
        <v>697</v>
      </c>
      <c r="C3943" s="5">
        <v>2027</v>
      </c>
      <c r="D3943" s="5" t="s">
        <v>30</v>
      </c>
      <c r="E3943" t="s">
        <v>2236</v>
      </c>
      <c r="F3943" t="s">
        <v>2237</v>
      </c>
      <c r="G3943" t="s">
        <v>1920</v>
      </c>
      <c r="H3943" t="s">
        <v>2238</v>
      </c>
      <c r="I3943" t="s">
        <v>119</v>
      </c>
      <c r="J3943" t="s">
        <v>36</v>
      </c>
      <c r="K3943">
        <v>1990</v>
      </c>
      <c r="O3943" t="s">
        <v>195</v>
      </c>
      <c r="P3943" t="s">
        <v>76</v>
      </c>
      <c r="U3943" s="9" t="s">
        <v>638</v>
      </c>
      <c r="V3943" t="s">
        <v>638</v>
      </c>
      <c r="W3943" t="s">
        <v>178</v>
      </c>
      <c r="X3943" t="s">
        <v>94</v>
      </c>
      <c r="Y3943" t="s">
        <v>179</v>
      </c>
      <c r="Z3943" t="s">
        <v>41</v>
      </c>
      <c r="AB3943" t="str">
        <f t="shared" si="183"/>
        <v>54396</v>
      </c>
    </row>
    <row r="3944" ht="14.25" spans="1:28">
      <c r="A3944" s="5" t="s">
        <v>28</v>
      </c>
      <c r="B3944" s="5" t="s">
        <v>697</v>
      </c>
      <c r="C3944" s="5">
        <v>2027</v>
      </c>
      <c r="D3944" s="5" t="s">
        <v>30</v>
      </c>
      <c r="E3944" t="s">
        <v>2236</v>
      </c>
      <c r="F3944" t="s">
        <v>2237</v>
      </c>
      <c r="G3944" t="s">
        <v>1920</v>
      </c>
      <c r="H3944" t="s">
        <v>2238</v>
      </c>
      <c r="I3944" t="s">
        <v>119</v>
      </c>
      <c r="J3944" t="s">
        <v>36</v>
      </c>
      <c r="K3944">
        <v>1990</v>
      </c>
      <c r="O3944" t="s">
        <v>195</v>
      </c>
      <c r="P3944" t="s">
        <v>77</v>
      </c>
      <c r="U3944" s="9" t="s">
        <v>638</v>
      </c>
      <c r="V3944" t="s">
        <v>638</v>
      </c>
      <c r="W3944" t="s">
        <v>178</v>
      </c>
      <c r="X3944" t="s">
        <v>94</v>
      </c>
      <c r="Y3944" t="s">
        <v>179</v>
      </c>
      <c r="Z3944" t="s">
        <v>41</v>
      </c>
      <c r="AB3944" t="str">
        <f t="shared" si="183"/>
        <v>54396</v>
      </c>
    </row>
    <row r="3945" ht="14.25" spans="1:28">
      <c r="A3945" s="5" t="s">
        <v>28</v>
      </c>
      <c r="B3945" s="5" t="s">
        <v>697</v>
      </c>
      <c r="C3945" s="5">
        <v>2027</v>
      </c>
      <c r="D3945" s="5" t="s">
        <v>30</v>
      </c>
      <c r="E3945" t="s">
        <v>2236</v>
      </c>
      <c r="F3945" t="s">
        <v>2237</v>
      </c>
      <c r="G3945" t="s">
        <v>1920</v>
      </c>
      <c r="H3945" t="s">
        <v>2238</v>
      </c>
      <c r="I3945" t="s">
        <v>119</v>
      </c>
      <c r="J3945" t="s">
        <v>36</v>
      </c>
      <c r="K3945">
        <v>1990</v>
      </c>
      <c r="O3945" t="s">
        <v>195</v>
      </c>
      <c r="P3945" t="s">
        <v>78</v>
      </c>
      <c r="U3945" s="9" t="s">
        <v>638</v>
      </c>
      <c r="V3945" t="s">
        <v>638</v>
      </c>
      <c r="W3945" t="s">
        <v>178</v>
      </c>
      <c r="X3945" t="s">
        <v>94</v>
      </c>
      <c r="Y3945" t="s">
        <v>179</v>
      </c>
      <c r="Z3945" t="s">
        <v>41</v>
      </c>
      <c r="AB3945" t="str">
        <f t="shared" si="183"/>
        <v>54396</v>
      </c>
    </row>
    <row r="3946" ht="14.25" spans="1:28">
      <c r="A3946" s="5" t="s">
        <v>28</v>
      </c>
      <c r="B3946" s="5" t="s">
        <v>697</v>
      </c>
      <c r="C3946" s="5">
        <v>2027</v>
      </c>
      <c r="D3946" s="5" t="s">
        <v>30</v>
      </c>
      <c r="E3946" t="s">
        <v>2236</v>
      </c>
      <c r="F3946" t="s">
        <v>2237</v>
      </c>
      <c r="G3946" t="s">
        <v>1920</v>
      </c>
      <c r="H3946" t="s">
        <v>2238</v>
      </c>
      <c r="I3946" t="s">
        <v>119</v>
      </c>
      <c r="J3946" t="s">
        <v>36</v>
      </c>
      <c r="K3946">
        <v>1990</v>
      </c>
      <c r="O3946" t="s">
        <v>195</v>
      </c>
      <c r="P3946" t="s">
        <v>79</v>
      </c>
      <c r="U3946" s="9" t="s">
        <v>638</v>
      </c>
      <c r="V3946" t="s">
        <v>638</v>
      </c>
      <c r="W3946" t="s">
        <v>178</v>
      </c>
      <c r="X3946" t="s">
        <v>94</v>
      </c>
      <c r="Y3946" t="s">
        <v>179</v>
      </c>
      <c r="Z3946" t="s">
        <v>41</v>
      </c>
      <c r="AB3946" t="str">
        <f t="shared" si="183"/>
        <v>54396</v>
      </c>
    </row>
    <row r="3947" ht="14.25" spans="1:28">
      <c r="A3947" s="5" t="s">
        <v>28</v>
      </c>
      <c r="B3947" s="5" t="s">
        <v>697</v>
      </c>
      <c r="C3947" s="5">
        <v>2027</v>
      </c>
      <c r="D3947" s="5" t="s">
        <v>30</v>
      </c>
      <c r="E3947" t="s">
        <v>2239</v>
      </c>
      <c r="F3947" t="s">
        <v>2237</v>
      </c>
      <c r="G3947" t="s">
        <v>1937</v>
      </c>
      <c r="H3947" t="s">
        <v>2240</v>
      </c>
      <c r="I3947" t="s">
        <v>147</v>
      </c>
      <c r="J3947" t="s">
        <v>36</v>
      </c>
      <c r="K3947">
        <v>1990</v>
      </c>
      <c r="O3947" t="s">
        <v>195</v>
      </c>
      <c r="P3947" t="s">
        <v>74</v>
      </c>
      <c r="R3947">
        <f t="shared" si="184"/>
        <v>0</v>
      </c>
      <c r="S3947">
        <f>SUMIFS([1]Sheet1!$T:$T,[1]Sheet1!$I:$I,E3947,[1]Sheet1!$C:$C,A3947)</f>
        <v>60</v>
      </c>
      <c r="T3947">
        <f t="shared" si="185"/>
        <v>-60</v>
      </c>
      <c r="U3947" s="9" t="s">
        <v>638</v>
      </c>
      <c r="V3947" t="s">
        <v>638</v>
      </c>
      <c r="W3947" t="s">
        <v>178</v>
      </c>
      <c r="X3947" t="s">
        <v>1106</v>
      </c>
      <c r="Y3947" t="s">
        <v>179</v>
      </c>
      <c r="Z3947" t="s">
        <v>41</v>
      </c>
      <c r="AB3947" t="str">
        <f t="shared" si="183"/>
        <v>54396</v>
      </c>
    </row>
    <row r="3948" ht="14.25" spans="1:28">
      <c r="A3948" s="5" t="s">
        <v>28</v>
      </c>
      <c r="B3948" s="5" t="s">
        <v>697</v>
      </c>
      <c r="C3948" s="5">
        <v>2027</v>
      </c>
      <c r="D3948" s="5" t="s">
        <v>30</v>
      </c>
      <c r="E3948" t="s">
        <v>2239</v>
      </c>
      <c r="F3948" t="s">
        <v>2237</v>
      </c>
      <c r="G3948" t="s">
        <v>1937</v>
      </c>
      <c r="H3948" t="s">
        <v>2240</v>
      </c>
      <c r="I3948" t="s">
        <v>147</v>
      </c>
      <c r="J3948" t="s">
        <v>36</v>
      </c>
      <c r="K3948">
        <v>1990</v>
      </c>
      <c r="O3948" t="s">
        <v>195</v>
      </c>
      <c r="P3948" t="s">
        <v>76</v>
      </c>
      <c r="U3948" s="9" t="s">
        <v>638</v>
      </c>
      <c r="V3948" t="s">
        <v>638</v>
      </c>
      <c r="W3948" t="s">
        <v>178</v>
      </c>
      <c r="X3948" t="s">
        <v>1106</v>
      </c>
      <c r="Y3948" t="s">
        <v>179</v>
      </c>
      <c r="Z3948" t="s">
        <v>41</v>
      </c>
      <c r="AB3948" t="str">
        <f t="shared" si="183"/>
        <v>54396</v>
      </c>
    </row>
    <row r="3949" ht="14.25" spans="1:28">
      <c r="A3949" s="5" t="s">
        <v>28</v>
      </c>
      <c r="B3949" s="5" t="s">
        <v>697</v>
      </c>
      <c r="C3949" s="5">
        <v>2027</v>
      </c>
      <c r="D3949" s="5" t="s">
        <v>30</v>
      </c>
      <c r="E3949" t="s">
        <v>2239</v>
      </c>
      <c r="F3949" t="s">
        <v>2237</v>
      </c>
      <c r="G3949" t="s">
        <v>1937</v>
      </c>
      <c r="H3949" t="s">
        <v>2240</v>
      </c>
      <c r="I3949" t="s">
        <v>147</v>
      </c>
      <c r="J3949" t="s">
        <v>36</v>
      </c>
      <c r="K3949">
        <v>1990</v>
      </c>
      <c r="O3949" t="s">
        <v>195</v>
      </c>
      <c r="P3949" t="s">
        <v>77</v>
      </c>
      <c r="U3949" s="9" t="s">
        <v>638</v>
      </c>
      <c r="V3949" t="s">
        <v>638</v>
      </c>
      <c r="W3949" t="s">
        <v>178</v>
      </c>
      <c r="X3949" t="s">
        <v>1106</v>
      </c>
      <c r="Y3949" t="s">
        <v>179</v>
      </c>
      <c r="Z3949" t="s">
        <v>41</v>
      </c>
      <c r="AB3949" t="str">
        <f t="shared" si="183"/>
        <v>54396</v>
      </c>
    </row>
    <row r="3950" ht="14.25" spans="1:28">
      <c r="A3950" s="5" t="s">
        <v>28</v>
      </c>
      <c r="B3950" s="5" t="s">
        <v>697</v>
      </c>
      <c r="C3950" s="5">
        <v>2027</v>
      </c>
      <c r="D3950" s="5" t="s">
        <v>30</v>
      </c>
      <c r="E3950" t="s">
        <v>2239</v>
      </c>
      <c r="F3950" t="s">
        <v>2237</v>
      </c>
      <c r="G3950" t="s">
        <v>1937</v>
      </c>
      <c r="H3950" t="s">
        <v>2240</v>
      </c>
      <c r="I3950" t="s">
        <v>147</v>
      </c>
      <c r="J3950" t="s">
        <v>36</v>
      </c>
      <c r="K3950">
        <v>1990</v>
      </c>
      <c r="O3950" t="s">
        <v>195</v>
      </c>
      <c r="P3950" t="s">
        <v>78</v>
      </c>
      <c r="U3950" s="9" t="s">
        <v>638</v>
      </c>
      <c r="V3950" t="s">
        <v>638</v>
      </c>
      <c r="W3950" t="s">
        <v>178</v>
      </c>
      <c r="X3950" t="s">
        <v>1106</v>
      </c>
      <c r="Y3950" t="s">
        <v>179</v>
      </c>
      <c r="Z3950" t="s">
        <v>41</v>
      </c>
      <c r="AB3950" t="str">
        <f t="shared" si="183"/>
        <v>54396</v>
      </c>
    </row>
    <row r="3951" ht="14.25" spans="1:28">
      <c r="A3951" s="5" t="s">
        <v>28</v>
      </c>
      <c r="B3951" s="5" t="s">
        <v>697</v>
      </c>
      <c r="C3951" s="5">
        <v>2027</v>
      </c>
      <c r="D3951" s="5" t="s">
        <v>30</v>
      </c>
      <c r="E3951" t="s">
        <v>2239</v>
      </c>
      <c r="F3951" t="s">
        <v>2237</v>
      </c>
      <c r="G3951" t="s">
        <v>1937</v>
      </c>
      <c r="H3951" t="s">
        <v>2240</v>
      </c>
      <c r="I3951" t="s">
        <v>147</v>
      </c>
      <c r="J3951" t="s">
        <v>36</v>
      </c>
      <c r="K3951">
        <v>1990</v>
      </c>
      <c r="O3951" t="s">
        <v>195</v>
      </c>
      <c r="P3951" t="s">
        <v>79</v>
      </c>
      <c r="U3951" s="9" t="s">
        <v>638</v>
      </c>
      <c r="V3951" t="s">
        <v>638</v>
      </c>
      <c r="W3951" t="s">
        <v>178</v>
      </c>
      <c r="X3951" t="s">
        <v>1106</v>
      </c>
      <c r="Y3951" t="s">
        <v>179</v>
      </c>
      <c r="Z3951" t="s">
        <v>41</v>
      </c>
      <c r="AB3951" t="str">
        <f t="shared" si="183"/>
        <v>54396</v>
      </c>
    </row>
    <row r="3952" ht="14.25" spans="1:28">
      <c r="A3952" s="5" t="s">
        <v>28</v>
      </c>
      <c r="B3952" s="5" t="s">
        <v>697</v>
      </c>
      <c r="C3952" s="5">
        <v>2027</v>
      </c>
      <c r="D3952" s="5" t="s">
        <v>30</v>
      </c>
      <c r="E3952" t="s">
        <v>2241</v>
      </c>
      <c r="F3952" t="s">
        <v>2242</v>
      </c>
      <c r="G3952" t="s">
        <v>2243</v>
      </c>
      <c r="H3952" t="s">
        <v>2244</v>
      </c>
      <c r="I3952" t="s">
        <v>119</v>
      </c>
      <c r="J3952" t="s">
        <v>36</v>
      </c>
      <c r="K3952">
        <v>1790</v>
      </c>
      <c r="O3952" t="s">
        <v>195</v>
      </c>
      <c r="P3952" t="s">
        <v>74</v>
      </c>
      <c r="R3952">
        <f t="shared" si="184"/>
        <v>0</v>
      </c>
      <c r="S3952">
        <f>SUMIFS([1]Sheet1!$T:$T,[1]Sheet1!$I:$I,E3952,[1]Sheet1!$C:$C,A3952)</f>
        <v>0</v>
      </c>
      <c r="T3952">
        <f t="shared" si="185"/>
        <v>0</v>
      </c>
      <c r="U3952" s="9" t="s">
        <v>638</v>
      </c>
      <c r="V3952" t="s">
        <v>638</v>
      </c>
      <c r="W3952" t="s">
        <v>178</v>
      </c>
      <c r="X3952" t="s">
        <v>86</v>
      </c>
      <c r="Y3952" t="s">
        <v>179</v>
      </c>
      <c r="Z3952" t="s">
        <v>41</v>
      </c>
      <c r="AB3952" t="str">
        <f t="shared" si="183"/>
        <v>54397</v>
      </c>
    </row>
    <row r="3953" ht="14.25" spans="1:28">
      <c r="A3953" s="5" t="s">
        <v>28</v>
      </c>
      <c r="B3953" s="5" t="s">
        <v>697</v>
      </c>
      <c r="C3953" s="5">
        <v>2027</v>
      </c>
      <c r="D3953" s="5" t="s">
        <v>30</v>
      </c>
      <c r="E3953" t="s">
        <v>2241</v>
      </c>
      <c r="F3953" t="s">
        <v>2242</v>
      </c>
      <c r="G3953" t="s">
        <v>2243</v>
      </c>
      <c r="H3953" t="s">
        <v>2244</v>
      </c>
      <c r="I3953" t="s">
        <v>119</v>
      </c>
      <c r="J3953" t="s">
        <v>36</v>
      </c>
      <c r="K3953">
        <v>1790</v>
      </c>
      <c r="O3953" t="s">
        <v>195</v>
      </c>
      <c r="P3953" t="s">
        <v>76</v>
      </c>
      <c r="U3953" s="9" t="s">
        <v>638</v>
      </c>
      <c r="V3953" t="s">
        <v>638</v>
      </c>
      <c r="W3953" t="s">
        <v>178</v>
      </c>
      <c r="X3953" t="s">
        <v>86</v>
      </c>
      <c r="Y3953" t="s">
        <v>179</v>
      </c>
      <c r="Z3953" t="s">
        <v>41</v>
      </c>
      <c r="AB3953" t="str">
        <f t="shared" si="183"/>
        <v>54397</v>
      </c>
    </row>
    <row r="3954" ht="14.25" spans="1:28">
      <c r="A3954" s="5" t="s">
        <v>28</v>
      </c>
      <c r="B3954" s="5" t="s">
        <v>697</v>
      </c>
      <c r="C3954" s="5">
        <v>2027</v>
      </c>
      <c r="D3954" s="5" t="s">
        <v>30</v>
      </c>
      <c r="E3954" t="s">
        <v>2241</v>
      </c>
      <c r="F3954" t="s">
        <v>2242</v>
      </c>
      <c r="G3954" t="s">
        <v>2243</v>
      </c>
      <c r="H3954" t="s">
        <v>2244</v>
      </c>
      <c r="I3954" t="s">
        <v>119</v>
      </c>
      <c r="J3954" t="s">
        <v>36</v>
      </c>
      <c r="K3954">
        <v>1790</v>
      </c>
      <c r="O3954" t="s">
        <v>195</v>
      </c>
      <c r="P3954" t="s">
        <v>77</v>
      </c>
      <c r="U3954" s="9" t="s">
        <v>638</v>
      </c>
      <c r="V3954" t="s">
        <v>638</v>
      </c>
      <c r="W3954" t="s">
        <v>178</v>
      </c>
      <c r="X3954" t="s">
        <v>86</v>
      </c>
      <c r="Y3954" t="s">
        <v>179</v>
      </c>
      <c r="Z3954" t="s">
        <v>41</v>
      </c>
      <c r="AB3954" t="str">
        <f t="shared" si="183"/>
        <v>54397</v>
      </c>
    </row>
    <row r="3955" ht="14.25" spans="1:28">
      <c r="A3955" s="5" t="s">
        <v>28</v>
      </c>
      <c r="B3955" s="5" t="s">
        <v>697</v>
      </c>
      <c r="C3955" s="5">
        <v>2027</v>
      </c>
      <c r="D3955" s="5" t="s">
        <v>30</v>
      </c>
      <c r="E3955" t="s">
        <v>2241</v>
      </c>
      <c r="F3955" t="s">
        <v>2242</v>
      </c>
      <c r="G3955" t="s">
        <v>2243</v>
      </c>
      <c r="H3955" t="s">
        <v>2244</v>
      </c>
      <c r="I3955" t="s">
        <v>119</v>
      </c>
      <c r="J3955" t="s">
        <v>36</v>
      </c>
      <c r="K3955">
        <v>1790</v>
      </c>
      <c r="O3955" t="s">
        <v>195</v>
      </c>
      <c r="P3955" t="s">
        <v>78</v>
      </c>
      <c r="U3955" s="9" t="s">
        <v>638</v>
      </c>
      <c r="V3955" t="s">
        <v>638</v>
      </c>
      <c r="W3955" t="s">
        <v>178</v>
      </c>
      <c r="X3955" t="s">
        <v>86</v>
      </c>
      <c r="Y3955" t="s">
        <v>179</v>
      </c>
      <c r="Z3955" t="s">
        <v>41</v>
      </c>
      <c r="AB3955" t="str">
        <f t="shared" ref="AB3955:AB4018" si="186">MID(E3955,6,5)</f>
        <v>54397</v>
      </c>
    </row>
    <row r="3956" ht="14.25" spans="1:28">
      <c r="A3956" s="5" t="s">
        <v>28</v>
      </c>
      <c r="B3956" s="5" t="s">
        <v>697</v>
      </c>
      <c r="C3956" s="5">
        <v>2027</v>
      </c>
      <c r="D3956" s="5" t="s">
        <v>30</v>
      </c>
      <c r="E3956" t="s">
        <v>2241</v>
      </c>
      <c r="F3956" t="s">
        <v>2242</v>
      </c>
      <c r="G3956" t="s">
        <v>2243</v>
      </c>
      <c r="H3956" t="s">
        <v>2244</v>
      </c>
      <c r="I3956" t="s">
        <v>119</v>
      </c>
      <c r="J3956" t="s">
        <v>36</v>
      </c>
      <c r="K3956">
        <v>1790</v>
      </c>
      <c r="O3956" t="s">
        <v>195</v>
      </c>
      <c r="P3956" t="s">
        <v>79</v>
      </c>
      <c r="U3956" s="9" t="s">
        <v>638</v>
      </c>
      <c r="V3956" t="s">
        <v>638</v>
      </c>
      <c r="W3956" t="s">
        <v>178</v>
      </c>
      <c r="X3956" t="s">
        <v>86</v>
      </c>
      <c r="Y3956" t="s">
        <v>179</v>
      </c>
      <c r="Z3956" t="s">
        <v>41</v>
      </c>
      <c r="AB3956" t="str">
        <f t="shared" si="186"/>
        <v>54397</v>
      </c>
    </row>
    <row r="3957" ht="14.25" spans="1:28">
      <c r="A3957" s="5" t="s">
        <v>28</v>
      </c>
      <c r="B3957" s="5" t="s">
        <v>697</v>
      </c>
      <c r="C3957" s="5">
        <v>2027</v>
      </c>
      <c r="D3957" s="5" t="s">
        <v>30</v>
      </c>
      <c r="E3957" t="s">
        <v>2245</v>
      </c>
      <c r="F3957" t="s">
        <v>2242</v>
      </c>
      <c r="G3957" t="s">
        <v>1867</v>
      </c>
      <c r="H3957" t="s">
        <v>2246</v>
      </c>
      <c r="I3957" t="s">
        <v>119</v>
      </c>
      <c r="J3957" t="s">
        <v>36</v>
      </c>
      <c r="K3957">
        <v>1790</v>
      </c>
      <c r="O3957" t="s">
        <v>195</v>
      </c>
      <c r="P3957" t="s">
        <v>74</v>
      </c>
      <c r="R3957">
        <f t="shared" si="184"/>
        <v>0</v>
      </c>
      <c r="S3957">
        <f>SUMIFS([1]Sheet1!$T:$T,[1]Sheet1!$I:$I,E3957,[1]Sheet1!$C:$C,A3957)</f>
        <v>0</v>
      </c>
      <c r="T3957">
        <f t="shared" si="185"/>
        <v>0</v>
      </c>
      <c r="U3957" s="9" t="s">
        <v>638</v>
      </c>
      <c r="V3957" t="s">
        <v>638</v>
      </c>
      <c r="W3957" t="s">
        <v>178</v>
      </c>
      <c r="X3957" t="s">
        <v>102</v>
      </c>
      <c r="Y3957" t="s">
        <v>179</v>
      </c>
      <c r="Z3957" t="s">
        <v>41</v>
      </c>
      <c r="AB3957" t="str">
        <f t="shared" si="186"/>
        <v>54397</v>
      </c>
    </row>
    <row r="3958" ht="14.25" spans="1:28">
      <c r="A3958" s="5" t="s">
        <v>28</v>
      </c>
      <c r="B3958" s="5" t="s">
        <v>697</v>
      </c>
      <c r="C3958" s="5">
        <v>2027</v>
      </c>
      <c r="D3958" s="5" t="s">
        <v>30</v>
      </c>
      <c r="E3958" t="s">
        <v>2245</v>
      </c>
      <c r="F3958" t="s">
        <v>2242</v>
      </c>
      <c r="G3958" t="s">
        <v>1867</v>
      </c>
      <c r="H3958" t="s">
        <v>2246</v>
      </c>
      <c r="I3958" t="s">
        <v>119</v>
      </c>
      <c r="J3958" t="s">
        <v>36</v>
      </c>
      <c r="K3958">
        <v>1790</v>
      </c>
      <c r="O3958" t="s">
        <v>195</v>
      </c>
      <c r="P3958" t="s">
        <v>76</v>
      </c>
      <c r="U3958" s="9" t="s">
        <v>638</v>
      </c>
      <c r="V3958" t="s">
        <v>638</v>
      </c>
      <c r="W3958" t="s">
        <v>178</v>
      </c>
      <c r="X3958" t="s">
        <v>102</v>
      </c>
      <c r="Y3958" t="s">
        <v>179</v>
      </c>
      <c r="Z3958" t="s">
        <v>41</v>
      </c>
      <c r="AB3958" t="str">
        <f t="shared" si="186"/>
        <v>54397</v>
      </c>
    </row>
    <row r="3959" ht="14.25" spans="1:28">
      <c r="A3959" s="5" t="s">
        <v>28</v>
      </c>
      <c r="B3959" s="5" t="s">
        <v>697</v>
      </c>
      <c r="C3959" s="5">
        <v>2027</v>
      </c>
      <c r="D3959" s="5" t="s">
        <v>30</v>
      </c>
      <c r="E3959" t="s">
        <v>2245</v>
      </c>
      <c r="F3959" t="s">
        <v>2242</v>
      </c>
      <c r="G3959" t="s">
        <v>1867</v>
      </c>
      <c r="H3959" t="s">
        <v>2246</v>
      </c>
      <c r="I3959" t="s">
        <v>119</v>
      </c>
      <c r="J3959" t="s">
        <v>36</v>
      </c>
      <c r="K3959">
        <v>1790</v>
      </c>
      <c r="O3959" t="s">
        <v>195</v>
      </c>
      <c r="P3959" t="s">
        <v>77</v>
      </c>
      <c r="U3959" s="9" t="s">
        <v>638</v>
      </c>
      <c r="V3959" t="s">
        <v>638</v>
      </c>
      <c r="W3959" t="s">
        <v>178</v>
      </c>
      <c r="X3959" t="s">
        <v>102</v>
      </c>
      <c r="Y3959" t="s">
        <v>179</v>
      </c>
      <c r="Z3959" t="s">
        <v>41</v>
      </c>
      <c r="AB3959" t="str">
        <f t="shared" si="186"/>
        <v>54397</v>
      </c>
    </row>
    <row r="3960" ht="14.25" spans="1:28">
      <c r="A3960" s="5" t="s">
        <v>28</v>
      </c>
      <c r="B3960" s="5" t="s">
        <v>697</v>
      </c>
      <c r="C3960" s="5">
        <v>2027</v>
      </c>
      <c r="D3960" s="5" t="s">
        <v>30</v>
      </c>
      <c r="E3960" t="s">
        <v>2245</v>
      </c>
      <c r="F3960" t="s">
        <v>2242</v>
      </c>
      <c r="G3960" t="s">
        <v>1867</v>
      </c>
      <c r="H3960" t="s">
        <v>2246</v>
      </c>
      <c r="I3960" t="s">
        <v>119</v>
      </c>
      <c r="J3960" t="s">
        <v>36</v>
      </c>
      <c r="K3960">
        <v>1790</v>
      </c>
      <c r="O3960" t="s">
        <v>195</v>
      </c>
      <c r="P3960" t="s">
        <v>78</v>
      </c>
      <c r="U3960" s="9" t="s">
        <v>638</v>
      </c>
      <c r="V3960" t="s">
        <v>638</v>
      </c>
      <c r="W3960" t="s">
        <v>178</v>
      </c>
      <c r="X3960" t="s">
        <v>102</v>
      </c>
      <c r="Y3960" t="s">
        <v>179</v>
      </c>
      <c r="Z3960" t="s">
        <v>41</v>
      </c>
      <c r="AB3960" t="str">
        <f t="shared" si="186"/>
        <v>54397</v>
      </c>
    </row>
    <row r="3961" ht="14.25" spans="1:28">
      <c r="A3961" s="5" t="s">
        <v>28</v>
      </c>
      <c r="B3961" s="5" t="s">
        <v>697</v>
      </c>
      <c r="C3961" s="5">
        <v>2027</v>
      </c>
      <c r="D3961" s="5" t="s">
        <v>30</v>
      </c>
      <c r="E3961" t="s">
        <v>2245</v>
      </c>
      <c r="F3961" t="s">
        <v>2242</v>
      </c>
      <c r="G3961" t="s">
        <v>1867</v>
      </c>
      <c r="H3961" t="s">
        <v>2246</v>
      </c>
      <c r="I3961" t="s">
        <v>119</v>
      </c>
      <c r="J3961" t="s">
        <v>36</v>
      </c>
      <c r="K3961">
        <v>1790</v>
      </c>
      <c r="O3961" t="s">
        <v>195</v>
      </c>
      <c r="P3961" t="s">
        <v>79</v>
      </c>
      <c r="U3961" s="9" t="s">
        <v>638</v>
      </c>
      <c r="V3961" t="s">
        <v>638</v>
      </c>
      <c r="W3961" t="s">
        <v>178</v>
      </c>
      <c r="X3961" t="s">
        <v>102</v>
      </c>
      <c r="Y3961" t="s">
        <v>179</v>
      </c>
      <c r="Z3961" t="s">
        <v>41</v>
      </c>
      <c r="AB3961" t="str">
        <f t="shared" si="186"/>
        <v>54397</v>
      </c>
    </row>
    <row r="3962" ht="14.25" spans="1:28">
      <c r="A3962" s="5" t="s">
        <v>28</v>
      </c>
      <c r="B3962" s="5" t="s">
        <v>697</v>
      </c>
      <c r="C3962" s="5">
        <v>2027</v>
      </c>
      <c r="D3962" s="5" t="s">
        <v>30</v>
      </c>
      <c r="E3962" t="s">
        <v>2247</v>
      </c>
      <c r="F3962" t="s">
        <v>2248</v>
      </c>
      <c r="G3962" t="s">
        <v>2243</v>
      </c>
      <c r="H3962" t="s">
        <v>2249</v>
      </c>
      <c r="I3962" t="s">
        <v>147</v>
      </c>
      <c r="J3962" t="s">
        <v>36</v>
      </c>
      <c r="K3962">
        <v>1390</v>
      </c>
      <c r="O3962" t="s">
        <v>176</v>
      </c>
      <c r="P3962" t="s">
        <v>177</v>
      </c>
      <c r="R3962">
        <f t="shared" si="184"/>
        <v>0</v>
      </c>
      <c r="S3962">
        <f>SUMIFS([1]Sheet1!$T:$T,[1]Sheet1!$I:$I,E3962,[1]Sheet1!$C:$C,A3962)</f>
        <v>30</v>
      </c>
      <c r="T3962">
        <f t="shared" si="185"/>
        <v>-30</v>
      </c>
      <c r="U3962" s="9" t="s">
        <v>136</v>
      </c>
      <c r="V3962" t="s">
        <v>656</v>
      </c>
      <c r="W3962" t="s">
        <v>178</v>
      </c>
      <c r="X3962" t="s">
        <v>86</v>
      </c>
      <c r="Y3962" t="s">
        <v>179</v>
      </c>
      <c r="Z3962" t="s">
        <v>1978</v>
      </c>
      <c r="AB3962" t="str">
        <f t="shared" si="186"/>
        <v>54400</v>
      </c>
    </row>
    <row r="3963" ht="14.25" spans="1:28">
      <c r="A3963" s="5" t="s">
        <v>28</v>
      </c>
      <c r="B3963" s="5" t="s">
        <v>697</v>
      </c>
      <c r="C3963" s="5">
        <v>2027</v>
      </c>
      <c r="D3963" s="5" t="s">
        <v>30</v>
      </c>
      <c r="E3963" t="s">
        <v>2247</v>
      </c>
      <c r="F3963" t="s">
        <v>2248</v>
      </c>
      <c r="G3963" t="s">
        <v>2243</v>
      </c>
      <c r="H3963" t="s">
        <v>2249</v>
      </c>
      <c r="I3963" t="s">
        <v>147</v>
      </c>
      <c r="J3963" t="s">
        <v>36</v>
      </c>
      <c r="K3963">
        <v>1390</v>
      </c>
      <c r="O3963" t="s">
        <v>176</v>
      </c>
      <c r="P3963" t="s">
        <v>38</v>
      </c>
      <c r="U3963" s="9" t="s">
        <v>136</v>
      </c>
      <c r="V3963" t="s">
        <v>656</v>
      </c>
      <c r="W3963" t="s">
        <v>178</v>
      </c>
      <c r="X3963" t="s">
        <v>86</v>
      </c>
      <c r="Y3963" t="s">
        <v>179</v>
      </c>
      <c r="Z3963" t="s">
        <v>1978</v>
      </c>
      <c r="AB3963" t="str">
        <f t="shared" si="186"/>
        <v>54400</v>
      </c>
    </row>
    <row r="3964" ht="14.25" spans="1:28">
      <c r="A3964" s="5" t="s">
        <v>28</v>
      </c>
      <c r="B3964" s="5" t="s">
        <v>697</v>
      </c>
      <c r="C3964" s="5">
        <v>2027</v>
      </c>
      <c r="D3964" s="5" t="s">
        <v>30</v>
      </c>
      <c r="E3964" t="s">
        <v>2247</v>
      </c>
      <c r="F3964" t="s">
        <v>2248</v>
      </c>
      <c r="G3964" t="s">
        <v>2243</v>
      </c>
      <c r="H3964" t="s">
        <v>2249</v>
      </c>
      <c r="I3964" t="s">
        <v>147</v>
      </c>
      <c r="J3964" t="s">
        <v>36</v>
      </c>
      <c r="K3964">
        <v>1390</v>
      </c>
      <c r="O3964" t="s">
        <v>176</v>
      </c>
      <c r="P3964" t="s">
        <v>42</v>
      </c>
      <c r="U3964" s="9" t="s">
        <v>136</v>
      </c>
      <c r="V3964" t="s">
        <v>656</v>
      </c>
      <c r="W3964" t="s">
        <v>178</v>
      </c>
      <c r="X3964" t="s">
        <v>86</v>
      </c>
      <c r="Y3964" t="s">
        <v>179</v>
      </c>
      <c r="Z3964" t="s">
        <v>1978</v>
      </c>
      <c r="AB3964" t="str">
        <f t="shared" si="186"/>
        <v>54400</v>
      </c>
    </row>
    <row r="3965" ht="14.25" spans="1:28">
      <c r="A3965" s="5" t="s">
        <v>28</v>
      </c>
      <c r="B3965" s="5" t="s">
        <v>697</v>
      </c>
      <c r="C3965" s="5">
        <v>2027</v>
      </c>
      <c r="D3965" s="5" t="s">
        <v>30</v>
      </c>
      <c r="E3965" t="s">
        <v>2247</v>
      </c>
      <c r="F3965" t="s">
        <v>2248</v>
      </c>
      <c r="G3965" t="s">
        <v>2243</v>
      </c>
      <c r="H3965" t="s">
        <v>2249</v>
      </c>
      <c r="I3965" t="s">
        <v>147</v>
      </c>
      <c r="J3965" t="s">
        <v>36</v>
      </c>
      <c r="K3965">
        <v>1390</v>
      </c>
      <c r="O3965" t="s">
        <v>176</v>
      </c>
      <c r="P3965" t="s">
        <v>43</v>
      </c>
      <c r="U3965" s="9" t="s">
        <v>136</v>
      </c>
      <c r="V3965" t="s">
        <v>656</v>
      </c>
      <c r="W3965" t="s">
        <v>178</v>
      </c>
      <c r="X3965" t="s">
        <v>86</v>
      </c>
      <c r="Y3965" t="s">
        <v>179</v>
      </c>
      <c r="Z3965" t="s">
        <v>1978</v>
      </c>
      <c r="AB3965" t="str">
        <f t="shared" si="186"/>
        <v>54400</v>
      </c>
    </row>
    <row r="3966" ht="14.25" spans="1:28">
      <c r="A3966" s="5" t="s">
        <v>28</v>
      </c>
      <c r="B3966" s="5" t="s">
        <v>697</v>
      </c>
      <c r="C3966" s="5">
        <v>2027</v>
      </c>
      <c r="D3966" s="5" t="s">
        <v>30</v>
      </c>
      <c r="E3966" t="s">
        <v>2247</v>
      </c>
      <c r="F3966" t="s">
        <v>2248</v>
      </c>
      <c r="G3966" t="s">
        <v>2243</v>
      </c>
      <c r="H3966" t="s">
        <v>2249</v>
      </c>
      <c r="I3966" t="s">
        <v>147</v>
      </c>
      <c r="J3966" t="s">
        <v>36</v>
      </c>
      <c r="K3966">
        <v>1390</v>
      </c>
      <c r="O3966" t="s">
        <v>176</v>
      </c>
      <c r="P3966" t="s">
        <v>44</v>
      </c>
      <c r="U3966" s="9" t="s">
        <v>136</v>
      </c>
      <c r="V3966" t="s">
        <v>656</v>
      </c>
      <c r="W3966" t="s">
        <v>178</v>
      </c>
      <c r="X3966" t="s">
        <v>86</v>
      </c>
      <c r="Y3966" t="s">
        <v>179</v>
      </c>
      <c r="Z3966" t="s">
        <v>1978</v>
      </c>
      <c r="AB3966" t="str">
        <f t="shared" si="186"/>
        <v>54400</v>
      </c>
    </row>
    <row r="3967" ht="14.25" spans="1:28">
      <c r="A3967" s="5" t="s">
        <v>28</v>
      </c>
      <c r="B3967" s="5" t="s">
        <v>697</v>
      </c>
      <c r="C3967" s="5">
        <v>2027</v>
      </c>
      <c r="D3967" s="5" t="s">
        <v>30</v>
      </c>
      <c r="E3967" t="s">
        <v>2247</v>
      </c>
      <c r="F3967" t="s">
        <v>2248</v>
      </c>
      <c r="G3967" t="s">
        <v>2243</v>
      </c>
      <c r="H3967" t="s">
        <v>2249</v>
      </c>
      <c r="I3967" t="s">
        <v>147</v>
      </c>
      <c r="J3967" t="s">
        <v>36</v>
      </c>
      <c r="K3967">
        <v>1390</v>
      </c>
      <c r="O3967" t="s">
        <v>176</v>
      </c>
      <c r="P3967" t="s">
        <v>45</v>
      </c>
      <c r="U3967" s="9" t="s">
        <v>136</v>
      </c>
      <c r="V3967" t="s">
        <v>656</v>
      </c>
      <c r="W3967" t="s">
        <v>178</v>
      </c>
      <c r="X3967" t="s">
        <v>86</v>
      </c>
      <c r="Y3967" t="s">
        <v>179</v>
      </c>
      <c r="Z3967" t="s">
        <v>1978</v>
      </c>
      <c r="AB3967" t="str">
        <f t="shared" si="186"/>
        <v>54400</v>
      </c>
    </row>
    <row r="3968" ht="14.25" spans="1:28">
      <c r="A3968" s="5" t="s">
        <v>28</v>
      </c>
      <c r="B3968" s="5" t="s">
        <v>697</v>
      </c>
      <c r="C3968" s="5">
        <v>2027</v>
      </c>
      <c r="D3968" s="5" t="s">
        <v>30</v>
      </c>
      <c r="E3968" t="s">
        <v>2250</v>
      </c>
      <c r="F3968" t="s">
        <v>2251</v>
      </c>
      <c r="G3968" t="s">
        <v>2243</v>
      </c>
      <c r="H3968" t="s">
        <v>2252</v>
      </c>
      <c r="I3968" t="s">
        <v>119</v>
      </c>
      <c r="J3968" t="s">
        <v>36</v>
      </c>
      <c r="K3968">
        <v>1990</v>
      </c>
      <c r="O3968" t="s">
        <v>195</v>
      </c>
      <c r="P3968" t="s">
        <v>74</v>
      </c>
      <c r="R3968">
        <f t="shared" si="184"/>
        <v>0</v>
      </c>
      <c r="S3968">
        <f>SUMIFS([1]Sheet1!$T:$T,[1]Sheet1!$I:$I,E3968,[1]Sheet1!$C:$C,A3968)</f>
        <v>0</v>
      </c>
      <c r="T3968">
        <f t="shared" si="185"/>
        <v>0</v>
      </c>
      <c r="U3968" s="9" t="s">
        <v>638</v>
      </c>
      <c r="V3968" t="s">
        <v>638</v>
      </c>
      <c r="W3968" t="s">
        <v>178</v>
      </c>
      <c r="X3968" t="s">
        <v>86</v>
      </c>
      <c r="Y3968" t="s">
        <v>179</v>
      </c>
      <c r="Z3968" t="s">
        <v>41</v>
      </c>
      <c r="AB3968" t="str">
        <f t="shared" si="186"/>
        <v>54434</v>
      </c>
    </row>
    <row r="3969" ht="14.25" spans="1:28">
      <c r="A3969" s="5" t="s">
        <v>28</v>
      </c>
      <c r="B3969" s="5" t="s">
        <v>697</v>
      </c>
      <c r="C3969" s="5">
        <v>2027</v>
      </c>
      <c r="D3969" s="5" t="s">
        <v>30</v>
      </c>
      <c r="E3969" t="s">
        <v>2250</v>
      </c>
      <c r="F3969" t="s">
        <v>2251</v>
      </c>
      <c r="G3969" t="s">
        <v>2243</v>
      </c>
      <c r="H3969" t="s">
        <v>2252</v>
      </c>
      <c r="I3969" t="s">
        <v>119</v>
      </c>
      <c r="J3969" t="s">
        <v>36</v>
      </c>
      <c r="K3969">
        <v>1990</v>
      </c>
      <c r="O3969" t="s">
        <v>195</v>
      </c>
      <c r="P3969" t="s">
        <v>76</v>
      </c>
      <c r="U3969" s="9" t="s">
        <v>638</v>
      </c>
      <c r="V3969" t="s">
        <v>638</v>
      </c>
      <c r="W3969" t="s">
        <v>178</v>
      </c>
      <c r="X3969" t="s">
        <v>86</v>
      </c>
      <c r="Y3969" t="s">
        <v>179</v>
      </c>
      <c r="Z3969" t="s">
        <v>41</v>
      </c>
      <c r="AB3969" t="str">
        <f t="shared" si="186"/>
        <v>54434</v>
      </c>
    </row>
    <row r="3970" ht="14.25" spans="1:28">
      <c r="A3970" s="5" t="s">
        <v>28</v>
      </c>
      <c r="B3970" s="5" t="s">
        <v>697</v>
      </c>
      <c r="C3970" s="5">
        <v>2027</v>
      </c>
      <c r="D3970" s="5" t="s">
        <v>30</v>
      </c>
      <c r="E3970" t="s">
        <v>2250</v>
      </c>
      <c r="F3970" t="s">
        <v>2251</v>
      </c>
      <c r="G3970" t="s">
        <v>2243</v>
      </c>
      <c r="H3970" t="s">
        <v>2252</v>
      </c>
      <c r="I3970" t="s">
        <v>119</v>
      </c>
      <c r="J3970" t="s">
        <v>36</v>
      </c>
      <c r="K3970">
        <v>1990</v>
      </c>
      <c r="O3970" t="s">
        <v>195</v>
      </c>
      <c r="P3970" t="s">
        <v>77</v>
      </c>
      <c r="U3970" s="9" t="s">
        <v>638</v>
      </c>
      <c r="V3970" t="s">
        <v>638</v>
      </c>
      <c r="W3970" t="s">
        <v>178</v>
      </c>
      <c r="X3970" t="s">
        <v>86</v>
      </c>
      <c r="Y3970" t="s">
        <v>179</v>
      </c>
      <c r="Z3970" t="s">
        <v>41</v>
      </c>
      <c r="AB3970" t="str">
        <f t="shared" si="186"/>
        <v>54434</v>
      </c>
    </row>
    <row r="3971" ht="14.25" spans="1:28">
      <c r="A3971" s="5" t="s">
        <v>28</v>
      </c>
      <c r="B3971" s="5" t="s">
        <v>697</v>
      </c>
      <c r="C3971" s="5">
        <v>2027</v>
      </c>
      <c r="D3971" s="5" t="s">
        <v>30</v>
      </c>
      <c r="E3971" t="s">
        <v>2250</v>
      </c>
      <c r="F3971" t="s">
        <v>2251</v>
      </c>
      <c r="G3971" t="s">
        <v>2243</v>
      </c>
      <c r="H3971" t="s">
        <v>2252</v>
      </c>
      <c r="I3971" t="s">
        <v>119</v>
      </c>
      <c r="J3971" t="s">
        <v>36</v>
      </c>
      <c r="K3971">
        <v>1990</v>
      </c>
      <c r="O3971" t="s">
        <v>195</v>
      </c>
      <c r="P3971" t="s">
        <v>78</v>
      </c>
      <c r="U3971" s="9" t="s">
        <v>638</v>
      </c>
      <c r="V3971" t="s">
        <v>638</v>
      </c>
      <c r="W3971" t="s">
        <v>178</v>
      </c>
      <c r="X3971" t="s">
        <v>86</v>
      </c>
      <c r="Y3971" t="s">
        <v>179</v>
      </c>
      <c r="Z3971" t="s">
        <v>41</v>
      </c>
      <c r="AB3971" t="str">
        <f t="shared" si="186"/>
        <v>54434</v>
      </c>
    </row>
    <row r="3972" ht="14.25" spans="1:28">
      <c r="A3972" s="5" t="s">
        <v>28</v>
      </c>
      <c r="B3972" s="5" t="s">
        <v>697</v>
      </c>
      <c r="C3972" s="5">
        <v>2027</v>
      </c>
      <c r="D3972" s="5" t="s">
        <v>30</v>
      </c>
      <c r="E3972" t="s">
        <v>2250</v>
      </c>
      <c r="F3972" t="s">
        <v>2251</v>
      </c>
      <c r="G3972" t="s">
        <v>2243</v>
      </c>
      <c r="H3972" t="s">
        <v>2252</v>
      </c>
      <c r="I3972" t="s">
        <v>119</v>
      </c>
      <c r="J3972" t="s">
        <v>36</v>
      </c>
      <c r="K3972">
        <v>1990</v>
      </c>
      <c r="O3972" t="s">
        <v>195</v>
      </c>
      <c r="P3972" t="s">
        <v>79</v>
      </c>
      <c r="U3972" s="9" t="s">
        <v>638</v>
      </c>
      <c r="V3972" t="s">
        <v>638</v>
      </c>
      <c r="W3972" t="s">
        <v>178</v>
      </c>
      <c r="X3972" t="s">
        <v>86</v>
      </c>
      <c r="Y3972" t="s">
        <v>179</v>
      </c>
      <c r="Z3972" t="s">
        <v>41</v>
      </c>
      <c r="AB3972" t="str">
        <f t="shared" si="186"/>
        <v>54434</v>
      </c>
    </row>
    <row r="3973" ht="14.25" spans="1:28">
      <c r="A3973" s="5" t="s">
        <v>28</v>
      </c>
      <c r="B3973" s="5" t="s">
        <v>697</v>
      </c>
      <c r="C3973" s="5">
        <v>2027</v>
      </c>
      <c r="D3973" s="5" t="s">
        <v>30</v>
      </c>
      <c r="E3973" t="s">
        <v>2253</v>
      </c>
      <c r="F3973" t="s">
        <v>2251</v>
      </c>
      <c r="G3973" t="s">
        <v>1867</v>
      </c>
      <c r="H3973" t="s">
        <v>2254</v>
      </c>
      <c r="I3973" t="s">
        <v>119</v>
      </c>
      <c r="J3973" t="s">
        <v>36</v>
      </c>
      <c r="K3973">
        <v>1990</v>
      </c>
      <c r="O3973" t="s">
        <v>195</v>
      </c>
      <c r="P3973" t="s">
        <v>74</v>
      </c>
      <c r="R3973">
        <f t="shared" ref="R3970:R4033" si="187">SUMIFS(Q:Q,E:E,E3973)</f>
        <v>0</v>
      </c>
      <c r="S3973">
        <f>SUMIFS([1]Sheet1!$T:$T,[1]Sheet1!$I:$I,E3973,[1]Sheet1!$C:$C,A3973)</f>
        <v>0</v>
      </c>
      <c r="T3973">
        <f t="shared" ref="T3970:T4033" si="188">R3973-S3973</f>
        <v>0</v>
      </c>
      <c r="U3973" s="9" t="s">
        <v>638</v>
      </c>
      <c r="V3973" t="s">
        <v>638</v>
      </c>
      <c r="W3973" t="s">
        <v>178</v>
      </c>
      <c r="X3973" t="s">
        <v>102</v>
      </c>
      <c r="Y3973" t="s">
        <v>179</v>
      </c>
      <c r="Z3973" t="s">
        <v>41</v>
      </c>
      <c r="AB3973" t="str">
        <f t="shared" si="186"/>
        <v>54434</v>
      </c>
    </row>
    <row r="3974" ht="14.25" spans="1:28">
      <c r="A3974" s="5" t="s">
        <v>28</v>
      </c>
      <c r="B3974" s="5" t="s">
        <v>697</v>
      </c>
      <c r="C3974" s="5">
        <v>2027</v>
      </c>
      <c r="D3974" s="5" t="s">
        <v>30</v>
      </c>
      <c r="E3974" t="s">
        <v>2253</v>
      </c>
      <c r="F3974" t="s">
        <v>2251</v>
      </c>
      <c r="G3974" t="s">
        <v>1867</v>
      </c>
      <c r="H3974" t="s">
        <v>2254</v>
      </c>
      <c r="I3974" t="s">
        <v>119</v>
      </c>
      <c r="J3974" t="s">
        <v>36</v>
      </c>
      <c r="K3974">
        <v>1990</v>
      </c>
      <c r="O3974" t="s">
        <v>195</v>
      </c>
      <c r="P3974" t="s">
        <v>76</v>
      </c>
      <c r="U3974" s="9" t="s">
        <v>638</v>
      </c>
      <c r="V3974" t="s">
        <v>638</v>
      </c>
      <c r="W3974" t="s">
        <v>178</v>
      </c>
      <c r="X3974" t="s">
        <v>102</v>
      </c>
      <c r="Y3974" t="s">
        <v>179</v>
      </c>
      <c r="Z3974" t="s">
        <v>41</v>
      </c>
      <c r="AB3974" t="str">
        <f t="shared" si="186"/>
        <v>54434</v>
      </c>
    </row>
    <row r="3975" ht="14.25" spans="1:28">
      <c r="A3975" s="5" t="s">
        <v>28</v>
      </c>
      <c r="B3975" s="5" t="s">
        <v>697</v>
      </c>
      <c r="C3975" s="5">
        <v>2027</v>
      </c>
      <c r="D3975" s="5" t="s">
        <v>30</v>
      </c>
      <c r="E3975" t="s">
        <v>2253</v>
      </c>
      <c r="F3975" t="s">
        <v>2251</v>
      </c>
      <c r="G3975" t="s">
        <v>1867</v>
      </c>
      <c r="H3975" t="s">
        <v>2254</v>
      </c>
      <c r="I3975" t="s">
        <v>119</v>
      </c>
      <c r="J3975" t="s">
        <v>36</v>
      </c>
      <c r="K3975">
        <v>1990</v>
      </c>
      <c r="O3975" t="s">
        <v>195</v>
      </c>
      <c r="P3975" t="s">
        <v>77</v>
      </c>
      <c r="U3975" s="9" t="s">
        <v>638</v>
      </c>
      <c r="V3975" t="s">
        <v>638</v>
      </c>
      <c r="W3975" t="s">
        <v>178</v>
      </c>
      <c r="X3975" t="s">
        <v>102</v>
      </c>
      <c r="Y3975" t="s">
        <v>179</v>
      </c>
      <c r="Z3975" t="s">
        <v>41</v>
      </c>
      <c r="AB3975" t="str">
        <f t="shared" si="186"/>
        <v>54434</v>
      </c>
    </row>
    <row r="3976" ht="14.25" spans="1:28">
      <c r="A3976" s="5" t="s">
        <v>28</v>
      </c>
      <c r="B3976" s="5" t="s">
        <v>697</v>
      </c>
      <c r="C3976" s="5">
        <v>2027</v>
      </c>
      <c r="D3976" s="5" t="s">
        <v>30</v>
      </c>
      <c r="E3976" t="s">
        <v>2253</v>
      </c>
      <c r="F3976" t="s">
        <v>2251</v>
      </c>
      <c r="G3976" t="s">
        <v>1867</v>
      </c>
      <c r="H3976" t="s">
        <v>2254</v>
      </c>
      <c r="I3976" t="s">
        <v>119</v>
      </c>
      <c r="J3976" t="s">
        <v>36</v>
      </c>
      <c r="K3976">
        <v>1990</v>
      </c>
      <c r="O3976" t="s">
        <v>195</v>
      </c>
      <c r="P3976" t="s">
        <v>78</v>
      </c>
      <c r="U3976" s="9" t="s">
        <v>638</v>
      </c>
      <c r="V3976" t="s">
        <v>638</v>
      </c>
      <c r="W3976" t="s">
        <v>178</v>
      </c>
      <c r="X3976" t="s">
        <v>102</v>
      </c>
      <c r="Y3976" t="s">
        <v>179</v>
      </c>
      <c r="Z3976" t="s">
        <v>41</v>
      </c>
      <c r="AB3976" t="str">
        <f t="shared" si="186"/>
        <v>54434</v>
      </c>
    </row>
    <row r="3977" ht="14.25" spans="1:28">
      <c r="A3977" s="5" t="s">
        <v>28</v>
      </c>
      <c r="B3977" s="5" t="s">
        <v>697</v>
      </c>
      <c r="C3977" s="5">
        <v>2027</v>
      </c>
      <c r="D3977" s="5" t="s">
        <v>30</v>
      </c>
      <c r="E3977" t="s">
        <v>2253</v>
      </c>
      <c r="F3977" t="s">
        <v>2251</v>
      </c>
      <c r="G3977" t="s">
        <v>1867</v>
      </c>
      <c r="H3977" t="s">
        <v>2254</v>
      </c>
      <c r="I3977" t="s">
        <v>119</v>
      </c>
      <c r="J3977" t="s">
        <v>36</v>
      </c>
      <c r="K3977">
        <v>1990</v>
      </c>
      <c r="O3977" t="s">
        <v>195</v>
      </c>
      <c r="P3977" t="s">
        <v>79</v>
      </c>
      <c r="U3977" s="9" t="s">
        <v>638</v>
      </c>
      <c r="V3977" t="s">
        <v>638</v>
      </c>
      <c r="W3977" t="s">
        <v>178</v>
      </c>
      <c r="X3977" t="s">
        <v>102</v>
      </c>
      <c r="Y3977" t="s">
        <v>179</v>
      </c>
      <c r="Z3977" t="s">
        <v>41</v>
      </c>
      <c r="AB3977" t="str">
        <f t="shared" si="186"/>
        <v>54434</v>
      </c>
    </row>
    <row r="3978" ht="14.25" spans="1:28">
      <c r="A3978" s="5" t="s">
        <v>28</v>
      </c>
      <c r="B3978" s="5" t="s">
        <v>697</v>
      </c>
      <c r="C3978" s="5">
        <v>2027</v>
      </c>
      <c r="D3978" s="5" t="s">
        <v>30</v>
      </c>
      <c r="E3978" t="s">
        <v>2255</v>
      </c>
      <c r="F3978" t="s">
        <v>2256</v>
      </c>
      <c r="G3978" t="s">
        <v>2257</v>
      </c>
      <c r="H3978" t="s">
        <v>2258</v>
      </c>
      <c r="I3978" t="s">
        <v>119</v>
      </c>
      <c r="J3978" t="s">
        <v>36</v>
      </c>
      <c r="K3978">
        <v>1590</v>
      </c>
      <c r="O3978" t="s">
        <v>176</v>
      </c>
      <c r="P3978" t="s">
        <v>177</v>
      </c>
      <c r="R3978">
        <f t="shared" si="187"/>
        <v>0</v>
      </c>
      <c r="S3978">
        <f>SUMIFS([1]Sheet1!$T:$T,[1]Sheet1!$I:$I,E3978,[1]Sheet1!$C:$C,A3978)</f>
        <v>40</v>
      </c>
      <c r="T3978">
        <f t="shared" si="188"/>
        <v>-40</v>
      </c>
      <c r="U3978" s="9" t="s">
        <v>638</v>
      </c>
      <c r="V3978" t="s">
        <v>638</v>
      </c>
      <c r="W3978" t="s">
        <v>178</v>
      </c>
      <c r="X3978" t="s">
        <v>1455</v>
      </c>
      <c r="Y3978" t="s">
        <v>179</v>
      </c>
      <c r="Z3978" t="s">
        <v>247</v>
      </c>
      <c r="AB3978" t="str">
        <f t="shared" si="186"/>
        <v>54450</v>
      </c>
    </row>
    <row r="3979" ht="14.25" spans="1:28">
      <c r="A3979" s="5" t="s">
        <v>28</v>
      </c>
      <c r="B3979" s="5" t="s">
        <v>697</v>
      </c>
      <c r="C3979" s="5">
        <v>2027</v>
      </c>
      <c r="D3979" s="5" t="s">
        <v>30</v>
      </c>
      <c r="E3979" t="s">
        <v>2255</v>
      </c>
      <c r="F3979" t="s">
        <v>2256</v>
      </c>
      <c r="G3979" t="s">
        <v>2257</v>
      </c>
      <c r="H3979" t="s">
        <v>2258</v>
      </c>
      <c r="I3979" t="s">
        <v>119</v>
      </c>
      <c r="J3979" t="s">
        <v>36</v>
      </c>
      <c r="K3979">
        <v>1590</v>
      </c>
      <c r="O3979" t="s">
        <v>176</v>
      </c>
      <c r="P3979" t="s">
        <v>38</v>
      </c>
      <c r="U3979" s="9" t="s">
        <v>638</v>
      </c>
      <c r="V3979" t="s">
        <v>638</v>
      </c>
      <c r="W3979" t="s">
        <v>178</v>
      </c>
      <c r="X3979" t="s">
        <v>1455</v>
      </c>
      <c r="Y3979" t="s">
        <v>179</v>
      </c>
      <c r="Z3979" t="s">
        <v>247</v>
      </c>
      <c r="AB3979" t="str">
        <f t="shared" si="186"/>
        <v>54450</v>
      </c>
    </row>
    <row r="3980" ht="14.25" spans="1:28">
      <c r="A3980" s="5" t="s">
        <v>28</v>
      </c>
      <c r="B3980" s="5" t="s">
        <v>697</v>
      </c>
      <c r="C3980" s="5">
        <v>2027</v>
      </c>
      <c r="D3980" s="5" t="s">
        <v>30</v>
      </c>
      <c r="E3980" t="s">
        <v>2255</v>
      </c>
      <c r="F3980" t="s">
        <v>2256</v>
      </c>
      <c r="G3980" t="s">
        <v>2257</v>
      </c>
      <c r="H3980" t="s">
        <v>2258</v>
      </c>
      <c r="I3980" t="s">
        <v>119</v>
      </c>
      <c r="J3980" t="s">
        <v>36</v>
      </c>
      <c r="K3980">
        <v>1590</v>
      </c>
      <c r="O3980" t="s">
        <v>176</v>
      </c>
      <c r="P3980" t="s">
        <v>42</v>
      </c>
      <c r="U3980" s="9" t="s">
        <v>638</v>
      </c>
      <c r="V3980" t="s">
        <v>638</v>
      </c>
      <c r="W3980" t="s">
        <v>178</v>
      </c>
      <c r="X3980" t="s">
        <v>1455</v>
      </c>
      <c r="Y3980" t="s">
        <v>179</v>
      </c>
      <c r="Z3980" t="s">
        <v>247</v>
      </c>
      <c r="AB3980" t="str">
        <f t="shared" si="186"/>
        <v>54450</v>
      </c>
    </row>
    <row r="3981" ht="14.25" spans="1:28">
      <c r="A3981" s="5" t="s">
        <v>28</v>
      </c>
      <c r="B3981" s="5" t="s">
        <v>697</v>
      </c>
      <c r="C3981" s="5">
        <v>2027</v>
      </c>
      <c r="D3981" s="5" t="s">
        <v>30</v>
      </c>
      <c r="E3981" t="s">
        <v>2255</v>
      </c>
      <c r="F3981" t="s">
        <v>2256</v>
      </c>
      <c r="G3981" t="s">
        <v>2257</v>
      </c>
      <c r="H3981" t="s">
        <v>2258</v>
      </c>
      <c r="I3981" t="s">
        <v>119</v>
      </c>
      <c r="J3981" t="s">
        <v>36</v>
      </c>
      <c r="K3981">
        <v>1590</v>
      </c>
      <c r="O3981" t="s">
        <v>176</v>
      </c>
      <c r="P3981" t="s">
        <v>43</v>
      </c>
      <c r="U3981" s="9" t="s">
        <v>638</v>
      </c>
      <c r="V3981" t="s">
        <v>638</v>
      </c>
      <c r="W3981" t="s">
        <v>178</v>
      </c>
      <c r="X3981" t="s">
        <v>1455</v>
      </c>
      <c r="Y3981" t="s">
        <v>179</v>
      </c>
      <c r="Z3981" t="s">
        <v>247</v>
      </c>
      <c r="AB3981" t="str">
        <f t="shared" si="186"/>
        <v>54450</v>
      </c>
    </row>
    <row r="3982" ht="14.25" spans="1:28">
      <c r="A3982" s="5" t="s">
        <v>28</v>
      </c>
      <c r="B3982" s="5" t="s">
        <v>697</v>
      </c>
      <c r="C3982" s="5">
        <v>2027</v>
      </c>
      <c r="D3982" s="5" t="s">
        <v>30</v>
      </c>
      <c r="E3982" t="s">
        <v>2255</v>
      </c>
      <c r="F3982" t="s">
        <v>2256</v>
      </c>
      <c r="G3982" t="s">
        <v>2257</v>
      </c>
      <c r="H3982" t="s">
        <v>2258</v>
      </c>
      <c r="I3982" t="s">
        <v>119</v>
      </c>
      <c r="J3982" t="s">
        <v>36</v>
      </c>
      <c r="K3982">
        <v>1590</v>
      </c>
      <c r="O3982" t="s">
        <v>176</v>
      </c>
      <c r="P3982" t="s">
        <v>44</v>
      </c>
      <c r="U3982" s="9" t="s">
        <v>638</v>
      </c>
      <c r="V3982" t="s">
        <v>638</v>
      </c>
      <c r="W3982" t="s">
        <v>178</v>
      </c>
      <c r="X3982" t="s">
        <v>1455</v>
      </c>
      <c r="Y3982" t="s">
        <v>179</v>
      </c>
      <c r="Z3982" t="s">
        <v>247</v>
      </c>
      <c r="AB3982" t="str">
        <f t="shared" si="186"/>
        <v>54450</v>
      </c>
    </row>
    <row r="3983" ht="14.25" spans="1:28">
      <c r="A3983" s="5" t="s">
        <v>28</v>
      </c>
      <c r="B3983" s="5" t="s">
        <v>697</v>
      </c>
      <c r="C3983" s="5">
        <v>2027</v>
      </c>
      <c r="D3983" s="5" t="s">
        <v>30</v>
      </c>
      <c r="E3983" t="s">
        <v>2255</v>
      </c>
      <c r="F3983" t="s">
        <v>2256</v>
      </c>
      <c r="G3983" t="s">
        <v>2257</v>
      </c>
      <c r="H3983" t="s">
        <v>2258</v>
      </c>
      <c r="I3983" t="s">
        <v>119</v>
      </c>
      <c r="J3983" t="s">
        <v>36</v>
      </c>
      <c r="K3983">
        <v>1590</v>
      </c>
      <c r="O3983" t="s">
        <v>176</v>
      </c>
      <c r="P3983" t="s">
        <v>45</v>
      </c>
      <c r="U3983" s="9" t="s">
        <v>638</v>
      </c>
      <c r="V3983" t="s">
        <v>638</v>
      </c>
      <c r="W3983" t="s">
        <v>178</v>
      </c>
      <c r="X3983" t="s">
        <v>1455</v>
      </c>
      <c r="Y3983" t="s">
        <v>179</v>
      </c>
      <c r="Z3983" t="s">
        <v>247</v>
      </c>
      <c r="AB3983" t="str">
        <f t="shared" si="186"/>
        <v>54450</v>
      </c>
    </row>
    <row r="3984" ht="14.25" spans="1:28">
      <c r="A3984" s="5" t="s">
        <v>28</v>
      </c>
      <c r="B3984" s="5" t="s">
        <v>697</v>
      </c>
      <c r="C3984" s="5">
        <v>2027</v>
      </c>
      <c r="D3984" s="5" t="s">
        <v>30</v>
      </c>
      <c r="E3984" t="s">
        <v>2259</v>
      </c>
      <c r="F3984" t="s">
        <v>2256</v>
      </c>
      <c r="G3984" t="s">
        <v>182</v>
      </c>
      <c r="H3984" t="s">
        <v>2260</v>
      </c>
      <c r="I3984" t="s">
        <v>119</v>
      </c>
      <c r="J3984" t="s">
        <v>36</v>
      </c>
      <c r="K3984">
        <v>1590</v>
      </c>
      <c r="O3984" t="s">
        <v>176</v>
      </c>
      <c r="P3984" t="s">
        <v>177</v>
      </c>
      <c r="R3984">
        <f t="shared" si="187"/>
        <v>0</v>
      </c>
      <c r="S3984">
        <f>SUMIFS([1]Sheet1!$T:$T,[1]Sheet1!$I:$I,E3984,[1]Sheet1!$C:$C,A3984)</f>
        <v>40</v>
      </c>
      <c r="T3984">
        <f t="shared" si="188"/>
        <v>-40</v>
      </c>
      <c r="U3984" s="9" t="s">
        <v>638</v>
      </c>
      <c r="V3984" t="s">
        <v>638</v>
      </c>
      <c r="W3984" t="s">
        <v>178</v>
      </c>
      <c r="X3984" t="s">
        <v>102</v>
      </c>
      <c r="Y3984" t="s">
        <v>179</v>
      </c>
      <c r="Z3984" t="s">
        <v>247</v>
      </c>
      <c r="AB3984" t="str">
        <f t="shared" si="186"/>
        <v>54450</v>
      </c>
    </row>
    <row r="3985" ht="14.25" spans="1:28">
      <c r="A3985" s="5" t="s">
        <v>28</v>
      </c>
      <c r="B3985" s="5" t="s">
        <v>697</v>
      </c>
      <c r="C3985" s="5">
        <v>2027</v>
      </c>
      <c r="D3985" s="5" t="s">
        <v>30</v>
      </c>
      <c r="E3985" t="s">
        <v>2259</v>
      </c>
      <c r="F3985" t="s">
        <v>2256</v>
      </c>
      <c r="G3985" t="s">
        <v>182</v>
      </c>
      <c r="H3985" t="s">
        <v>2260</v>
      </c>
      <c r="I3985" t="s">
        <v>119</v>
      </c>
      <c r="J3985" t="s">
        <v>36</v>
      </c>
      <c r="K3985">
        <v>1590</v>
      </c>
      <c r="O3985" t="s">
        <v>176</v>
      </c>
      <c r="P3985" t="s">
        <v>38</v>
      </c>
      <c r="U3985" s="9" t="s">
        <v>638</v>
      </c>
      <c r="V3985" t="s">
        <v>638</v>
      </c>
      <c r="W3985" t="s">
        <v>178</v>
      </c>
      <c r="X3985" t="s">
        <v>102</v>
      </c>
      <c r="Y3985" t="s">
        <v>179</v>
      </c>
      <c r="Z3985" t="s">
        <v>247</v>
      </c>
      <c r="AB3985" t="str">
        <f t="shared" si="186"/>
        <v>54450</v>
      </c>
    </row>
    <row r="3986" ht="14.25" spans="1:28">
      <c r="A3986" s="5" t="s">
        <v>28</v>
      </c>
      <c r="B3986" s="5" t="s">
        <v>697</v>
      </c>
      <c r="C3986" s="5">
        <v>2027</v>
      </c>
      <c r="D3986" s="5" t="s">
        <v>30</v>
      </c>
      <c r="E3986" t="s">
        <v>2259</v>
      </c>
      <c r="F3986" t="s">
        <v>2256</v>
      </c>
      <c r="G3986" t="s">
        <v>182</v>
      </c>
      <c r="H3986" t="s">
        <v>2260</v>
      </c>
      <c r="I3986" t="s">
        <v>119</v>
      </c>
      <c r="J3986" t="s">
        <v>36</v>
      </c>
      <c r="K3986">
        <v>1590</v>
      </c>
      <c r="O3986" t="s">
        <v>176</v>
      </c>
      <c r="P3986" t="s">
        <v>42</v>
      </c>
      <c r="U3986" s="9" t="s">
        <v>638</v>
      </c>
      <c r="V3986" t="s">
        <v>638</v>
      </c>
      <c r="W3986" t="s">
        <v>178</v>
      </c>
      <c r="X3986" t="s">
        <v>102</v>
      </c>
      <c r="Y3986" t="s">
        <v>179</v>
      </c>
      <c r="Z3986" t="s">
        <v>247</v>
      </c>
      <c r="AB3986" t="str">
        <f t="shared" si="186"/>
        <v>54450</v>
      </c>
    </row>
    <row r="3987" ht="14.25" spans="1:28">
      <c r="A3987" s="5" t="s">
        <v>28</v>
      </c>
      <c r="B3987" s="5" t="s">
        <v>697</v>
      </c>
      <c r="C3987" s="5">
        <v>2027</v>
      </c>
      <c r="D3987" s="5" t="s">
        <v>30</v>
      </c>
      <c r="E3987" t="s">
        <v>2259</v>
      </c>
      <c r="F3987" t="s">
        <v>2256</v>
      </c>
      <c r="G3987" t="s">
        <v>182</v>
      </c>
      <c r="H3987" t="s">
        <v>2260</v>
      </c>
      <c r="I3987" t="s">
        <v>119</v>
      </c>
      <c r="J3987" t="s">
        <v>36</v>
      </c>
      <c r="K3987">
        <v>1590</v>
      </c>
      <c r="O3987" t="s">
        <v>176</v>
      </c>
      <c r="P3987" t="s">
        <v>43</v>
      </c>
      <c r="U3987" s="9" t="s">
        <v>638</v>
      </c>
      <c r="V3987" t="s">
        <v>638</v>
      </c>
      <c r="W3987" t="s">
        <v>178</v>
      </c>
      <c r="X3987" t="s">
        <v>102</v>
      </c>
      <c r="Y3987" t="s">
        <v>179</v>
      </c>
      <c r="Z3987" t="s">
        <v>247</v>
      </c>
      <c r="AB3987" t="str">
        <f t="shared" si="186"/>
        <v>54450</v>
      </c>
    </row>
    <row r="3988" ht="14.25" spans="1:28">
      <c r="A3988" s="5" t="s">
        <v>28</v>
      </c>
      <c r="B3988" s="5" t="s">
        <v>697</v>
      </c>
      <c r="C3988" s="5">
        <v>2027</v>
      </c>
      <c r="D3988" s="5" t="s">
        <v>30</v>
      </c>
      <c r="E3988" t="s">
        <v>2259</v>
      </c>
      <c r="F3988" t="s">
        <v>2256</v>
      </c>
      <c r="G3988" t="s">
        <v>182</v>
      </c>
      <c r="H3988" t="s">
        <v>2260</v>
      </c>
      <c r="I3988" t="s">
        <v>119</v>
      </c>
      <c r="J3988" t="s">
        <v>36</v>
      </c>
      <c r="K3988">
        <v>1590</v>
      </c>
      <c r="O3988" t="s">
        <v>176</v>
      </c>
      <c r="P3988" t="s">
        <v>44</v>
      </c>
      <c r="U3988" s="9" t="s">
        <v>638</v>
      </c>
      <c r="V3988" t="s">
        <v>638</v>
      </c>
      <c r="W3988" t="s">
        <v>178</v>
      </c>
      <c r="X3988" t="s">
        <v>102</v>
      </c>
      <c r="Y3988" t="s">
        <v>179</v>
      </c>
      <c r="Z3988" t="s">
        <v>247</v>
      </c>
      <c r="AB3988" t="str">
        <f t="shared" si="186"/>
        <v>54450</v>
      </c>
    </row>
    <row r="3989" ht="14.25" spans="1:28">
      <c r="A3989" s="5" t="s">
        <v>28</v>
      </c>
      <c r="B3989" s="5" t="s">
        <v>697</v>
      </c>
      <c r="C3989" s="5">
        <v>2027</v>
      </c>
      <c r="D3989" s="5" t="s">
        <v>30</v>
      </c>
      <c r="E3989" t="s">
        <v>2259</v>
      </c>
      <c r="F3989" t="s">
        <v>2256</v>
      </c>
      <c r="G3989" t="s">
        <v>182</v>
      </c>
      <c r="H3989" t="s">
        <v>2260</v>
      </c>
      <c r="I3989" t="s">
        <v>119</v>
      </c>
      <c r="J3989" t="s">
        <v>36</v>
      </c>
      <c r="K3989">
        <v>1590</v>
      </c>
      <c r="O3989" t="s">
        <v>176</v>
      </c>
      <c r="P3989" t="s">
        <v>45</v>
      </c>
      <c r="U3989" s="9" t="s">
        <v>638</v>
      </c>
      <c r="V3989" t="s">
        <v>638</v>
      </c>
      <c r="W3989" t="s">
        <v>178</v>
      </c>
      <c r="X3989" t="s">
        <v>102</v>
      </c>
      <c r="Y3989" t="s">
        <v>179</v>
      </c>
      <c r="Z3989" t="s">
        <v>247</v>
      </c>
      <c r="AB3989" t="str">
        <f t="shared" si="186"/>
        <v>54450</v>
      </c>
    </row>
    <row r="3990" ht="14.25" spans="1:28">
      <c r="A3990" s="5" t="s">
        <v>28</v>
      </c>
      <c r="B3990" s="5" t="s">
        <v>697</v>
      </c>
      <c r="C3990" s="5">
        <v>2027</v>
      </c>
      <c r="D3990" s="5" t="s">
        <v>30</v>
      </c>
      <c r="E3990" t="s">
        <v>2261</v>
      </c>
      <c r="F3990" t="s">
        <v>2262</v>
      </c>
      <c r="G3990" t="s">
        <v>65</v>
      </c>
      <c r="H3990" t="s">
        <v>2263</v>
      </c>
      <c r="I3990" t="s">
        <v>147</v>
      </c>
      <c r="J3990" t="s">
        <v>36</v>
      </c>
      <c r="K3990">
        <v>1590</v>
      </c>
      <c r="O3990" t="s">
        <v>195</v>
      </c>
      <c r="P3990" t="s">
        <v>74</v>
      </c>
      <c r="R3990">
        <f t="shared" si="187"/>
        <v>0</v>
      </c>
      <c r="S3990">
        <f>SUMIFS([1]Sheet1!$T:$T,[1]Sheet1!$I:$I,E3990,[1]Sheet1!$C:$C,A3990)</f>
        <v>60</v>
      </c>
      <c r="T3990">
        <f t="shared" si="188"/>
        <v>-60</v>
      </c>
      <c r="U3990" s="9" t="s">
        <v>136</v>
      </c>
      <c r="V3990" t="s">
        <v>137</v>
      </c>
      <c r="W3990" t="s">
        <v>178</v>
      </c>
      <c r="X3990" t="s">
        <v>70</v>
      </c>
      <c r="Y3990" t="s">
        <v>179</v>
      </c>
      <c r="Z3990" t="s">
        <v>196</v>
      </c>
      <c r="AB3990" t="str">
        <f t="shared" si="186"/>
        <v>54456</v>
      </c>
    </row>
    <row r="3991" ht="14.25" spans="1:28">
      <c r="A3991" s="5" t="s">
        <v>28</v>
      </c>
      <c r="B3991" s="5" t="s">
        <v>697</v>
      </c>
      <c r="C3991" s="5">
        <v>2027</v>
      </c>
      <c r="D3991" s="5" t="s">
        <v>30</v>
      </c>
      <c r="E3991" t="s">
        <v>2261</v>
      </c>
      <c r="F3991" t="s">
        <v>2262</v>
      </c>
      <c r="G3991" t="s">
        <v>65</v>
      </c>
      <c r="H3991" t="s">
        <v>2263</v>
      </c>
      <c r="I3991" t="s">
        <v>147</v>
      </c>
      <c r="J3991" t="s">
        <v>36</v>
      </c>
      <c r="K3991">
        <v>1590</v>
      </c>
      <c r="O3991" t="s">
        <v>195</v>
      </c>
      <c r="P3991" t="s">
        <v>76</v>
      </c>
      <c r="U3991" s="9" t="s">
        <v>136</v>
      </c>
      <c r="V3991" t="s">
        <v>137</v>
      </c>
      <c r="W3991" t="s">
        <v>178</v>
      </c>
      <c r="X3991" t="s">
        <v>70</v>
      </c>
      <c r="Y3991" t="s">
        <v>179</v>
      </c>
      <c r="Z3991" t="s">
        <v>196</v>
      </c>
      <c r="AB3991" t="str">
        <f t="shared" si="186"/>
        <v>54456</v>
      </c>
    </row>
    <row r="3992" ht="14.25" spans="1:28">
      <c r="A3992" s="5" t="s">
        <v>28</v>
      </c>
      <c r="B3992" s="5" t="s">
        <v>697</v>
      </c>
      <c r="C3992" s="5">
        <v>2027</v>
      </c>
      <c r="D3992" s="5" t="s">
        <v>30</v>
      </c>
      <c r="E3992" t="s">
        <v>2261</v>
      </c>
      <c r="F3992" t="s">
        <v>2262</v>
      </c>
      <c r="G3992" t="s">
        <v>65</v>
      </c>
      <c r="H3992" t="s">
        <v>2263</v>
      </c>
      <c r="I3992" t="s">
        <v>147</v>
      </c>
      <c r="J3992" t="s">
        <v>36</v>
      </c>
      <c r="K3992">
        <v>1590</v>
      </c>
      <c r="O3992" t="s">
        <v>195</v>
      </c>
      <c r="P3992" t="s">
        <v>77</v>
      </c>
      <c r="U3992" s="9" t="s">
        <v>136</v>
      </c>
      <c r="V3992" t="s">
        <v>137</v>
      </c>
      <c r="W3992" t="s">
        <v>178</v>
      </c>
      <c r="X3992" t="s">
        <v>70</v>
      </c>
      <c r="Y3992" t="s">
        <v>179</v>
      </c>
      <c r="Z3992" t="s">
        <v>196</v>
      </c>
      <c r="AB3992" t="str">
        <f t="shared" si="186"/>
        <v>54456</v>
      </c>
    </row>
    <row r="3993" ht="14.25" spans="1:28">
      <c r="A3993" s="5" t="s">
        <v>28</v>
      </c>
      <c r="B3993" s="5" t="s">
        <v>697</v>
      </c>
      <c r="C3993" s="5">
        <v>2027</v>
      </c>
      <c r="D3993" s="5" t="s">
        <v>30</v>
      </c>
      <c r="E3993" t="s">
        <v>2261</v>
      </c>
      <c r="F3993" t="s">
        <v>2262</v>
      </c>
      <c r="G3993" t="s">
        <v>65</v>
      </c>
      <c r="H3993" t="s">
        <v>2263</v>
      </c>
      <c r="I3993" t="s">
        <v>147</v>
      </c>
      <c r="J3993" t="s">
        <v>36</v>
      </c>
      <c r="K3993">
        <v>1590</v>
      </c>
      <c r="O3993" t="s">
        <v>195</v>
      </c>
      <c r="P3993" t="s">
        <v>78</v>
      </c>
      <c r="U3993" s="9" t="s">
        <v>136</v>
      </c>
      <c r="V3993" t="s">
        <v>137</v>
      </c>
      <c r="W3993" t="s">
        <v>178</v>
      </c>
      <c r="X3993" t="s">
        <v>70</v>
      </c>
      <c r="Y3993" t="s">
        <v>179</v>
      </c>
      <c r="Z3993" t="s">
        <v>196</v>
      </c>
      <c r="AB3993" t="str">
        <f t="shared" si="186"/>
        <v>54456</v>
      </c>
    </row>
    <row r="3994" ht="14.25" spans="1:28">
      <c r="A3994" s="5" t="s">
        <v>28</v>
      </c>
      <c r="B3994" s="5" t="s">
        <v>697</v>
      </c>
      <c r="C3994" s="5">
        <v>2027</v>
      </c>
      <c r="D3994" s="5" t="s">
        <v>30</v>
      </c>
      <c r="E3994" t="s">
        <v>2261</v>
      </c>
      <c r="F3994" t="s">
        <v>2262</v>
      </c>
      <c r="G3994" t="s">
        <v>65</v>
      </c>
      <c r="H3994" t="s">
        <v>2263</v>
      </c>
      <c r="I3994" t="s">
        <v>147</v>
      </c>
      <c r="J3994" t="s">
        <v>36</v>
      </c>
      <c r="K3994">
        <v>1590</v>
      </c>
      <c r="O3994" t="s">
        <v>195</v>
      </c>
      <c r="P3994" t="s">
        <v>79</v>
      </c>
      <c r="U3994" s="9" t="s">
        <v>136</v>
      </c>
      <c r="V3994" t="s">
        <v>137</v>
      </c>
      <c r="W3994" t="s">
        <v>178</v>
      </c>
      <c r="X3994" t="s">
        <v>70</v>
      </c>
      <c r="Y3994" t="s">
        <v>179</v>
      </c>
      <c r="Z3994" t="s">
        <v>196</v>
      </c>
      <c r="AB3994" t="str">
        <f t="shared" si="186"/>
        <v>54456</v>
      </c>
    </row>
    <row r="3995" ht="14.25" spans="1:28">
      <c r="A3995" s="5" t="s">
        <v>28</v>
      </c>
      <c r="B3995" s="5" t="s">
        <v>697</v>
      </c>
      <c r="C3995" s="5">
        <v>2027</v>
      </c>
      <c r="D3995" s="5" t="s">
        <v>30</v>
      </c>
      <c r="E3995" t="s">
        <v>2264</v>
      </c>
      <c r="F3995" t="s">
        <v>2262</v>
      </c>
      <c r="G3995" t="s">
        <v>182</v>
      </c>
      <c r="H3995" t="s">
        <v>2265</v>
      </c>
      <c r="I3995" t="s">
        <v>147</v>
      </c>
      <c r="J3995" t="s">
        <v>36</v>
      </c>
      <c r="K3995">
        <v>1590</v>
      </c>
      <c r="O3995" t="s">
        <v>195</v>
      </c>
      <c r="P3995" t="s">
        <v>74</v>
      </c>
      <c r="R3995">
        <f t="shared" si="187"/>
        <v>0</v>
      </c>
      <c r="S3995">
        <f>SUMIFS([1]Sheet1!$T:$T,[1]Sheet1!$I:$I,E3995,[1]Sheet1!$C:$C,A3995)</f>
        <v>80</v>
      </c>
      <c r="T3995">
        <f t="shared" si="188"/>
        <v>-80</v>
      </c>
      <c r="U3995" s="9" t="s">
        <v>136</v>
      </c>
      <c r="V3995" t="s">
        <v>137</v>
      </c>
      <c r="W3995" t="s">
        <v>178</v>
      </c>
      <c r="X3995" t="s">
        <v>102</v>
      </c>
      <c r="Y3995" t="s">
        <v>179</v>
      </c>
      <c r="Z3995" t="s">
        <v>196</v>
      </c>
      <c r="AB3995" t="str">
        <f t="shared" si="186"/>
        <v>54456</v>
      </c>
    </row>
    <row r="3996" ht="14.25" spans="1:28">
      <c r="A3996" s="5" t="s">
        <v>28</v>
      </c>
      <c r="B3996" s="5" t="s">
        <v>697</v>
      </c>
      <c r="C3996" s="5">
        <v>2027</v>
      </c>
      <c r="D3996" s="5" t="s">
        <v>30</v>
      </c>
      <c r="E3996" t="s">
        <v>2264</v>
      </c>
      <c r="F3996" t="s">
        <v>2262</v>
      </c>
      <c r="G3996" t="s">
        <v>182</v>
      </c>
      <c r="H3996" t="s">
        <v>2265</v>
      </c>
      <c r="I3996" t="s">
        <v>147</v>
      </c>
      <c r="J3996" t="s">
        <v>36</v>
      </c>
      <c r="K3996">
        <v>1590</v>
      </c>
      <c r="O3996" t="s">
        <v>195</v>
      </c>
      <c r="P3996" t="s">
        <v>76</v>
      </c>
      <c r="U3996" s="9" t="s">
        <v>136</v>
      </c>
      <c r="V3996" t="s">
        <v>137</v>
      </c>
      <c r="W3996" t="s">
        <v>178</v>
      </c>
      <c r="X3996" t="s">
        <v>102</v>
      </c>
      <c r="Y3996" t="s">
        <v>179</v>
      </c>
      <c r="Z3996" t="s">
        <v>196</v>
      </c>
      <c r="AB3996" t="str">
        <f t="shared" si="186"/>
        <v>54456</v>
      </c>
    </row>
    <row r="3997" ht="14.25" spans="1:28">
      <c r="A3997" s="5" t="s">
        <v>28</v>
      </c>
      <c r="B3997" s="5" t="s">
        <v>697</v>
      </c>
      <c r="C3997" s="5">
        <v>2027</v>
      </c>
      <c r="D3997" s="5" t="s">
        <v>30</v>
      </c>
      <c r="E3997" t="s">
        <v>2264</v>
      </c>
      <c r="F3997" t="s">
        <v>2262</v>
      </c>
      <c r="G3997" t="s">
        <v>182</v>
      </c>
      <c r="H3997" t="s">
        <v>2265</v>
      </c>
      <c r="I3997" t="s">
        <v>147</v>
      </c>
      <c r="J3997" t="s">
        <v>36</v>
      </c>
      <c r="K3997">
        <v>1590</v>
      </c>
      <c r="O3997" t="s">
        <v>195</v>
      </c>
      <c r="P3997" t="s">
        <v>77</v>
      </c>
      <c r="U3997" s="9" t="s">
        <v>136</v>
      </c>
      <c r="V3997" t="s">
        <v>137</v>
      </c>
      <c r="W3997" t="s">
        <v>178</v>
      </c>
      <c r="X3997" t="s">
        <v>102</v>
      </c>
      <c r="Y3997" t="s">
        <v>179</v>
      </c>
      <c r="Z3997" t="s">
        <v>196</v>
      </c>
      <c r="AB3997" t="str">
        <f t="shared" si="186"/>
        <v>54456</v>
      </c>
    </row>
    <row r="3998" ht="14.25" spans="1:28">
      <c r="A3998" s="5" t="s">
        <v>28</v>
      </c>
      <c r="B3998" s="5" t="s">
        <v>697</v>
      </c>
      <c r="C3998" s="5">
        <v>2027</v>
      </c>
      <c r="D3998" s="5" t="s">
        <v>30</v>
      </c>
      <c r="E3998" t="s">
        <v>2264</v>
      </c>
      <c r="F3998" t="s">
        <v>2262</v>
      </c>
      <c r="G3998" t="s">
        <v>182</v>
      </c>
      <c r="H3998" t="s">
        <v>2265</v>
      </c>
      <c r="I3998" t="s">
        <v>147</v>
      </c>
      <c r="J3998" t="s">
        <v>36</v>
      </c>
      <c r="K3998">
        <v>1590</v>
      </c>
      <c r="O3998" t="s">
        <v>195</v>
      </c>
      <c r="P3998" t="s">
        <v>78</v>
      </c>
      <c r="U3998" s="9" t="s">
        <v>136</v>
      </c>
      <c r="V3998" t="s">
        <v>137</v>
      </c>
      <c r="W3998" t="s">
        <v>178</v>
      </c>
      <c r="X3998" t="s">
        <v>102</v>
      </c>
      <c r="Y3998" t="s">
        <v>179</v>
      </c>
      <c r="Z3998" t="s">
        <v>196</v>
      </c>
      <c r="AB3998" t="str">
        <f t="shared" si="186"/>
        <v>54456</v>
      </c>
    </row>
    <row r="3999" ht="14.25" spans="1:28">
      <c r="A3999" s="5" t="s">
        <v>28</v>
      </c>
      <c r="B3999" s="5" t="s">
        <v>697</v>
      </c>
      <c r="C3999" s="5">
        <v>2027</v>
      </c>
      <c r="D3999" s="5" t="s">
        <v>30</v>
      </c>
      <c r="E3999" t="s">
        <v>2264</v>
      </c>
      <c r="F3999" t="s">
        <v>2262</v>
      </c>
      <c r="G3999" t="s">
        <v>182</v>
      </c>
      <c r="H3999" t="s">
        <v>2265</v>
      </c>
      <c r="I3999" t="s">
        <v>147</v>
      </c>
      <c r="J3999" t="s">
        <v>36</v>
      </c>
      <c r="K3999">
        <v>1590</v>
      </c>
      <c r="O3999" t="s">
        <v>195</v>
      </c>
      <c r="P3999" t="s">
        <v>79</v>
      </c>
      <c r="U3999" s="9" t="s">
        <v>136</v>
      </c>
      <c r="V3999" t="s">
        <v>137</v>
      </c>
      <c r="W3999" t="s">
        <v>178</v>
      </c>
      <c r="X3999" t="s">
        <v>102</v>
      </c>
      <c r="Y3999" t="s">
        <v>179</v>
      </c>
      <c r="Z3999" t="s">
        <v>196</v>
      </c>
      <c r="AB3999" t="str">
        <f t="shared" si="186"/>
        <v>54456</v>
      </c>
    </row>
    <row r="4000" ht="14.25" spans="1:28">
      <c r="A4000" s="5" t="s">
        <v>28</v>
      </c>
      <c r="B4000" s="5" t="s">
        <v>697</v>
      </c>
      <c r="C4000" s="5">
        <v>2027</v>
      </c>
      <c r="D4000" s="5" t="s">
        <v>30</v>
      </c>
      <c r="E4000" t="s">
        <v>2266</v>
      </c>
      <c r="F4000" t="s">
        <v>2267</v>
      </c>
      <c r="G4000" t="s">
        <v>65</v>
      </c>
      <c r="H4000" t="s">
        <v>2268</v>
      </c>
      <c r="I4000" t="s">
        <v>119</v>
      </c>
      <c r="J4000" t="s">
        <v>36</v>
      </c>
      <c r="K4000">
        <v>1390</v>
      </c>
      <c r="O4000" t="s">
        <v>195</v>
      </c>
      <c r="P4000" t="s">
        <v>74</v>
      </c>
      <c r="R4000">
        <f t="shared" si="187"/>
        <v>0</v>
      </c>
      <c r="S4000">
        <f>SUMIFS([1]Sheet1!$T:$T,[1]Sheet1!$I:$I,E4000,[1]Sheet1!$C:$C,A4000)</f>
        <v>0</v>
      </c>
      <c r="T4000">
        <f t="shared" si="188"/>
        <v>0</v>
      </c>
      <c r="U4000" s="9" t="s">
        <v>136</v>
      </c>
      <c r="V4000" t="s">
        <v>656</v>
      </c>
      <c r="W4000" t="s">
        <v>178</v>
      </c>
      <c r="X4000" t="s">
        <v>70</v>
      </c>
      <c r="Y4000" t="s">
        <v>179</v>
      </c>
      <c r="Z4000" t="s">
        <v>1978</v>
      </c>
      <c r="AB4000" t="str">
        <f t="shared" si="186"/>
        <v>54459</v>
      </c>
    </row>
    <row r="4001" ht="14.25" spans="1:28">
      <c r="A4001" s="5" t="s">
        <v>28</v>
      </c>
      <c r="B4001" s="5" t="s">
        <v>697</v>
      </c>
      <c r="C4001" s="5">
        <v>2027</v>
      </c>
      <c r="D4001" s="5" t="s">
        <v>30</v>
      </c>
      <c r="E4001" t="s">
        <v>2266</v>
      </c>
      <c r="F4001" t="s">
        <v>2267</v>
      </c>
      <c r="G4001" t="s">
        <v>65</v>
      </c>
      <c r="H4001" t="s">
        <v>2268</v>
      </c>
      <c r="I4001" t="s">
        <v>119</v>
      </c>
      <c r="J4001" t="s">
        <v>36</v>
      </c>
      <c r="K4001">
        <v>1390</v>
      </c>
      <c r="O4001" t="s">
        <v>195</v>
      </c>
      <c r="P4001" t="s">
        <v>76</v>
      </c>
      <c r="U4001" s="9" t="s">
        <v>136</v>
      </c>
      <c r="V4001" t="s">
        <v>656</v>
      </c>
      <c r="W4001" t="s">
        <v>178</v>
      </c>
      <c r="X4001" t="s">
        <v>70</v>
      </c>
      <c r="Y4001" t="s">
        <v>179</v>
      </c>
      <c r="Z4001" t="s">
        <v>1978</v>
      </c>
      <c r="AB4001" t="str">
        <f t="shared" si="186"/>
        <v>54459</v>
      </c>
    </row>
    <row r="4002" ht="14.25" spans="1:28">
      <c r="A4002" s="5" t="s">
        <v>28</v>
      </c>
      <c r="B4002" s="5" t="s">
        <v>697</v>
      </c>
      <c r="C4002" s="5">
        <v>2027</v>
      </c>
      <c r="D4002" s="5" t="s">
        <v>30</v>
      </c>
      <c r="E4002" t="s">
        <v>2266</v>
      </c>
      <c r="F4002" t="s">
        <v>2267</v>
      </c>
      <c r="G4002" t="s">
        <v>65</v>
      </c>
      <c r="H4002" t="s">
        <v>2268</v>
      </c>
      <c r="I4002" t="s">
        <v>119</v>
      </c>
      <c r="J4002" t="s">
        <v>36</v>
      </c>
      <c r="K4002">
        <v>1390</v>
      </c>
      <c r="O4002" t="s">
        <v>195</v>
      </c>
      <c r="P4002" t="s">
        <v>77</v>
      </c>
      <c r="U4002" s="9" t="s">
        <v>136</v>
      </c>
      <c r="V4002" t="s">
        <v>656</v>
      </c>
      <c r="W4002" t="s">
        <v>178</v>
      </c>
      <c r="X4002" t="s">
        <v>70</v>
      </c>
      <c r="Y4002" t="s">
        <v>179</v>
      </c>
      <c r="Z4002" t="s">
        <v>1978</v>
      </c>
      <c r="AB4002" t="str">
        <f t="shared" si="186"/>
        <v>54459</v>
      </c>
    </row>
    <row r="4003" ht="14.25" spans="1:28">
      <c r="A4003" s="5" t="s">
        <v>28</v>
      </c>
      <c r="B4003" s="5" t="s">
        <v>697</v>
      </c>
      <c r="C4003" s="5">
        <v>2027</v>
      </c>
      <c r="D4003" s="5" t="s">
        <v>30</v>
      </c>
      <c r="E4003" t="s">
        <v>2266</v>
      </c>
      <c r="F4003" t="s">
        <v>2267</v>
      </c>
      <c r="G4003" t="s">
        <v>65</v>
      </c>
      <c r="H4003" t="s">
        <v>2268</v>
      </c>
      <c r="I4003" t="s">
        <v>119</v>
      </c>
      <c r="J4003" t="s">
        <v>36</v>
      </c>
      <c r="K4003">
        <v>1390</v>
      </c>
      <c r="O4003" t="s">
        <v>195</v>
      </c>
      <c r="P4003" t="s">
        <v>78</v>
      </c>
      <c r="U4003" s="9" t="s">
        <v>136</v>
      </c>
      <c r="V4003" t="s">
        <v>656</v>
      </c>
      <c r="W4003" t="s">
        <v>178</v>
      </c>
      <c r="X4003" t="s">
        <v>70</v>
      </c>
      <c r="Y4003" t="s">
        <v>179</v>
      </c>
      <c r="Z4003" t="s">
        <v>1978</v>
      </c>
      <c r="AB4003" t="str">
        <f t="shared" si="186"/>
        <v>54459</v>
      </c>
    </row>
    <row r="4004" ht="14.25" spans="1:28">
      <c r="A4004" s="5" t="s">
        <v>28</v>
      </c>
      <c r="B4004" s="5" t="s">
        <v>697</v>
      </c>
      <c r="C4004" s="5">
        <v>2027</v>
      </c>
      <c r="D4004" s="5" t="s">
        <v>30</v>
      </c>
      <c r="E4004" t="s">
        <v>2266</v>
      </c>
      <c r="F4004" t="s">
        <v>2267</v>
      </c>
      <c r="G4004" t="s">
        <v>65</v>
      </c>
      <c r="H4004" t="s">
        <v>2268</v>
      </c>
      <c r="I4004" t="s">
        <v>119</v>
      </c>
      <c r="J4004" t="s">
        <v>36</v>
      </c>
      <c r="K4004">
        <v>1390</v>
      </c>
      <c r="O4004" t="s">
        <v>195</v>
      </c>
      <c r="P4004" t="s">
        <v>79</v>
      </c>
      <c r="U4004" s="9" t="s">
        <v>136</v>
      </c>
      <c r="V4004" t="s">
        <v>656</v>
      </c>
      <c r="W4004" t="s">
        <v>178</v>
      </c>
      <c r="X4004" t="s">
        <v>70</v>
      </c>
      <c r="Y4004" t="s">
        <v>179</v>
      </c>
      <c r="Z4004" t="s">
        <v>1978</v>
      </c>
      <c r="AB4004" t="str">
        <f t="shared" si="186"/>
        <v>54459</v>
      </c>
    </row>
    <row r="4005" ht="14.25" spans="1:28">
      <c r="A4005" s="5" t="s">
        <v>28</v>
      </c>
      <c r="B4005" s="5" t="s">
        <v>697</v>
      </c>
      <c r="C4005" s="5">
        <v>2027</v>
      </c>
      <c r="D4005" s="5" t="s">
        <v>30</v>
      </c>
      <c r="E4005" t="s">
        <v>2269</v>
      </c>
      <c r="F4005" t="s">
        <v>2267</v>
      </c>
      <c r="G4005" t="s">
        <v>182</v>
      </c>
      <c r="H4005" t="s">
        <v>2270</v>
      </c>
      <c r="I4005" t="s">
        <v>119</v>
      </c>
      <c r="J4005" t="s">
        <v>36</v>
      </c>
      <c r="K4005">
        <v>1390</v>
      </c>
      <c r="O4005" t="s">
        <v>195</v>
      </c>
      <c r="P4005" t="s">
        <v>74</v>
      </c>
      <c r="R4005">
        <f t="shared" si="187"/>
        <v>0</v>
      </c>
      <c r="S4005">
        <f>SUMIFS([1]Sheet1!$T:$T,[1]Sheet1!$I:$I,E4005,[1]Sheet1!$C:$C,A4005)</f>
        <v>0</v>
      </c>
      <c r="T4005">
        <f t="shared" si="188"/>
        <v>0</v>
      </c>
      <c r="U4005" s="9" t="s">
        <v>136</v>
      </c>
      <c r="V4005" t="s">
        <v>656</v>
      </c>
      <c r="W4005" t="s">
        <v>178</v>
      </c>
      <c r="X4005" t="s">
        <v>102</v>
      </c>
      <c r="Y4005" t="s">
        <v>179</v>
      </c>
      <c r="Z4005" t="s">
        <v>1978</v>
      </c>
      <c r="AB4005" t="str">
        <f t="shared" si="186"/>
        <v>54459</v>
      </c>
    </row>
    <row r="4006" ht="14.25" spans="1:28">
      <c r="A4006" s="5" t="s">
        <v>28</v>
      </c>
      <c r="B4006" s="5" t="s">
        <v>697</v>
      </c>
      <c r="C4006" s="5">
        <v>2027</v>
      </c>
      <c r="D4006" s="5" t="s">
        <v>30</v>
      </c>
      <c r="E4006" t="s">
        <v>2269</v>
      </c>
      <c r="F4006" t="s">
        <v>2267</v>
      </c>
      <c r="G4006" t="s">
        <v>182</v>
      </c>
      <c r="H4006" t="s">
        <v>2270</v>
      </c>
      <c r="I4006" t="s">
        <v>119</v>
      </c>
      <c r="J4006" t="s">
        <v>36</v>
      </c>
      <c r="K4006">
        <v>1390</v>
      </c>
      <c r="O4006" t="s">
        <v>195</v>
      </c>
      <c r="P4006" t="s">
        <v>76</v>
      </c>
      <c r="U4006" s="9" t="s">
        <v>136</v>
      </c>
      <c r="V4006" t="s">
        <v>656</v>
      </c>
      <c r="W4006" t="s">
        <v>178</v>
      </c>
      <c r="X4006" t="s">
        <v>102</v>
      </c>
      <c r="Y4006" t="s">
        <v>179</v>
      </c>
      <c r="Z4006" t="s">
        <v>1978</v>
      </c>
      <c r="AB4006" t="str">
        <f t="shared" si="186"/>
        <v>54459</v>
      </c>
    </row>
    <row r="4007" ht="14.25" spans="1:28">
      <c r="A4007" s="5" t="s">
        <v>28</v>
      </c>
      <c r="B4007" s="5" t="s">
        <v>697</v>
      </c>
      <c r="C4007" s="5">
        <v>2027</v>
      </c>
      <c r="D4007" s="5" t="s">
        <v>30</v>
      </c>
      <c r="E4007" t="s">
        <v>2269</v>
      </c>
      <c r="F4007" t="s">
        <v>2267</v>
      </c>
      <c r="G4007" t="s">
        <v>182</v>
      </c>
      <c r="H4007" t="s">
        <v>2270</v>
      </c>
      <c r="I4007" t="s">
        <v>119</v>
      </c>
      <c r="J4007" t="s">
        <v>36</v>
      </c>
      <c r="K4007">
        <v>1390</v>
      </c>
      <c r="O4007" t="s">
        <v>195</v>
      </c>
      <c r="P4007" t="s">
        <v>77</v>
      </c>
      <c r="U4007" s="9" t="s">
        <v>136</v>
      </c>
      <c r="V4007" t="s">
        <v>656</v>
      </c>
      <c r="W4007" t="s">
        <v>178</v>
      </c>
      <c r="X4007" t="s">
        <v>102</v>
      </c>
      <c r="Y4007" t="s">
        <v>179</v>
      </c>
      <c r="Z4007" t="s">
        <v>1978</v>
      </c>
      <c r="AB4007" t="str">
        <f t="shared" si="186"/>
        <v>54459</v>
      </c>
    </row>
    <row r="4008" ht="14.25" spans="1:28">
      <c r="A4008" s="5" t="s">
        <v>28</v>
      </c>
      <c r="B4008" s="5" t="s">
        <v>697</v>
      </c>
      <c r="C4008" s="5">
        <v>2027</v>
      </c>
      <c r="D4008" s="5" t="s">
        <v>30</v>
      </c>
      <c r="E4008" t="s">
        <v>2269</v>
      </c>
      <c r="F4008" t="s">
        <v>2267</v>
      </c>
      <c r="G4008" t="s">
        <v>182</v>
      </c>
      <c r="H4008" t="s">
        <v>2270</v>
      </c>
      <c r="I4008" t="s">
        <v>119</v>
      </c>
      <c r="J4008" t="s">
        <v>36</v>
      </c>
      <c r="K4008">
        <v>1390</v>
      </c>
      <c r="O4008" t="s">
        <v>195</v>
      </c>
      <c r="P4008" t="s">
        <v>78</v>
      </c>
      <c r="U4008" s="9" t="s">
        <v>136</v>
      </c>
      <c r="V4008" t="s">
        <v>656</v>
      </c>
      <c r="W4008" t="s">
        <v>178</v>
      </c>
      <c r="X4008" t="s">
        <v>102</v>
      </c>
      <c r="Y4008" t="s">
        <v>179</v>
      </c>
      <c r="Z4008" t="s">
        <v>1978</v>
      </c>
      <c r="AB4008" t="str">
        <f t="shared" si="186"/>
        <v>54459</v>
      </c>
    </row>
    <row r="4009" ht="14.25" spans="1:28">
      <c r="A4009" s="5" t="s">
        <v>28</v>
      </c>
      <c r="B4009" s="5" t="s">
        <v>697</v>
      </c>
      <c r="C4009" s="5">
        <v>2027</v>
      </c>
      <c r="D4009" s="5" t="s">
        <v>30</v>
      </c>
      <c r="E4009" t="s">
        <v>2269</v>
      </c>
      <c r="F4009" t="s">
        <v>2267</v>
      </c>
      <c r="G4009" t="s">
        <v>182</v>
      </c>
      <c r="H4009" t="s">
        <v>2270</v>
      </c>
      <c r="I4009" t="s">
        <v>119</v>
      </c>
      <c r="J4009" t="s">
        <v>36</v>
      </c>
      <c r="K4009">
        <v>1390</v>
      </c>
      <c r="O4009" t="s">
        <v>195</v>
      </c>
      <c r="P4009" t="s">
        <v>79</v>
      </c>
      <c r="U4009" s="9" t="s">
        <v>136</v>
      </c>
      <c r="V4009" t="s">
        <v>656</v>
      </c>
      <c r="W4009" t="s">
        <v>178</v>
      </c>
      <c r="X4009" t="s">
        <v>102</v>
      </c>
      <c r="Y4009" t="s">
        <v>179</v>
      </c>
      <c r="Z4009" t="s">
        <v>1978</v>
      </c>
      <c r="AB4009" t="str">
        <f t="shared" si="186"/>
        <v>54459</v>
      </c>
    </row>
    <row r="4010" ht="14.25" spans="1:28">
      <c r="A4010" s="5" t="s">
        <v>28</v>
      </c>
      <c r="B4010" s="5" t="s">
        <v>697</v>
      </c>
      <c r="C4010" s="5">
        <v>2027</v>
      </c>
      <c r="D4010" s="5" t="s">
        <v>30</v>
      </c>
      <c r="E4010" t="s">
        <v>2271</v>
      </c>
      <c r="F4010" t="s">
        <v>2272</v>
      </c>
      <c r="G4010" t="s">
        <v>254</v>
      </c>
      <c r="H4010" t="s">
        <v>2273</v>
      </c>
      <c r="I4010" t="s">
        <v>119</v>
      </c>
      <c r="J4010" t="s">
        <v>36</v>
      </c>
      <c r="K4010">
        <v>1390</v>
      </c>
      <c r="O4010" t="s">
        <v>176</v>
      </c>
      <c r="P4010" t="s">
        <v>177</v>
      </c>
      <c r="R4010">
        <f t="shared" si="187"/>
        <v>0</v>
      </c>
      <c r="S4010">
        <f>SUMIFS([1]Sheet1!$T:$T,[1]Sheet1!$I:$I,E4010,[1]Sheet1!$C:$C,A4010)</f>
        <v>0</v>
      </c>
      <c r="T4010">
        <f t="shared" si="188"/>
        <v>0</v>
      </c>
      <c r="U4010" s="9" t="s">
        <v>148</v>
      </c>
      <c r="V4010" t="s">
        <v>184</v>
      </c>
      <c r="W4010" t="s">
        <v>178</v>
      </c>
      <c r="X4010" t="s">
        <v>86</v>
      </c>
      <c r="Y4010" t="s">
        <v>179</v>
      </c>
      <c r="Z4010" t="s">
        <v>104</v>
      </c>
      <c r="AB4010" t="str">
        <f t="shared" si="186"/>
        <v>54466</v>
      </c>
    </row>
    <row r="4011" ht="14.25" spans="1:28">
      <c r="A4011" s="5" t="s">
        <v>28</v>
      </c>
      <c r="B4011" s="5" t="s">
        <v>697</v>
      </c>
      <c r="C4011" s="5">
        <v>2027</v>
      </c>
      <c r="D4011" s="5" t="s">
        <v>30</v>
      </c>
      <c r="E4011" t="s">
        <v>2271</v>
      </c>
      <c r="F4011" t="s">
        <v>2272</v>
      </c>
      <c r="G4011" t="s">
        <v>254</v>
      </c>
      <c r="H4011" t="s">
        <v>2273</v>
      </c>
      <c r="I4011" t="s">
        <v>119</v>
      </c>
      <c r="J4011" t="s">
        <v>36</v>
      </c>
      <c r="K4011">
        <v>1390</v>
      </c>
      <c r="O4011" t="s">
        <v>176</v>
      </c>
      <c r="P4011" t="s">
        <v>38</v>
      </c>
      <c r="U4011" s="9" t="s">
        <v>148</v>
      </c>
      <c r="V4011" t="s">
        <v>184</v>
      </c>
      <c r="W4011" t="s">
        <v>178</v>
      </c>
      <c r="X4011" t="s">
        <v>86</v>
      </c>
      <c r="Y4011" t="s">
        <v>179</v>
      </c>
      <c r="Z4011" t="s">
        <v>104</v>
      </c>
      <c r="AB4011" t="str">
        <f t="shared" si="186"/>
        <v>54466</v>
      </c>
    </row>
    <row r="4012" ht="14.25" spans="1:28">
      <c r="A4012" s="5" t="s">
        <v>28</v>
      </c>
      <c r="B4012" s="5" t="s">
        <v>697</v>
      </c>
      <c r="C4012" s="5">
        <v>2027</v>
      </c>
      <c r="D4012" s="5" t="s">
        <v>30</v>
      </c>
      <c r="E4012" t="s">
        <v>2271</v>
      </c>
      <c r="F4012" t="s">
        <v>2272</v>
      </c>
      <c r="G4012" t="s">
        <v>254</v>
      </c>
      <c r="H4012" t="s">
        <v>2273</v>
      </c>
      <c r="I4012" t="s">
        <v>119</v>
      </c>
      <c r="J4012" t="s">
        <v>36</v>
      </c>
      <c r="K4012">
        <v>1390</v>
      </c>
      <c r="O4012" t="s">
        <v>176</v>
      </c>
      <c r="P4012" t="s">
        <v>42</v>
      </c>
      <c r="U4012" s="9" t="s">
        <v>148</v>
      </c>
      <c r="V4012" t="s">
        <v>184</v>
      </c>
      <c r="W4012" t="s">
        <v>178</v>
      </c>
      <c r="X4012" t="s">
        <v>86</v>
      </c>
      <c r="Y4012" t="s">
        <v>179</v>
      </c>
      <c r="Z4012" t="s">
        <v>104</v>
      </c>
      <c r="AB4012" t="str">
        <f t="shared" si="186"/>
        <v>54466</v>
      </c>
    </row>
    <row r="4013" ht="14.25" spans="1:28">
      <c r="A4013" s="5" t="s">
        <v>28</v>
      </c>
      <c r="B4013" s="5" t="s">
        <v>697</v>
      </c>
      <c r="C4013" s="5">
        <v>2027</v>
      </c>
      <c r="D4013" s="5" t="s">
        <v>30</v>
      </c>
      <c r="E4013" t="s">
        <v>2271</v>
      </c>
      <c r="F4013" t="s">
        <v>2272</v>
      </c>
      <c r="G4013" t="s">
        <v>254</v>
      </c>
      <c r="H4013" t="s">
        <v>2273</v>
      </c>
      <c r="I4013" t="s">
        <v>119</v>
      </c>
      <c r="J4013" t="s">
        <v>36</v>
      </c>
      <c r="K4013">
        <v>1390</v>
      </c>
      <c r="O4013" t="s">
        <v>176</v>
      </c>
      <c r="P4013" t="s">
        <v>43</v>
      </c>
      <c r="U4013" s="9" t="s">
        <v>148</v>
      </c>
      <c r="V4013" t="s">
        <v>184</v>
      </c>
      <c r="W4013" t="s">
        <v>178</v>
      </c>
      <c r="X4013" t="s">
        <v>86</v>
      </c>
      <c r="Y4013" t="s">
        <v>179</v>
      </c>
      <c r="Z4013" t="s">
        <v>104</v>
      </c>
      <c r="AB4013" t="str">
        <f t="shared" si="186"/>
        <v>54466</v>
      </c>
    </row>
    <row r="4014" ht="14.25" spans="1:28">
      <c r="A4014" s="5" t="s">
        <v>28</v>
      </c>
      <c r="B4014" s="5" t="s">
        <v>697</v>
      </c>
      <c r="C4014" s="5">
        <v>2027</v>
      </c>
      <c r="D4014" s="5" t="s">
        <v>30</v>
      </c>
      <c r="E4014" t="s">
        <v>2271</v>
      </c>
      <c r="F4014" t="s">
        <v>2272</v>
      </c>
      <c r="G4014" t="s">
        <v>254</v>
      </c>
      <c r="H4014" t="s">
        <v>2273</v>
      </c>
      <c r="I4014" t="s">
        <v>119</v>
      </c>
      <c r="J4014" t="s">
        <v>36</v>
      </c>
      <c r="K4014">
        <v>1390</v>
      </c>
      <c r="O4014" t="s">
        <v>176</v>
      </c>
      <c r="P4014" t="s">
        <v>44</v>
      </c>
      <c r="U4014" s="9" t="s">
        <v>148</v>
      </c>
      <c r="V4014" t="s">
        <v>184</v>
      </c>
      <c r="W4014" t="s">
        <v>178</v>
      </c>
      <c r="X4014" t="s">
        <v>86</v>
      </c>
      <c r="Y4014" t="s">
        <v>179</v>
      </c>
      <c r="Z4014" t="s">
        <v>104</v>
      </c>
      <c r="AB4014" t="str">
        <f t="shared" si="186"/>
        <v>54466</v>
      </c>
    </row>
    <row r="4015" ht="14.25" spans="1:28">
      <c r="A4015" s="5" t="s">
        <v>28</v>
      </c>
      <c r="B4015" s="5" t="s">
        <v>697</v>
      </c>
      <c r="C4015" s="5">
        <v>2027</v>
      </c>
      <c r="D4015" s="5" t="s">
        <v>30</v>
      </c>
      <c r="E4015" t="s">
        <v>2271</v>
      </c>
      <c r="F4015" t="s">
        <v>2272</v>
      </c>
      <c r="G4015" t="s">
        <v>254</v>
      </c>
      <c r="H4015" t="s">
        <v>2273</v>
      </c>
      <c r="I4015" t="s">
        <v>119</v>
      </c>
      <c r="J4015" t="s">
        <v>36</v>
      </c>
      <c r="K4015">
        <v>1390</v>
      </c>
      <c r="O4015" t="s">
        <v>176</v>
      </c>
      <c r="P4015" t="s">
        <v>45</v>
      </c>
      <c r="U4015" s="9" t="s">
        <v>148</v>
      </c>
      <c r="V4015" t="s">
        <v>184</v>
      </c>
      <c r="W4015" t="s">
        <v>178</v>
      </c>
      <c r="X4015" t="s">
        <v>86</v>
      </c>
      <c r="Y4015" t="s">
        <v>179</v>
      </c>
      <c r="Z4015" t="s">
        <v>104</v>
      </c>
      <c r="AB4015" t="str">
        <f t="shared" si="186"/>
        <v>54466</v>
      </c>
    </row>
    <row r="4016" ht="14.25" spans="1:28">
      <c r="A4016" s="5" t="s">
        <v>28</v>
      </c>
      <c r="B4016" s="5" t="s">
        <v>697</v>
      </c>
      <c r="C4016" s="5">
        <v>2027</v>
      </c>
      <c r="D4016" s="5" t="s">
        <v>30</v>
      </c>
      <c r="E4016" t="s">
        <v>2274</v>
      </c>
      <c r="F4016" t="s">
        <v>2275</v>
      </c>
      <c r="G4016" t="s">
        <v>182</v>
      </c>
      <c r="H4016" t="s">
        <v>2276</v>
      </c>
      <c r="I4016" t="s">
        <v>112</v>
      </c>
      <c r="J4016" t="s">
        <v>36</v>
      </c>
      <c r="K4016">
        <v>1590</v>
      </c>
      <c r="O4016" t="s">
        <v>176</v>
      </c>
      <c r="P4016" t="s">
        <v>177</v>
      </c>
      <c r="R4016">
        <f t="shared" si="187"/>
        <v>0</v>
      </c>
      <c r="S4016">
        <f>SUMIFS([1]Sheet1!$T:$T,[1]Sheet1!$I:$I,E4016,[1]Sheet1!$C:$C,A4016)</f>
        <v>80</v>
      </c>
      <c r="T4016">
        <f t="shared" si="188"/>
        <v>-80</v>
      </c>
      <c r="U4016" s="9" t="s">
        <v>148</v>
      </c>
      <c r="V4016" t="s">
        <v>164</v>
      </c>
      <c r="W4016" t="s">
        <v>178</v>
      </c>
      <c r="X4016" t="s">
        <v>102</v>
      </c>
      <c r="Y4016" t="s">
        <v>179</v>
      </c>
      <c r="Z4016" t="s">
        <v>41</v>
      </c>
      <c r="AB4016" t="str">
        <f t="shared" si="186"/>
        <v>54490</v>
      </c>
    </row>
    <row r="4017" ht="14.25" spans="1:28">
      <c r="A4017" s="5" t="s">
        <v>28</v>
      </c>
      <c r="B4017" s="5" t="s">
        <v>697</v>
      </c>
      <c r="C4017" s="5">
        <v>2027</v>
      </c>
      <c r="D4017" s="5" t="s">
        <v>30</v>
      </c>
      <c r="E4017" t="s">
        <v>2274</v>
      </c>
      <c r="F4017" t="s">
        <v>2275</v>
      </c>
      <c r="G4017" t="s">
        <v>182</v>
      </c>
      <c r="H4017" t="s">
        <v>2276</v>
      </c>
      <c r="I4017" t="s">
        <v>112</v>
      </c>
      <c r="J4017" t="s">
        <v>36</v>
      </c>
      <c r="K4017">
        <v>1590</v>
      </c>
      <c r="O4017" t="s">
        <v>176</v>
      </c>
      <c r="P4017" t="s">
        <v>38</v>
      </c>
      <c r="U4017" s="9" t="s">
        <v>148</v>
      </c>
      <c r="V4017" t="s">
        <v>164</v>
      </c>
      <c r="W4017" t="s">
        <v>178</v>
      </c>
      <c r="X4017" t="s">
        <v>102</v>
      </c>
      <c r="Y4017" t="s">
        <v>179</v>
      </c>
      <c r="Z4017" t="s">
        <v>41</v>
      </c>
      <c r="AB4017" t="str">
        <f t="shared" si="186"/>
        <v>54490</v>
      </c>
    </row>
    <row r="4018" ht="14.25" spans="1:28">
      <c r="A4018" s="5" t="s">
        <v>28</v>
      </c>
      <c r="B4018" s="5" t="s">
        <v>697</v>
      </c>
      <c r="C4018" s="5">
        <v>2027</v>
      </c>
      <c r="D4018" s="5" t="s">
        <v>30</v>
      </c>
      <c r="E4018" t="s">
        <v>2274</v>
      </c>
      <c r="F4018" t="s">
        <v>2275</v>
      </c>
      <c r="G4018" t="s">
        <v>182</v>
      </c>
      <c r="H4018" t="s">
        <v>2276</v>
      </c>
      <c r="I4018" t="s">
        <v>112</v>
      </c>
      <c r="J4018" t="s">
        <v>36</v>
      </c>
      <c r="K4018">
        <v>1590</v>
      </c>
      <c r="O4018" t="s">
        <v>176</v>
      </c>
      <c r="P4018" t="s">
        <v>42</v>
      </c>
      <c r="U4018" s="9" t="s">
        <v>148</v>
      </c>
      <c r="V4018" t="s">
        <v>164</v>
      </c>
      <c r="W4018" t="s">
        <v>178</v>
      </c>
      <c r="X4018" t="s">
        <v>102</v>
      </c>
      <c r="Y4018" t="s">
        <v>179</v>
      </c>
      <c r="Z4018" t="s">
        <v>41</v>
      </c>
      <c r="AB4018" t="str">
        <f t="shared" si="186"/>
        <v>54490</v>
      </c>
    </row>
    <row r="4019" ht="14.25" spans="1:28">
      <c r="A4019" s="5" t="s">
        <v>28</v>
      </c>
      <c r="B4019" s="5" t="s">
        <v>697</v>
      </c>
      <c r="C4019" s="5">
        <v>2027</v>
      </c>
      <c r="D4019" s="5" t="s">
        <v>30</v>
      </c>
      <c r="E4019" t="s">
        <v>2274</v>
      </c>
      <c r="F4019" t="s">
        <v>2275</v>
      </c>
      <c r="G4019" t="s">
        <v>182</v>
      </c>
      <c r="H4019" t="s">
        <v>2276</v>
      </c>
      <c r="I4019" t="s">
        <v>112</v>
      </c>
      <c r="J4019" t="s">
        <v>36</v>
      </c>
      <c r="K4019">
        <v>1590</v>
      </c>
      <c r="O4019" t="s">
        <v>176</v>
      </c>
      <c r="P4019" t="s">
        <v>43</v>
      </c>
      <c r="U4019" s="9" t="s">
        <v>148</v>
      </c>
      <c r="V4019" t="s">
        <v>164</v>
      </c>
      <c r="W4019" t="s">
        <v>178</v>
      </c>
      <c r="X4019" t="s">
        <v>102</v>
      </c>
      <c r="Y4019" t="s">
        <v>179</v>
      </c>
      <c r="Z4019" t="s">
        <v>41</v>
      </c>
      <c r="AB4019" t="str">
        <f t="shared" ref="AB4019:AB4082" si="189">MID(E4019,6,5)</f>
        <v>54490</v>
      </c>
    </row>
    <row r="4020" ht="14.25" spans="1:28">
      <c r="A4020" s="5" t="s">
        <v>28</v>
      </c>
      <c r="B4020" s="5" t="s">
        <v>697</v>
      </c>
      <c r="C4020" s="5">
        <v>2027</v>
      </c>
      <c r="D4020" s="5" t="s">
        <v>30</v>
      </c>
      <c r="E4020" t="s">
        <v>2274</v>
      </c>
      <c r="F4020" t="s">
        <v>2275</v>
      </c>
      <c r="G4020" t="s">
        <v>182</v>
      </c>
      <c r="H4020" t="s">
        <v>2276</v>
      </c>
      <c r="I4020" t="s">
        <v>112</v>
      </c>
      <c r="J4020" t="s">
        <v>36</v>
      </c>
      <c r="K4020">
        <v>1590</v>
      </c>
      <c r="O4020" t="s">
        <v>176</v>
      </c>
      <c r="P4020" t="s">
        <v>44</v>
      </c>
      <c r="U4020" s="9" t="s">
        <v>148</v>
      </c>
      <c r="V4020" t="s">
        <v>164</v>
      </c>
      <c r="W4020" t="s">
        <v>178</v>
      </c>
      <c r="X4020" t="s">
        <v>102</v>
      </c>
      <c r="Y4020" t="s">
        <v>179</v>
      </c>
      <c r="Z4020" t="s">
        <v>41</v>
      </c>
      <c r="AB4020" t="str">
        <f t="shared" si="189"/>
        <v>54490</v>
      </c>
    </row>
    <row r="4021" ht="14.25" spans="1:28">
      <c r="A4021" s="5" t="s">
        <v>28</v>
      </c>
      <c r="B4021" s="5" t="s">
        <v>697</v>
      </c>
      <c r="C4021" s="5">
        <v>2027</v>
      </c>
      <c r="D4021" s="5" t="s">
        <v>30</v>
      </c>
      <c r="E4021" t="s">
        <v>2274</v>
      </c>
      <c r="F4021" t="s">
        <v>2275</v>
      </c>
      <c r="G4021" t="s">
        <v>182</v>
      </c>
      <c r="H4021" t="s">
        <v>2276</v>
      </c>
      <c r="I4021" t="s">
        <v>112</v>
      </c>
      <c r="J4021" t="s">
        <v>36</v>
      </c>
      <c r="K4021">
        <v>1590</v>
      </c>
      <c r="O4021" t="s">
        <v>176</v>
      </c>
      <c r="P4021" t="s">
        <v>45</v>
      </c>
      <c r="U4021" s="9" t="s">
        <v>148</v>
      </c>
      <c r="V4021" t="s">
        <v>164</v>
      </c>
      <c r="W4021" t="s">
        <v>178</v>
      </c>
      <c r="X4021" t="s">
        <v>102</v>
      </c>
      <c r="Y4021" t="s">
        <v>179</v>
      </c>
      <c r="Z4021" t="s">
        <v>41</v>
      </c>
      <c r="AB4021" t="str">
        <f t="shared" si="189"/>
        <v>54490</v>
      </c>
    </row>
    <row r="4022" ht="14.25" spans="1:28">
      <c r="A4022" s="5" t="s">
        <v>28</v>
      </c>
      <c r="B4022" s="5" t="s">
        <v>697</v>
      </c>
      <c r="C4022" s="5">
        <v>2027</v>
      </c>
      <c r="D4022" s="5" t="s">
        <v>30</v>
      </c>
      <c r="E4022" t="s">
        <v>2277</v>
      </c>
      <c r="F4022" t="s">
        <v>2275</v>
      </c>
      <c r="G4022" t="s">
        <v>254</v>
      </c>
      <c r="H4022" t="s">
        <v>2278</v>
      </c>
      <c r="I4022" t="s">
        <v>112</v>
      </c>
      <c r="J4022" t="s">
        <v>36</v>
      </c>
      <c r="K4022">
        <v>1590</v>
      </c>
      <c r="O4022" t="s">
        <v>176</v>
      </c>
      <c r="P4022" t="s">
        <v>177</v>
      </c>
      <c r="R4022">
        <f t="shared" si="187"/>
        <v>0</v>
      </c>
      <c r="S4022">
        <f>SUMIFS([1]Sheet1!$T:$T,[1]Sheet1!$I:$I,E4022,[1]Sheet1!$C:$C,A4022)</f>
        <v>80</v>
      </c>
      <c r="T4022">
        <f t="shared" si="188"/>
        <v>-80</v>
      </c>
      <c r="U4022" s="9" t="s">
        <v>148</v>
      </c>
      <c r="V4022" t="s">
        <v>164</v>
      </c>
      <c r="W4022" t="s">
        <v>178</v>
      </c>
      <c r="X4022" t="s">
        <v>86</v>
      </c>
      <c r="Y4022" t="s">
        <v>179</v>
      </c>
      <c r="Z4022" t="s">
        <v>41</v>
      </c>
      <c r="AB4022" t="str">
        <f t="shared" si="189"/>
        <v>54490</v>
      </c>
    </row>
    <row r="4023" ht="14.25" spans="1:28">
      <c r="A4023" s="5" t="s">
        <v>28</v>
      </c>
      <c r="B4023" s="5" t="s">
        <v>697</v>
      </c>
      <c r="C4023" s="5">
        <v>2027</v>
      </c>
      <c r="D4023" s="5" t="s">
        <v>30</v>
      </c>
      <c r="E4023" t="s">
        <v>2277</v>
      </c>
      <c r="F4023" t="s">
        <v>2275</v>
      </c>
      <c r="G4023" t="s">
        <v>254</v>
      </c>
      <c r="H4023" t="s">
        <v>2278</v>
      </c>
      <c r="I4023" t="s">
        <v>112</v>
      </c>
      <c r="J4023" t="s">
        <v>36</v>
      </c>
      <c r="K4023">
        <v>1590</v>
      </c>
      <c r="O4023" t="s">
        <v>176</v>
      </c>
      <c r="P4023" t="s">
        <v>38</v>
      </c>
      <c r="U4023" s="9" t="s">
        <v>148</v>
      </c>
      <c r="V4023" t="s">
        <v>164</v>
      </c>
      <c r="W4023" t="s">
        <v>178</v>
      </c>
      <c r="X4023" t="s">
        <v>86</v>
      </c>
      <c r="Y4023" t="s">
        <v>179</v>
      </c>
      <c r="Z4023" t="s">
        <v>41</v>
      </c>
      <c r="AB4023" t="str">
        <f t="shared" si="189"/>
        <v>54490</v>
      </c>
    </row>
    <row r="4024" ht="14.25" spans="1:28">
      <c r="A4024" s="5" t="s">
        <v>28</v>
      </c>
      <c r="B4024" s="5" t="s">
        <v>697</v>
      </c>
      <c r="C4024" s="5">
        <v>2027</v>
      </c>
      <c r="D4024" s="5" t="s">
        <v>30</v>
      </c>
      <c r="E4024" t="s">
        <v>2277</v>
      </c>
      <c r="F4024" t="s">
        <v>2275</v>
      </c>
      <c r="G4024" t="s">
        <v>254</v>
      </c>
      <c r="H4024" t="s">
        <v>2278</v>
      </c>
      <c r="I4024" t="s">
        <v>112</v>
      </c>
      <c r="J4024" t="s">
        <v>36</v>
      </c>
      <c r="K4024">
        <v>1590</v>
      </c>
      <c r="O4024" t="s">
        <v>176</v>
      </c>
      <c r="P4024" t="s">
        <v>42</v>
      </c>
      <c r="U4024" s="9" t="s">
        <v>148</v>
      </c>
      <c r="V4024" t="s">
        <v>164</v>
      </c>
      <c r="W4024" t="s">
        <v>178</v>
      </c>
      <c r="X4024" t="s">
        <v>86</v>
      </c>
      <c r="Y4024" t="s">
        <v>179</v>
      </c>
      <c r="Z4024" t="s">
        <v>41</v>
      </c>
      <c r="AB4024" t="str">
        <f t="shared" si="189"/>
        <v>54490</v>
      </c>
    </row>
    <row r="4025" ht="14.25" spans="1:28">
      <c r="A4025" s="5" t="s">
        <v>28</v>
      </c>
      <c r="B4025" s="5" t="s">
        <v>697</v>
      </c>
      <c r="C4025" s="5">
        <v>2027</v>
      </c>
      <c r="D4025" s="5" t="s">
        <v>30</v>
      </c>
      <c r="E4025" t="s">
        <v>2277</v>
      </c>
      <c r="F4025" t="s">
        <v>2275</v>
      </c>
      <c r="G4025" t="s">
        <v>254</v>
      </c>
      <c r="H4025" t="s">
        <v>2278</v>
      </c>
      <c r="I4025" t="s">
        <v>112</v>
      </c>
      <c r="J4025" t="s">
        <v>36</v>
      </c>
      <c r="K4025">
        <v>1590</v>
      </c>
      <c r="O4025" t="s">
        <v>176</v>
      </c>
      <c r="P4025" t="s">
        <v>43</v>
      </c>
      <c r="U4025" s="9" t="s">
        <v>148</v>
      </c>
      <c r="V4025" t="s">
        <v>164</v>
      </c>
      <c r="W4025" t="s">
        <v>178</v>
      </c>
      <c r="X4025" t="s">
        <v>86</v>
      </c>
      <c r="Y4025" t="s">
        <v>179</v>
      </c>
      <c r="Z4025" t="s">
        <v>41</v>
      </c>
      <c r="AB4025" t="str">
        <f t="shared" si="189"/>
        <v>54490</v>
      </c>
    </row>
    <row r="4026" ht="14.25" spans="1:28">
      <c r="A4026" s="5" t="s">
        <v>28</v>
      </c>
      <c r="B4026" s="5" t="s">
        <v>697</v>
      </c>
      <c r="C4026" s="5">
        <v>2027</v>
      </c>
      <c r="D4026" s="5" t="s">
        <v>30</v>
      </c>
      <c r="E4026" t="s">
        <v>2277</v>
      </c>
      <c r="F4026" t="s">
        <v>2275</v>
      </c>
      <c r="G4026" t="s">
        <v>254</v>
      </c>
      <c r="H4026" t="s">
        <v>2278</v>
      </c>
      <c r="I4026" t="s">
        <v>112</v>
      </c>
      <c r="J4026" t="s">
        <v>36</v>
      </c>
      <c r="K4026">
        <v>1590</v>
      </c>
      <c r="O4026" t="s">
        <v>176</v>
      </c>
      <c r="P4026" t="s">
        <v>44</v>
      </c>
      <c r="U4026" s="9" t="s">
        <v>148</v>
      </c>
      <c r="V4026" t="s">
        <v>164</v>
      </c>
      <c r="W4026" t="s">
        <v>178</v>
      </c>
      <c r="X4026" t="s">
        <v>86</v>
      </c>
      <c r="Y4026" t="s">
        <v>179</v>
      </c>
      <c r="Z4026" t="s">
        <v>41</v>
      </c>
      <c r="AB4026" t="str">
        <f t="shared" si="189"/>
        <v>54490</v>
      </c>
    </row>
    <row r="4027" ht="14.25" spans="1:28">
      <c r="A4027" s="5" t="s">
        <v>28</v>
      </c>
      <c r="B4027" s="5" t="s">
        <v>697</v>
      </c>
      <c r="C4027" s="5">
        <v>2027</v>
      </c>
      <c r="D4027" s="5" t="s">
        <v>30</v>
      </c>
      <c r="E4027" t="s">
        <v>2277</v>
      </c>
      <c r="F4027" t="s">
        <v>2275</v>
      </c>
      <c r="G4027" t="s">
        <v>254</v>
      </c>
      <c r="H4027" t="s">
        <v>2278</v>
      </c>
      <c r="I4027" t="s">
        <v>112</v>
      </c>
      <c r="J4027" t="s">
        <v>36</v>
      </c>
      <c r="K4027">
        <v>1590</v>
      </c>
      <c r="O4027" t="s">
        <v>176</v>
      </c>
      <c r="P4027" t="s">
        <v>45</v>
      </c>
      <c r="U4027" s="9" t="s">
        <v>148</v>
      </c>
      <c r="V4027" t="s">
        <v>164</v>
      </c>
      <c r="W4027" t="s">
        <v>178</v>
      </c>
      <c r="X4027" t="s">
        <v>86</v>
      </c>
      <c r="Y4027" t="s">
        <v>179</v>
      </c>
      <c r="Z4027" t="s">
        <v>41</v>
      </c>
      <c r="AB4027" t="str">
        <f t="shared" si="189"/>
        <v>54490</v>
      </c>
    </row>
    <row r="4028" ht="14.25" spans="1:28">
      <c r="A4028" s="5" t="s">
        <v>28</v>
      </c>
      <c r="B4028" s="5" t="s">
        <v>697</v>
      </c>
      <c r="C4028" s="5">
        <v>2027</v>
      </c>
      <c r="D4028" s="5" t="s">
        <v>30</v>
      </c>
      <c r="E4028" t="s">
        <v>2279</v>
      </c>
      <c r="F4028" t="s">
        <v>2280</v>
      </c>
      <c r="G4028" t="s">
        <v>2281</v>
      </c>
      <c r="H4028" t="s">
        <v>2282</v>
      </c>
      <c r="I4028" t="s">
        <v>147</v>
      </c>
      <c r="J4028" t="s">
        <v>36</v>
      </c>
      <c r="K4028">
        <v>1590</v>
      </c>
      <c r="O4028" t="s">
        <v>195</v>
      </c>
      <c r="P4028" t="s">
        <v>74</v>
      </c>
      <c r="R4028">
        <f t="shared" si="187"/>
        <v>0</v>
      </c>
      <c r="S4028">
        <f>SUMIFS([1]Sheet1!$T:$T,[1]Sheet1!$I:$I,E4028,[1]Sheet1!$C:$C,A4028)</f>
        <v>20</v>
      </c>
      <c r="T4028">
        <f t="shared" si="188"/>
        <v>-20</v>
      </c>
      <c r="U4028" s="9" t="s">
        <v>148</v>
      </c>
      <c r="V4028" t="s">
        <v>233</v>
      </c>
      <c r="W4028" t="s">
        <v>178</v>
      </c>
      <c r="X4028" t="s">
        <v>94</v>
      </c>
      <c r="Y4028" t="s">
        <v>179</v>
      </c>
      <c r="Z4028" t="s">
        <v>41</v>
      </c>
      <c r="AB4028" t="str">
        <f t="shared" si="189"/>
        <v>54493</v>
      </c>
    </row>
    <row r="4029" ht="14.25" spans="1:28">
      <c r="A4029" s="5" t="s">
        <v>28</v>
      </c>
      <c r="B4029" s="5" t="s">
        <v>697</v>
      </c>
      <c r="C4029" s="5">
        <v>2027</v>
      </c>
      <c r="D4029" s="5" t="s">
        <v>30</v>
      </c>
      <c r="E4029" t="s">
        <v>2279</v>
      </c>
      <c r="F4029" t="s">
        <v>2280</v>
      </c>
      <c r="G4029" t="s">
        <v>2281</v>
      </c>
      <c r="H4029" t="s">
        <v>2282</v>
      </c>
      <c r="I4029" t="s">
        <v>147</v>
      </c>
      <c r="J4029" t="s">
        <v>36</v>
      </c>
      <c r="K4029">
        <v>1590</v>
      </c>
      <c r="O4029" t="s">
        <v>195</v>
      </c>
      <c r="P4029" t="s">
        <v>76</v>
      </c>
      <c r="U4029" s="9" t="s">
        <v>148</v>
      </c>
      <c r="V4029" t="s">
        <v>233</v>
      </c>
      <c r="W4029" t="s">
        <v>178</v>
      </c>
      <c r="X4029" t="s">
        <v>94</v>
      </c>
      <c r="Y4029" t="s">
        <v>179</v>
      </c>
      <c r="Z4029" t="s">
        <v>41</v>
      </c>
      <c r="AB4029" t="str">
        <f t="shared" si="189"/>
        <v>54493</v>
      </c>
    </row>
    <row r="4030" ht="14.25" spans="1:28">
      <c r="A4030" s="5" t="s">
        <v>28</v>
      </c>
      <c r="B4030" s="5" t="s">
        <v>697</v>
      </c>
      <c r="C4030" s="5">
        <v>2027</v>
      </c>
      <c r="D4030" s="5" t="s">
        <v>30</v>
      </c>
      <c r="E4030" t="s">
        <v>2279</v>
      </c>
      <c r="F4030" t="s">
        <v>2280</v>
      </c>
      <c r="G4030" t="s">
        <v>2281</v>
      </c>
      <c r="H4030" t="s">
        <v>2282</v>
      </c>
      <c r="I4030" t="s">
        <v>147</v>
      </c>
      <c r="J4030" t="s">
        <v>36</v>
      </c>
      <c r="K4030">
        <v>1590</v>
      </c>
      <c r="O4030" t="s">
        <v>195</v>
      </c>
      <c r="P4030" t="s">
        <v>77</v>
      </c>
      <c r="U4030" s="9" t="s">
        <v>148</v>
      </c>
      <c r="V4030" t="s">
        <v>233</v>
      </c>
      <c r="W4030" t="s">
        <v>178</v>
      </c>
      <c r="X4030" t="s">
        <v>94</v>
      </c>
      <c r="Y4030" t="s">
        <v>179</v>
      </c>
      <c r="Z4030" t="s">
        <v>41</v>
      </c>
      <c r="AB4030" t="str">
        <f t="shared" si="189"/>
        <v>54493</v>
      </c>
    </row>
    <row r="4031" ht="14.25" spans="1:28">
      <c r="A4031" s="5" t="s">
        <v>28</v>
      </c>
      <c r="B4031" s="5" t="s">
        <v>697</v>
      </c>
      <c r="C4031" s="5">
        <v>2027</v>
      </c>
      <c r="D4031" s="5" t="s">
        <v>30</v>
      </c>
      <c r="E4031" t="s">
        <v>2279</v>
      </c>
      <c r="F4031" t="s">
        <v>2280</v>
      </c>
      <c r="G4031" t="s">
        <v>2281</v>
      </c>
      <c r="H4031" t="s">
        <v>2282</v>
      </c>
      <c r="I4031" t="s">
        <v>147</v>
      </c>
      <c r="J4031" t="s">
        <v>36</v>
      </c>
      <c r="K4031">
        <v>1590</v>
      </c>
      <c r="O4031" t="s">
        <v>195</v>
      </c>
      <c r="P4031" t="s">
        <v>78</v>
      </c>
      <c r="U4031" s="9" t="s">
        <v>148</v>
      </c>
      <c r="V4031" t="s">
        <v>233</v>
      </c>
      <c r="W4031" t="s">
        <v>178</v>
      </c>
      <c r="X4031" t="s">
        <v>94</v>
      </c>
      <c r="Y4031" t="s">
        <v>179</v>
      </c>
      <c r="Z4031" t="s">
        <v>41</v>
      </c>
      <c r="AB4031" t="str">
        <f t="shared" si="189"/>
        <v>54493</v>
      </c>
    </row>
    <row r="4032" ht="14.25" spans="1:28">
      <c r="A4032" s="5" t="s">
        <v>28</v>
      </c>
      <c r="B4032" s="5" t="s">
        <v>697</v>
      </c>
      <c r="C4032" s="5">
        <v>2027</v>
      </c>
      <c r="D4032" s="5" t="s">
        <v>30</v>
      </c>
      <c r="E4032" t="s">
        <v>2279</v>
      </c>
      <c r="F4032" t="s">
        <v>2280</v>
      </c>
      <c r="G4032" t="s">
        <v>2281</v>
      </c>
      <c r="H4032" t="s">
        <v>2282</v>
      </c>
      <c r="I4032" t="s">
        <v>147</v>
      </c>
      <c r="J4032" t="s">
        <v>36</v>
      </c>
      <c r="K4032">
        <v>1590</v>
      </c>
      <c r="O4032" t="s">
        <v>195</v>
      </c>
      <c r="P4032" t="s">
        <v>79</v>
      </c>
      <c r="U4032" s="9" t="s">
        <v>148</v>
      </c>
      <c r="V4032" t="s">
        <v>233</v>
      </c>
      <c r="W4032" t="s">
        <v>178</v>
      </c>
      <c r="X4032" t="s">
        <v>94</v>
      </c>
      <c r="Y4032" t="s">
        <v>179</v>
      </c>
      <c r="Z4032" t="s">
        <v>41</v>
      </c>
      <c r="AB4032" t="str">
        <f t="shared" si="189"/>
        <v>54493</v>
      </c>
    </row>
    <row r="4033" ht="14.25" spans="1:28">
      <c r="A4033" s="5" t="s">
        <v>28</v>
      </c>
      <c r="B4033" s="5" t="s">
        <v>697</v>
      </c>
      <c r="C4033" s="5">
        <v>2027</v>
      </c>
      <c r="D4033" s="5" t="s">
        <v>30</v>
      </c>
      <c r="E4033" t="s">
        <v>2283</v>
      </c>
      <c r="F4033" t="s">
        <v>2280</v>
      </c>
      <c r="G4033" t="s">
        <v>2284</v>
      </c>
      <c r="H4033" t="s">
        <v>2285</v>
      </c>
      <c r="I4033" t="s">
        <v>147</v>
      </c>
      <c r="J4033" t="s">
        <v>36</v>
      </c>
      <c r="K4033">
        <v>1590</v>
      </c>
      <c r="O4033" t="s">
        <v>195</v>
      </c>
      <c r="P4033" t="s">
        <v>74</v>
      </c>
      <c r="R4033">
        <f t="shared" si="187"/>
        <v>0</v>
      </c>
      <c r="S4033">
        <f>SUMIFS([1]Sheet1!$T:$T,[1]Sheet1!$I:$I,E4033,[1]Sheet1!$C:$C,A4033)</f>
        <v>20</v>
      </c>
      <c r="T4033">
        <f t="shared" si="188"/>
        <v>-20</v>
      </c>
      <c r="U4033" s="9" t="s">
        <v>148</v>
      </c>
      <c r="V4033" t="s">
        <v>233</v>
      </c>
      <c r="W4033" t="s">
        <v>178</v>
      </c>
      <c r="X4033" t="s">
        <v>1131</v>
      </c>
      <c r="Y4033" t="s">
        <v>179</v>
      </c>
      <c r="Z4033" t="s">
        <v>41</v>
      </c>
      <c r="AB4033" t="str">
        <f t="shared" si="189"/>
        <v>54493</v>
      </c>
    </row>
    <row r="4034" ht="14.25" spans="1:28">
      <c r="A4034" s="5" t="s">
        <v>28</v>
      </c>
      <c r="B4034" s="5" t="s">
        <v>697</v>
      </c>
      <c r="C4034" s="5">
        <v>2027</v>
      </c>
      <c r="D4034" s="5" t="s">
        <v>30</v>
      </c>
      <c r="E4034" t="s">
        <v>2283</v>
      </c>
      <c r="F4034" t="s">
        <v>2280</v>
      </c>
      <c r="G4034" t="s">
        <v>2284</v>
      </c>
      <c r="H4034" t="s">
        <v>2285</v>
      </c>
      <c r="I4034" t="s">
        <v>147</v>
      </c>
      <c r="J4034" t="s">
        <v>36</v>
      </c>
      <c r="K4034">
        <v>1590</v>
      </c>
      <c r="O4034" t="s">
        <v>195</v>
      </c>
      <c r="P4034" t="s">
        <v>76</v>
      </c>
      <c r="U4034" s="9" t="s">
        <v>148</v>
      </c>
      <c r="V4034" t="s">
        <v>233</v>
      </c>
      <c r="W4034" t="s">
        <v>178</v>
      </c>
      <c r="X4034" t="s">
        <v>1131</v>
      </c>
      <c r="Y4034" t="s">
        <v>179</v>
      </c>
      <c r="Z4034" t="s">
        <v>41</v>
      </c>
      <c r="AB4034" t="str">
        <f t="shared" si="189"/>
        <v>54493</v>
      </c>
    </row>
    <row r="4035" ht="14.25" spans="1:28">
      <c r="A4035" s="5" t="s">
        <v>28</v>
      </c>
      <c r="B4035" s="5" t="s">
        <v>697</v>
      </c>
      <c r="C4035" s="5">
        <v>2027</v>
      </c>
      <c r="D4035" s="5" t="s">
        <v>30</v>
      </c>
      <c r="E4035" t="s">
        <v>2283</v>
      </c>
      <c r="F4035" t="s">
        <v>2280</v>
      </c>
      <c r="G4035" t="s">
        <v>2284</v>
      </c>
      <c r="H4035" t="s">
        <v>2285</v>
      </c>
      <c r="I4035" t="s">
        <v>147</v>
      </c>
      <c r="J4035" t="s">
        <v>36</v>
      </c>
      <c r="K4035">
        <v>1590</v>
      </c>
      <c r="O4035" t="s">
        <v>195</v>
      </c>
      <c r="P4035" t="s">
        <v>77</v>
      </c>
      <c r="U4035" s="9" t="s">
        <v>148</v>
      </c>
      <c r="V4035" t="s">
        <v>233</v>
      </c>
      <c r="W4035" t="s">
        <v>178</v>
      </c>
      <c r="X4035" t="s">
        <v>1131</v>
      </c>
      <c r="Y4035" t="s">
        <v>179</v>
      </c>
      <c r="Z4035" t="s">
        <v>41</v>
      </c>
      <c r="AB4035" t="str">
        <f t="shared" si="189"/>
        <v>54493</v>
      </c>
    </row>
    <row r="4036" ht="14.25" spans="1:28">
      <c r="A4036" s="5" t="s">
        <v>28</v>
      </c>
      <c r="B4036" s="5" t="s">
        <v>697</v>
      </c>
      <c r="C4036" s="5">
        <v>2027</v>
      </c>
      <c r="D4036" s="5" t="s">
        <v>30</v>
      </c>
      <c r="E4036" t="s">
        <v>2283</v>
      </c>
      <c r="F4036" t="s">
        <v>2280</v>
      </c>
      <c r="G4036" t="s">
        <v>2284</v>
      </c>
      <c r="H4036" t="s">
        <v>2285</v>
      </c>
      <c r="I4036" t="s">
        <v>147</v>
      </c>
      <c r="J4036" t="s">
        <v>36</v>
      </c>
      <c r="K4036">
        <v>1590</v>
      </c>
      <c r="O4036" t="s">
        <v>195</v>
      </c>
      <c r="P4036" t="s">
        <v>78</v>
      </c>
      <c r="U4036" s="9" t="s">
        <v>148</v>
      </c>
      <c r="V4036" t="s">
        <v>233</v>
      </c>
      <c r="W4036" t="s">
        <v>178</v>
      </c>
      <c r="X4036" t="s">
        <v>1131</v>
      </c>
      <c r="Y4036" t="s">
        <v>179</v>
      </c>
      <c r="Z4036" t="s">
        <v>41</v>
      </c>
      <c r="AB4036" t="str">
        <f t="shared" si="189"/>
        <v>54493</v>
      </c>
    </row>
    <row r="4037" ht="14.25" spans="1:28">
      <c r="A4037" s="5" t="s">
        <v>28</v>
      </c>
      <c r="B4037" s="5" t="s">
        <v>697</v>
      </c>
      <c r="C4037" s="5">
        <v>2027</v>
      </c>
      <c r="D4037" s="5" t="s">
        <v>30</v>
      </c>
      <c r="E4037" t="s">
        <v>2283</v>
      </c>
      <c r="F4037" t="s">
        <v>2280</v>
      </c>
      <c r="G4037" t="s">
        <v>2284</v>
      </c>
      <c r="H4037" t="s">
        <v>2285</v>
      </c>
      <c r="I4037" t="s">
        <v>147</v>
      </c>
      <c r="J4037" t="s">
        <v>36</v>
      </c>
      <c r="K4037">
        <v>1590</v>
      </c>
      <c r="O4037" t="s">
        <v>195</v>
      </c>
      <c r="P4037" t="s">
        <v>79</v>
      </c>
      <c r="U4037" s="9" t="s">
        <v>148</v>
      </c>
      <c r="V4037" t="s">
        <v>233</v>
      </c>
      <c r="W4037" t="s">
        <v>178</v>
      </c>
      <c r="X4037" t="s">
        <v>1131</v>
      </c>
      <c r="Y4037" t="s">
        <v>179</v>
      </c>
      <c r="Z4037" t="s">
        <v>41</v>
      </c>
      <c r="AB4037" t="str">
        <f t="shared" si="189"/>
        <v>54493</v>
      </c>
    </row>
    <row r="4038" ht="14.25" spans="1:28">
      <c r="A4038" s="5" t="s">
        <v>28</v>
      </c>
      <c r="B4038" s="5" t="s">
        <v>697</v>
      </c>
      <c r="C4038" s="5">
        <v>2027</v>
      </c>
      <c r="D4038" s="5" t="s">
        <v>30</v>
      </c>
      <c r="E4038" t="s">
        <v>2286</v>
      </c>
      <c r="F4038" t="s">
        <v>2287</v>
      </c>
      <c r="G4038" t="s">
        <v>945</v>
      </c>
      <c r="H4038" t="s">
        <v>2288</v>
      </c>
      <c r="I4038" t="s">
        <v>147</v>
      </c>
      <c r="J4038" t="s">
        <v>36</v>
      </c>
      <c r="K4038">
        <v>2590</v>
      </c>
      <c r="O4038" t="s">
        <v>195</v>
      </c>
      <c r="P4038" t="s">
        <v>74</v>
      </c>
      <c r="R4038">
        <f t="shared" ref="R4034:R4097" si="190">SUMIFS(Q:Q,E:E,E4038)</f>
        <v>0</v>
      </c>
      <c r="S4038">
        <f>SUMIFS([1]Sheet1!$T:$T,[1]Sheet1!$I:$I,E4038,[1]Sheet1!$C:$C,A4038)</f>
        <v>40</v>
      </c>
      <c r="T4038">
        <f t="shared" ref="T4034:T4097" si="191">R4038-S4038</f>
        <v>-40</v>
      </c>
      <c r="U4038" s="9" t="s">
        <v>242</v>
      </c>
      <c r="V4038" t="s">
        <v>2042</v>
      </c>
      <c r="W4038" t="s">
        <v>178</v>
      </c>
      <c r="X4038" t="s">
        <v>70</v>
      </c>
      <c r="Y4038" t="s">
        <v>179</v>
      </c>
      <c r="Z4038" t="s">
        <v>41</v>
      </c>
      <c r="AB4038" t="str">
        <f t="shared" si="189"/>
        <v>54522</v>
      </c>
    </row>
    <row r="4039" ht="14.25" spans="1:28">
      <c r="A4039" s="5" t="s">
        <v>28</v>
      </c>
      <c r="B4039" s="5" t="s">
        <v>697</v>
      </c>
      <c r="C4039" s="5">
        <v>2027</v>
      </c>
      <c r="D4039" s="5" t="s">
        <v>30</v>
      </c>
      <c r="E4039" t="s">
        <v>2286</v>
      </c>
      <c r="F4039" t="s">
        <v>2287</v>
      </c>
      <c r="G4039" t="s">
        <v>945</v>
      </c>
      <c r="H4039" t="s">
        <v>2288</v>
      </c>
      <c r="I4039" t="s">
        <v>147</v>
      </c>
      <c r="J4039" t="s">
        <v>36</v>
      </c>
      <c r="K4039">
        <v>2590</v>
      </c>
      <c r="O4039" t="s">
        <v>195</v>
      </c>
      <c r="P4039" t="s">
        <v>76</v>
      </c>
      <c r="U4039" s="9" t="s">
        <v>242</v>
      </c>
      <c r="V4039" t="s">
        <v>2042</v>
      </c>
      <c r="W4039" t="s">
        <v>178</v>
      </c>
      <c r="X4039" t="s">
        <v>70</v>
      </c>
      <c r="Y4039" t="s">
        <v>179</v>
      </c>
      <c r="Z4039" t="s">
        <v>41</v>
      </c>
      <c r="AB4039" t="str">
        <f t="shared" si="189"/>
        <v>54522</v>
      </c>
    </row>
    <row r="4040" ht="14.25" spans="1:28">
      <c r="A4040" s="5" t="s">
        <v>28</v>
      </c>
      <c r="B4040" s="5" t="s">
        <v>697</v>
      </c>
      <c r="C4040" s="5">
        <v>2027</v>
      </c>
      <c r="D4040" s="5" t="s">
        <v>30</v>
      </c>
      <c r="E4040" t="s">
        <v>2286</v>
      </c>
      <c r="F4040" t="s">
        <v>2287</v>
      </c>
      <c r="G4040" t="s">
        <v>945</v>
      </c>
      <c r="H4040" t="s">
        <v>2288</v>
      </c>
      <c r="I4040" t="s">
        <v>147</v>
      </c>
      <c r="J4040" t="s">
        <v>36</v>
      </c>
      <c r="K4040">
        <v>2590</v>
      </c>
      <c r="O4040" t="s">
        <v>195</v>
      </c>
      <c r="P4040" t="s">
        <v>77</v>
      </c>
      <c r="U4040" s="9" t="s">
        <v>242</v>
      </c>
      <c r="V4040" t="s">
        <v>2042</v>
      </c>
      <c r="W4040" t="s">
        <v>178</v>
      </c>
      <c r="X4040" t="s">
        <v>70</v>
      </c>
      <c r="Y4040" t="s">
        <v>179</v>
      </c>
      <c r="Z4040" t="s">
        <v>41</v>
      </c>
      <c r="AB4040" t="str">
        <f t="shared" si="189"/>
        <v>54522</v>
      </c>
    </row>
    <row r="4041" ht="14.25" spans="1:28">
      <c r="A4041" s="5" t="s">
        <v>28</v>
      </c>
      <c r="B4041" s="5" t="s">
        <v>697</v>
      </c>
      <c r="C4041" s="5">
        <v>2027</v>
      </c>
      <c r="D4041" s="5" t="s">
        <v>30</v>
      </c>
      <c r="E4041" t="s">
        <v>2286</v>
      </c>
      <c r="F4041" t="s">
        <v>2287</v>
      </c>
      <c r="G4041" t="s">
        <v>945</v>
      </c>
      <c r="H4041" t="s">
        <v>2288</v>
      </c>
      <c r="I4041" t="s">
        <v>147</v>
      </c>
      <c r="J4041" t="s">
        <v>36</v>
      </c>
      <c r="K4041">
        <v>2590</v>
      </c>
      <c r="O4041" t="s">
        <v>195</v>
      </c>
      <c r="P4041" t="s">
        <v>78</v>
      </c>
      <c r="U4041" s="9" t="s">
        <v>242</v>
      </c>
      <c r="V4041" t="s">
        <v>2042</v>
      </c>
      <c r="W4041" t="s">
        <v>178</v>
      </c>
      <c r="X4041" t="s">
        <v>70</v>
      </c>
      <c r="Y4041" t="s">
        <v>179</v>
      </c>
      <c r="Z4041" t="s">
        <v>41</v>
      </c>
      <c r="AB4041" t="str">
        <f t="shared" si="189"/>
        <v>54522</v>
      </c>
    </row>
    <row r="4042" ht="14.25" spans="1:28">
      <c r="A4042" s="5" t="s">
        <v>28</v>
      </c>
      <c r="B4042" s="5" t="s">
        <v>697</v>
      </c>
      <c r="C4042" s="5">
        <v>2027</v>
      </c>
      <c r="D4042" s="5" t="s">
        <v>30</v>
      </c>
      <c r="E4042" t="s">
        <v>2286</v>
      </c>
      <c r="F4042" t="s">
        <v>2287</v>
      </c>
      <c r="G4042" t="s">
        <v>945</v>
      </c>
      <c r="H4042" t="s">
        <v>2288</v>
      </c>
      <c r="I4042" t="s">
        <v>147</v>
      </c>
      <c r="J4042" t="s">
        <v>36</v>
      </c>
      <c r="K4042">
        <v>2590</v>
      </c>
      <c r="O4042" t="s">
        <v>195</v>
      </c>
      <c r="P4042" t="s">
        <v>79</v>
      </c>
      <c r="U4042" s="9" t="s">
        <v>242</v>
      </c>
      <c r="V4042" t="s">
        <v>2042</v>
      </c>
      <c r="W4042" t="s">
        <v>178</v>
      </c>
      <c r="X4042" t="s">
        <v>70</v>
      </c>
      <c r="Y4042" t="s">
        <v>179</v>
      </c>
      <c r="Z4042" t="s">
        <v>41</v>
      </c>
      <c r="AB4042" t="str">
        <f t="shared" si="189"/>
        <v>54522</v>
      </c>
    </row>
    <row r="4043" ht="14.25" spans="1:28">
      <c r="A4043" s="5" t="s">
        <v>28</v>
      </c>
      <c r="B4043" s="5" t="s">
        <v>697</v>
      </c>
      <c r="C4043" s="5">
        <v>2027</v>
      </c>
      <c r="D4043" s="5" t="s">
        <v>30</v>
      </c>
      <c r="E4043" t="s">
        <v>2289</v>
      </c>
      <c r="F4043" t="s">
        <v>2287</v>
      </c>
      <c r="G4043" t="s">
        <v>1937</v>
      </c>
      <c r="H4043" t="s">
        <v>2290</v>
      </c>
      <c r="I4043" t="s">
        <v>147</v>
      </c>
      <c r="J4043" t="s">
        <v>36</v>
      </c>
      <c r="K4043">
        <v>2590</v>
      </c>
      <c r="O4043" t="s">
        <v>195</v>
      </c>
      <c r="P4043" t="s">
        <v>74</v>
      </c>
      <c r="R4043">
        <f t="shared" si="190"/>
        <v>0</v>
      </c>
      <c r="S4043">
        <f>SUMIFS([1]Sheet1!$T:$T,[1]Sheet1!$I:$I,E4043,[1]Sheet1!$C:$C,A4043)</f>
        <v>20</v>
      </c>
      <c r="T4043">
        <f t="shared" si="191"/>
        <v>-20</v>
      </c>
      <c r="U4043" s="9" t="s">
        <v>242</v>
      </c>
      <c r="V4043" t="s">
        <v>2042</v>
      </c>
      <c r="W4043" t="s">
        <v>178</v>
      </c>
      <c r="X4043" t="s">
        <v>1106</v>
      </c>
      <c r="Y4043" t="s">
        <v>179</v>
      </c>
      <c r="Z4043" t="s">
        <v>41</v>
      </c>
      <c r="AB4043" t="str">
        <f t="shared" si="189"/>
        <v>54522</v>
      </c>
    </row>
    <row r="4044" ht="14.25" spans="1:28">
      <c r="A4044" s="5" t="s">
        <v>28</v>
      </c>
      <c r="B4044" s="5" t="s">
        <v>697</v>
      </c>
      <c r="C4044" s="5">
        <v>2027</v>
      </c>
      <c r="D4044" s="5" t="s">
        <v>30</v>
      </c>
      <c r="E4044" t="s">
        <v>2289</v>
      </c>
      <c r="F4044" t="s">
        <v>2287</v>
      </c>
      <c r="G4044" t="s">
        <v>1937</v>
      </c>
      <c r="H4044" t="s">
        <v>2290</v>
      </c>
      <c r="I4044" t="s">
        <v>147</v>
      </c>
      <c r="J4044" t="s">
        <v>36</v>
      </c>
      <c r="K4044">
        <v>2590</v>
      </c>
      <c r="O4044" t="s">
        <v>195</v>
      </c>
      <c r="P4044" t="s">
        <v>76</v>
      </c>
      <c r="U4044" s="9" t="s">
        <v>242</v>
      </c>
      <c r="V4044" t="s">
        <v>2042</v>
      </c>
      <c r="W4044" t="s">
        <v>178</v>
      </c>
      <c r="X4044" t="s">
        <v>1106</v>
      </c>
      <c r="Y4044" t="s">
        <v>179</v>
      </c>
      <c r="Z4044" t="s">
        <v>41</v>
      </c>
      <c r="AB4044" t="str">
        <f t="shared" si="189"/>
        <v>54522</v>
      </c>
    </row>
    <row r="4045" ht="14.25" spans="1:28">
      <c r="A4045" s="5" t="s">
        <v>28</v>
      </c>
      <c r="B4045" s="5" t="s">
        <v>697</v>
      </c>
      <c r="C4045" s="5">
        <v>2027</v>
      </c>
      <c r="D4045" s="5" t="s">
        <v>30</v>
      </c>
      <c r="E4045" t="s">
        <v>2289</v>
      </c>
      <c r="F4045" t="s">
        <v>2287</v>
      </c>
      <c r="G4045" t="s">
        <v>1937</v>
      </c>
      <c r="H4045" t="s">
        <v>2290</v>
      </c>
      <c r="I4045" t="s">
        <v>147</v>
      </c>
      <c r="J4045" t="s">
        <v>36</v>
      </c>
      <c r="K4045">
        <v>2590</v>
      </c>
      <c r="O4045" t="s">
        <v>195</v>
      </c>
      <c r="P4045" t="s">
        <v>77</v>
      </c>
      <c r="U4045" s="9" t="s">
        <v>242</v>
      </c>
      <c r="V4045" t="s">
        <v>2042</v>
      </c>
      <c r="W4045" t="s">
        <v>178</v>
      </c>
      <c r="X4045" t="s">
        <v>1106</v>
      </c>
      <c r="Y4045" t="s">
        <v>179</v>
      </c>
      <c r="Z4045" t="s">
        <v>41</v>
      </c>
      <c r="AB4045" t="str">
        <f t="shared" si="189"/>
        <v>54522</v>
      </c>
    </row>
    <row r="4046" ht="14.25" spans="1:28">
      <c r="A4046" s="5" t="s">
        <v>28</v>
      </c>
      <c r="B4046" s="5" t="s">
        <v>697</v>
      </c>
      <c r="C4046" s="5">
        <v>2027</v>
      </c>
      <c r="D4046" s="5" t="s">
        <v>30</v>
      </c>
      <c r="E4046" t="s">
        <v>2289</v>
      </c>
      <c r="F4046" t="s">
        <v>2287</v>
      </c>
      <c r="G4046" t="s">
        <v>1937</v>
      </c>
      <c r="H4046" t="s">
        <v>2290</v>
      </c>
      <c r="I4046" t="s">
        <v>147</v>
      </c>
      <c r="J4046" t="s">
        <v>36</v>
      </c>
      <c r="K4046">
        <v>2590</v>
      </c>
      <c r="O4046" t="s">
        <v>195</v>
      </c>
      <c r="P4046" t="s">
        <v>78</v>
      </c>
      <c r="U4046" s="9" t="s">
        <v>242</v>
      </c>
      <c r="V4046" t="s">
        <v>2042</v>
      </c>
      <c r="W4046" t="s">
        <v>178</v>
      </c>
      <c r="X4046" t="s">
        <v>1106</v>
      </c>
      <c r="Y4046" t="s">
        <v>179</v>
      </c>
      <c r="Z4046" t="s">
        <v>41</v>
      </c>
      <c r="AB4046" t="str">
        <f t="shared" si="189"/>
        <v>54522</v>
      </c>
    </row>
    <row r="4047" ht="14.25" spans="1:28">
      <c r="A4047" s="5" t="s">
        <v>28</v>
      </c>
      <c r="B4047" s="5" t="s">
        <v>697</v>
      </c>
      <c r="C4047" s="5">
        <v>2027</v>
      </c>
      <c r="D4047" s="5" t="s">
        <v>30</v>
      </c>
      <c r="E4047" t="s">
        <v>2289</v>
      </c>
      <c r="F4047" t="s">
        <v>2287</v>
      </c>
      <c r="G4047" t="s">
        <v>1937</v>
      </c>
      <c r="H4047" t="s">
        <v>2290</v>
      </c>
      <c r="I4047" t="s">
        <v>147</v>
      </c>
      <c r="J4047" t="s">
        <v>36</v>
      </c>
      <c r="K4047">
        <v>2590</v>
      </c>
      <c r="O4047" t="s">
        <v>195</v>
      </c>
      <c r="P4047" t="s">
        <v>79</v>
      </c>
      <c r="U4047" s="9" t="s">
        <v>242</v>
      </c>
      <c r="V4047" t="s">
        <v>2042</v>
      </c>
      <c r="W4047" t="s">
        <v>178</v>
      </c>
      <c r="X4047" t="s">
        <v>1106</v>
      </c>
      <c r="Y4047" t="s">
        <v>179</v>
      </c>
      <c r="Z4047" t="s">
        <v>41</v>
      </c>
      <c r="AB4047" t="str">
        <f t="shared" si="189"/>
        <v>54522</v>
      </c>
    </row>
    <row r="4048" ht="14.25" spans="1:28">
      <c r="A4048" s="5" t="s">
        <v>28</v>
      </c>
      <c r="B4048" s="5" t="s">
        <v>697</v>
      </c>
      <c r="C4048" s="5">
        <v>2027</v>
      </c>
      <c r="D4048" s="5" t="s">
        <v>30</v>
      </c>
      <c r="E4048" t="s">
        <v>2291</v>
      </c>
      <c r="F4048" t="s">
        <v>2292</v>
      </c>
      <c r="G4048" t="s">
        <v>65</v>
      </c>
      <c r="H4048" t="s">
        <v>2293</v>
      </c>
      <c r="I4048" t="s">
        <v>119</v>
      </c>
      <c r="J4048" t="s">
        <v>36</v>
      </c>
      <c r="K4048">
        <v>1590</v>
      </c>
      <c r="O4048" t="s">
        <v>195</v>
      </c>
      <c r="P4048" t="s">
        <v>74</v>
      </c>
      <c r="R4048">
        <f t="shared" si="190"/>
        <v>0</v>
      </c>
      <c r="S4048">
        <f>SUMIFS([1]Sheet1!$T:$T,[1]Sheet1!$I:$I,E4048,[1]Sheet1!$C:$C,A4048)</f>
        <v>30</v>
      </c>
      <c r="T4048">
        <f t="shared" si="191"/>
        <v>-30</v>
      </c>
      <c r="U4048" s="9" t="s">
        <v>136</v>
      </c>
      <c r="V4048" t="s">
        <v>137</v>
      </c>
      <c r="W4048" t="s">
        <v>178</v>
      </c>
      <c r="X4048" t="s">
        <v>70</v>
      </c>
      <c r="Y4048" t="s">
        <v>179</v>
      </c>
      <c r="Z4048" t="s">
        <v>413</v>
      </c>
      <c r="AB4048" t="str">
        <f t="shared" si="189"/>
        <v>54528</v>
      </c>
    </row>
    <row r="4049" ht="14.25" spans="1:28">
      <c r="A4049" s="5" t="s">
        <v>28</v>
      </c>
      <c r="B4049" s="5" t="s">
        <v>697</v>
      </c>
      <c r="C4049" s="5">
        <v>2027</v>
      </c>
      <c r="D4049" s="5" t="s">
        <v>30</v>
      </c>
      <c r="E4049" t="s">
        <v>2291</v>
      </c>
      <c r="F4049" t="s">
        <v>2292</v>
      </c>
      <c r="G4049" t="s">
        <v>65</v>
      </c>
      <c r="H4049" t="s">
        <v>2293</v>
      </c>
      <c r="I4049" t="s">
        <v>119</v>
      </c>
      <c r="J4049" t="s">
        <v>36</v>
      </c>
      <c r="K4049">
        <v>1590</v>
      </c>
      <c r="O4049" t="s">
        <v>195</v>
      </c>
      <c r="P4049" t="s">
        <v>76</v>
      </c>
      <c r="U4049" s="9" t="s">
        <v>136</v>
      </c>
      <c r="V4049" t="s">
        <v>137</v>
      </c>
      <c r="W4049" t="s">
        <v>178</v>
      </c>
      <c r="X4049" t="s">
        <v>70</v>
      </c>
      <c r="Y4049" t="s">
        <v>179</v>
      </c>
      <c r="Z4049" t="s">
        <v>413</v>
      </c>
      <c r="AB4049" t="str">
        <f t="shared" si="189"/>
        <v>54528</v>
      </c>
    </row>
    <row r="4050" ht="14.25" spans="1:28">
      <c r="A4050" s="5" t="s">
        <v>28</v>
      </c>
      <c r="B4050" s="5" t="s">
        <v>697</v>
      </c>
      <c r="C4050" s="5">
        <v>2027</v>
      </c>
      <c r="D4050" s="5" t="s">
        <v>30</v>
      </c>
      <c r="E4050" t="s">
        <v>2291</v>
      </c>
      <c r="F4050" t="s">
        <v>2292</v>
      </c>
      <c r="G4050" t="s">
        <v>65</v>
      </c>
      <c r="H4050" t="s">
        <v>2293</v>
      </c>
      <c r="I4050" t="s">
        <v>119</v>
      </c>
      <c r="J4050" t="s">
        <v>36</v>
      </c>
      <c r="K4050">
        <v>1590</v>
      </c>
      <c r="O4050" t="s">
        <v>195</v>
      </c>
      <c r="P4050" t="s">
        <v>77</v>
      </c>
      <c r="U4050" s="9" t="s">
        <v>136</v>
      </c>
      <c r="V4050" t="s">
        <v>137</v>
      </c>
      <c r="W4050" t="s">
        <v>178</v>
      </c>
      <c r="X4050" t="s">
        <v>70</v>
      </c>
      <c r="Y4050" t="s">
        <v>179</v>
      </c>
      <c r="Z4050" t="s">
        <v>413</v>
      </c>
      <c r="AB4050" t="str">
        <f t="shared" si="189"/>
        <v>54528</v>
      </c>
    </row>
    <row r="4051" ht="14.25" spans="1:28">
      <c r="A4051" s="5" t="s">
        <v>28</v>
      </c>
      <c r="B4051" s="5" t="s">
        <v>697</v>
      </c>
      <c r="C4051" s="5">
        <v>2027</v>
      </c>
      <c r="D4051" s="5" t="s">
        <v>30</v>
      </c>
      <c r="E4051" t="s">
        <v>2291</v>
      </c>
      <c r="F4051" t="s">
        <v>2292</v>
      </c>
      <c r="G4051" t="s">
        <v>65</v>
      </c>
      <c r="H4051" t="s">
        <v>2293</v>
      </c>
      <c r="I4051" t="s">
        <v>119</v>
      </c>
      <c r="J4051" t="s">
        <v>36</v>
      </c>
      <c r="K4051">
        <v>1590</v>
      </c>
      <c r="O4051" t="s">
        <v>195</v>
      </c>
      <c r="P4051" t="s">
        <v>78</v>
      </c>
      <c r="U4051" s="9" t="s">
        <v>136</v>
      </c>
      <c r="V4051" t="s">
        <v>137</v>
      </c>
      <c r="W4051" t="s">
        <v>178</v>
      </c>
      <c r="X4051" t="s">
        <v>70</v>
      </c>
      <c r="Y4051" t="s">
        <v>179</v>
      </c>
      <c r="Z4051" t="s">
        <v>413</v>
      </c>
      <c r="AB4051" t="str">
        <f t="shared" si="189"/>
        <v>54528</v>
      </c>
    </row>
    <row r="4052" ht="14.25" spans="1:28">
      <c r="A4052" s="5" t="s">
        <v>28</v>
      </c>
      <c r="B4052" s="5" t="s">
        <v>697</v>
      </c>
      <c r="C4052" s="5">
        <v>2027</v>
      </c>
      <c r="D4052" s="5" t="s">
        <v>30</v>
      </c>
      <c r="E4052" t="s">
        <v>2291</v>
      </c>
      <c r="F4052" t="s">
        <v>2292</v>
      </c>
      <c r="G4052" t="s">
        <v>65</v>
      </c>
      <c r="H4052" t="s">
        <v>2293</v>
      </c>
      <c r="I4052" t="s">
        <v>119</v>
      </c>
      <c r="J4052" t="s">
        <v>36</v>
      </c>
      <c r="K4052">
        <v>1590</v>
      </c>
      <c r="O4052" t="s">
        <v>195</v>
      </c>
      <c r="P4052" t="s">
        <v>79</v>
      </c>
      <c r="U4052" s="9" t="s">
        <v>136</v>
      </c>
      <c r="V4052" t="s">
        <v>137</v>
      </c>
      <c r="W4052" t="s">
        <v>178</v>
      </c>
      <c r="X4052" t="s">
        <v>70</v>
      </c>
      <c r="Y4052" t="s">
        <v>179</v>
      </c>
      <c r="Z4052" t="s">
        <v>413</v>
      </c>
      <c r="AB4052" t="str">
        <f t="shared" si="189"/>
        <v>54528</v>
      </c>
    </row>
    <row r="4053" ht="14.25" spans="1:28">
      <c r="A4053" s="5" t="s">
        <v>28</v>
      </c>
      <c r="B4053" s="5" t="s">
        <v>697</v>
      </c>
      <c r="C4053" s="5">
        <v>2027</v>
      </c>
      <c r="D4053" s="5" t="s">
        <v>30</v>
      </c>
      <c r="E4053" t="s">
        <v>2294</v>
      </c>
      <c r="F4053" t="s">
        <v>2292</v>
      </c>
      <c r="G4053" t="s">
        <v>182</v>
      </c>
      <c r="H4053" t="s">
        <v>2295</v>
      </c>
      <c r="I4053" t="s">
        <v>147</v>
      </c>
      <c r="J4053" t="s">
        <v>36</v>
      </c>
      <c r="K4053">
        <v>1590</v>
      </c>
      <c r="O4053" t="s">
        <v>195</v>
      </c>
      <c r="P4053" t="s">
        <v>74</v>
      </c>
      <c r="R4053">
        <f t="shared" si="190"/>
        <v>0</v>
      </c>
      <c r="S4053">
        <f>SUMIFS([1]Sheet1!$T:$T,[1]Sheet1!$I:$I,E4053,[1]Sheet1!$C:$C,A4053)</f>
        <v>0</v>
      </c>
      <c r="T4053">
        <f t="shared" si="191"/>
        <v>0</v>
      </c>
      <c r="U4053" s="9" t="s">
        <v>136</v>
      </c>
      <c r="V4053" t="s">
        <v>137</v>
      </c>
      <c r="W4053" t="s">
        <v>178</v>
      </c>
      <c r="X4053" t="s">
        <v>102</v>
      </c>
      <c r="Y4053" t="s">
        <v>179</v>
      </c>
      <c r="Z4053" t="s">
        <v>413</v>
      </c>
      <c r="AB4053" t="str">
        <f t="shared" si="189"/>
        <v>54528</v>
      </c>
    </row>
    <row r="4054" ht="14.25" spans="1:28">
      <c r="A4054" s="5" t="s">
        <v>28</v>
      </c>
      <c r="B4054" s="5" t="s">
        <v>697</v>
      </c>
      <c r="C4054" s="5">
        <v>2027</v>
      </c>
      <c r="D4054" s="5" t="s">
        <v>30</v>
      </c>
      <c r="E4054" t="s">
        <v>2294</v>
      </c>
      <c r="F4054" t="s">
        <v>2292</v>
      </c>
      <c r="G4054" t="s">
        <v>182</v>
      </c>
      <c r="H4054" t="s">
        <v>2295</v>
      </c>
      <c r="I4054" t="s">
        <v>147</v>
      </c>
      <c r="J4054" t="s">
        <v>36</v>
      </c>
      <c r="K4054">
        <v>1590</v>
      </c>
      <c r="O4054" t="s">
        <v>195</v>
      </c>
      <c r="P4054" t="s">
        <v>76</v>
      </c>
      <c r="U4054" s="9" t="s">
        <v>136</v>
      </c>
      <c r="V4054" t="s">
        <v>137</v>
      </c>
      <c r="W4054" t="s">
        <v>178</v>
      </c>
      <c r="X4054" t="s">
        <v>102</v>
      </c>
      <c r="Y4054" t="s">
        <v>179</v>
      </c>
      <c r="Z4054" t="s">
        <v>413</v>
      </c>
      <c r="AB4054" t="str">
        <f t="shared" si="189"/>
        <v>54528</v>
      </c>
    </row>
    <row r="4055" ht="14.25" spans="1:28">
      <c r="A4055" s="5" t="s">
        <v>28</v>
      </c>
      <c r="B4055" s="5" t="s">
        <v>697</v>
      </c>
      <c r="C4055" s="5">
        <v>2027</v>
      </c>
      <c r="D4055" s="5" t="s">
        <v>30</v>
      </c>
      <c r="E4055" t="s">
        <v>2294</v>
      </c>
      <c r="F4055" t="s">
        <v>2292</v>
      </c>
      <c r="G4055" t="s">
        <v>182</v>
      </c>
      <c r="H4055" t="s">
        <v>2295</v>
      </c>
      <c r="I4055" t="s">
        <v>147</v>
      </c>
      <c r="J4055" t="s">
        <v>36</v>
      </c>
      <c r="K4055">
        <v>1590</v>
      </c>
      <c r="O4055" t="s">
        <v>195</v>
      </c>
      <c r="P4055" t="s">
        <v>77</v>
      </c>
      <c r="U4055" s="9" t="s">
        <v>136</v>
      </c>
      <c r="V4055" t="s">
        <v>137</v>
      </c>
      <c r="W4055" t="s">
        <v>178</v>
      </c>
      <c r="X4055" t="s">
        <v>102</v>
      </c>
      <c r="Y4055" t="s">
        <v>179</v>
      </c>
      <c r="Z4055" t="s">
        <v>413</v>
      </c>
      <c r="AB4055" t="str">
        <f t="shared" si="189"/>
        <v>54528</v>
      </c>
    </row>
    <row r="4056" ht="14.25" spans="1:28">
      <c r="A4056" s="5" t="s">
        <v>28</v>
      </c>
      <c r="B4056" s="5" t="s">
        <v>697</v>
      </c>
      <c r="C4056" s="5">
        <v>2027</v>
      </c>
      <c r="D4056" s="5" t="s">
        <v>30</v>
      </c>
      <c r="E4056" t="s">
        <v>2294</v>
      </c>
      <c r="F4056" t="s">
        <v>2292</v>
      </c>
      <c r="G4056" t="s">
        <v>182</v>
      </c>
      <c r="H4056" t="s">
        <v>2295</v>
      </c>
      <c r="I4056" t="s">
        <v>147</v>
      </c>
      <c r="J4056" t="s">
        <v>36</v>
      </c>
      <c r="K4056">
        <v>1590</v>
      </c>
      <c r="O4056" t="s">
        <v>195</v>
      </c>
      <c r="P4056" t="s">
        <v>78</v>
      </c>
      <c r="U4056" s="9" t="s">
        <v>136</v>
      </c>
      <c r="V4056" t="s">
        <v>137</v>
      </c>
      <c r="W4056" t="s">
        <v>178</v>
      </c>
      <c r="X4056" t="s">
        <v>102</v>
      </c>
      <c r="Y4056" t="s">
        <v>179</v>
      </c>
      <c r="Z4056" t="s">
        <v>413</v>
      </c>
      <c r="AB4056" t="str">
        <f t="shared" si="189"/>
        <v>54528</v>
      </c>
    </row>
    <row r="4057" ht="14.25" spans="1:28">
      <c r="A4057" s="5" t="s">
        <v>28</v>
      </c>
      <c r="B4057" s="5" t="s">
        <v>697</v>
      </c>
      <c r="C4057" s="5">
        <v>2027</v>
      </c>
      <c r="D4057" s="5" t="s">
        <v>30</v>
      </c>
      <c r="E4057" t="s">
        <v>2294</v>
      </c>
      <c r="F4057" t="s">
        <v>2292</v>
      </c>
      <c r="G4057" t="s">
        <v>182</v>
      </c>
      <c r="H4057" t="s">
        <v>2295</v>
      </c>
      <c r="I4057" t="s">
        <v>147</v>
      </c>
      <c r="J4057" t="s">
        <v>36</v>
      </c>
      <c r="K4057">
        <v>1590</v>
      </c>
      <c r="O4057" t="s">
        <v>195</v>
      </c>
      <c r="P4057" t="s">
        <v>79</v>
      </c>
      <c r="U4057" s="9" t="s">
        <v>136</v>
      </c>
      <c r="V4057" t="s">
        <v>137</v>
      </c>
      <c r="W4057" t="s">
        <v>178</v>
      </c>
      <c r="X4057" t="s">
        <v>102</v>
      </c>
      <c r="Y4057" t="s">
        <v>179</v>
      </c>
      <c r="Z4057" t="s">
        <v>413</v>
      </c>
      <c r="AB4057" t="str">
        <f t="shared" si="189"/>
        <v>54528</v>
      </c>
    </row>
    <row r="4058" ht="14.25" spans="1:28">
      <c r="A4058" s="5" t="s">
        <v>28</v>
      </c>
      <c r="B4058" s="5" t="s">
        <v>697</v>
      </c>
      <c r="C4058" s="5">
        <v>2027</v>
      </c>
      <c r="D4058" s="5" t="s">
        <v>30</v>
      </c>
      <c r="E4058" t="s">
        <v>2296</v>
      </c>
      <c r="F4058" t="s">
        <v>2297</v>
      </c>
      <c r="G4058" t="s">
        <v>2208</v>
      </c>
      <c r="H4058" t="s">
        <v>2298</v>
      </c>
      <c r="I4058" t="s">
        <v>119</v>
      </c>
      <c r="J4058" t="s">
        <v>36</v>
      </c>
      <c r="K4058">
        <v>690</v>
      </c>
      <c r="O4058" t="s">
        <v>176</v>
      </c>
      <c r="P4058" t="s">
        <v>177</v>
      </c>
      <c r="R4058">
        <f t="shared" si="190"/>
        <v>0</v>
      </c>
      <c r="S4058">
        <f>SUMIFS([1]Sheet1!$T:$T,[1]Sheet1!$I:$I,E4058,[1]Sheet1!$C:$C,A4058)</f>
        <v>0</v>
      </c>
      <c r="T4058">
        <f t="shared" si="191"/>
        <v>0</v>
      </c>
      <c r="U4058" s="9" t="s">
        <v>148</v>
      </c>
      <c r="V4058" t="s">
        <v>184</v>
      </c>
      <c r="W4058" t="s">
        <v>178</v>
      </c>
      <c r="Y4058" t="s">
        <v>179</v>
      </c>
      <c r="Z4058" t="s">
        <v>41</v>
      </c>
      <c r="AB4058" t="str">
        <f t="shared" si="189"/>
        <v>54787</v>
      </c>
    </row>
    <row r="4059" ht="14.25" spans="1:28">
      <c r="A4059" s="5" t="s">
        <v>28</v>
      </c>
      <c r="B4059" s="5" t="s">
        <v>697</v>
      </c>
      <c r="C4059" s="5">
        <v>2027</v>
      </c>
      <c r="D4059" s="5" t="s">
        <v>30</v>
      </c>
      <c r="E4059" t="s">
        <v>2296</v>
      </c>
      <c r="F4059" t="s">
        <v>2297</v>
      </c>
      <c r="G4059" t="s">
        <v>2208</v>
      </c>
      <c r="H4059" t="s">
        <v>2298</v>
      </c>
      <c r="I4059" t="s">
        <v>119</v>
      </c>
      <c r="J4059" t="s">
        <v>36</v>
      </c>
      <c r="K4059">
        <v>690</v>
      </c>
      <c r="O4059" t="s">
        <v>176</v>
      </c>
      <c r="P4059" t="s">
        <v>38</v>
      </c>
      <c r="U4059" s="9" t="s">
        <v>148</v>
      </c>
      <c r="V4059" t="s">
        <v>184</v>
      </c>
      <c r="W4059" t="s">
        <v>178</v>
      </c>
      <c r="Y4059" t="s">
        <v>179</v>
      </c>
      <c r="Z4059" t="s">
        <v>41</v>
      </c>
      <c r="AB4059" t="str">
        <f t="shared" si="189"/>
        <v>54787</v>
      </c>
    </row>
    <row r="4060" ht="14.25" spans="1:28">
      <c r="A4060" s="5" t="s">
        <v>28</v>
      </c>
      <c r="B4060" s="5" t="s">
        <v>697</v>
      </c>
      <c r="C4060" s="5">
        <v>2027</v>
      </c>
      <c r="D4060" s="5" t="s">
        <v>30</v>
      </c>
      <c r="E4060" t="s">
        <v>2296</v>
      </c>
      <c r="F4060" t="s">
        <v>2297</v>
      </c>
      <c r="G4060" t="s">
        <v>2208</v>
      </c>
      <c r="H4060" t="s">
        <v>2298</v>
      </c>
      <c r="I4060" t="s">
        <v>119</v>
      </c>
      <c r="J4060" t="s">
        <v>36</v>
      </c>
      <c r="K4060">
        <v>690</v>
      </c>
      <c r="O4060" t="s">
        <v>176</v>
      </c>
      <c r="P4060" t="s">
        <v>42</v>
      </c>
      <c r="U4060" s="9" t="s">
        <v>148</v>
      </c>
      <c r="V4060" t="s">
        <v>184</v>
      </c>
      <c r="W4060" t="s">
        <v>178</v>
      </c>
      <c r="Y4060" t="s">
        <v>179</v>
      </c>
      <c r="Z4060" t="s">
        <v>41</v>
      </c>
      <c r="AB4060" t="str">
        <f t="shared" si="189"/>
        <v>54787</v>
      </c>
    </row>
    <row r="4061" ht="14.25" spans="1:28">
      <c r="A4061" s="5" t="s">
        <v>28</v>
      </c>
      <c r="B4061" s="5" t="s">
        <v>697</v>
      </c>
      <c r="C4061" s="5">
        <v>2027</v>
      </c>
      <c r="D4061" s="5" t="s">
        <v>30</v>
      </c>
      <c r="E4061" t="s">
        <v>2296</v>
      </c>
      <c r="F4061" t="s">
        <v>2297</v>
      </c>
      <c r="G4061" t="s">
        <v>2208</v>
      </c>
      <c r="H4061" t="s">
        <v>2298</v>
      </c>
      <c r="I4061" t="s">
        <v>119</v>
      </c>
      <c r="J4061" t="s">
        <v>36</v>
      </c>
      <c r="K4061">
        <v>690</v>
      </c>
      <c r="O4061" t="s">
        <v>176</v>
      </c>
      <c r="P4061" t="s">
        <v>43</v>
      </c>
      <c r="U4061" s="9" t="s">
        <v>148</v>
      </c>
      <c r="V4061" t="s">
        <v>184</v>
      </c>
      <c r="W4061" t="s">
        <v>178</v>
      </c>
      <c r="Y4061" t="s">
        <v>179</v>
      </c>
      <c r="Z4061" t="s">
        <v>41</v>
      </c>
      <c r="AB4061" t="str">
        <f t="shared" si="189"/>
        <v>54787</v>
      </c>
    </row>
    <row r="4062" ht="14.25" spans="1:28">
      <c r="A4062" s="5" t="s">
        <v>28</v>
      </c>
      <c r="B4062" s="5" t="s">
        <v>697</v>
      </c>
      <c r="C4062" s="5">
        <v>2027</v>
      </c>
      <c r="D4062" s="5" t="s">
        <v>30</v>
      </c>
      <c r="E4062" t="s">
        <v>2296</v>
      </c>
      <c r="F4062" t="s">
        <v>2297</v>
      </c>
      <c r="G4062" t="s">
        <v>2208</v>
      </c>
      <c r="H4062" t="s">
        <v>2298</v>
      </c>
      <c r="I4062" t="s">
        <v>119</v>
      </c>
      <c r="J4062" t="s">
        <v>36</v>
      </c>
      <c r="K4062">
        <v>690</v>
      </c>
      <c r="O4062" t="s">
        <v>176</v>
      </c>
      <c r="P4062" t="s">
        <v>44</v>
      </c>
      <c r="U4062" s="9" t="s">
        <v>148</v>
      </c>
      <c r="V4062" t="s">
        <v>184</v>
      </c>
      <c r="W4062" t="s">
        <v>178</v>
      </c>
      <c r="Y4062" t="s">
        <v>179</v>
      </c>
      <c r="Z4062" t="s">
        <v>41</v>
      </c>
      <c r="AB4062" t="str">
        <f t="shared" si="189"/>
        <v>54787</v>
      </c>
    </row>
    <row r="4063" ht="14.25" spans="1:28">
      <c r="A4063" s="5" t="s">
        <v>28</v>
      </c>
      <c r="B4063" s="5" t="s">
        <v>697</v>
      </c>
      <c r="C4063" s="5">
        <v>2027</v>
      </c>
      <c r="D4063" s="5" t="s">
        <v>30</v>
      </c>
      <c r="E4063" t="s">
        <v>2296</v>
      </c>
      <c r="F4063" t="s">
        <v>2297</v>
      </c>
      <c r="G4063" t="s">
        <v>2208</v>
      </c>
      <c r="H4063" t="s">
        <v>2298</v>
      </c>
      <c r="I4063" t="s">
        <v>119</v>
      </c>
      <c r="J4063" t="s">
        <v>36</v>
      </c>
      <c r="K4063">
        <v>690</v>
      </c>
      <c r="O4063" t="s">
        <v>176</v>
      </c>
      <c r="P4063" t="s">
        <v>45</v>
      </c>
      <c r="U4063" s="9" t="s">
        <v>148</v>
      </c>
      <c r="V4063" t="s">
        <v>184</v>
      </c>
      <c r="W4063" t="s">
        <v>178</v>
      </c>
      <c r="Y4063" t="s">
        <v>179</v>
      </c>
      <c r="Z4063" t="s">
        <v>41</v>
      </c>
      <c r="AB4063" t="str">
        <f t="shared" si="189"/>
        <v>54787</v>
      </c>
    </row>
    <row r="4064" ht="14.25" spans="1:28">
      <c r="A4064" s="5" t="s">
        <v>28</v>
      </c>
      <c r="B4064" s="5" t="s">
        <v>697</v>
      </c>
      <c r="C4064" s="5">
        <v>2027</v>
      </c>
      <c r="D4064" s="5" t="s">
        <v>30</v>
      </c>
      <c r="E4064" t="s">
        <v>2299</v>
      </c>
      <c r="F4064" t="s">
        <v>2297</v>
      </c>
      <c r="G4064" t="s">
        <v>2007</v>
      </c>
      <c r="H4064" t="s">
        <v>2300</v>
      </c>
      <c r="I4064" t="s">
        <v>119</v>
      </c>
      <c r="J4064" t="s">
        <v>36</v>
      </c>
      <c r="K4064">
        <v>690</v>
      </c>
      <c r="O4064" t="s">
        <v>176</v>
      </c>
      <c r="P4064" t="s">
        <v>177</v>
      </c>
      <c r="R4064">
        <f t="shared" si="190"/>
        <v>0</v>
      </c>
      <c r="S4064">
        <f>SUMIFS([1]Sheet1!$T:$T,[1]Sheet1!$I:$I,E4064,[1]Sheet1!$C:$C,A4064)</f>
        <v>0</v>
      </c>
      <c r="T4064">
        <f t="shared" si="191"/>
        <v>0</v>
      </c>
      <c r="U4064" s="9" t="s">
        <v>148</v>
      </c>
      <c r="V4064" t="s">
        <v>184</v>
      </c>
      <c r="W4064" t="s">
        <v>178</v>
      </c>
      <c r="X4064" t="s">
        <v>62</v>
      </c>
      <c r="Y4064" t="s">
        <v>179</v>
      </c>
      <c r="Z4064" t="s">
        <v>41</v>
      </c>
      <c r="AB4064" t="str">
        <f t="shared" si="189"/>
        <v>54787</v>
      </c>
    </row>
    <row r="4065" ht="14.25" spans="1:28">
      <c r="A4065" s="5" t="s">
        <v>28</v>
      </c>
      <c r="B4065" s="5" t="s">
        <v>697</v>
      </c>
      <c r="C4065" s="5">
        <v>2027</v>
      </c>
      <c r="D4065" s="5" t="s">
        <v>30</v>
      </c>
      <c r="E4065" t="s">
        <v>2299</v>
      </c>
      <c r="F4065" t="s">
        <v>2297</v>
      </c>
      <c r="G4065" t="s">
        <v>2007</v>
      </c>
      <c r="H4065" t="s">
        <v>2300</v>
      </c>
      <c r="I4065" t="s">
        <v>119</v>
      </c>
      <c r="J4065" t="s">
        <v>36</v>
      </c>
      <c r="K4065">
        <v>690</v>
      </c>
      <c r="O4065" t="s">
        <v>176</v>
      </c>
      <c r="P4065" t="s">
        <v>38</v>
      </c>
      <c r="U4065" s="9" t="s">
        <v>148</v>
      </c>
      <c r="V4065" t="s">
        <v>184</v>
      </c>
      <c r="W4065" t="s">
        <v>178</v>
      </c>
      <c r="X4065" t="s">
        <v>62</v>
      </c>
      <c r="Y4065" t="s">
        <v>179</v>
      </c>
      <c r="Z4065" t="s">
        <v>41</v>
      </c>
      <c r="AB4065" t="str">
        <f t="shared" si="189"/>
        <v>54787</v>
      </c>
    </row>
    <row r="4066" ht="14.25" spans="1:28">
      <c r="A4066" s="5" t="s">
        <v>28</v>
      </c>
      <c r="B4066" s="5" t="s">
        <v>697</v>
      </c>
      <c r="C4066" s="5">
        <v>2027</v>
      </c>
      <c r="D4066" s="5" t="s">
        <v>30</v>
      </c>
      <c r="E4066" t="s">
        <v>2299</v>
      </c>
      <c r="F4066" t="s">
        <v>2297</v>
      </c>
      <c r="G4066" t="s">
        <v>2007</v>
      </c>
      <c r="H4066" t="s">
        <v>2300</v>
      </c>
      <c r="I4066" t="s">
        <v>119</v>
      </c>
      <c r="J4066" t="s">
        <v>36</v>
      </c>
      <c r="K4066">
        <v>690</v>
      </c>
      <c r="O4066" t="s">
        <v>176</v>
      </c>
      <c r="P4066" t="s">
        <v>42</v>
      </c>
      <c r="U4066" s="9" t="s">
        <v>148</v>
      </c>
      <c r="V4066" t="s">
        <v>184</v>
      </c>
      <c r="W4066" t="s">
        <v>178</v>
      </c>
      <c r="X4066" t="s">
        <v>62</v>
      </c>
      <c r="Y4066" t="s">
        <v>179</v>
      </c>
      <c r="Z4066" t="s">
        <v>41</v>
      </c>
      <c r="AB4066" t="str">
        <f t="shared" si="189"/>
        <v>54787</v>
      </c>
    </row>
    <row r="4067" ht="14.25" spans="1:28">
      <c r="A4067" s="5" t="s">
        <v>28</v>
      </c>
      <c r="B4067" s="5" t="s">
        <v>697</v>
      </c>
      <c r="C4067" s="5">
        <v>2027</v>
      </c>
      <c r="D4067" s="5" t="s">
        <v>30</v>
      </c>
      <c r="E4067" t="s">
        <v>2299</v>
      </c>
      <c r="F4067" t="s">
        <v>2297</v>
      </c>
      <c r="G4067" t="s">
        <v>2007</v>
      </c>
      <c r="H4067" t="s">
        <v>2300</v>
      </c>
      <c r="I4067" t="s">
        <v>119</v>
      </c>
      <c r="J4067" t="s">
        <v>36</v>
      </c>
      <c r="K4067">
        <v>690</v>
      </c>
      <c r="O4067" t="s">
        <v>176</v>
      </c>
      <c r="P4067" t="s">
        <v>43</v>
      </c>
      <c r="U4067" s="9" t="s">
        <v>148</v>
      </c>
      <c r="V4067" t="s">
        <v>184</v>
      </c>
      <c r="W4067" t="s">
        <v>178</v>
      </c>
      <c r="X4067" t="s">
        <v>62</v>
      </c>
      <c r="Y4067" t="s">
        <v>179</v>
      </c>
      <c r="Z4067" t="s">
        <v>41</v>
      </c>
      <c r="AB4067" t="str">
        <f t="shared" si="189"/>
        <v>54787</v>
      </c>
    </row>
    <row r="4068" ht="14.25" spans="1:28">
      <c r="A4068" s="5" t="s">
        <v>28</v>
      </c>
      <c r="B4068" s="5" t="s">
        <v>697</v>
      </c>
      <c r="C4068" s="5">
        <v>2027</v>
      </c>
      <c r="D4068" s="5" t="s">
        <v>30</v>
      </c>
      <c r="E4068" t="s">
        <v>2299</v>
      </c>
      <c r="F4068" t="s">
        <v>2297</v>
      </c>
      <c r="G4068" t="s">
        <v>2007</v>
      </c>
      <c r="H4068" t="s">
        <v>2300</v>
      </c>
      <c r="I4068" t="s">
        <v>119</v>
      </c>
      <c r="J4068" t="s">
        <v>36</v>
      </c>
      <c r="K4068">
        <v>690</v>
      </c>
      <c r="O4068" t="s">
        <v>176</v>
      </c>
      <c r="P4068" t="s">
        <v>44</v>
      </c>
      <c r="U4068" s="9" t="s">
        <v>148</v>
      </c>
      <c r="V4068" t="s">
        <v>184</v>
      </c>
      <c r="W4068" t="s">
        <v>178</v>
      </c>
      <c r="X4068" t="s">
        <v>62</v>
      </c>
      <c r="Y4068" t="s">
        <v>179</v>
      </c>
      <c r="Z4068" t="s">
        <v>41</v>
      </c>
      <c r="AB4068" t="str">
        <f t="shared" si="189"/>
        <v>54787</v>
      </c>
    </row>
    <row r="4069" ht="14.25" spans="1:28">
      <c r="A4069" s="5" t="s">
        <v>28</v>
      </c>
      <c r="B4069" s="5" t="s">
        <v>697</v>
      </c>
      <c r="C4069" s="5">
        <v>2027</v>
      </c>
      <c r="D4069" s="5" t="s">
        <v>30</v>
      </c>
      <c r="E4069" t="s">
        <v>2299</v>
      </c>
      <c r="F4069" t="s">
        <v>2297</v>
      </c>
      <c r="G4069" t="s">
        <v>2007</v>
      </c>
      <c r="H4069" t="s">
        <v>2300</v>
      </c>
      <c r="I4069" t="s">
        <v>119</v>
      </c>
      <c r="J4069" t="s">
        <v>36</v>
      </c>
      <c r="K4069">
        <v>690</v>
      </c>
      <c r="O4069" t="s">
        <v>176</v>
      </c>
      <c r="P4069" t="s">
        <v>45</v>
      </c>
      <c r="U4069" s="9" t="s">
        <v>148</v>
      </c>
      <c r="V4069" t="s">
        <v>184</v>
      </c>
      <c r="W4069" t="s">
        <v>178</v>
      </c>
      <c r="X4069" t="s">
        <v>62</v>
      </c>
      <c r="Y4069" t="s">
        <v>179</v>
      </c>
      <c r="Z4069" t="s">
        <v>41</v>
      </c>
      <c r="AB4069" t="str">
        <f t="shared" si="189"/>
        <v>54787</v>
      </c>
    </row>
    <row r="4070" ht="14.25" spans="1:28">
      <c r="A4070" s="5" t="s">
        <v>28</v>
      </c>
      <c r="B4070" s="5" t="s">
        <v>697</v>
      </c>
      <c r="C4070" s="5">
        <v>2027</v>
      </c>
      <c r="D4070" s="5" t="s">
        <v>30</v>
      </c>
      <c r="E4070" t="s">
        <v>2301</v>
      </c>
      <c r="F4070" t="s">
        <v>2302</v>
      </c>
      <c r="G4070" t="s">
        <v>1898</v>
      </c>
      <c r="H4070" t="s">
        <v>2303</v>
      </c>
      <c r="I4070" t="s">
        <v>147</v>
      </c>
      <c r="J4070" t="s">
        <v>36</v>
      </c>
      <c r="K4070">
        <v>1390</v>
      </c>
      <c r="O4070" t="s">
        <v>176</v>
      </c>
      <c r="P4070" t="s">
        <v>177</v>
      </c>
      <c r="R4070">
        <f t="shared" si="190"/>
        <v>0</v>
      </c>
      <c r="S4070">
        <f>SUMIFS([1]Sheet1!$T:$T,[1]Sheet1!$I:$I,E4070,[1]Sheet1!$C:$C,A4070)</f>
        <v>150</v>
      </c>
      <c r="T4070">
        <f t="shared" si="191"/>
        <v>-150</v>
      </c>
      <c r="U4070" s="9" t="s">
        <v>148</v>
      </c>
      <c r="V4070" t="s">
        <v>164</v>
      </c>
      <c r="W4070" t="s">
        <v>178</v>
      </c>
      <c r="X4070" t="s">
        <v>58</v>
      </c>
      <c r="Y4070" t="s">
        <v>179</v>
      </c>
      <c r="Z4070" t="s">
        <v>41</v>
      </c>
      <c r="AB4070" t="str">
        <f t="shared" si="189"/>
        <v>54822</v>
      </c>
    </row>
    <row r="4071" ht="14.25" spans="1:28">
      <c r="A4071" s="5" t="s">
        <v>28</v>
      </c>
      <c r="B4071" s="5" t="s">
        <v>697</v>
      </c>
      <c r="C4071" s="5">
        <v>2027</v>
      </c>
      <c r="D4071" s="5" t="s">
        <v>30</v>
      </c>
      <c r="E4071" t="s">
        <v>2301</v>
      </c>
      <c r="F4071" t="s">
        <v>2302</v>
      </c>
      <c r="G4071" t="s">
        <v>1898</v>
      </c>
      <c r="H4071" t="s">
        <v>2303</v>
      </c>
      <c r="I4071" t="s">
        <v>147</v>
      </c>
      <c r="J4071" t="s">
        <v>36</v>
      </c>
      <c r="K4071">
        <v>1390</v>
      </c>
      <c r="O4071" t="s">
        <v>176</v>
      </c>
      <c r="P4071" t="s">
        <v>38</v>
      </c>
      <c r="U4071" s="9" t="s">
        <v>148</v>
      </c>
      <c r="V4071" t="s">
        <v>164</v>
      </c>
      <c r="W4071" t="s">
        <v>178</v>
      </c>
      <c r="X4071" t="s">
        <v>58</v>
      </c>
      <c r="Y4071" t="s">
        <v>179</v>
      </c>
      <c r="Z4071" t="s">
        <v>41</v>
      </c>
      <c r="AB4071" t="str">
        <f t="shared" si="189"/>
        <v>54822</v>
      </c>
    </row>
    <row r="4072" ht="14.25" spans="1:28">
      <c r="A4072" s="5" t="s">
        <v>28</v>
      </c>
      <c r="B4072" s="5" t="s">
        <v>697</v>
      </c>
      <c r="C4072" s="5">
        <v>2027</v>
      </c>
      <c r="D4072" s="5" t="s">
        <v>30</v>
      </c>
      <c r="E4072" t="s">
        <v>2301</v>
      </c>
      <c r="F4072" t="s">
        <v>2302</v>
      </c>
      <c r="G4072" t="s">
        <v>1898</v>
      </c>
      <c r="H4072" t="s">
        <v>2303</v>
      </c>
      <c r="I4072" t="s">
        <v>147</v>
      </c>
      <c r="J4072" t="s">
        <v>36</v>
      </c>
      <c r="K4072">
        <v>1390</v>
      </c>
      <c r="O4072" t="s">
        <v>176</v>
      </c>
      <c r="P4072" t="s">
        <v>42</v>
      </c>
      <c r="U4072" s="9" t="s">
        <v>148</v>
      </c>
      <c r="V4072" t="s">
        <v>164</v>
      </c>
      <c r="W4072" t="s">
        <v>178</v>
      </c>
      <c r="X4072" t="s">
        <v>58</v>
      </c>
      <c r="Y4072" t="s">
        <v>179</v>
      </c>
      <c r="Z4072" t="s">
        <v>41</v>
      </c>
      <c r="AB4072" t="str">
        <f t="shared" si="189"/>
        <v>54822</v>
      </c>
    </row>
    <row r="4073" ht="14.25" spans="1:28">
      <c r="A4073" s="5" t="s">
        <v>28</v>
      </c>
      <c r="B4073" s="5" t="s">
        <v>697</v>
      </c>
      <c r="C4073" s="5">
        <v>2027</v>
      </c>
      <c r="D4073" s="5" t="s">
        <v>30</v>
      </c>
      <c r="E4073" t="s">
        <v>2301</v>
      </c>
      <c r="F4073" t="s">
        <v>2302</v>
      </c>
      <c r="G4073" t="s">
        <v>1898</v>
      </c>
      <c r="H4073" t="s">
        <v>2303</v>
      </c>
      <c r="I4073" t="s">
        <v>147</v>
      </c>
      <c r="J4073" t="s">
        <v>36</v>
      </c>
      <c r="K4073">
        <v>1390</v>
      </c>
      <c r="O4073" t="s">
        <v>176</v>
      </c>
      <c r="P4073" t="s">
        <v>43</v>
      </c>
      <c r="U4073" s="9" t="s">
        <v>148</v>
      </c>
      <c r="V4073" t="s">
        <v>164</v>
      </c>
      <c r="W4073" t="s">
        <v>178</v>
      </c>
      <c r="X4073" t="s">
        <v>58</v>
      </c>
      <c r="Y4073" t="s">
        <v>179</v>
      </c>
      <c r="Z4073" t="s">
        <v>41</v>
      </c>
      <c r="AB4073" t="str">
        <f t="shared" si="189"/>
        <v>54822</v>
      </c>
    </row>
    <row r="4074" ht="14.25" spans="1:28">
      <c r="A4074" s="5" t="s">
        <v>28</v>
      </c>
      <c r="B4074" s="5" t="s">
        <v>697</v>
      </c>
      <c r="C4074" s="5">
        <v>2027</v>
      </c>
      <c r="D4074" s="5" t="s">
        <v>30</v>
      </c>
      <c r="E4074" t="s">
        <v>2301</v>
      </c>
      <c r="F4074" t="s">
        <v>2302</v>
      </c>
      <c r="G4074" t="s">
        <v>1898</v>
      </c>
      <c r="H4074" t="s">
        <v>2303</v>
      </c>
      <c r="I4074" t="s">
        <v>147</v>
      </c>
      <c r="J4074" t="s">
        <v>36</v>
      </c>
      <c r="K4074">
        <v>1390</v>
      </c>
      <c r="O4074" t="s">
        <v>176</v>
      </c>
      <c r="P4074" t="s">
        <v>44</v>
      </c>
      <c r="U4074" s="9" t="s">
        <v>148</v>
      </c>
      <c r="V4074" t="s">
        <v>164</v>
      </c>
      <c r="W4074" t="s">
        <v>178</v>
      </c>
      <c r="X4074" t="s">
        <v>58</v>
      </c>
      <c r="Y4074" t="s">
        <v>179</v>
      </c>
      <c r="Z4074" t="s">
        <v>41</v>
      </c>
      <c r="AB4074" t="str">
        <f t="shared" si="189"/>
        <v>54822</v>
      </c>
    </row>
    <row r="4075" ht="14.25" spans="1:28">
      <c r="A4075" s="5" t="s">
        <v>28</v>
      </c>
      <c r="B4075" s="5" t="s">
        <v>697</v>
      </c>
      <c r="C4075" s="5">
        <v>2027</v>
      </c>
      <c r="D4075" s="5" t="s">
        <v>30</v>
      </c>
      <c r="E4075" t="s">
        <v>2301</v>
      </c>
      <c r="F4075" t="s">
        <v>2302</v>
      </c>
      <c r="G4075" t="s">
        <v>1898</v>
      </c>
      <c r="H4075" t="s">
        <v>2303</v>
      </c>
      <c r="I4075" t="s">
        <v>147</v>
      </c>
      <c r="J4075" t="s">
        <v>36</v>
      </c>
      <c r="K4075">
        <v>1390</v>
      </c>
      <c r="O4075" t="s">
        <v>176</v>
      </c>
      <c r="P4075" t="s">
        <v>45</v>
      </c>
      <c r="U4075" s="9" t="s">
        <v>148</v>
      </c>
      <c r="V4075" t="s">
        <v>164</v>
      </c>
      <c r="W4075" t="s">
        <v>178</v>
      </c>
      <c r="X4075" t="s">
        <v>58</v>
      </c>
      <c r="Y4075" t="s">
        <v>179</v>
      </c>
      <c r="Z4075" t="s">
        <v>41</v>
      </c>
      <c r="AB4075" t="str">
        <f t="shared" si="189"/>
        <v>54822</v>
      </c>
    </row>
    <row r="4076" ht="14.25" spans="1:28">
      <c r="A4076" s="5" t="s">
        <v>28</v>
      </c>
      <c r="B4076" s="5" t="s">
        <v>697</v>
      </c>
      <c r="C4076" s="5">
        <v>2027</v>
      </c>
      <c r="D4076" s="5" t="s">
        <v>30</v>
      </c>
      <c r="E4076" t="s">
        <v>2304</v>
      </c>
      <c r="F4076" t="s">
        <v>2302</v>
      </c>
      <c r="G4076" t="s">
        <v>254</v>
      </c>
      <c r="H4076" t="s">
        <v>2305</v>
      </c>
      <c r="I4076" t="s">
        <v>119</v>
      </c>
      <c r="J4076" t="s">
        <v>36</v>
      </c>
      <c r="K4076">
        <v>1390</v>
      </c>
      <c r="O4076" t="s">
        <v>176</v>
      </c>
      <c r="P4076" t="s">
        <v>177</v>
      </c>
      <c r="R4076">
        <f t="shared" si="190"/>
        <v>0</v>
      </c>
      <c r="S4076">
        <f>SUMIFS([1]Sheet1!$T:$T,[1]Sheet1!$I:$I,E4076,[1]Sheet1!$C:$C,A4076)</f>
        <v>250</v>
      </c>
      <c r="T4076">
        <f t="shared" si="191"/>
        <v>-250</v>
      </c>
      <c r="U4076" s="9" t="s">
        <v>148</v>
      </c>
      <c r="V4076" t="s">
        <v>164</v>
      </c>
      <c r="W4076" t="s">
        <v>178</v>
      </c>
      <c r="X4076" t="s">
        <v>86</v>
      </c>
      <c r="Y4076" t="s">
        <v>179</v>
      </c>
      <c r="Z4076" t="s">
        <v>41</v>
      </c>
      <c r="AB4076" t="str">
        <f t="shared" si="189"/>
        <v>54822</v>
      </c>
    </row>
    <row r="4077" ht="14.25" spans="1:28">
      <c r="A4077" s="5" t="s">
        <v>28</v>
      </c>
      <c r="B4077" s="5" t="s">
        <v>697</v>
      </c>
      <c r="C4077" s="5">
        <v>2027</v>
      </c>
      <c r="D4077" s="5" t="s">
        <v>30</v>
      </c>
      <c r="E4077" t="s">
        <v>2304</v>
      </c>
      <c r="F4077" t="s">
        <v>2302</v>
      </c>
      <c r="G4077" t="s">
        <v>254</v>
      </c>
      <c r="H4077" t="s">
        <v>2305</v>
      </c>
      <c r="I4077" t="s">
        <v>119</v>
      </c>
      <c r="J4077" t="s">
        <v>36</v>
      </c>
      <c r="K4077">
        <v>1390</v>
      </c>
      <c r="O4077" t="s">
        <v>176</v>
      </c>
      <c r="P4077" t="s">
        <v>38</v>
      </c>
      <c r="U4077" s="9" t="s">
        <v>148</v>
      </c>
      <c r="V4077" t="s">
        <v>164</v>
      </c>
      <c r="W4077" t="s">
        <v>178</v>
      </c>
      <c r="X4077" t="s">
        <v>86</v>
      </c>
      <c r="Y4077" t="s">
        <v>179</v>
      </c>
      <c r="Z4077" t="s">
        <v>41</v>
      </c>
      <c r="AB4077" t="str">
        <f t="shared" si="189"/>
        <v>54822</v>
      </c>
    </row>
    <row r="4078" ht="14.25" spans="1:28">
      <c r="A4078" s="5" t="s">
        <v>28</v>
      </c>
      <c r="B4078" s="5" t="s">
        <v>697</v>
      </c>
      <c r="C4078" s="5">
        <v>2027</v>
      </c>
      <c r="D4078" s="5" t="s">
        <v>30</v>
      </c>
      <c r="E4078" t="s">
        <v>2304</v>
      </c>
      <c r="F4078" t="s">
        <v>2302</v>
      </c>
      <c r="G4078" t="s">
        <v>254</v>
      </c>
      <c r="H4078" t="s">
        <v>2305</v>
      </c>
      <c r="I4078" t="s">
        <v>119</v>
      </c>
      <c r="J4078" t="s">
        <v>36</v>
      </c>
      <c r="K4078">
        <v>1390</v>
      </c>
      <c r="O4078" t="s">
        <v>176</v>
      </c>
      <c r="P4078" t="s">
        <v>42</v>
      </c>
      <c r="U4078" s="9" t="s">
        <v>148</v>
      </c>
      <c r="V4078" t="s">
        <v>164</v>
      </c>
      <c r="W4078" t="s">
        <v>178</v>
      </c>
      <c r="X4078" t="s">
        <v>86</v>
      </c>
      <c r="Y4078" t="s">
        <v>179</v>
      </c>
      <c r="Z4078" t="s">
        <v>41</v>
      </c>
      <c r="AB4078" t="str">
        <f t="shared" si="189"/>
        <v>54822</v>
      </c>
    </row>
    <row r="4079" ht="14.25" spans="1:28">
      <c r="A4079" s="5" t="s">
        <v>28</v>
      </c>
      <c r="B4079" s="5" t="s">
        <v>697</v>
      </c>
      <c r="C4079" s="5">
        <v>2027</v>
      </c>
      <c r="D4079" s="5" t="s">
        <v>30</v>
      </c>
      <c r="E4079" t="s">
        <v>2304</v>
      </c>
      <c r="F4079" t="s">
        <v>2302</v>
      </c>
      <c r="G4079" t="s">
        <v>254</v>
      </c>
      <c r="H4079" t="s">
        <v>2305</v>
      </c>
      <c r="I4079" t="s">
        <v>119</v>
      </c>
      <c r="J4079" t="s">
        <v>36</v>
      </c>
      <c r="K4079">
        <v>1390</v>
      </c>
      <c r="O4079" t="s">
        <v>176</v>
      </c>
      <c r="P4079" t="s">
        <v>43</v>
      </c>
      <c r="U4079" s="9" t="s">
        <v>148</v>
      </c>
      <c r="V4079" t="s">
        <v>164</v>
      </c>
      <c r="W4079" t="s">
        <v>178</v>
      </c>
      <c r="X4079" t="s">
        <v>86</v>
      </c>
      <c r="Y4079" t="s">
        <v>179</v>
      </c>
      <c r="Z4079" t="s">
        <v>41</v>
      </c>
      <c r="AB4079" t="str">
        <f t="shared" si="189"/>
        <v>54822</v>
      </c>
    </row>
    <row r="4080" ht="14.25" spans="1:28">
      <c r="A4080" s="5" t="s">
        <v>28</v>
      </c>
      <c r="B4080" s="5" t="s">
        <v>697</v>
      </c>
      <c r="C4080" s="5">
        <v>2027</v>
      </c>
      <c r="D4080" s="5" t="s">
        <v>30</v>
      </c>
      <c r="E4080" t="s">
        <v>2304</v>
      </c>
      <c r="F4080" t="s">
        <v>2302</v>
      </c>
      <c r="G4080" t="s">
        <v>254</v>
      </c>
      <c r="H4080" t="s">
        <v>2305</v>
      </c>
      <c r="I4080" t="s">
        <v>119</v>
      </c>
      <c r="J4080" t="s">
        <v>36</v>
      </c>
      <c r="K4080">
        <v>1390</v>
      </c>
      <c r="O4080" t="s">
        <v>176</v>
      </c>
      <c r="P4080" t="s">
        <v>44</v>
      </c>
      <c r="U4080" s="9" t="s">
        <v>148</v>
      </c>
      <c r="V4080" t="s">
        <v>164</v>
      </c>
      <c r="W4080" t="s">
        <v>178</v>
      </c>
      <c r="X4080" t="s">
        <v>86</v>
      </c>
      <c r="Y4080" t="s">
        <v>179</v>
      </c>
      <c r="Z4080" t="s">
        <v>41</v>
      </c>
      <c r="AB4080" t="str">
        <f t="shared" si="189"/>
        <v>54822</v>
      </c>
    </row>
    <row r="4081" ht="14.25" spans="1:28">
      <c r="A4081" s="5" t="s">
        <v>28</v>
      </c>
      <c r="B4081" s="5" t="s">
        <v>697</v>
      </c>
      <c r="C4081" s="5">
        <v>2027</v>
      </c>
      <c r="D4081" s="5" t="s">
        <v>30</v>
      </c>
      <c r="E4081" t="s">
        <v>2304</v>
      </c>
      <c r="F4081" t="s">
        <v>2302</v>
      </c>
      <c r="G4081" t="s">
        <v>254</v>
      </c>
      <c r="H4081" t="s">
        <v>2305</v>
      </c>
      <c r="I4081" t="s">
        <v>119</v>
      </c>
      <c r="J4081" t="s">
        <v>36</v>
      </c>
      <c r="K4081">
        <v>1390</v>
      </c>
      <c r="O4081" t="s">
        <v>176</v>
      </c>
      <c r="P4081" t="s">
        <v>45</v>
      </c>
      <c r="U4081" s="9" t="s">
        <v>148</v>
      </c>
      <c r="V4081" t="s">
        <v>164</v>
      </c>
      <c r="W4081" t="s">
        <v>178</v>
      </c>
      <c r="X4081" t="s">
        <v>86</v>
      </c>
      <c r="Y4081" t="s">
        <v>179</v>
      </c>
      <c r="Z4081" t="s">
        <v>41</v>
      </c>
      <c r="AB4081" t="str">
        <f t="shared" si="189"/>
        <v>54822</v>
      </c>
    </row>
    <row r="4082" ht="14.25" spans="1:28">
      <c r="A4082" s="5" t="s">
        <v>28</v>
      </c>
      <c r="B4082" s="5" t="s">
        <v>697</v>
      </c>
      <c r="C4082" s="5">
        <v>2027</v>
      </c>
      <c r="D4082" s="5" t="s">
        <v>30</v>
      </c>
      <c r="E4082" t="s">
        <v>2306</v>
      </c>
      <c r="F4082" t="s">
        <v>2302</v>
      </c>
      <c r="G4082" t="s">
        <v>1901</v>
      </c>
      <c r="H4082" t="s">
        <v>2307</v>
      </c>
      <c r="I4082" t="s">
        <v>119</v>
      </c>
      <c r="J4082" t="s">
        <v>36</v>
      </c>
      <c r="K4082">
        <v>1390</v>
      </c>
      <c r="O4082" t="s">
        <v>176</v>
      </c>
      <c r="P4082" t="s">
        <v>177</v>
      </c>
      <c r="R4082">
        <f t="shared" si="190"/>
        <v>0</v>
      </c>
      <c r="S4082">
        <f>SUMIFS([1]Sheet1!$T:$T,[1]Sheet1!$I:$I,E4082,[1]Sheet1!$C:$C,A4082)</f>
        <v>200</v>
      </c>
      <c r="T4082">
        <f t="shared" si="191"/>
        <v>-200</v>
      </c>
      <c r="U4082" s="9" t="s">
        <v>148</v>
      </c>
      <c r="V4082" t="s">
        <v>164</v>
      </c>
      <c r="W4082" t="s">
        <v>178</v>
      </c>
      <c r="X4082" t="s">
        <v>1131</v>
      </c>
      <c r="Y4082" t="s">
        <v>179</v>
      </c>
      <c r="Z4082" t="s">
        <v>41</v>
      </c>
      <c r="AB4082" t="str">
        <f t="shared" si="189"/>
        <v>54822</v>
      </c>
    </row>
    <row r="4083" ht="14.25" spans="1:28">
      <c r="A4083" s="5" t="s">
        <v>28</v>
      </c>
      <c r="B4083" s="5" t="s">
        <v>697</v>
      </c>
      <c r="C4083" s="5">
        <v>2027</v>
      </c>
      <c r="D4083" s="5" t="s">
        <v>30</v>
      </c>
      <c r="E4083" t="s">
        <v>2306</v>
      </c>
      <c r="F4083" t="s">
        <v>2302</v>
      </c>
      <c r="G4083" t="s">
        <v>1901</v>
      </c>
      <c r="H4083" t="s">
        <v>2307</v>
      </c>
      <c r="I4083" t="s">
        <v>119</v>
      </c>
      <c r="J4083" t="s">
        <v>36</v>
      </c>
      <c r="K4083">
        <v>1390</v>
      </c>
      <c r="O4083" t="s">
        <v>176</v>
      </c>
      <c r="P4083" t="s">
        <v>38</v>
      </c>
      <c r="U4083" s="9" t="s">
        <v>148</v>
      </c>
      <c r="V4083" t="s">
        <v>164</v>
      </c>
      <c r="W4083" t="s">
        <v>178</v>
      </c>
      <c r="X4083" t="s">
        <v>1131</v>
      </c>
      <c r="Y4083" t="s">
        <v>179</v>
      </c>
      <c r="Z4083" t="s">
        <v>41</v>
      </c>
      <c r="AB4083" t="str">
        <f t="shared" ref="AB4083:AB4146" si="192">MID(E4083,6,5)</f>
        <v>54822</v>
      </c>
    </row>
    <row r="4084" ht="14.25" spans="1:28">
      <c r="A4084" s="5" t="s">
        <v>28</v>
      </c>
      <c r="B4084" s="5" t="s">
        <v>697</v>
      </c>
      <c r="C4084" s="5">
        <v>2027</v>
      </c>
      <c r="D4084" s="5" t="s">
        <v>30</v>
      </c>
      <c r="E4084" t="s">
        <v>2306</v>
      </c>
      <c r="F4084" t="s">
        <v>2302</v>
      </c>
      <c r="G4084" t="s">
        <v>1901</v>
      </c>
      <c r="H4084" t="s">
        <v>2307</v>
      </c>
      <c r="I4084" t="s">
        <v>119</v>
      </c>
      <c r="J4084" t="s">
        <v>36</v>
      </c>
      <c r="K4084">
        <v>1390</v>
      </c>
      <c r="O4084" t="s">
        <v>176</v>
      </c>
      <c r="P4084" t="s">
        <v>42</v>
      </c>
      <c r="U4084" s="9" t="s">
        <v>148</v>
      </c>
      <c r="V4084" t="s">
        <v>164</v>
      </c>
      <c r="W4084" t="s">
        <v>178</v>
      </c>
      <c r="X4084" t="s">
        <v>1131</v>
      </c>
      <c r="Y4084" t="s">
        <v>179</v>
      </c>
      <c r="Z4084" t="s">
        <v>41</v>
      </c>
      <c r="AB4084" t="str">
        <f t="shared" si="192"/>
        <v>54822</v>
      </c>
    </row>
    <row r="4085" ht="14.25" spans="1:28">
      <c r="A4085" s="5" t="s">
        <v>28</v>
      </c>
      <c r="B4085" s="5" t="s">
        <v>697</v>
      </c>
      <c r="C4085" s="5">
        <v>2027</v>
      </c>
      <c r="D4085" s="5" t="s">
        <v>30</v>
      </c>
      <c r="E4085" t="s">
        <v>2306</v>
      </c>
      <c r="F4085" t="s">
        <v>2302</v>
      </c>
      <c r="G4085" t="s">
        <v>1901</v>
      </c>
      <c r="H4085" t="s">
        <v>2307</v>
      </c>
      <c r="I4085" t="s">
        <v>119</v>
      </c>
      <c r="J4085" t="s">
        <v>36</v>
      </c>
      <c r="K4085">
        <v>1390</v>
      </c>
      <c r="O4085" t="s">
        <v>176</v>
      </c>
      <c r="P4085" t="s">
        <v>43</v>
      </c>
      <c r="U4085" s="9" t="s">
        <v>148</v>
      </c>
      <c r="V4085" t="s">
        <v>164</v>
      </c>
      <c r="W4085" t="s">
        <v>178</v>
      </c>
      <c r="X4085" t="s">
        <v>1131</v>
      </c>
      <c r="Y4085" t="s">
        <v>179</v>
      </c>
      <c r="Z4085" t="s">
        <v>41</v>
      </c>
      <c r="AB4085" t="str">
        <f t="shared" si="192"/>
        <v>54822</v>
      </c>
    </row>
    <row r="4086" ht="14.25" spans="1:28">
      <c r="A4086" s="5" t="s">
        <v>28</v>
      </c>
      <c r="B4086" s="5" t="s">
        <v>697</v>
      </c>
      <c r="C4086" s="5">
        <v>2027</v>
      </c>
      <c r="D4086" s="5" t="s">
        <v>30</v>
      </c>
      <c r="E4086" t="s">
        <v>2306</v>
      </c>
      <c r="F4086" t="s">
        <v>2302</v>
      </c>
      <c r="G4086" t="s">
        <v>1901</v>
      </c>
      <c r="H4086" t="s">
        <v>2307</v>
      </c>
      <c r="I4086" t="s">
        <v>119</v>
      </c>
      <c r="J4086" t="s">
        <v>36</v>
      </c>
      <c r="K4086">
        <v>1390</v>
      </c>
      <c r="O4086" t="s">
        <v>176</v>
      </c>
      <c r="P4086" t="s">
        <v>44</v>
      </c>
      <c r="U4086" s="9" t="s">
        <v>148</v>
      </c>
      <c r="V4086" t="s">
        <v>164</v>
      </c>
      <c r="W4086" t="s">
        <v>178</v>
      </c>
      <c r="X4086" t="s">
        <v>1131</v>
      </c>
      <c r="Y4086" t="s">
        <v>179</v>
      </c>
      <c r="Z4086" t="s">
        <v>41</v>
      </c>
      <c r="AB4086" t="str">
        <f t="shared" si="192"/>
        <v>54822</v>
      </c>
    </row>
    <row r="4087" ht="14.25" spans="1:28">
      <c r="A4087" s="5" t="s">
        <v>28</v>
      </c>
      <c r="B4087" s="5" t="s">
        <v>697</v>
      </c>
      <c r="C4087" s="5">
        <v>2027</v>
      </c>
      <c r="D4087" s="5" t="s">
        <v>30</v>
      </c>
      <c r="E4087" t="s">
        <v>2306</v>
      </c>
      <c r="F4087" t="s">
        <v>2302</v>
      </c>
      <c r="G4087" t="s">
        <v>1901</v>
      </c>
      <c r="H4087" t="s">
        <v>2307</v>
      </c>
      <c r="I4087" t="s">
        <v>119</v>
      </c>
      <c r="J4087" t="s">
        <v>36</v>
      </c>
      <c r="K4087">
        <v>1390</v>
      </c>
      <c r="O4087" t="s">
        <v>176</v>
      </c>
      <c r="P4087" t="s">
        <v>45</v>
      </c>
      <c r="U4087" s="9" t="s">
        <v>148</v>
      </c>
      <c r="V4087" t="s">
        <v>164</v>
      </c>
      <c r="W4087" t="s">
        <v>178</v>
      </c>
      <c r="X4087" t="s">
        <v>1131</v>
      </c>
      <c r="Y4087" t="s">
        <v>179</v>
      </c>
      <c r="Z4087" t="s">
        <v>41</v>
      </c>
      <c r="AB4087" t="str">
        <f t="shared" si="192"/>
        <v>54822</v>
      </c>
    </row>
    <row r="4088" ht="14.25" spans="1:28">
      <c r="A4088" s="5" t="s">
        <v>28</v>
      </c>
      <c r="B4088" s="5" t="s">
        <v>697</v>
      </c>
      <c r="C4088" s="5">
        <v>2027</v>
      </c>
      <c r="D4088" s="5" t="s">
        <v>30</v>
      </c>
      <c r="E4088" t="s">
        <v>2308</v>
      </c>
      <c r="F4088" t="s">
        <v>2309</v>
      </c>
      <c r="G4088" t="s">
        <v>2310</v>
      </c>
      <c r="H4088" t="s">
        <v>2311</v>
      </c>
      <c r="I4088" t="s">
        <v>147</v>
      </c>
      <c r="J4088" t="s">
        <v>36</v>
      </c>
      <c r="K4088">
        <v>1390</v>
      </c>
      <c r="O4088" t="s">
        <v>176</v>
      </c>
      <c r="P4088" t="s">
        <v>177</v>
      </c>
      <c r="R4088">
        <f t="shared" si="190"/>
        <v>0</v>
      </c>
      <c r="S4088">
        <f>SUMIFS([1]Sheet1!$T:$T,[1]Sheet1!$I:$I,E4088,[1]Sheet1!$C:$C,A4088)</f>
        <v>0</v>
      </c>
      <c r="T4088">
        <f t="shared" si="191"/>
        <v>0</v>
      </c>
      <c r="U4088" s="9" t="s">
        <v>148</v>
      </c>
      <c r="V4088" t="s">
        <v>164</v>
      </c>
      <c r="W4088" t="s">
        <v>178</v>
      </c>
      <c r="Y4088" t="s">
        <v>179</v>
      </c>
      <c r="Z4088" t="s">
        <v>41</v>
      </c>
      <c r="AB4088" t="str">
        <f t="shared" si="192"/>
        <v>54825</v>
      </c>
    </row>
    <row r="4089" ht="14.25" spans="1:28">
      <c r="A4089" s="5" t="s">
        <v>28</v>
      </c>
      <c r="B4089" s="5" t="s">
        <v>697</v>
      </c>
      <c r="C4089" s="5">
        <v>2027</v>
      </c>
      <c r="D4089" s="5" t="s">
        <v>30</v>
      </c>
      <c r="E4089" t="s">
        <v>2308</v>
      </c>
      <c r="F4089" t="s">
        <v>2309</v>
      </c>
      <c r="G4089" t="s">
        <v>2310</v>
      </c>
      <c r="H4089" t="s">
        <v>2311</v>
      </c>
      <c r="I4089" t="s">
        <v>147</v>
      </c>
      <c r="J4089" t="s">
        <v>36</v>
      </c>
      <c r="K4089">
        <v>1390</v>
      </c>
      <c r="O4089" t="s">
        <v>176</v>
      </c>
      <c r="P4089" t="s">
        <v>38</v>
      </c>
      <c r="U4089" s="9" t="s">
        <v>148</v>
      </c>
      <c r="V4089" t="s">
        <v>164</v>
      </c>
      <c r="W4089" t="s">
        <v>178</v>
      </c>
      <c r="Y4089" t="s">
        <v>179</v>
      </c>
      <c r="Z4089" t="s">
        <v>41</v>
      </c>
      <c r="AB4089" t="str">
        <f t="shared" si="192"/>
        <v>54825</v>
      </c>
    </row>
    <row r="4090" ht="14.25" spans="1:28">
      <c r="A4090" s="5" t="s">
        <v>28</v>
      </c>
      <c r="B4090" s="5" t="s">
        <v>697</v>
      </c>
      <c r="C4090" s="5">
        <v>2027</v>
      </c>
      <c r="D4090" s="5" t="s">
        <v>30</v>
      </c>
      <c r="E4090" t="s">
        <v>2308</v>
      </c>
      <c r="F4090" t="s">
        <v>2309</v>
      </c>
      <c r="G4090" t="s">
        <v>2310</v>
      </c>
      <c r="H4090" t="s">
        <v>2311</v>
      </c>
      <c r="I4090" t="s">
        <v>147</v>
      </c>
      <c r="J4090" t="s">
        <v>36</v>
      </c>
      <c r="K4090">
        <v>1390</v>
      </c>
      <c r="O4090" t="s">
        <v>176</v>
      </c>
      <c r="P4090" t="s">
        <v>42</v>
      </c>
      <c r="U4090" s="9" t="s">
        <v>148</v>
      </c>
      <c r="V4090" t="s">
        <v>164</v>
      </c>
      <c r="W4090" t="s">
        <v>178</v>
      </c>
      <c r="Y4090" t="s">
        <v>179</v>
      </c>
      <c r="Z4090" t="s">
        <v>41</v>
      </c>
      <c r="AB4090" t="str">
        <f t="shared" si="192"/>
        <v>54825</v>
      </c>
    </row>
    <row r="4091" ht="14.25" spans="1:28">
      <c r="A4091" s="5" t="s">
        <v>28</v>
      </c>
      <c r="B4091" s="5" t="s">
        <v>697</v>
      </c>
      <c r="C4091" s="5">
        <v>2027</v>
      </c>
      <c r="D4091" s="5" t="s">
        <v>30</v>
      </c>
      <c r="E4091" t="s">
        <v>2308</v>
      </c>
      <c r="F4091" t="s">
        <v>2309</v>
      </c>
      <c r="G4091" t="s">
        <v>2310</v>
      </c>
      <c r="H4091" t="s">
        <v>2311</v>
      </c>
      <c r="I4091" t="s">
        <v>147</v>
      </c>
      <c r="J4091" t="s">
        <v>36</v>
      </c>
      <c r="K4091">
        <v>1390</v>
      </c>
      <c r="O4091" t="s">
        <v>176</v>
      </c>
      <c r="P4091" t="s">
        <v>43</v>
      </c>
      <c r="U4091" s="9" t="s">
        <v>148</v>
      </c>
      <c r="V4091" t="s">
        <v>164</v>
      </c>
      <c r="W4091" t="s">
        <v>178</v>
      </c>
      <c r="Y4091" t="s">
        <v>179</v>
      </c>
      <c r="Z4091" t="s">
        <v>41</v>
      </c>
      <c r="AB4091" t="str">
        <f t="shared" si="192"/>
        <v>54825</v>
      </c>
    </row>
    <row r="4092" ht="14.25" spans="1:28">
      <c r="A4092" s="5" t="s">
        <v>28</v>
      </c>
      <c r="B4092" s="5" t="s">
        <v>697</v>
      </c>
      <c r="C4092" s="5">
        <v>2027</v>
      </c>
      <c r="D4092" s="5" t="s">
        <v>30</v>
      </c>
      <c r="E4092" t="s">
        <v>2308</v>
      </c>
      <c r="F4092" t="s">
        <v>2309</v>
      </c>
      <c r="G4092" t="s">
        <v>2310</v>
      </c>
      <c r="H4092" t="s">
        <v>2311</v>
      </c>
      <c r="I4092" t="s">
        <v>147</v>
      </c>
      <c r="J4092" t="s">
        <v>36</v>
      </c>
      <c r="K4092">
        <v>1390</v>
      </c>
      <c r="O4092" t="s">
        <v>176</v>
      </c>
      <c r="P4092" t="s">
        <v>44</v>
      </c>
      <c r="U4092" s="9" t="s">
        <v>148</v>
      </c>
      <c r="V4092" t="s">
        <v>164</v>
      </c>
      <c r="W4092" t="s">
        <v>178</v>
      </c>
      <c r="Y4092" t="s">
        <v>179</v>
      </c>
      <c r="Z4092" t="s">
        <v>41</v>
      </c>
      <c r="AB4092" t="str">
        <f t="shared" si="192"/>
        <v>54825</v>
      </c>
    </row>
    <row r="4093" ht="14.25" spans="1:28">
      <c r="A4093" s="5" t="s">
        <v>28</v>
      </c>
      <c r="B4093" s="5" t="s">
        <v>697</v>
      </c>
      <c r="C4093" s="5">
        <v>2027</v>
      </c>
      <c r="D4093" s="5" t="s">
        <v>30</v>
      </c>
      <c r="E4093" t="s">
        <v>2308</v>
      </c>
      <c r="F4093" t="s">
        <v>2309</v>
      </c>
      <c r="G4093" t="s">
        <v>2310</v>
      </c>
      <c r="H4093" t="s">
        <v>2311</v>
      </c>
      <c r="I4093" t="s">
        <v>147</v>
      </c>
      <c r="J4093" t="s">
        <v>36</v>
      </c>
      <c r="K4093">
        <v>1390</v>
      </c>
      <c r="O4093" t="s">
        <v>176</v>
      </c>
      <c r="P4093" t="s">
        <v>45</v>
      </c>
      <c r="U4093" s="9" t="s">
        <v>148</v>
      </c>
      <c r="V4093" t="s">
        <v>164</v>
      </c>
      <c r="W4093" t="s">
        <v>178</v>
      </c>
      <c r="Y4093" t="s">
        <v>179</v>
      </c>
      <c r="Z4093" t="s">
        <v>41</v>
      </c>
      <c r="AB4093" t="str">
        <f t="shared" si="192"/>
        <v>54825</v>
      </c>
    </row>
    <row r="4094" ht="14.25" spans="1:28">
      <c r="A4094" s="5" t="s">
        <v>28</v>
      </c>
      <c r="B4094" s="5" t="s">
        <v>697</v>
      </c>
      <c r="C4094" s="5">
        <v>2027</v>
      </c>
      <c r="D4094" s="5" t="s">
        <v>30</v>
      </c>
      <c r="E4094" t="s">
        <v>2312</v>
      </c>
      <c r="F4094" t="s">
        <v>2309</v>
      </c>
      <c r="G4094" t="s">
        <v>2313</v>
      </c>
      <c r="H4094" t="s">
        <v>2314</v>
      </c>
      <c r="I4094" t="s">
        <v>147</v>
      </c>
      <c r="J4094" t="s">
        <v>36</v>
      </c>
      <c r="K4094">
        <v>1390</v>
      </c>
      <c r="O4094" t="s">
        <v>176</v>
      </c>
      <c r="P4094" t="s">
        <v>177</v>
      </c>
      <c r="R4094">
        <f t="shared" si="190"/>
        <v>0</v>
      </c>
      <c r="S4094">
        <f>SUMIFS([1]Sheet1!$T:$T,[1]Sheet1!$I:$I,E4094,[1]Sheet1!$C:$C,A4094)</f>
        <v>150</v>
      </c>
      <c r="T4094">
        <f t="shared" si="191"/>
        <v>-150</v>
      </c>
      <c r="U4094" s="9" t="s">
        <v>148</v>
      </c>
      <c r="V4094" t="s">
        <v>164</v>
      </c>
      <c r="W4094" t="s">
        <v>178</v>
      </c>
      <c r="X4094" t="s">
        <v>191</v>
      </c>
      <c r="Y4094" t="s">
        <v>179</v>
      </c>
      <c r="Z4094" t="s">
        <v>41</v>
      </c>
      <c r="AB4094" t="str">
        <f t="shared" si="192"/>
        <v>54825</v>
      </c>
    </row>
    <row r="4095" ht="14.25" spans="1:28">
      <c r="A4095" s="5" t="s">
        <v>28</v>
      </c>
      <c r="B4095" s="5" t="s">
        <v>697</v>
      </c>
      <c r="C4095" s="5">
        <v>2027</v>
      </c>
      <c r="D4095" s="5" t="s">
        <v>30</v>
      </c>
      <c r="E4095" t="s">
        <v>2312</v>
      </c>
      <c r="F4095" t="s">
        <v>2309</v>
      </c>
      <c r="G4095" t="s">
        <v>2313</v>
      </c>
      <c r="H4095" t="s">
        <v>2314</v>
      </c>
      <c r="I4095" t="s">
        <v>147</v>
      </c>
      <c r="J4095" t="s">
        <v>36</v>
      </c>
      <c r="K4095">
        <v>1390</v>
      </c>
      <c r="O4095" t="s">
        <v>176</v>
      </c>
      <c r="P4095" t="s">
        <v>38</v>
      </c>
      <c r="U4095" s="9" t="s">
        <v>148</v>
      </c>
      <c r="V4095" t="s">
        <v>164</v>
      </c>
      <c r="W4095" t="s">
        <v>178</v>
      </c>
      <c r="X4095" t="s">
        <v>191</v>
      </c>
      <c r="Y4095" t="s">
        <v>179</v>
      </c>
      <c r="Z4095" t="s">
        <v>41</v>
      </c>
      <c r="AB4095" t="str">
        <f t="shared" si="192"/>
        <v>54825</v>
      </c>
    </row>
    <row r="4096" ht="14.25" spans="1:28">
      <c r="A4096" s="5" t="s">
        <v>28</v>
      </c>
      <c r="B4096" s="5" t="s">
        <v>697</v>
      </c>
      <c r="C4096" s="5">
        <v>2027</v>
      </c>
      <c r="D4096" s="5" t="s">
        <v>30</v>
      </c>
      <c r="E4096" t="s">
        <v>2312</v>
      </c>
      <c r="F4096" t="s">
        <v>2309</v>
      </c>
      <c r="G4096" t="s">
        <v>2313</v>
      </c>
      <c r="H4096" t="s">
        <v>2314</v>
      </c>
      <c r="I4096" t="s">
        <v>147</v>
      </c>
      <c r="J4096" t="s">
        <v>36</v>
      </c>
      <c r="K4096">
        <v>1390</v>
      </c>
      <c r="O4096" t="s">
        <v>176</v>
      </c>
      <c r="P4096" t="s">
        <v>42</v>
      </c>
      <c r="U4096" s="9" t="s">
        <v>148</v>
      </c>
      <c r="V4096" t="s">
        <v>164</v>
      </c>
      <c r="W4096" t="s">
        <v>178</v>
      </c>
      <c r="X4096" t="s">
        <v>191</v>
      </c>
      <c r="Y4096" t="s">
        <v>179</v>
      </c>
      <c r="Z4096" t="s">
        <v>41</v>
      </c>
      <c r="AB4096" t="str">
        <f t="shared" si="192"/>
        <v>54825</v>
      </c>
    </row>
    <row r="4097" ht="14.25" spans="1:28">
      <c r="A4097" s="5" t="s">
        <v>28</v>
      </c>
      <c r="B4097" s="5" t="s">
        <v>697</v>
      </c>
      <c r="C4097" s="5">
        <v>2027</v>
      </c>
      <c r="D4097" s="5" t="s">
        <v>30</v>
      </c>
      <c r="E4097" t="s">
        <v>2312</v>
      </c>
      <c r="F4097" t="s">
        <v>2309</v>
      </c>
      <c r="G4097" t="s">
        <v>2313</v>
      </c>
      <c r="H4097" t="s">
        <v>2314</v>
      </c>
      <c r="I4097" t="s">
        <v>147</v>
      </c>
      <c r="J4097" t="s">
        <v>36</v>
      </c>
      <c r="K4097">
        <v>1390</v>
      </c>
      <c r="O4097" t="s">
        <v>176</v>
      </c>
      <c r="P4097" t="s">
        <v>43</v>
      </c>
      <c r="U4097" s="9" t="s">
        <v>148</v>
      </c>
      <c r="V4097" t="s">
        <v>164</v>
      </c>
      <c r="W4097" t="s">
        <v>178</v>
      </c>
      <c r="X4097" t="s">
        <v>191</v>
      </c>
      <c r="Y4097" t="s">
        <v>179</v>
      </c>
      <c r="Z4097" t="s">
        <v>41</v>
      </c>
      <c r="AB4097" t="str">
        <f t="shared" si="192"/>
        <v>54825</v>
      </c>
    </row>
    <row r="4098" ht="14.25" spans="1:28">
      <c r="A4098" s="5" t="s">
        <v>28</v>
      </c>
      <c r="B4098" s="5" t="s">
        <v>697</v>
      </c>
      <c r="C4098" s="5">
        <v>2027</v>
      </c>
      <c r="D4098" s="5" t="s">
        <v>30</v>
      </c>
      <c r="E4098" t="s">
        <v>2312</v>
      </c>
      <c r="F4098" t="s">
        <v>2309</v>
      </c>
      <c r="G4098" t="s">
        <v>2313</v>
      </c>
      <c r="H4098" t="s">
        <v>2314</v>
      </c>
      <c r="I4098" t="s">
        <v>147</v>
      </c>
      <c r="J4098" t="s">
        <v>36</v>
      </c>
      <c r="K4098">
        <v>1390</v>
      </c>
      <c r="O4098" t="s">
        <v>176</v>
      </c>
      <c r="P4098" t="s">
        <v>44</v>
      </c>
      <c r="U4098" s="9" t="s">
        <v>148</v>
      </c>
      <c r="V4098" t="s">
        <v>164</v>
      </c>
      <c r="W4098" t="s">
        <v>178</v>
      </c>
      <c r="X4098" t="s">
        <v>191</v>
      </c>
      <c r="Y4098" t="s">
        <v>179</v>
      </c>
      <c r="Z4098" t="s">
        <v>41</v>
      </c>
      <c r="AB4098" t="str">
        <f t="shared" si="192"/>
        <v>54825</v>
      </c>
    </row>
    <row r="4099" ht="14.25" spans="1:28">
      <c r="A4099" s="5" t="s">
        <v>28</v>
      </c>
      <c r="B4099" s="5" t="s">
        <v>697</v>
      </c>
      <c r="C4099" s="5">
        <v>2027</v>
      </c>
      <c r="D4099" s="5" t="s">
        <v>30</v>
      </c>
      <c r="E4099" t="s">
        <v>2312</v>
      </c>
      <c r="F4099" t="s">
        <v>2309</v>
      </c>
      <c r="G4099" t="s">
        <v>2313</v>
      </c>
      <c r="H4099" t="s">
        <v>2314</v>
      </c>
      <c r="I4099" t="s">
        <v>147</v>
      </c>
      <c r="J4099" t="s">
        <v>36</v>
      </c>
      <c r="K4099">
        <v>1390</v>
      </c>
      <c r="O4099" t="s">
        <v>176</v>
      </c>
      <c r="P4099" t="s">
        <v>45</v>
      </c>
      <c r="U4099" s="9" t="s">
        <v>148</v>
      </c>
      <c r="V4099" t="s">
        <v>164</v>
      </c>
      <c r="W4099" t="s">
        <v>178</v>
      </c>
      <c r="X4099" t="s">
        <v>191</v>
      </c>
      <c r="Y4099" t="s">
        <v>179</v>
      </c>
      <c r="Z4099" t="s">
        <v>41</v>
      </c>
      <c r="AB4099" t="str">
        <f t="shared" si="192"/>
        <v>54825</v>
      </c>
    </row>
    <row r="4100" ht="14.25" spans="1:28">
      <c r="A4100" s="5" t="s">
        <v>28</v>
      </c>
      <c r="B4100" s="5" t="s">
        <v>697</v>
      </c>
      <c r="C4100" s="5">
        <v>2027</v>
      </c>
      <c r="D4100" s="5" t="s">
        <v>30</v>
      </c>
      <c r="E4100" t="s">
        <v>2315</v>
      </c>
      <c r="F4100" t="s">
        <v>2316</v>
      </c>
      <c r="G4100" t="s">
        <v>1890</v>
      </c>
      <c r="H4100" t="s">
        <v>2317</v>
      </c>
      <c r="I4100" t="s">
        <v>119</v>
      </c>
      <c r="J4100" t="s">
        <v>36</v>
      </c>
      <c r="K4100">
        <v>1390</v>
      </c>
      <c r="O4100" t="s">
        <v>176</v>
      </c>
      <c r="P4100" t="s">
        <v>177</v>
      </c>
      <c r="R4100">
        <f t="shared" ref="R4098:R4161" si="193">SUMIFS(Q:Q,E:E,E4100)</f>
        <v>0</v>
      </c>
      <c r="S4100">
        <f>SUMIFS([1]Sheet1!$T:$T,[1]Sheet1!$I:$I,E4100,[1]Sheet1!$C:$C,A4100)</f>
        <v>40</v>
      </c>
      <c r="T4100">
        <f t="shared" ref="T4098:T4161" si="194">R4100-S4100</f>
        <v>-40</v>
      </c>
      <c r="U4100" s="9" t="s">
        <v>148</v>
      </c>
      <c r="V4100" t="s">
        <v>184</v>
      </c>
      <c r="W4100" t="s">
        <v>178</v>
      </c>
      <c r="X4100" t="s">
        <v>94</v>
      </c>
      <c r="Y4100" t="s">
        <v>179</v>
      </c>
      <c r="Z4100" t="s">
        <v>41</v>
      </c>
      <c r="AB4100" t="str">
        <f t="shared" si="192"/>
        <v>54826</v>
      </c>
    </row>
    <row r="4101" ht="14.25" spans="1:28">
      <c r="A4101" s="5" t="s">
        <v>28</v>
      </c>
      <c r="B4101" s="5" t="s">
        <v>697</v>
      </c>
      <c r="C4101" s="5">
        <v>2027</v>
      </c>
      <c r="D4101" s="5" t="s">
        <v>30</v>
      </c>
      <c r="E4101" t="s">
        <v>2315</v>
      </c>
      <c r="F4101" t="s">
        <v>2316</v>
      </c>
      <c r="G4101" t="s">
        <v>1890</v>
      </c>
      <c r="H4101" t="s">
        <v>2317</v>
      </c>
      <c r="I4101" t="s">
        <v>119</v>
      </c>
      <c r="J4101" t="s">
        <v>36</v>
      </c>
      <c r="K4101">
        <v>1390</v>
      </c>
      <c r="O4101" t="s">
        <v>176</v>
      </c>
      <c r="P4101" t="s">
        <v>38</v>
      </c>
      <c r="U4101" s="9" t="s">
        <v>148</v>
      </c>
      <c r="V4101" t="s">
        <v>184</v>
      </c>
      <c r="W4101" t="s">
        <v>178</v>
      </c>
      <c r="X4101" t="s">
        <v>94</v>
      </c>
      <c r="Y4101" t="s">
        <v>179</v>
      </c>
      <c r="Z4101" t="s">
        <v>41</v>
      </c>
      <c r="AB4101" t="str">
        <f t="shared" si="192"/>
        <v>54826</v>
      </c>
    </row>
    <row r="4102" ht="14.25" spans="1:28">
      <c r="A4102" s="5" t="s">
        <v>28</v>
      </c>
      <c r="B4102" s="5" t="s">
        <v>697</v>
      </c>
      <c r="C4102" s="5">
        <v>2027</v>
      </c>
      <c r="D4102" s="5" t="s">
        <v>30</v>
      </c>
      <c r="E4102" t="s">
        <v>2315</v>
      </c>
      <c r="F4102" t="s">
        <v>2316</v>
      </c>
      <c r="G4102" t="s">
        <v>1890</v>
      </c>
      <c r="H4102" t="s">
        <v>2317</v>
      </c>
      <c r="I4102" t="s">
        <v>119</v>
      </c>
      <c r="J4102" t="s">
        <v>36</v>
      </c>
      <c r="K4102">
        <v>1390</v>
      </c>
      <c r="O4102" t="s">
        <v>176</v>
      </c>
      <c r="P4102" t="s">
        <v>42</v>
      </c>
      <c r="U4102" s="9" t="s">
        <v>148</v>
      </c>
      <c r="V4102" t="s">
        <v>184</v>
      </c>
      <c r="W4102" t="s">
        <v>178</v>
      </c>
      <c r="X4102" t="s">
        <v>94</v>
      </c>
      <c r="Y4102" t="s">
        <v>179</v>
      </c>
      <c r="Z4102" t="s">
        <v>41</v>
      </c>
      <c r="AB4102" t="str">
        <f t="shared" si="192"/>
        <v>54826</v>
      </c>
    </row>
    <row r="4103" ht="14.25" spans="1:28">
      <c r="A4103" s="5" t="s">
        <v>28</v>
      </c>
      <c r="B4103" s="5" t="s">
        <v>697</v>
      </c>
      <c r="C4103" s="5">
        <v>2027</v>
      </c>
      <c r="D4103" s="5" t="s">
        <v>30</v>
      </c>
      <c r="E4103" t="s">
        <v>2315</v>
      </c>
      <c r="F4103" t="s">
        <v>2316</v>
      </c>
      <c r="G4103" t="s">
        <v>1890</v>
      </c>
      <c r="H4103" t="s">
        <v>2317</v>
      </c>
      <c r="I4103" t="s">
        <v>119</v>
      </c>
      <c r="J4103" t="s">
        <v>36</v>
      </c>
      <c r="K4103">
        <v>1390</v>
      </c>
      <c r="O4103" t="s">
        <v>176</v>
      </c>
      <c r="P4103" t="s">
        <v>43</v>
      </c>
      <c r="U4103" s="9" t="s">
        <v>148</v>
      </c>
      <c r="V4103" t="s">
        <v>184</v>
      </c>
      <c r="W4103" t="s">
        <v>178</v>
      </c>
      <c r="X4103" t="s">
        <v>94</v>
      </c>
      <c r="Y4103" t="s">
        <v>179</v>
      </c>
      <c r="Z4103" t="s">
        <v>41</v>
      </c>
      <c r="AB4103" t="str">
        <f t="shared" si="192"/>
        <v>54826</v>
      </c>
    </row>
    <row r="4104" ht="14.25" spans="1:28">
      <c r="A4104" s="5" t="s">
        <v>28</v>
      </c>
      <c r="B4104" s="5" t="s">
        <v>697</v>
      </c>
      <c r="C4104" s="5">
        <v>2027</v>
      </c>
      <c r="D4104" s="5" t="s">
        <v>30</v>
      </c>
      <c r="E4104" t="s">
        <v>2315</v>
      </c>
      <c r="F4104" t="s">
        <v>2316</v>
      </c>
      <c r="G4104" t="s">
        <v>1890</v>
      </c>
      <c r="H4104" t="s">
        <v>2317</v>
      </c>
      <c r="I4104" t="s">
        <v>119</v>
      </c>
      <c r="J4104" t="s">
        <v>36</v>
      </c>
      <c r="K4104">
        <v>1390</v>
      </c>
      <c r="O4104" t="s">
        <v>176</v>
      </c>
      <c r="P4104" t="s">
        <v>44</v>
      </c>
      <c r="U4104" s="9" t="s">
        <v>148</v>
      </c>
      <c r="V4104" t="s">
        <v>184</v>
      </c>
      <c r="W4104" t="s">
        <v>178</v>
      </c>
      <c r="X4104" t="s">
        <v>94</v>
      </c>
      <c r="Y4104" t="s">
        <v>179</v>
      </c>
      <c r="Z4104" t="s">
        <v>41</v>
      </c>
      <c r="AB4104" t="str">
        <f t="shared" si="192"/>
        <v>54826</v>
      </c>
    </row>
    <row r="4105" ht="14.25" spans="1:28">
      <c r="A4105" s="5" t="s">
        <v>28</v>
      </c>
      <c r="B4105" s="5" t="s">
        <v>697</v>
      </c>
      <c r="C4105" s="5">
        <v>2027</v>
      </c>
      <c r="D4105" s="5" t="s">
        <v>30</v>
      </c>
      <c r="E4105" t="s">
        <v>2315</v>
      </c>
      <c r="F4105" t="s">
        <v>2316</v>
      </c>
      <c r="G4105" t="s">
        <v>1890</v>
      </c>
      <c r="H4105" t="s">
        <v>2317</v>
      </c>
      <c r="I4105" t="s">
        <v>119</v>
      </c>
      <c r="J4105" t="s">
        <v>36</v>
      </c>
      <c r="K4105">
        <v>1390</v>
      </c>
      <c r="O4105" t="s">
        <v>176</v>
      </c>
      <c r="P4105" t="s">
        <v>45</v>
      </c>
      <c r="U4105" s="9" t="s">
        <v>148</v>
      </c>
      <c r="V4105" t="s">
        <v>184</v>
      </c>
      <c r="W4105" t="s">
        <v>178</v>
      </c>
      <c r="X4105" t="s">
        <v>94</v>
      </c>
      <c r="Y4105" t="s">
        <v>179</v>
      </c>
      <c r="Z4105" t="s">
        <v>41</v>
      </c>
      <c r="AB4105" t="str">
        <f t="shared" si="192"/>
        <v>54826</v>
      </c>
    </row>
    <row r="4106" ht="14.25" spans="1:28">
      <c r="A4106" s="5" t="s">
        <v>28</v>
      </c>
      <c r="B4106" s="5" t="s">
        <v>697</v>
      </c>
      <c r="C4106" s="5">
        <v>2027</v>
      </c>
      <c r="D4106" s="5" t="s">
        <v>30</v>
      </c>
      <c r="E4106" t="s">
        <v>2318</v>
      </c>
      <c r="F4106" t="s">
        <v>2316</v>
      </c>
      <c r="G4106" t="s">
        <v>254</v>
      </c>
      <c r="H4106" t="s">
        <v>2319</v>
      </c>
      <c r="I4106" t="s">
        <v>119</v>
      </c>
      <c r="J4106" t="s">
        <v>36</v>
      </c>
      <c r="K4106">
        <v>1390</v>
      </c>
      <c r="O4106" t="s">
        <v>176</v>
      </c>
      <c r="P4106" t="s">
        <v>177</v>
      </c>
      <c r="R4106">
        <f t="shared" si="193"/>
        <v>0</v>
      </c>
      <c r="S4106">
        <f>SUMIFS([1]Sheet1!$T:$T,[1]Sheet1!$I:$I,E4106,[1]Sheet1!$C:$C,A4106)</f>
        <v>100</v>
      </c>
      <c r="T4106">
        <f t="shared" si="194"/>
        <v>-100</v>
      </c>
      <c r="U4106" s="9" t="s">
        <v>148</v>
      </c>
      <c r="V4106" t="s">
        <v>184</v>
      </c>
      <c r="W4106" t="s">
        <v>178</v>
      </c>
      <c r="X4106" t="s">
        <v>86</v>
      </c>
      <c r="Y4106" t="s">
        <v>179</v>
      </c>
      <c r="Z4106" t="s">
        <v>41</v>
      </c>
      <c r="AB4106" t="str">
        <f t="shared" si="192"/>
        <v>54826</v>
      </c>
    </row>
    <row r="4107" ht="14.25" spans="1:28">
      <c r="A4107" s="5" t="s">
        <v>28</v>
      </c>
      <c r="B4107" s="5" t="s">
        <v>697</v>
      </c>
      <c r="C4107" s="5">
        <v>2027</v>
      </c>
      <c r="D4107" s="5" t="s">
        <v>30</v>
      </c>
      <c r="E4107" t="s">
        <v>2318</v>
      </c>
      <c r="F4107" t="s">
        <v>2316</v>
      </c>
      <c r="G4107" t="s">
        <v>254</v>
      </c>
      <c r="H4107" t="s">
        <v>2319</v>
      </c>
      <c r="I4107" t="s">
        <v>119</v>
      </c>
      <c r="J4107" t="s">
        <v>36</v>
      </c>
      <c r="K4107">
        <v>1390</v>
      </c>
      <c r="O4107" t="s">
        <v>176</v>
      </c>
      <c r="P4107" t="s">
        <v>38</v>
      </c>
      <c r="U4107" s="9" t="s">
        <v>148</v>
      </c>
      <c r="V4107" t="s">
        <v>184</v>
      </c>
      <c r="W4107" t="s">
        <v>178</v>
      </c>
      <c r="X4107" t="s">
        <v>86</v>
      </c>
      <c r="Y4107" t="s">
        <v>179</v>
      </c>
      <c r="Z4107" t="s">
        <v>41</v>
      </c>
      <c r="AB4107" t="str">
        <f t="shared" si="192"/>
        <v>54826</v>
      </c>
    </row>
    <row r="4108" ht="14.25" spans="1:28">
      <c r="A4108" s="5" t="s">
        <v>28</v>
      </c>
      <c r="B4108" s="5" t="s">
        <v>697</v>
      </c>
      <c r="C4108" s="5">
        <v>2027</v>
      </c>
      <c r="D4108" s="5" t="s">
        <v>30</v>
      </c>
      <c r="E4108" t="s">
        <v>2318</v>
      </c>
      <c r="F4108" t="s">
        <v>2316</v>
      </c>
      <c r="G4108" t="s">
        <v>254</v>
      </c>
      <c r="H4108" t="s">
        <v>2319</v>
      </c>
      <c r="I4108" t="s">
        <v>119</v>
      </c>
      <c r="J4108" t="s">
        <v>36</v>
      </c>
      <c r="K4108">
        <v>1390</v>
      </c>
      <c r="O4108" t="s">
        <v>176</v>
      </c>
      <c r="P4108" t="s">
        <v>42</v>
      </c>
      <c r="U4108" s="9" t="s">
        <v>148</v>
      </c>
      <c r="V4108" t="s">
        <v>184</v>
      </c>
      <c r="W4108" t="s">
        <v>178</v>
      </c>
      <c r="X4108" t="s">
        <v>86</v>
      </c>
      <c r="Y4108" t="s">
        <v>179</v>
      </c>
      <c r="Z4108" t="s">
        <v>41</v>
      </c>
      <c r="AB4108" t="str">
        <f t="shared" si="192"/>
        <v>54826</v>
      </c>
    </row>
    <row r="4109" ht="14.25" spans="1:28">
      <c r="A4109" s="5" t="s">
        <v>28</v>
      </c>
      <c r="B4109" s="5" t="s">
        <v>697</v>
      </c>
      <c r="C4109" s="5">
        <v>2027</v>
      </c>
      <c r="D4109" s="5" t="s">
        <v>30</v>
      </c>
      <c r="E4109" t="s">
        <v>2318</v>
      </c>
      <c r="F4109" t="s">
        <v>2316</v>
      </c>
      <c r="G4109" t="s">
        <v>254</v>
      </c>
      <c r="H4109" t="s">
        <v>2319</v>
      </c>
      <c r="I4109" t="s">
        <v>119</v>
      </c>
      <c r="J4109" t="s">
        <v>36</v>
      </c>
      <c r="K4109">
        <v>1390</v>
      </c>
      <c r="O4109" t="s">
        <v>176</v>
      </c>
      <c r="P4109" t="s">
        <v>43</v>
      </c>
      <c r="U4109" s="9" t="s">
        <v>148</v>
      </c>
      <c r="V4109" t="s">
        <v>184</v>
      </c>
      <c r="W4109" t="s">
        <v>178</v>
      </c>
      <c r="X4109" t="s">
        <v>86</v>
      </c>
      <c r="Y4109" t="s">
        <v>179</v>
      </c>
      <c r="Z4109" t="s">
        <v>41</v>
      </c>
      <c r="AB4109" t="str">
        <f t="shared" si="192"/>
        <v>54826</v>
      </c>
    </row>
    <row r="4110" ht="14.25" spans="1:28">
      <c r="A4110" s="5" t="s">
        <v>28</v>
      </c>
      <c r="B4110" s="5" t="s">
        <v>697</v>
      </c>
      <c r="C4110" s="5">
        <v>2027</v>
      </c>
      <c r="D4110" s="5" t="s">
        <v>30</v>
      </c>
      <c r="E4110" t="s">
        <v>2318</v>
      </c>
      <c r="F4110" t="s">
        <v>2316</v>
      </c>
      <c r="G4110" t="s">
        <v>254</v>
      </c>
      <c r="H4110" t="s">
        <v>2319</v>
      </c>
      <c r="I4110" t="s">
        <v>119</v>
      </c>
      <c r="J4110" t="s">
        <v>36</v>
      </c>
      <c r="K4110">
        <v>1390</v>
      </c>
      <c r="O4110" t="s">
        <v>176</v>
      </c>
      <c r="P4110" t="s">
        <v>44</v>
      </c>
      <c r="U4110" s="9" t="s">
        <v>148</v>
      </c>
      <c r="V4110" t="s">
        <v>184</v>
      </c>
      <c r="W4110" t="s">
        <v>178</v>
      </c>
      <c r="X4110" t="s">
        <v>86</v>
      </c>
      <c r="Y4110" t="s">
        <v>179</v>
      </c>
      <c r="Z4110" t="s">
        <v>41</v>
      </c>
      <c r="AB4110" t="str">
        <f t="shared" si="192"/>
        <v>54826</v>
      </c>
    </row>
    <row r="4111" ht="14.25" spans="1:28">
      <c r="A4111" s="5" t="s">
        <v>28</v>
      </c>
      <c r="B4111" s="5" t="s">
        <v>697</v>
      </c>
      <c r="C4111" s="5">
        <v>2027</v>
      </c>
      <c r="D4111" s="5" t="s">
        <v>30</v>
      </c>
      <c r="E4111" t="s">
        <v>2318</v>
      </c>
      <c r="F4111" t="s">
        <v>2316</v>
      </c>
      <c r="G4111" t="s">
        <v>254</v>
      </c>
      <c r="H4111" t="s">
        <v>2319</v>
      </c>
      <c r="I4111" t="s">
        <v>119</v>
      </c>
      <c r="J4111" t="s">
        <v>36</v>
      </c>
      <c r="K4111">
        <v>1390</v>
      </c>
      <c r="O4111" t="s">
        <v>176</v>
      </c>
      <c r="P4111" t="s">
        <v>45</v>
      </c>
      <c r="U4111" s="9" t="s">
        <v>148</v>
      </c>
      <c r="V4111" t="s">
        <v>184</v>
      </c>
      <c r="W4111" t="s">
        <v>178</v>
      </c>
      <c r="X4111" t="s">
        <v>86</v>
      </c>
      <c r="Y4111" t="s">
        <v>179</v>
      </c>
      <c r="Z4111" t="s">
        <v>41</v>
      </c>
      <c r="AB4111" t="str">
        <f t="shared" si="192"/>
        <v>54826</v>
      </c>
    </row>
    <row r="4112" ht="14.25" spans="1:28">
      <c r="A4112" s="5" t="s">
        <v>28</v>
      </c>
      <c r="B4112" s="5" t="s">
        <v>697</v>
      </c>
      <c r="C4112" s="5">
        <v>2027</v>
      </c>
      <c r="D4112" s="5" t="s">
        <v>30</v>
      </c>
      <c r="E4112" t="s">
        <v>2320</v>
      </c>
      <c r="F4112" t="s">
        <v>2321</v>
      </c>
      <c r="G4112" t="s">
        <v>1988</v>
      </c>
      <c r="H4112" t="s">
        <v>2322</v>
      </c>
      <c r="I4112" t="s">
        <v>119</v>
      </c>
      <c r="J4112" t="s">
        <v>36</v>
      </c>
      <c r="K4112">
        <v>1790</v>
      </c>
      <c r="O4112" t="s">
        <v>195</v>
      </c>
      <c r="P4112" t="s">
        <v>74</v>
      </c>
      <c r="R4112">
        <f t="shared" si="193"/>
        <v>0</v>
      </c>
      <c r="S4112">
        <f>SUMIFS([1]Sheet1!$T:$T,[1]Sheet1!$I:$I,E4112,[1]Sheet1!$C:$C,A4112)</f>
        <v>12</v>
      </c>
      <c r="T4112">
        <f t="shared" si="194"/>
        <v>-12</v>
      </c>
      <c r="U4112" s="9" t="s">
        <v>638</v>
      </c>
      <c r="V4112" t="s">
        <v>638</v>
      </c>
      <c r="W4112" t="s">
        <v>178</v>
      </c>
      <c r="X4112" t="s">
        <v>1455</v>
      </c>
      <c r="Y4112" t="s">
        <v>179</v>
      </c>
      <c r="Z4112" t="s">
        <v>41</v>
      </c>
      <c r="AB4112" t="str">
        <f t="shared" si="192"/>
        <v>54827</v>
      </c>
    </row>
    <row r="4113" ht="14.25" spans="1:28">
      <c r="A4113" s="5" t="s">
        <v>28</v>
      </c>
      <c r="B4113" s="5" t="s">
        <v>697</v>
      </c>
      <c r="C4113" s="5">
        <v>2027</v>
      </c>
      <c r="D4113" s="5" t="s">
        <v>30</v>
      </c>
      <c r="E4113" t="s">
        <v>2320</v>
      </c>
      <c r="F4113" t="s">
        <v>2321</v>
      </c>
      <c r="G4113" t="s">
        <v>1988</v>
      </c>
      <c r="H4113" t="s">
        <v>2322</v>
      </c>
      <c r="I4113" t="s">
        <v>119</v>
      </c>
      <c r="J4113" t="s">
        <v>36</v>
      </c>
      <c r="K4113">
        <v>1790</v>
      </c>
      <c r="O4113" t="s">
        <v>195</v>
      </c>
      <c r="P4113" t="s">
        <v>76</v>
      </c>
      <c r="U4113" s="9" t="s">
        <v>638</v>
      </c>
      <c r="V4113" t="s">
        <v>638</v>
      </c>
      <c r="W4113" t="s">
        <v>178</v>
      </c>
      <c r="X4113" t="s">
        <v>1455</v>
      </c>
      <c r="Y4113" t="s">
        <v>179</v>
      </c>
      <c r="Z4113" t="s">
        <v>41</v>
      </c>
      <c r="AB4113" t="str">
        <f t="shared" si="192"/>
        <v>54827</v>
      </c>
    </row>
    <row r="4114" ht="14.25" spans="1:28">
      <c r="A4114" s="5" t="s">
        <v>28</v>
      </c>
      <c r="B4114" s="5" t="s">
        <v>697</v>
      </c>
      <c r="C4114" s="5">
        <v>2027</v>
      </c>
      <c r="D4114" s="5" t="s">
        <v>30</v>
      </c>
      <c r="E4114" t="s">
        <v>2320</v>
      </c>
      <c r="F4114" t="s">
        <v>2321</v>
      </c>
      <c r="G4114" t="s">
        <v>1988</v>
      </c>
      <c r="H4114" t="s">
        <v>2322</v>
      </c>
      <c r="I4114" t="s">
        <v>119</v>
      </c>
      <c r="J4114" t="s">
        <v>36</v>
      </c>
      <c r="K4114">
        <v>1790</v>
      </c>
      <c r="O4114" t="s">
        <v>195</v>
      </c>
      <c r="P4114" t="s">
        <v>77</v>
      </c>
      <c r="U4114" s="9" t="s">
        <v>638</v>
      </c>
      <c r="V4114" t="s">
        <v>638</v>
      </c>
      <c r="W4114" t="s">
        <v>178</v>
      </c>
      <c r="X4114" t="s">
        <v>1455</v>
      </c>
      <c r="Y4114" t="s">
        <v>179</v>
      </c>
      <c r="Z4114" t="s">
        <v>41</v>
      </c>
      <c r="AB4114" t="str">
        <f t="shared" si="192"/>
        <v>54827</v>
      </c>
    </row>
    <row r="4115" ht="14.25" spans="1:28">
      <c r="A4115" s="5" t="s">
        <v>28</v>
      </c>
      <c r="B4115" s="5" t="s">
        <v>697</v>
      </c>
      <c r="C4115" s="5">
        <v>2027</v>
      </c>
      <c r="D4115" s="5" t="s">
        <v>30</v>
      </c>
      <c r="E4115" t="s">
        <v>2320</v>
      </c>
      <c r="F4115" t="s">
        <v>2321</v>
      </c>
      <c r="G4115" t="s">
        <v>1988</v>
      </c>
      <c r="H4115" t="s">
        <v>2322</v>
      </c>
      <c r="I4115" t="s">
        <v>119</v>
      </c>
      <c r="J4115" t="s">
        <v>36</v>
      </c>
      <c r="K4115">
        <v>1790</v>
      </c>
      <c r="O4115" t="s">
        <v>195</v>
      </c>
      <c r="P4115" t="s">
        <v>78</v>
      </c>
      <c r="U4115" s="9" t="s">
        <v>638</v>
      </c>
      <c r="V4115" t="s">
        <v>638</v>
      </c>
      <c r="W4115" t="s">
        <v>178</v>
      </c>
      <c r="X4115" t="s">
        <v>1455</v>
      </c>
      <c r="Y4115" t="s">
        <v>179</v>
      </c>
      <c r="Z4115" t="s">
        <v>41</v>
      </c>
      <c r="AB4115" t="str">
        <f t="shared" si="192"/>
        <v>54827</v>
      </c>
    </row>
    <row r="4116" ht="14.25" spans="1:28">
      <c r="A4116" s="5" t="s">
        <v>28</v>
      </c>
      <c r="B4116" s="5" t="s">
        <v>697</v>
      </c>
      <c r="C4116" s="5">
        <v>2027</v>
      </c>
      <c r="D4116" s="5" t="s">
        <v>30</v>
      </c>
      <c r="E4116" t="s">
        <v>2320</v>
      </c>
      <c r="F4116" t="s">
        <v>2321</v>
      </c>
      <c r="G4116" t="s">
        <v>1988</v>
      </c>
      <c r="H4116" t="s">
        <v>2322</v>
      </c>
      <c r="I4116" t="s">
        <v>119</v>
      </c>
      <c r="J4116" t="s">
        <v>36</v>
      </c>
      <c r="K4116">
        <v>1790</v>
      </c>
      <c r="O4116" t="s">
        <v>195</v>
      </c>
      <c r="P4116" t="s">
        <v>79</v>
      </c>
      <c r="U4116" s="9" t="s">
        <v>638</v>
      </c>
      <c r="V4116" t="s">
        <v>638</v>
      </c>
      <c r="W4116" t="s">
        <v>178</v>
      </c>
      <c r="X4116" t="s">
        <v>1455</v>
      </c>
      <c r="Y4116" t="s">
        <v>179</v>
      </c>
      <c r="Z4116" t="s">
        <v>41</v>
      </c>
      <c r="AB4116" t="str">
        <f t="shared" si="192"/>
        <v>54827</v>
      </c>
    </row>
    <row r="4117" ht="14.25" spans="1:28">
      <c r="A4117" s="5" t="s">
        <v>28</v>
      </c>
      <c r="B4117" s="5" t="s">
        <v>697</v>
      </c>
      <c r="C4117" s="5">
        <v>2027</v>
      </c>
      <c r="D4117" s="5" t="s">
        <v>30</v>
      </c>
      <c r="E4117" t="s">
        <v>2323</v>
      </c>
      <c r="F4117" t="s">
        <v>2321</v>
      </c>
      <c r="G4117" t="s">
        <v>2324</v>
      </c>
      <c r="H4117" t="s">
        <v>2325</v>
      </c>
      <c r="I4117" t="s">
        <v>119</v>
      </c>
      <c r="J4117" t="s">
        <v>36</v>
      </c>
      <c r="K4117">
        <v>1790</v>
      </c>
      <c r="O4117" t="s">
        <v>195</v>
      </c>
      <c r="P4117" t="s">
        <v>74</v>
      </c>
      <c r="R4117">
        <f t="shared" si="193"/>
        <v>0</v>
      </c>
      <c r="S4117">
        <f>SUMIFS([1]Sheet1!$T:$T,[1]Sheet1!$I:$I,E4117,[1]Sheet1!$C:$C,A4117)</f>
        <v>12</v>
      </c>
      <c r="T4117">
        <f t="shared" si="194"/>
        <v>-12</v>
      </c>
      <c r="U4117" s="9" t="s">
        <v>638</v>
      </c>
      <c r="V4117" t="s">
        <v>638</v>
      </c>
      <c r="W4117" t="s">
        <v>178</v>
      </c>
      <c r="X4117" t="s">
        <v>1455</v>
      </c>
      <c r="Y4117" t="s">
        <v>179</v>
      </c>
      <c r="Z4117" t="s">
        <v>41</v>
      </c>
      <c r="AB4117" t="str">
        <f t="shared" si="192"/>
        <v>54827</v>
      </c>
    </row>
    <row r="4118" ht="14.25" spans="1:28">
      <c r="A4118" s="5" t="s">
        <v>28</v>
      </c>
      <c r="B4118" s="5" t="s">
        <v>697</v>
      </c>
      <c r="C4118" s="5">
        <v>2027</v>
      </c>
      <c r="D4118" s="5" t="s">
        <v>30</v>
      </c>
      <c r="E4118" t="s">
        <v>2323</v>
      </c>
      <c r="F4118" t="s">
        <v>2321</v>
      </c>
      <c r="G4118" t="s">
        <v>2324</v>
      </c>
      <c r="H4118" t="s">
        <v>2325</v>
      </c>
      <c r="I4118" t="s">
        <v>119</v>
      </c>
      <c r="J4118" t="s">
        <v>36</v>
      </c>
      <c r="K4118">
        <v>1790</v>
      </c>
      <c r="O4118" t="s">
        <v>195</v>
      </c>
      <c r="P4118" t="s">
        <v>76</v>
      </c>
      <c r="U4118" s="9" t="s">
        <v>638</v>
      </c>
      <c r="V4118" t="s">
        <v>638</v>
      </c>
      <c r="W4118" t="s">
        <v>178</v>
      </c>
      <c r="X4118" t="s">
        <v>1455</v>
      </c>
      <c r="Y4118" t="s">
        <v>179</v>
      </c>
      <c r="Z4118" t="s">
        <v>41</v>
      </c>
      <c r="AB4118" t="str">
        <f t="shared" si="192"/>
        <v>54827</v>
      </c>
    </row>
    <row r="4119" ht="14.25" spans="1:28">
      <c r="A4119" s="5" t="s">
        <v>28</v>
      </c>
      <c r="B4119" s="5" t="s">
        <v>697</v>
      </c>
      <c r="C4119" s="5">
        <v>2027</v>
      </c>
      <c r="D4119" s="5" t="s">
        <v>30</v>
      </c>
      <c r="E4119" t="s">
        <v>2323</v>
      </c>
      <c r="F4119" t="s">
        <v>2321</v>
      </c>
      <c r="G4119" t="s">
        <v>2324</v>
      </c>
      <c r="H4119" t="s">
        <v>2325</v>
      </c>
      <c r="I4119" t="s">
        <v>119</v>
      </c>
      <c r="J4119" t="s">
        <v>36</v>
      </c>
      <c r="K4119">
        <v>1790</v>
      </c>
      <c r="O4119" t="s">
        <v>195</v>
      </c>
      <c r="P4119" t="s">
        <v>77</v>
      </c>
      <c r="U4119" s="9" t="s">
        <v>638</v>
      </c>
      <c r="V4119" t="s">
        <v>638</v>
      </c>
      <c r="W4119" t="s">
        <v>178</v>
      </c>
      <c r="X4119" t="s">
        <v>1455</v>
      </c>
      <c r="Y4119" t="s">
        <v>179</v>
      </c>
      <c r="Z4119" t="s">
        <v>41</v>
      </c>
      <c r="AB4119" t="str">
        <f t="shared" si="192"/>
        <v>54827</v>
      </c>
    </row>
    <row r="4120" ht="14.25" spans="1:28">
      <c r="A4120" s="5" t="s">
        <v>28</v>
      </c>
      <c r="B4120" s="5" t="s">
        <v>697</v>
      </c>
      <c r="C4120" s="5">
        <v>2027</v>
      </c>
      <c r="D4120" s="5" t="s">
        <v>30</v>
      </c>
      <c r="E4120" t="s">
        <v>2323</v>
      </c>
      <c r="F4120" t="s">
        <v>2321</v>
      </c>
      <c r="G4120" t="s">
        <v>2324</v>
      </c>
      <c r="H4120" t="s">
        <v>2325</v>
      </c>
      <c r="I4120" t="s">
        <v>119</v>
      </c>
      <c r="J4120" t="s">
        <v>36</v>
      </c>
      <c r="K4120">
        <v>1790</v>
      </c>
      <c r="O4120" t="s">
        <v>195</v>
      </c>
      <c r="P4120" t="s">
        <v>78</v>
      </c>
      <c r="U4120" s="9" t="s">
        <v>638</v>
      </c>
      <c r="V4120" t="s">
        <v>638</v>
      </c>
      <c r="W4120" t="s">
        <v>178</v>
      </c>
      <c r="X4120" t="s">
        <v>1455</v>
      </c>
      <c r="Y4120" t="s">
        <v>179</v>
      </c>
      <c r="Z4120" t="s">
        <v>41</v>
      </c>
      <c r="AB4120" t="str">
        <f t="shared" si="192"/>
        <v>54827</v>
      </c>
    </row>
    <row r="4121" ht="14.25" spans="1:28">
      <c r="A4121" s="5" t="s">
        <v>28</v>
      </c>
      <c r="B4121" s="5" t="s">
        <v>697</v>
      </c>
      <c r="C4121" s="5">
        <v>2027</v>
      </c>
      <c r="D4121" s="5" t="s">
        <v>30</v>
      </c>
      <c r="E4121" t="s">
        <v>2323</v>
      </c>
      <c r="F4121" t="s">
        <v>2321</v>
      </c>
      <c r="G4121" t="s">
        <v>2324</v>
      </c>
      <c r="H4121" t="s">
        <v>2325</v>
      </c>
      <c r="I4121" t="s">
        <v>119</v>
      </c>
      <c r="J4121" t="s">
        <v>36</v>
      </c>
      <c r="K4121">
        <v>1790</v>
      </c>
      <c r="O4121" t="s">
        <v>195</v>
      </c>
      <c r="P4121" t="s">
        <v>79</v>
      </c>
      <c r="U4121" s="9" t="s">
        <v>638</v>
      </c>
      <c r="V4121" t="s">
        <v>638</v>
      </c>
      <c r="W4121" t="s">
        <v>178</v>
      </c>
      <c r="X4121" t="s">
        <v>1455</v>
      </c>
      <c r="Y4121" t="s">
        <v>179</v>
      </c>
      <c r="Z4121" t="s">
        <v>41</v>
      </c>
      <c r="AB4121" t="str">
        <f t="shared" si="192"/>
        <v>54827</v>
      </c>
    </row>
    <row r="4122" ht="14.25" spans="1:28">
      <c r="A4122" s="5" t="s">
        <v>28</v>
      </c>
      <c r="B4122" s="5" t="s">
        <v>697</v>
      </c>
      <c r="C4122" s="5">
        <v>2027</v>
      </c>
      <c r="D4122" s="5" t="s">
        <v>30</v>
      </c>
      <c r="E4122" t="s">
        <v>2326</v>
      </c>
      <c r="F4122" t="s">
        <v>2327</v>
      </c>
      <c r="G4122" t="s">
        <v>2328</v>
      </c>
      <c r="H4122" t="s">
        <v>2329</v>
      </c>
      <c r="I4122" t="s">
        <v>147</v>
      </c>
      <c r="J4122" t="s">
        <v>36</v>
      </c>
      <c r="K4122">
        <v>1590</v>
      </c>
      <c r="O4122" t="s">
        <v>176</v>
      </c>
      <c r="P4122" t="s">
        <v>177</v>
      </c>
      <c r="R4122">
        <f t="shared" si="193"/>
        <v>0</v>
      </c>
      <c r="S4122">
        <f>SUMIFS([1]Sheet1!$T:$T,[1]Sheet1!$I:$I,E4122,[1]Sheet1!$C:$C,A4122)</f>
        <v>40</v>
      </c>
      <c r="T4122">
        <f t="shared" si="194"/>
        <v>-40</v>
      </c>
      <c r="U4122" s="9" t="s">
        <v>148</v>
      </c>
      <c r="V4122" t="s">
        <v>565</v>
      </c>
      <c r="W4122" t="s">
        <v>178</v>
      </c>
      <c r="X4122" t="s">
        <v>58</v>
      </c>
      <c r="Y4122" t="s">
        <v>179</v>
      </c>
      <c r="Z4122" t="s">
        <v>247</v>
      </c>
      <c r="AB4122" t="str">
        <f t="shared" si="192"/>
        <v>54846</v>
      </c>
    </row>
    <row r="4123" ht="14.25" spans="1:28">
      <c r="A4123" s="5" t="s">
        <v>28</v>
      </c>
      <c r="B4123" s="5" t="s">
        <v>697</v>
      </c>
      <c r="C4123" s="5">
        <v>2027</v>
      </c>
      <c r="D4123" s="5" t="s">
        <v>30</v>
      </c>
      <c r="E4123" t="s">
        <v>2326</v>
      </c>
      <c r="F4123" t="s">
        <v>2327</v>
      </c>
      <c r="G4123" t="s">
        <v>2328</v>
      </c>
      <c r="H4123" t="s">
        <v>2329</v>
      </c>
      <c r="I4123" t="s">
        <v>147</v>
      </c>
      <c r="J4123" t="s">
        <v>36</v>
      </c>
      <c r="K4123">
        <v>1590</v>
      </c>
      <c r="O4123" t="s">
        <v>176</v>
      </c>
      <c r="P4123" t="s">
        <v>38</v>
      </c>
      <c r="U4123" s="9" t="s">
        <v>148</v>
      </c>
      <c r="V4123" t="s">
        <v>565</v>
      </c>
      <c r="W4123" t="s">
        <v>178</v>
      </c>
      <c r="X4123" t="s">
        <v>58</v>
      </c>
      <c r="Y4123" t="s">
        <v>179</v>
      </c>
      <c r="Z4123" t="s">
        <v>247</v>
      </c>
      <c r="AB4123" t="str">
        <f t="shared" si="192"/>
        <v>54846</v>
      </c>
    </row>
    <row r="4124" ht="14.25" spans="1:28">
      <c r="A4124" s="5" t="s">
        <v>28</v>
      </c>
      <c r="B4124" s="5" t="s">
        <v>697</v>
      </c>
      <c r="C4124" s="5">
        <v>2027</v>
      </c>
      <c r="D4124" s="5" t="s">
        <v>30</v>
      </c>
      <c r="E4124" t="s">
        <v>2326</v>
      </c>
      <c r="F4124" t="s">
        <v>2327</v>
      </c>
      <c r="G4124" t="s">
        <v>2328</v>
      </c>
      <c r="H4124" t="s">
        <v>2329</v>
      </c>
      <c r="I4124" t="s">
        <v>147</v>
      </c>
      <c r="J4124" t="s">
        <v>36</v>
      </c>
      <c r="K4124">
        <v>1590</v>
      </c>
      <c r="O4124" t="s">
        <v>176</v>
      </c>
      <c r="P4124" t="s">
        <v>42</v>
      </c>
      <c r="U4124" s="9" t="s">
        <v>148</v>
      </c>
      <c r="V4124" t="s">
        <v>565</v>
      </c>
      <c r="W4124" t="s">
        <v>178</v>
      </c>
      <c r="X4124" t="s">
        <v>58</v>
      </c>
      <c r="Y4124" t="s">
        <v>179</v>
      </c>
      <c r="Z4124" t="s">
        <v>247</v>
      </c>
      <c r="AB4124" t="str">
        <f t="shared" si="192"/>
        <v>54846</v>
      </c>
    </row>
    <row r="4125" ht="14.25" spans="1:28">
      <c r="A4125" s="5" t="s">
        <v>28</v>
      </c>
      <c r="B4125" s="5" t="s">
        <v>697</v>
      </c>
      <c r="C4125" s="5">
        <v>2027</v>
      </c>
      <c r="D4125" s="5" t="s">
        <v>30</v>
      </c>
      <c r="E4125" t="s">
        <v>2326</v>
      </c>
      <c r="F4125" t="s">
        <v>2327</v>
      </c>
      <c r="G4125" t="s">
        <v>2328</v>
      </c>
      <c r="H4125" t="s">
        <v>2329</v>
      </c>
      <c r="I4125" t="s">
        <v>147</v>
      </c>
      <c r="J4125" t="s">
        <v>36</v>
      </c>
      <c r="K4125">
        <v>1590</v>
      </c>
      <c r="O4125" t="s">
        <v>176</v>
      </c>
      <c r="P4125" t="s">
        <v>43</v>
      </c>
      <c r="U4125" s="9" t="s">
        <v>148</v>
      </c>
      <c r="V4125" t="s">
        <v>565</v>
      </c>
      <c r="W4125" t="s">
        <v>178</v>
      </c>
      <c r="X4125" t="s">
        <v>58</v>
      </c>
      <c r="Y4125" t="s">
        <v>179</v>
      </c>
      <c r="Z4125" t="s">
        <v>247</v>
      </c>
      <c r="AB4125" t="str">
        <f t="shared" si="192"/>
        <v>54846</v>
      </c>
    </row>
    <row r="4126" ht="14.25" spans="1:28">
      <c r="A4126" s="5" t="s">
        <v>28</v>
      </c>
      <c r="B4126" s="5" t="s">
        <v>697</v>
      </c>
      <c r="C4126" s="5">
        <v>2027</v>
      </c>
      <c r="D4126" s="5" t="s">
        <v>30</v>
      </c>
      <c r="E4126" t="s">
        <v>2326</v>
      </c>
      <c r="F4126" t="s">
        <v>2327</v>
      </c>
      <c r="G4126" t="s">
        <v>2328</v>
      </c>
      <c r="H4126" t="s">
        <v>2329</v>
      </c>
      <c r="I4126" t="s">
        <v>147</v>
      </c>
      <c r="J4126" t="s">
        <v>36</v>
      </c>
      <c r="K4126">
        <v>1590</v>
      </c>
      <c r="O4126" t="s">
        <v>176</v>
      </c>
      <c r="P4126" t="s">
        <v>44</v>
      </c>
      <c r="U4126" s="9" t="s">
        <v>148</v>
      </c>
      <c r="V4126" t="s">
        <v>565</v>
      </c>
      <c r="W4126" t="s">
        <v>178</v>
      </c>
      <c r="X4126" t="s">
        <v>58</v>
      </c>
      <c r="Y4126" t="s">
        <v>179</v>
      </c>
      <c r="Z4126" t="s">
        <v>247</v>
      </c>
      <c r="AB4126" t="str">
        <f t="shared" si="192"/>
        <v>54846</v>
      </c>
    </row>
    <row r="4127" ht="14.25" spans="1:28">
      <c r="A4127" s="5" t="s">
        <v>28</v>
      </c>
      <c r="B4127" s="5" t="s">
        <v>697</v>
      </c>
      <c r="C4127" s="5">
        <v>2027</v>
      </c>
      <c r="D4127" s="5" t="s">
        <v>30</v>
      </c>
      <c r="E4127" t="s">
        <v>2326</v>
      </c>
      <c r="F4127" t="s">
        <v>2327</v>
      </c>
      <c r="G4127" t="s">
        <v>2328</v>
      </c>
      <c r="H4127" t="s">
        <v>2329</v>
      </c>
      <c r="I4127" t="s">
        <v>147</v>
      </c>
      <c r="J4127" t="s">
        <v>36</v>
      </c>
      <c r="K4127">
        <v>1590</v>
      </c>
      <c r="O4127" t="s">
        <v>176</v>
      </c>
      <c r="P4127" t="s">
        <v>45</v>
      </c>
      <c r="U4127" s="9" t="s">
        <v>148</v>
      </c>
      <c r="V4127" t="s">
        <v>565</v>
      </c>
      <c r="W4127" t="s">
        <v>178</v>
      </c>
      <c r="X4127" t="s">
        <v>58</v>
      </c>
      <c r="Y4127" t="s">
        <v>179</v>
      </c>
      <c r="Z4127" t="s">
        <v>247</v>
      </c>
      <c r="AB4127" t="str">
        <f t="shared" si="192"/>
        <v>54846</v>
      </c>
    </row>
    <row r="4128" ht="14.25" spans="1:28">
      <c r="A4128" s="5" t="s">
        <v>28</v>
      </c>
      <c r="B4128" s="5" t="s">
        <v>697</v>
      </c>
      <c r="C4128" s="5">
        <v>2027</v>
      </c>
      <c r="D4128" s="5" t="s">
        <v>30</v>
      </c>
      <c r="E4128" t="s">
        <v>2330</v>
      </c>
      <c r="F4128" t="s">
        <v>2327</v>
      </c>
      <c r="G4128" t="s">
        <v>2331</v>
      </c>
      <c r="H4128" t="s">
        <v>2332</v>
      </c>
      <c r="I4128" t="s">
        <v>119</v>
      </c>
      <c r="J4128" t="s">
        <v>36</v>
      </c>
      <c r="K4128">
        <v>1590</v>
      </c>
      <c r="O4128" t="s">
        <v>176</v>
      </c>
      <c r="P4128" t="s">
        <v>177</v>
      </c>
      <c r="R4128">
        <f t="shared" si="193"/>
        <v>0</v>
      </c>
      <c r="S4128">
        <f>SUMIFS([1]Sheet1!$T:$T,[1]Sheet1!$I:$I,E4128,[1]Sheet1!$C:$C,A4128)</f>
        <v>80</v>
      </c>
      <c r="T4128">
        <f t="shared" si="194"/>
        <v>-80</v>
      </c>
      <c r="U4128" s="9" t="s">
        <v>148</v>
      </c>
      <c r="V4128" t="s">
        <v>565</v>
      </c>
      <c r="W4128" t="s">
        <v>178</v>
      </c>
      <c r="X4128" t="s">
        <v>191</v>
      </c>
      <c r="Y4128" t="s">
        <v>179</v>
      </c>
      <c r="Z4128" t="s">
        <v>247</v>
      </c>
      <c r="AB4128" t="str">
        <f t="shared" si="192"/>
        <v>54846</v>
      </c>
    </row>
    <row r="4129" ht="14.25" spans="1:28">
      <c r="A4129" s="5" t="s">
        <v>28</v>
      </c>
      <c r="B4129" s="5" t="s">
        <v>697</v>
      </c>
      <c r="C4129" s="5">
        <v>2027</v>
      </c>
      <c r="D4129" s="5" t="s">
        <v>30</v>
      </c>
      <c r="E4129" t="s">
        <v>2330</v>
      </c>
      <c r="F4129" t="s">
        <v>2327</v>
      </c>
      <c r="G4129" t="s">
        <v>2331</v>
      </c>
      <c r="H4129" t="s">
        <v>2332</v>
      </c>
      <c r="I4129" t="s">
        <v>119</v>
      </c>
      <c r="J4129" t="s">
        <v>36</v>
      </c>
      <c r="K4129">
        <v>1590</v>
      </c>
      <c r="O4129" t="s">
        <v>176</v>
      </c>
      <c r="P4129" t="s">
        <v>38</v>
      </c>
      <c r="U4129" s="9" t="s">
        <v>148</v>
      </c>
      <c r="V4129" t="s">
        <v>565</v>
      </c>
      <c r="W4129" t="s">
        <v>178</v>
      </c>
      <c r="X4129" t="s">
        <v>191</v>
      </c>
      <c r="Y4129" t="s">
        <v>179</v>
      </c>
      <c r="Z4129" t="s">
        <v>247</v>
      </c>
      <c r="AB4129" t="str">
        <f t="shared" si="192"/>
        <v>54846</v>
      </c>
    </row>
    <row r="4130" ht="14.25" spans="1:28">
      <c r="A4130" s="5" t="s">
        <v>28</v>
      </c>
      <c r="B4130" s="5" t="s">
        <v>697</v>
      </c>
      <c r="C4130" s="5">
        <v>2027</v>
      </c>
      <c r="D4130" s="5" t="s">
        <v>30</v>
      </c>
      <c r="E4130" t="s">
        <v>2330</v>
      </c>
      <c r="F4130" t="s">
        <v>2327</v>
      </c>
      <c r="G4130" t="s">
        <v>2331</v>
      </c>
      <c r="H4130" t="s">
        <v>2332</v>
      </c>
      <c r="I4130" t="s">
        <v>119</v>
      </c>
      <c r="J4130" t="s">
        <v>36</v>
      </c>
      <c r="K4130">
        <v>1590</v>
      </c>
      <c r="O4130" t="s">
        <v>176</v>
      </c>
      <c r="P4130" t="s">
        <v>42</v>
      </c>
      <c r="U4130" s="9" t="s">
        <v>148</v>
      </c>
      <c r="V4130" t="s">
        <v>565</v>
      </c>
      <c r="W4130" t="s">
        <v>178</v>
      </c>
      <c r="X4130" t="s">
        <v>191</v>
      </c>
      <c r="Y4130" t="s">
        <v>179</v>
      </c>
      <c r="Z4130" t="s">
        <v>247</v>
      </c>
      <c r="AB4130" t="str">
        <f t="shared" si="192"/>
        <v>54846</v>
      </c>
    </row>
    <row r="4131" ht="14.25" spans="1:28">
      <c r="A4131" s="5" t="s">
        <v>28</v>
      </c>
      <c r="B4131" s="5" t="s">
        <v>697</v>
      </c>
      <c r="C4131" s="5">
        <v>2027</v>
      </c>
      <c r="D4131" s="5" t="s">
        <v>30</v>
      </c>
      <c r="E4131" t="s">
        <v>2330</v>
      </c>
      <c r="F4131" t="s">
        <v>2327</v>
      </c>
      <c r="G4131" t="s">
        <v>2331</v>
      </c>
      <c r="H4131" t="s">
        <v>2332</v>
      </c>
      <c r="I4131" t="s">
        <v>119</v>
      </c>
      <c r="J4131" t="s">
        <v>36</v>
      </c>
      <c r="K4131">
        <v>1590</v>
      </c>
      <c r="O4131" t="s">
        <v>176</v>
      </c>
      <c r="P4131" t="s">
        <v>43</v>
      </c>
      <c r="U4131" s="9" t="s">
        <v>148</v>
      </c>
      <c r="V4131" t="s">
        <v>565</v>
      </c>
      <c r="W4131" t="s">
        <v>178</v>
      </c>
      <c r="X4131" t="s">
        <v>191</v>
      </c>
      <c r="Y4131" t="s">
        <v>179</v>
      </c>
      <c r="Z4131" t="s">
        <v>247</v>
      </c>
      <c r="AB4131" t="str">
        <f t="shared" si="192"/>
        <v>54846</v>
      </c>
    </row>
    <row r="4132" ht="14.25" spans="1:28">
      <c r="A4132" s="5" t="s">
        <v>28</v>
      </c>
      <c r="B4132" s="5" t="s">
        <v>697</v>
      </c>
      <c r="C4132" s="5">
        <v>2027</v>
      </c>
      <c r="D4132" s="5" t="s">
        <v>30</v>
      </c>
      <c r="E4132" t="s">
        <v>2330</v>
      </c>
      <c r="F4132" t="s">
        <v>2327</v>
      </c>
      <c r="G4132" t="s">
        <v>2331</v>
      </c>
      <c r="H4132" t="s">
        <v>2332</v>
      </c>
      <c r="I4132" t="s">
        <v>119</v>
      </c>
      <c r="J4132" t="s">
        <v>36</v>
      </c>
      <c r="K4132">
        <v>1590</v>
      </c>
      <c r="O4132" t="s">
        <v>176</v>
      </c>
      <c r="P4132" t="s">
        <v>44</v>
      </c>
      <c r="U4132" s="9" t="s">
        <v>148</v>
      </c>
      <c r="V4132" t="s">
        <v>565</v>
      </c>
      <c r="W4132" t="s">
        <v>178</v>
      </c>
      <c r="X4132" t="s">
        <v>191</v>
      </c>
      <c r="Y4132" t="s">
        <v>179</v>
      </c>
      <c r="Z4132" t="s">
        <v>247</v>
      </c>
      <c r="AB4132" t="str">
        <f t="shared" si="192"/>
        <v>54846</v>
      </c>
    </row>
    <row r="4133" ht="14.25" spans="1:28">
      <c r="A4133" s="5" t="s">
        <v>28</v>
      </c>
      <c r="B4133" s="5" t="s">
        <v>697</v>
      </c>
      <c r="C4133" s="5">
        <v>2027</v>
      </c>
      <c r="D4133" s="5" t="s">
        <v>30</v>
      </c>
      <c r="E4133" t="s">
        <v>2330</v>
      </c>
      <c r="F4133" t="s">
        <v>2327</v>
      </c>
      <c r="G4133" t="s">
        <v>2331</v>
      </c>
      <c r="H4133" t="s">
        <v>2332</v>
      </c>
      <c r="I4133" t="s">
        <v>119</v>
      </c>
      <c r="J4133" t="s">
        <v>36</v>
      </c>
      <c r="K4133">
        <v>1590</v>
      </c>
      <c r="O4133" t="s">
        <v>176</v>
      </c>
      <c r="P4133" t="s">
        <v>45</v>
      </c>
      <c r="U4133" s="9" t="s">
        <v>148</v>
      </c>
      <c r="V4133" t="s">
        <v>565</v>
      </c>
      <c r="W4133" t="s">
        <v>178</v>
      </c>
      <c r="X4133" t="s">
        <v>191</v>
      </c>
      <c r="Y4133" t="s">
        <v>179</v>
      </c>
      <c r="Z4133" t="s">
        <v>247</v>
      </c>
      <c r="AB4133" t="str">
        <f t="shared" si="192"/>
        <v>54846</v>
      </c>
    </row>
    <row r="4134" ht="14.25" spans="1:28">
      <c r="A4134" s="5" t="s">
        <v>28</v>
      </c>
      <c r="B4134" s="5" t="s">
        <v>697</v>
      </c>
      <c r="C4134" s="5">
        <v>2027</v>
      </c>
      <c r="D4134" s="5" t="s">
        <v>30</v>
      </c>
      <c r="E4134" t="s">
        <v>2333</v>
      </c>
      <c r="F4134" t="s">
        <v>2334</v>
      </c>
      <c r="G4134" t="s">
        <v>945</v>
      </c>
      <c r="H4134" t="s">
        <v>2335</v>
      </c>
      <c r="I4134" t="s">
        <v>147</v>
      </c>
      <c r="J4134" t="s">
        <v>36</v>
      </c>
      <c r="K4134">
        <v>1390</v>
      </c>
      <c r="O4134" t="s">
        <v>195</v>
      </c>
      <c r="P4134" t="s">
        <v>74</v>
      </c>
      <c r="R4134">
        <f t="shared" si="193"/>
        <v>0</v>
      </c>
      <c r="S4134">
        <f>SUMIFS([1]Sheet1!$T:$T,[1]Sheet1!$I:$I,E4134,[1]Sheet1!$C:$C,A4134)</f>
        <v>60</v>
      </c>
      <c r="T4134">
        <f t="shared" si="194"/>
        <v>-60</v>
      </c>
      <c r="U4134" s="9" t="s">
        <v>136</v>
      </c>
      <c r="V4134" t="s">
        <v>1150</v>
      </c>
      <c r="W4134" t="s">
        <v>178</v>
      </c>
      <c r="X4134" t="s">
        <v>70</v>
      </c>
      <c r="Y4134" t="s">
        <v>179</v>
      </c>
      <c r="Z4134" t="s">
        <v>41</v>
      </c>
      <c r="AB4134" t="str">
        <f t="shared" si="192"/>
        <v>54847</v>
      </c>
    </row>
    <row r="4135" ht="14.25" spans="1:28">
      <c r="A4135" s="5" t="s">
        <v>28</v>
      </c>
      <c r="B4135" s="5" t="s">
        <v>697</v>
      </c>
      <c r="C4135" s="5">
        <v>2027</v>
      </c>
      <c r="D4135" s="5" t="s">
        <v>30</v>
      </c>
      <c r="E4135" t="s">
        <v>2333</v>
      </c>
      <c r="F4135" t="s">
        <v>2334</v>
      </c>
      <c r="G4135" t="s">
        <v>945</v>
      </c>
      <c r="H4135" t="s">
        <v>2335</v>
      </c>
      <c r="I4135" t="s">
        <v>147</v>
      </c>
      <c r="J4135" t="s">
        <v>36</v>
      </c>
      <c r="K4135">
        <v>1390</v>
      </c>
      <c r="O4135" t="s">
        <v>195</v>
      </c>
      <c r="P4135" t="s">
        <v>76</v>
      </c>
      <c r="U4135" s="9" t="s">
        <v>136</v>
      </c>
      <c r="V4135" t="s">
        <v>1150</v>
      </c>
      <c r="W4135" t="s">
        <v>178</v>
      </c>
      <c r="X4135" t="s">
        <v>70</v>
      </c>
      <c r="Y4135" t="s">
        <v>179</v>
      </c>
      <c r="Z4135" t="s">
        <v>41</v>
      </c>
      <c r="AB4135" t="str">
        <f t="shared" si="192"/>
        <v>54847</v>
      </c>
    </row>
    <row r="4136" ht="14.25" spans="1:28">
      <c r="A4136" s="5" t="s">
        <v>28</v>
      </c>
      <c r="B4136" s="5" t="s">
        <v>697</v>
      </c>
      <c r="C4136" s="5">
        <v>2027</v>
      </c>
      <c r="D4136" s="5" t="s">
        <v>30</v>
      </c>
      <c r="E4136" t="s">
        <v>2333</v>
      </c>
      <c r="F4136" t="s">
        <v>2334</v>
      </c>
      <c r="G4136" t="s">
        <v>945</v>
      </c>
      <c r="H4136" t="s">
        <v>2335</v>
      </c>
      <c r="I4136" t="s">
        <v>147</v>
      </c>
      <c r="J4136" t="s">
        <v>36</v>
      </c>
      <c r="K4136">
        <v>1390</v>
      </c>
      <c r="O4136" t="s">
        <v>195</v>
      </c>
      <c r="P4136" t="s">
        <v>77</v>
      </c>
      <c r="U4136" s="9" t="s">
        <v>136</v>
      </c>
      <c r="V4136" t="s">
        <v>1150</v>
      </c>
      <c r="W4136" t="s">
        <v>178</v>
      </c>
      <c r="X4136" t="s">
        <v>70</v>
      </c>
      <c r="Y4136" t="s">
        <v>179</v>
      </c>
      <c r="Z4136" t="s">
        <v>41</v>
      </c>
      <c r="AB4136" t="str">
        <f t="shared" si="192"/>
        <v>54847</v>
      </c>
    </row>
    <row r="4137" ht="14.25" spans="1:28">
      <c r="A4137" s="5" t="s">
        <v>28</v>
      </c>
      <c r="B4137" s="5" t="s">
        <v>697</v>
      </c>
      <c r="C4137" s="5">
        <v>2027</v>
      </c>
      <c r="D4137" s="5" t="s">
        <v>30</v>
      </c>
      <c r="E4137" t="s">
        <v>2333</v>
      </c>
      <c r="F4137" t="s">
        <v>2334</v>
      </c>
      <c r="G4137" t="s">
        <v>945</v>
      </c>
      <c r="H4137" t="s">
        <v>2335</v>
      </c>
      <c r="I4137" t="s">
        <v>147</v>
      </c>
      <c r="J4137" t="s">
        <v>36</v>
      </c>
      <c r="K4137">
        <v>1390</v>
      </c>
      <c r="O4137" t="s">
        <v>195</v>
      </c>
      <c r="P4137" t="s">
        <v>78</v>
      </c>
      <c r="U4137" s="9" t="s">
        <v>136</v>
      </c>
      <c r="V4137" t="s">
        <v>1150</v>
      </c>
      <c r="W4137" t="s">
        <v>178</v>
      </c>
      <c r="X4137" t="s">
        <v>70</v>
      </c>
      <c r="Y4137" t="s">
        <v>179</v>
      </c>
      <c r="Z4137" t="s">
        <v>41</v>
      </c>
      <c r="AB4137" t="str">
        <f t="shared" si="192"/>
        <v>54847</v>
      </c>
    </row>
    <row r="4138" ht="14.25" spans="1:28">
      <c r="A4138" s="5" t="s">
        <v>28</v>
      </c>
      <c r="B4138" s="5" t="s">
        <v>697</v>
      </c>
      <c r="C4138" s="5">
        <v>2027</v>
      </c>
      <c r="D4138" s="5" t="s">
        <v>30</v>
      </c>
      <c r="E4138" t="s">
        <v>2333</v>
      </c>
      <c r="F4138" t="s">
        <v>2334</v>
      </c>
      <c r="G4138" t="s">
        <v>945</v>
      </c>
      <c r="H4138" t="s">
        <v>2335</v>
      </c>
      <c r="I4138" t="s">
        <v>147</v>
      </c>
      <c r="J4138" t="s">
        <v>36</v>
      </c>
      <c r="K4138">
        <v>1390</v>
      </c>
      <c r="O4138" t="s">
        <v>195</v>
      </c>
      <c r="P4138" t="s">
        <v>79</v>
      </c>
      <c r="U4138" s="9" t="s">
        <v>136</v>
      </c>
      <c r="V4138" t="s">
        <v>1150</v>
      </c>
      <c r="W4138" t="s">
        <v>178</v>
      </c>
      <c r="X4138" t="s">
        <v>70</v>
      </c>
      <c r="Y4138" t="s">
        <v>179</v>
      </c>
      <c r="Z4138" t="s">
        <v>41</v>
      </c>
      <c r="AB4138" t="str">
        <f t="shared" si="192"/>
        <v>54847</v>
      </c>
    </row>
    <row r="4139" ht="14.25" spans="1:28">
      <c r="A4139" s="5" t="s">
        <v>28</v>
      </c>
      <c r="B4139" s="5" t="s">
        <v>697</v>
      </c>
      <c r="C4139" s="5">
        <v>2027</v>
      </c>
      <c r="D4139" s="5" t="s">
        <v>30</v>
      </c>
      <c r="E4139" t="s">
        <v>2336</v>
      </c>
      <c r="F4139" t="s">
        <v>2334</v>
      </c>
      <c r="G4139" t="s">
        <v>1937</v>
      </c>
      <c r="H4139" t="s">
        <v>2337</v>
      </c>
      <c r="I4139" t="s">
        <v>147</v>
      </c>
      <c r="J4139" t="s">
        <v>36</v>
      </c>
      <c r="K4139">
        <v>1390</v>
      </c>
      <c r="O4139" t="s">
        <v>195</v>
      </c>
      <c r="P4139" t="s">
        <v>74</v>
      </c>
      <c r="R4139">
        <f t="shared" si="193"/>
        <v>0</v>
      </c>
      <c r="S4139">
        <f>SUMIFS([1]Sheet1!$T:$T,[1]Sheet1!$I:$I,E4139,[1]Sheet1!$C:$C,A4139)</f>
        <v>60</v>
      </c>
      <c r="T4139">
        <f t="shared" si="194"/>
        <v>-60</v>
      </c>
      <c r="U4139" s="9" t="s">
        <v>136</v>
      </c>
      <c r="V4139" t="s">
        <v>1150</v>
      </c>
      <c r="W4139" t="s">
        <v>178</v>
      </c>
      <c r="X4139" t="s">
        <v>1106</v>
      </c>
      <c r="Y4139" t="s">
        <v>179</v>
      </c>
      <c r="Z4139" t="s">
        <v>41</v>
      </c>
      <c r="AB4139" t="str">
        <f t="shared" si="192"/>
        <v>54847</v>
      </c>
    </row>
    <row r="4140" ht="14.25" spans="1:28">
      <c r="A4140" s="5" t="s">
        <v>28</v>
      </c>
      <c r="B4140" s="5" t="s">
        <v>697</v>
      </c>
      <c r="C4140" s="5">
        <v>2027</v>
      </c>
      <c r="D4140" s="5" t="s">
        <v>30</v>
      </c>
      <c r="E4140" t="s">
        <v>2336</v>
      </c>
      <c r="F4140" t="s">
        <v>2334</v>
      </c>
      <c r="G4140" t="s">
        <v>1937</v>
      </c>
      <c r="H4140" t="s">
        <v>2337</v>
      </c>
      <c r="I4140" t="s">
        <v>147</v>
      </c>
      <c r="J4140" t="s">
        <v>36</v>
      </c>
      <c r="K4140">
        <v>1390</v>
      </c>
      <c r="O4140" t="s">
        <v>195</v>
      </c>
      <c r="P4140" t="s">
        <v>76</v>
      </c>
      <c r="U4140" s="9" t="s">
        <v>136</v>
      </c>
      <c r="V4140" t="s">
        <v>1150</v>
      </c>
      <c r="W4140" t="s">
        <v>178</v>
      </c>
      <c r="X4140" t="s">
        <v>1106</v>
      </c>
      <c r="Y4140" t="s">
        <v>179</v>
      </c>
      <c r="Z4140" t="s">
        <v>41</v>
      </c>
      <c r="AB4140" t="str">
        <f t="shared" si="192"/>
        <v>54847</v>
      </c>
    </row>
    <row r="4141" ht="14.25" spans="1:28">
      <c r="A4141" s="5" t="s">
        <v>28</v>
      </c>
      <c r="B4141" s="5" t="s">
        <v>697</v>
      </c>
      <c r="C4141" s="5">
        <v>2027</v>
      </c>
      <c r="D4141" s="5" t="s">
        <v>30</v>
      </c>
      <c r="E4141" t="s">
        <v>2336</v>
      </c>
      <c r="F4141" t="s">
        <v>2334</v>
      </c>
      <c r="G4141" t="s">
        <v>1937</v>
      </c>
      <c r="H4141" t="s">
        <v>2337</v>
      </c>
      <c r="I4141" t="s">
        <v>147</v>
      </c>
      <c r="J4141" t="s">
        <v>36</v>
      </c>
      <c r="K4141">
        <v>1390</v>
      </c>
      <c r="O4141" t="s">
        <v>195</v>
      </c>
      <c r="P4141" t="s">
        <v>77</v>
      </c>
      <c r="U4141" s="9" t="s">
        <v>136</v>
      </c>
      <c r="V4141" t="s">
        <v>1150</v>
      </c>
      <c r="W4141" t="s">
        <v>178</v>
      </c>
      <c r="X4141" t="s">
        <v>1106</v>
      </c>
      <c r="Y4141" t="s">
        <v>179</v>
      </c>
      <c r="Z4141" t="s">
        <v>41</v>
      </c>
      <c r="AB4141" t="str">
        <f t="shared" si="192"/>
        <v>54847</v>
      </c>
    </row>
    <row r="4142" ht="14.25" spans="1:28">
      <c r="A4142" s="5" t="s">
        <v>28</v>
      </c>
      <c r="B4142" s="5" t="s">
        <v>697</v>
      </c>
      <c r="C4142" s="5">
        <v>2027</v>
      </c>
      <c r="D4142" s="5" t="s">
        <v>30</v>
      </c>
      <c r="E4142" t="s">
        <v>2336</v>
      </c>
      <c r="F4142" t="s">
        <v>2334</v>
      </c>
      <c r="G4142" t="s">
        <v>1937</v>
      </c>
      <c r="H4142" t="s">
        <v>2337</v>
      </c>
      <c r="I4142" t="s">
        <v>147</v>
      </c>
      <c r="J4142" t="s">
        <v>36</v>
      </c>
      <c r="K4142">
        <v>1390</v>
      </c>
      <c r="O4142" t="s">
        <v>195</v>
      </c>
      <c r="P4142" t="s">
        <v>78</v>
      </c>
      <c r="U4142" s="9" t="s">
        <v>136</v>
      </c>
      <c r="V4142" t="s">
        <v>1150</v>
      </c>
      <c r="W4142" t="s">
        <v>178</v>
      </c>
      <c r="X4142" t="s">
        <v>1106</v>
      </c>
      <c r="Y4142" t="s">
        <v>179</v>
      </c>
      <c r="Z4142" t="s">
        <v>41</v>
      </c>
      <c r="AB4142" t="str">
        <f t="shared" si="192"/>
        <v>54847</v>
      </c>
    </row>
    <row r="4143" ht="14.25" spans="1:28">
      <c r="A4143" s="5" t="s">
        <v>28</v>
      </c>
      <c r="B4143" s="5" t="s">
        <v>697</v>
      </c>
      <c r="C4143" s="5">
        <v>2027</v>
      </c>
      <c r="D4143" s="5" t="s">
        <v>30</v>
      </c>
      <c r="E4143" t="s">
        <v>2336</v>
      </c>
      <c r="F4143" t="s">
        <v>2334</v>
      </c>
      <c r="G4143" t="s">
        <v>1937</v>
      </c>
      <c r="H4143" t="s">
        <v>2337</v>
      </c>
      <c r="I4143" t="s">
        <v>147</v>
      </c>
      <c r="J4143" t="s">
        <v>36</v>
      </c>
      <c r="K4143">
        <v>1390</v>
      </c>
      <c r="O4143" t="s">
        <v>195</v>
      </c>
      <c r="P4143" t="s">
        <v>79</v>
      </c>
      <c r="U4143" s="9" t="s">
        <v>136</v>
      </c>
      <c r="V4143" t="s">
        <v>1150</v>
      </c>
      <c r="W4143" t="s">
        <v>178</v>
      </c>
      <c r="X4143" t="s">
        <v>1106</v>
      </c>
      <c r="Y4143" t="s">
        <v>179</v>
      </c>
      <c r="Z4143" t="s">
        <v>41</v>
      </c>
      <c r="AB4143" t="str">
        <f t="shared" si="192"/>
        <v>54847</v>
      </c>
    </row>
    <row r="4144" ht="14.25" spans="1:28">
      <c r="A4144" s="5" t="s">
        <v>28</v>
      </c>
      <c r="B4144" s="5" t="s">
        <v>2338</v>
      </c>
      <c r="C4144" s="5">
        <v>2027</v>
      </c>
      <c r="D4144" s="5" t="s">
        <v>30</v>
      </c>
      <c r="E4144" t="s">
        <v>2339</v>
      </c>
      <c r="F4144" t="s">
        <v>2340</v>
      </c>
      <c r="G4144" t="s">
        <v>117</v>
      </c>
      <c r="I4144" t="s">
        <v>2341</v>
      </c>
      <c r="J4144" t="s">
        <v>36</v>
      </c>
      <c r="K4144">
        <v>590</v>
      </c>
      <c r="O4144" t="s">
        <v>176</v>
      </c>
      <c r="P4144" t="s">
        <v>38</v>
      </c>
      <c r="R4144">
        <f t="shared" si="193"/>
        <v>0</v>
      </c>
      <c r="S4144">
        <f>SUMIFS([1]Sheet1!$T:$T,[1]Sheet1!$I:$I,E4144,[1]Sheet1!$C:$C,A4144)</f>
        <v>0</v>
      </c>
      <c r="T4144">
        <f t="shared" si="194"/>
        <v>0</v>
      </c>
      <c r="U4144" s="9"/>
      <c r="X4144" t="s">
        <v>122</v>
      </c>
      <c r="Y4144" t="s">
        <v>179</v>
      </c>
      <c r="Z4144" t="s">
        <v>41</v>
      </c>
      <c r="AB4144" t="str">
        <f t="shared" si="192"/>
        <v>01034</v>
      </c>
    </row>
    <row r="4145" ht="14.25" spans="1:28">
      <c r="A4145" s="5" t="s">
        <v>28</v>
      </c>
      <c r="B4145" s="5" t="s">
        <v>2338</v>
      </c>
      <c r="C4145" s="5">
        <v>2027</v>
      </c>
      <c r="D4145" s="5" t="s">
        <v>30</v>
      </c>
      <c r="E4145" t="s">
        <v>2339</v>
      </c>
      <c r="F4145" t="s">
        <v>2340</v>
      </c>
      <c r="G4145" t="s">
        <v>117</v>
      </c>
      <c r="I4145" t="s">
        <v>2341</v>
      </c>
      <c r="J4145" t="s">
        <v>36</v>
      </c>
      <c r="K4145">
        <v>590</v>
      </c>
      <c r="O4145" t="s">
        <v>176</v>
      </c>
      <c r="P4145" t="s">
        <v>42</v>
      </c>
      <c r="U4145" s="9"/>
      <c r="X4145" t="s">
        <v>122</v>
      </c>
      <c r="Y4145" t="s">
        <v>179</v>
      </c>
      <c r="Z4145" t="s">
        <v>41</v>
      </c>
      <c r="AB4145" t="str">
        <f t="shared" si="192"/>
        <v>01034</v>
      </c>
    </row>
    <row r="4146" ht="14.25" spans="1:28">
      <c r="A4146" s="5" t="s">
        <v>28</v>
      </c>
      <c r="B4146" s="5" t="s">
        <v>2338</v>
      </c>
      <c r="C4146" s="5">
        <v>2027</v>
      </c>
      <c r="D4146" s="5" t="s">
        <v>30</v>
      </c>
      <c r="E4146" t="s">
        <v>2339</v>
      </c>
      <c r="F4146" t="s">
        <v>2340</v>
      </c>
      <c r="G4146" t="s">
        <v>117</v>
      </c>
      <c r="I4146" t="s">
        <v>2341</v>
      </c>
      <c r="J4146" t="s">
        <v>36</v>
      </c>
      <c r="K4146">
        <v>590</v>
      </c>
      <c r="O4146" t="s">
        <v>176</v>
      </c>
      <c r="P4146" t="s">
        <v>43</v>
      </c>
      <c r="U4146" s="9"/>
      <c r="X4146" t="s">
        <v>122</v>
      </c>
      <c r="Y4146" t="s">
        <v>179</v>
      </c>
      <c r="Z4146" t="s">
        <v>41</v>
      </c>
      <c r="AB4146" t="str">
        <f t="shared" si="192"/>
        <v>01034</v>
      </c>
    </row>
    <row r="4147" ht="14.25" spans="1:28">
      <c r="A4147" s="5" t="s">
        <v>28</v>
      </c>
      <c r="B4147" s="5" t="s">
        <v>2338</v>
      </c>
      <c r="C4147" s="5">
        <v>2027</v>
      </c>
      <c r="D4147" s="5" t="s">
        <v>30</v>
      </c>
      <c r="E4147" t="s">
        <v>2339</v>
      </c>
      <c r="F4147" t="s">
        <v>2340</v>
      </c>
      <c r="G4147" t="s">
        <v>117</v>
      </c>
      <c r="I4147" t="s">
        <v>2341</v>
      </c>
      <c r="J4147" t="s">
        <v>36</v>
      </c>
      <c r="K4147">
        <v>590</v>
      </c>
      <c r="O4147" t="s">
        <v>176</v>
      </c>
      <c r="P4147" t="s">
        <v>44</v>
      </c>
      <c r="U4147" s="9"/>
      <c r="X4147" t="s">
        <v>122</v>
      </c>
      <c r="Y4147" t="s">
        <v>179</v>
      </c>
      <c r="Z4147" t="s">
        <v>41</v>
      </c>
      <c r="AB4147" t="str">
        <f t="shared" ref="AB4147:AB4210" si="195">MID(E4147,6,5)</f>
        <v>01034</v>
      </c>
    </row>
    <row r="4148" ht="14.25" spans="1:28">
      <c r="A4148" s="5" t="s">
        <v>28</v>
      </c>
      <c r="B4148" s="5" t="s">
        <v>2338</v>
      </c>
      <c r="C4148" s="5">
        <v>2027</v>
      </c>
      <c r="D4148" s="5" t="s">
        <v>30</v>
      </c>
      <c r="E4148" t="s">
        <v>2339</v>
      </c>
      <c r="F4148" t="s">
        <v>2340</v>
      </c>
      <c r="G4148" t="s">
        <v>117</v>
      </c>
      <c r="I4148" t="s">
        <v>2341</v>
      </c>
      <c r="J4148" t="s">
        <v>36</v>
      </c>
      <c r="K4148">
        <v>590</v>
      </c>
      <c r="O4148" t="s">
        <v>176</v>
      </c>
      <c r="P4148" t="s">
        <v>45</v>
      </c>
      <c r="U4148" s="9"/>
      <c r="X4148" t="s">
        <v>122</v>
      </c>
      <c r="Y4148" t="s">
        <v>179</v>
      </c>
      <c r="Z4148" t="s">
        <v>41</v>
      </c>
      <c r="AB4148" t="str">
        <f t="shared" si="195"/>
        <v>01034</v>
      </c>
    </row>
    <row r="4149" ht="14.25" spans="1:28">
      <c r="A4149" s="5" t="s">
        <v>28</v>
      </c>
      <c r="B4149" s="5" t="s">
        <v>2338</v>
      </c>
      <c r="C4149" s="5">
        <v>2027</v>
      </c>
      <c r="D4149" s="5" t="s">
        <v>30</v>
      </c>
      <c r="E4149" t="s">
        <v>2342</v>
      </c>
      <c r="F4149" t="s">
        <v>2340</v>
      </c>
      <c r="G4149" t="s">
        <v>2343</v>
      </c>
      <c r="I4149" t="s">
        <v>2341</v>
      </c>
      <c r="J4149" t="s">
        <v>36</v>
      </c>
      <c r="K4149">
        <v>590</v>
      </c>
      <c r="O4149" t="s">
        <v>176</v>
      </c>
      <c r="P4149" t="s">
        <v>38</v>
      </c>
      <c r="R4149">
        <f t="shared" si="193"/>
        <v>0</v>
      </c>
      <c r="S4149">
        <f>SUMIFS([1]Sheet1!$T:$T,[1]Sheet1!$I:$I,E4149,[1]Sheet1!$C:$C,A4149)</f>
        <v>0</v>
      </c>
      <c r="T4149">
        <f t="shared" si="194"/>
        <v>0</v>
      </c>
      <c r="U4149" s="9"/>
      <c r="X4149" t="s">
        <v>503</v>
      </c>
      <c r="Y4149" t="s">
        <v>179</v>
      </c>
      <c r="Z4149" t="s">
        <v>41</v>
      </c>
      <c r="AB4149" t="str">
        <f t="shared" si="195"/>
        <v>01034</v>
      </c>
    </row>
    <row r="4150" ht="14.25" spans="1:28">
      <c r="A4150" s="5" t="s">
        <v>28</v>
      </c>
      <c r="B4150" s="5" t="s">
        <v>2338</v>
      </c>
      <c r="C4150" s="5">
        <v>2027</v>
      </c>
      <c r="D4150" s="5" t="s">
        <v>30</v>
      </c>
      <c r="E4150" t="s">
        <v>2342</v>
      </c>
      <c r="F4150" t="s">
        <v>2340</v>
      </c>
      <c r="G4150" t="s">
        <v>2343</v>
      </c>
      <c r="I4150" t="s">
        <v>2341</v>
      </c>
      <c r="J4150" t="s">
        <v>36</v>
      </c>
      <c r="K4150">
        <v>590</v>
      </c>
      <c r="O4150" t="s">
        <v>176</v>
      </c>
      <c r="P4150" t="s">
        <v>42</v>
      </c>
      <c r="U4150" s="9"/>
      <c r="X4150" t="s">
        <v>503</v>
      </c>
      <c r="Y4150" t="s">
        <v>179</v>
      </c>
      <c r="Z4150" t="s">
        <v>41</v>
      </c>
      <c r="AB4150" t="str">
        <f t="shared" si="195"/>
        <v>01034</v>
      </c>
    </row>
    <row r="4151" ht="14.25" spans="1:28">
      <c r="A4151" s="5" t="s">
        <v>28</v>
      </c>
      <c r="B4151" s="5" t="s">
        <v>2338</v>
      </c>
      <c r="C4151" s="5">
        <v>2027</v>
      </c>
      <c r="D4151" s="5" t="s">
        <v>30</v>
      </c>
      <c r="E4151" t="s">
        <v>2342</v>
      </c>
      <c r="F4151" t="s">
        <v>2340</v>
      </c>
      <c r="G4151" t="s">
        <v>2343</v>
      </c>
      <c r="I4151" t="s">
        <v>2341</v>
      </c>
      <c r="J4151" t="s">
        <v>36</v>
      </c>
      <c r="K4151">
        <v>590</v>
      </c>
      <c r="O4151" t="s">
        <v>176</v>
      </c>
      <c r="P4151" t="s">
        <v>43</v>
      </c>
      <c r="U4151" s="9"/>
      <c r="X4151" t="s">
        <v>503</v>
      </c>
      <c r="Y4151" t="s">
        <v>179</v>
      </c>
      <c r="Z4151" t="s">
        <v>41</v>
      </c>
      <c r="AB4151" t="str">
        <f t="shared" si="195"/>
        <v>01034</v>
      </c>
    </row>
    <row r="4152" ht="14.25" spans="1:28">
      <c r="A4152" s="5" t="s">
        <v>28</v>
      </c>
      <c r="B4152" s="5" t="s">
        <v>2338</v>
      </c>
      <c r="C4152" s="5">
        <v>2027</v>
      </c>
      <c r="D4152" s="5" t="s">
        <v>30</v>
      </c>
      <c r="E4152" t="s">
        <v>2342</v>
      </c>
      <c r="F4152" t="s">
        <v>2340</v>
      </c>
      <c r="G4152" t="s">
        <v>2343</v>
      </c>
      <c r="I4152" t="s">
        <v>2341</v>
      </c>
      <c r="J4152" t="s">
        <v>36</v>
      </c>
      <c r="K4152">
        <v>590</v>
      </c>
      <c r="O4152" t="s">
        <v>176</v>
      </c>
      <c r="P4152" t="s">
        <v>44</v>
      </c>
      <c r="U4152" s="9"/>
      <c r="X4152" t="s">
        <v>503</v>
      </c>
      <c r="Y4152" t="s">
        <v>179</v>
      </c>
      <c r="Z4152" t="s">
        <v>41</v>
      </c>
      <c r="AB4152" t="str">
        <f t="shared" si="195"/>
        <v>01034</v>
      </c>
    </row>
    <row r="4153" ht="14.25" spans="1:28">
      <c r="A4153" s="5" t="s">
        <v>28</v>
      </c>
      <c r="B4153" s="5" t="s">
        <v>2338</v>
      </c>
      <c r="C4153" s="5">
        <v>2027</v>
      </c>
      <c r="D4153" s="5" t="s">
        <v>30</v>
      </c>
      <c r="E4153" t="s">
        <v>2342</v>
      </c>
      <c r="F4153" t="s">
        <v>2340</v>
      </c>
      <c r="G4153" t="s">
        <v>2343</v>
      </c>
      <c r="I4153" t="s">
        <v>2341</v>
      </c>
      <c r="J4153" t="s">
        <v>36</v>
      </c>
      <c r="K4153">
        <v>590</v>
      </c>
      <c r="O4153" t="s">
        <v>176</v>
      </c>
      <c r="P4153" t="s">
        <v>45</v>
      </c>
      <c r="U4153" s="9"/>
      <c r="X4153" t="s">
        <v>503</v>
      </c>
      <c r="Y4153" t="s">
        <v>179</v>
      </c>
      <c r="Z4153" t="s">
        <v>41</v>
      </c>
      <c r="AB4153" t="str">
        <f t="shared" si="195"/>
        <v>01034</v>
      </c>
    </row>
    <row r="4154" ht="14.25" spans="1:28">
      <c r="A4154" s="5" t="s">
        <v>28</v>
      </c>
      <c r="B4154" s="5" t="s">
        <v>2338</v>
      </c>
      <c r="C4154" s="5">
        <v>2027</v>
      </c>
      <c r="D4154" s="5" t="s">
        <v>30</v>
      </c>
      <c r="E4154" t="s">
        <v>2344</v>
      </c>
      <c r="F4154" t="s">
        <v>2345</v>
      </c>
      <c r="G4154" t="s">
        <v>117</v>
      </c>
      <c r="I4154" t="s">
        <v>2341</v>
      </c>
      <c r="J4154" t="s">
        <v>36</v>
      </c>
      <c r="K4154">
        <v>1590</v>
      </c>
      <c r="O4154" t="s">
        <v>176</v>
      </c>
      <c r="P4154" t="s">
        <v>38</v>
      </c>
      <c r="R4154">
        <f t="shared" si="193"/>
        <v>0</v>
      </c>
      <c r="S4154">
        <f>SUMIFS([1]Sheet1!$T:$T,[1]Sheet1!$I:$I,E4154,[1]Sheet1!$C:$C,A4154)</f>
        <v>0</v>
      </c>
      <c r="T4154">
        <f t="shared" si="194"/>
        <v>0</v>
      </c>
      <c r="U4154" s="9"/>
      <c r="X4154" t="s">
        <v>122</v>
      </c>
      <c r="Y4154" t="s">
        <v>179</v>
      </c>
      <c r="Z4154" t="s">
        <v>41</v>
      </c>
      <c r="AB4154" t="str">
        <f t="shared" si="195"/>
        <v>01035</v>
      </c>
    </row>
    <row r="4155" ht="14.25" spans="1:28">
      <c r="A4155" s="5" t="s">
        <v>28</v>
      </c>
      <c r="B4155" s="5" t="s">
        <v>2338</v>
      </c>
      <c r="C4155" s="5">
        <v>2027</v>
      </c>
      <c r="D4155" s="5" t="s">
        <v>30</v>
      </c>
      <c r="E4155" t="s">
        <v>2344</v>
      </c>
      <c r="F4155" t="s">
        <v>2345</v>
      </c>
      <c r="G4155" t="s">
        <v>117</v>
      </c>
      <c r="I4155" t="s">
        <v>2341</v>
      </c>
      <c r="J4155" t="s">
        <v>36</v>
      </c>
      <c r="K4155">
        <v>1590</v>
      </c>
      <c r="O4155" t="s">
        <v>176</v>
      </c>
      <c r="P4155" t="s">
        <v>42</v>
      </c>
      <c r="U4155" s="9"/>
      <c r="X4155" t="s">
        <v>122</v>
      </c>
      <c r="Y4155" t="s">
        <v>179</v>
      </c>
      <c r="Z4155" t="s">
        <v>41</v>
      </c>
      <c r="AB4155" t="str">
        <f t="shared" si="195"/>
        <v>01035</v>
      </c>
    </row>
    <row r="4156" ht="14.25" spans="1:28">
      <c r="A4156" s="5" t="s">
        <v>28</v>
      </c>
      <c r="B4156" s="5" t="s">
        <v>2338</v>
      </c>
      <c r="C4156" s="5">
        <v>2027</v>
      </c>
      <c r="D4156" s="5" t="s">
        <v>30</v>
      </c>
      <c r="E4156" t="s">
        <v>2344</v>
      </c>
      <c r="F4156" t="s">
        <v>2345</v>
      </c>
      <c r="G4156" t="s">
        <v>117</v>
      </c>
      <c r="I4156" t="s">
        <v>2341</v>
      </c>
      <c r="J4156" t="s">
        <v>36</v>
      </c>
      <c r="K4156">
        <v>1590</v>
      </c>
      <c r="O4156" t="s">
        <v>176</v>
      </c>
      <c r="P4156" t="s">
        <v>43</v>
      </c>
      <c r="U4156" s="9"/>
      <c r="X4156" t="s">
        <v>122</v>
      </c>
      <c r="Y4156" t="s">
        <v>179</v>
      </c>
      <c r="Z4156" t="s">
        <v>41</v>
      </c>
      <c r="AB4156" t="str">
        <f t="shared" si="195"/>
        <v>01035</v>
      </c>
    </row>
    <row r="4157" ht="14.25" spans="1:28">
      <c r="A4157" s="5" t="s">
        <v>28</v>
      </c>
      <c r="B4157" s="5" t="s">
        <v>2338</v>
      </c>
      <c r="C4157" s="5">
        <v>2027</v>
      </c>
      <c r="D4157" s="5" t="s">
        <v>30</v>
      </c>
      <c r="E4157" t="s">
        <v>2344</v>
      </c>
      <c r="F4157" t="s">
        <v>2345</v>
      </c>
      <c r="G4157" t="s">
        <v>117</v>
      </c>
      <c r="I4157" t="s">
        <v>2341</v>
      </c>
      <c r="J4157" t="s">
        <v>36</v>
      </c>
      <c r="K4157">
        <v>1590</v>
      </c>
      <c r="O4157" t="s">
        <v>176</v>
      </c>
      <c r="P4157" t="s">
        <v>44</v>
      </c>
      <c r="U4157" s="9"/>
      <c r="X4157" t="s">
        <v>122</v>
      </c>
      <c r="Y4157" t="s">
        <v>179</v>
      </c>
      <c r="Z4157" t="s">
        <v>41</v>
      </c>
      <c r="AB4157" t="str">
        <f t="shared" si="195"/>
        <v>01035</v>
      </c>
    </row>
    <row r="4158" ht="14.25" spans="1:28">
      <c r="A4158" s="5" t="s">
        <v>28</v>
      </c>
      <c r="B4158" s="5" t="s">
        <v>2338</v>
      </c>
      <c r="C4158" s="5">
        <v>2027</v>
      </c>
      <c r="D4158" s="5" t="s">
        <v>30</v>
      </c>
      <c r="E4158" t="s">
        <v>2344</v>
      </c>
      <c r="F4158" t="s">
        <v>2345</v>
      </c>
      <c r="G4158" t="s">
        <v>117</v>
      </c>
      <c r="I4158" t="s">
        <v>2341</v>
      </c>
      <c r="J4158" t="s">
        <v>36</v>
      </c>
      <c r="K4158">
        <v>1590</v>
      </c>
      <c r="O4158" t="s">
        <v>176</v>
      </c>
      <c r="P4158" t="s">
        <v>45</v>
      </c>
      <c r="U4158" s="9"/>
      <c r="X4158" t="s">
        <v>122</v>
      </c>
      <c r="Y4158" t="s">
        <v>179</v>
      </c>
      <c r="Z4158" t="s">
        <v>41</v>
      </c>
      <c r="AB4158" t="str">
        <f t="shared" si="195"/>
        <v>01035</v>
      </c>
    </row>
    <row r="4159" ht="14.25" spans="1:28">
      <c r="A4159" s="5" t="s">
        <v>28</v>
      </c>
      <c r="B4159" s="5" t="s">
        <v>2338</v>
      </c>
      <c r="C4159" s="5">
        <v>2027</v>
      </c>
      <c r="D4159" s="5" t="s">
        <v>30</v>
      </c>
      <c r="E4159" t="s">
        <v>2346</v>
      </c>
      <c r="F4159" t="s">
        <v>2345</v>
      </c>
      <c r="G4159" t="s">
        <v>2343</v>
      </c>
      <c r="I4159" t="s">
        <v>2341</v>
      </c>
      <c r="J4159" t="s">
        <v>36</v>
      </c>
      <c r="K4159">
        <v>1590</v>
      </c>
      <c r="O4159" t="s">
        <v>176</v>
      </c>
      <c r="P4159" t="s">
        <v>38</v>
      </c>
      <c r="R4159">
        <f t="shared" si="193"/>
        <v>0</v>
      </c>
      <c r="S4159">
        <f>SUMIFS([1]Sheet1!$T:$T,[1]Sheet1!$I:$I,E4159,[1]Sheet1!$C:$C,A4159)</f>
        <v>0</v>
      </c>
      <c r="T4159">
        <f t="shared" si="194"/>
        <v>0</v>
      </c>
      <c r="U4159" s="9"/>
      <c r="X4159" t="s">
        <v>503</v>
      </c>
      <c r="Y4159" t="s">
        <v>179</v>
      </c>
      <c r="Z4159" t="s">
        <v>41</v>
      </c>
      <c r="AB4159" t="str">
        <f t="shared" si="195"/>
        <v>01035</v>
      </c>
    </row>
    <row r="4160" ht="14.25" spans="1:28">
      <c r="A4160" s="5" t="s">
        <v>28</v>
      </c>
      <c r="B4160" s="5" t="s">
        <v>2338</v>
      </c>
      <c r="C4160" s="5">
        <v>2027</v>
      </c>
      <c r="D4160" s="5" t="s">
        <v>30</v>
      </c>
      <c r="E4160" t="s">
        <v>2346</v>
      </c>
      <c r="F4160" t="s">
        <v>2345</v>
      </c>
      <c r="G4160" t="s">
        <v>2343</v>
      </c>
      <c r="I4160" t="s">
        <v>2341</v>
      </c>
      <c r="J4160" t="s">
        <v>36</v>
      </c>
      <c r="K4160">
        <v>1590</v>
      </c>
      <c r="O4160" t="s">
        <v>176</v>
      </c>
      <c r="P4160" t="s">
        <v>42</v>
      </c>
      <c r="U4160" s="9"/>
      <c r="X4160" t="s">
        <v>503</v>
      </c>
      <c r="Y4160" t="s">
        <v>179</v>
      </c>
      <c r="Z4160" t="s">
        <v>41</v>
      </c>
      <c r="AB4160" t="str">
        <f t="shared" si="195"/>
        <v>01035</v>
      </c>
    </row>
    <row r="4161" ht="14.25" spans="1:28">
      <c r="A4161" s="5" t="s">
        <v>28</v>
      </c>
      <c r="B4161" s="5" t="s">
        <v>2338</v>
      </c>
      <c r="C4161" s="5">
        <v>2027</v>
      </c>
      <c r="D4161" s="5" t="s">
        <v>30</v>
      </c>
      <c r="E4161" t="s">
        <v>2346</v>
      </c>
      <c r="F4161" t="s">
        <v>2345</v>
      </c>
      <c r="G4161" t="s">
        <v>2343</v>
      </c>
      <c r="I4161" t="s">
        <v>2341</v>
      </c>
      <c r="J4161" t="s">
        <v>36</v>
      </c>
      <c r="K4161">
        <v>1590</v>
      </c>
      <c r="O4161" t="s">
        <v>176</v>
      </c>
      <c r="P4161" t="s">
        <v>43</v>
      </c>
      <c r="U4161" s="9"/>
      <c r="X4161" t="s">
        <v>503</v>
      </c>
      <c r="Y4161" t="s">
        <v>179</v>
      </c>
      <c r="Z4161" t="s">
        <v>41</v>
      </c>
      <c r="AB4161" t="str">
        <f t="shared" si="195"/>
        <v>01035</v>
      </c>
    </row>
    <row r="4162" ht="14.25" spans="1:28">
      <c r="A4162" s="5" t="s">
        <v>28</v>
      </c>
      <c r="B4162" s="5" t="s">
        <v>2338</v>
      </c>
      <c r="C4162" s="5">
        <v>2027</v>
      </c>
      <c r="D4162" s="5" t="s">
        <v>30</v>
      </c>
      <c r="E4162" t="s">
        <v>2346</v>
      </c>
      <c r="F4162" t="s">
        <v>2345</v>
      </c>
      <c r="G4162" t="s">
        <v>2343</v>
      </c>
      <c r="I4162" t="s">
        <v>2341</v>
      </c>
      <c r="J4162" t="s">
        <v>36</v>
      </c>
      <c r="K4162">
        <v>1590</v>
      </c>
      <c r="O4162" t="s">
        <v>176</v>
      </c>
      <c r="P4162" t="s">
        <v>44</v>
      </c>
      <c r="U4162" s="9"/>
      <c r="X4162" t="s">
        <v>503</v>
      </c>
      <c r="Y4162" t="s">
        <v>179</v>
      </c>
      <c r="Z4162" t="s">
        <v>41</v>
      </c>
      <c r="AB4162" t="str">
        <f t="shared" si="195"/>
        <v>01035</v>
      </c>
    </row>
    <row r="4163" ht="14.25" spans="1:28">
      <c r="A4163" s="5" t="s">
        <v>28</v>
      </c>
      <c r="B4163" s="5" t="s">
        <v>2338</v>
      </c>
      <c r="C4163" s="5">
        <v>2027</v>
      </c>
      <c r="D4163" s="5" t="s">
        <v>30</v>
      </c>
      <c r="E4163" t="s">
        <v>2346</v>
      </c>
      <c r="F4163" t="s">
        <v>2345</v>
      </c>
      <c r="G4163" t="s">
        <v>2343</v>
      </c>
      <c r="I4163" t="s">
        <v>2341</v>
      </c>
      <c r="J4163" t="s">
        <v>36</v>
      </c>
      <c r="K4163">
        <v>1590</v>
      </c>
      <c r="O4163" t="s">
        <v>176</v>
      </c>
      <c r="P4163" t="s">
        <v>45</v>
      </c>
      <c r="U4163" s="9"/>
      <c r="X4163" t="s">
        <v>503</v>
      </c>
      <c r="Y4163" t="s">
        <v>179</v>
      </c>
      <c r="Z4163" t="s">
        <v>41</v>
      </c>
      <c r="AB4163" t="str">
        <f t="shared" si="195"/>
        <v>01035</v>
      </c>
    </row>
    <row r="4164" ht="14.25" spans="1:28">
      <c r="A4164" s="5" t="s">
        <v>28</v>
      </c>
      <c r="B4164" s="5" t="s">
        <v>2338</v>
      </c>
      <c r="C4164" s="5">
        <v>2027</v>
      </c>
      <c r="D4164" s="5" t="s">
        <v>30</v>
      </c>
      <c r="E4164" t="s">
        <v>2347</v>
      </c>
      <c r="F4164" t="s">
        <v>2348</v>
      </c>
      <c r="G4164" t="s">
        <v>60</v>
      </c>
      <c r="I4164" t="s">
        <v>2341</v>
      </c>
      <c r="J4164" t="s">
        <v>36</v>
      </c>
      <c r="K4164">
        <v>590</v>
      </c>
      <c r="O4164" t="s">
        <v>176</v>
      </c>
      <c r="P4164" t="s">
        <v>38</v>
      </c>
      <c r="R4164">
        <f t="shared" ref="R4162:R4225" si="196">SUMIFS(Q:Q,E:E,E4164)</f>
        <v>0</v>
      </c>
      <c r="S4164">
        <f>SUMIFS([1]Sheet1!$T:$T,[1]Sheet1!$I:$I,E4164,[1]Sheet1!$C:$C,A4164)</f>
        <v>0</v>
      </c>
      <c r="T4164">
        <f t="shared" ref="T4162:T4225" si="197">R4164-S4164</f>
        <v>0</v>
      </c>
      <c r="U4164" s="9"/>
      <c r="X4164" t="s">
        <v>62</v>
      </c>
      <c r="Y4164" t="s">
        <v>179</v>
      </c>
      <c r="Z4164" t="s">
        <v>41</v>
      </c>
      <c r="AB4164" t="str">
        <f t="shared" si="195"/>
        <v>01037</v>
      </c>
    </row>
    <row r="4165" ht="14.25" spans="1:28">
      <c r="A4165" s="5" t="s">
        <v>28</v>
      </c>
      <c r="B4165" s="5" t="s">
        <v>2338</v>
      </c>
      <c r="C4165" s="5">
        <v>2027</v>
      </c>
      <c r="D4165" s="5" t="s">
        <v>30</v>
      </c>
      <c r="E4165" t="s">
        <v>2347</v>
      </c>
      <c r="F4165" t="s">
        <v>2348</v>
      </c>
      <c r="G4165" t="s">
        <v>60</v>
      </c>
      <c r="I4165" t="s">
        <v>2341</v>
      </c>
      <c r="J4165" t="s">
        <v>36</v>
      </c>
      <c r="K4165">
        <v>590</v>
      </c>
      <c r="O4165" t="s">
        <v>176</v>
      </c>
      <c r="P4165" t="s">
        <v>42</v>
      </c>
      <c r="U4165" s="9"/>
      <c r="X4165" t="s">
        <v>62</v>
      </c>
      <c r="Y4165" t="s">
        <v>179</v>
      </c>
      <c r="Z4165" t="s">
        <v>41</v>
      </c>
      <c r="AB4165" t="str">
        <f t="shared" si="195"/>
        <v>01037</v>
      </c>
    </row>
    <row r="4166" ht="14.25" spans="1:28">
      <c r="A4166" s="5" t="s">
        <v>28</v>
      </c>
      <c r="B4166" s="5" t="s">
        <v>2338</v>
      </c>
      <c r="C4166" s="5">
        <v>2027</v>
      </c>
      <c r="D4166" s="5" t="s">
        <v>30</v>
      </c>
      <c r="E4166" t="s">
        <v>2347</v>
      </c>
      <c r="F4166" t="s">
        <v>2348</v>
      </c>
      <c r="G4166" t="s">
        <v>60</v>
      </c>
      <c r="I4166" t="s">
        <v>2341</v>
      </c>
      <c r="J4166" t="s">
        <v>36</v>
      </c>
      <c r="K4166">
        <v>590</v>
      </c>
      <c r="O4166" t="s">
        <v>176</v>
      </c>
      <c r="P4166" t="s">
        <v>43</v>
      </c>
      <c r="U4166" s="9"/>
      <c r="X4166" t="s">
        <v>62</v>
      </c>
      <c r="Y4166" t="s">
        <v>179</v>
      </c>
      <c r="Z4166" t="s">
        <v>41</v>
      </c>
      <c r="AB4166" t="str">
        <f t="shared" si="195"/>
        <v>01037</v>
      </c>
    </row>
    <row r="4167" ht="14.25" spans="1:28">
      <c r="A4167" s="5" t="s">
        <v>28</v>
      </c>
      <c r="B4167" s="5" t="s">
        <v>2338</v>
      </c>
      <c r="C4167" s="5">
        <v>2027</v>
      </c>
      <c r="D4167" s="5" t="s">
        <v>30</v>
      </c>
      <c r="E4167" t="s">
        <v>2347</v>
      </c>
      <c r="F4167" t="s">
        <v>2348</v>
      </c>
      <c r="G4167" t="s">
        <v>60</v>
      </c>
      <c r="I4167" t="s">
        <v>2341</v>
      </c>
      <c r="J4167" t="s">
        <v>36</v>
      </c>
      <c r="K4167">
        <v>590</v>
      </c>
      <c r="O4167" t="s">
        <v>176</v>
      </c>
      <c r="P4167" t="s">
        <v>44</v>
      </c>
      <c r="U4167" s="9"/>
      <c r="X4167" t="s">
        <v>62</v>
      </c>
      <c r="Y4167" t="s">
        <v>179</v>
      </c>
      <c r="Z4167" t="s">
        <v>41</v>
      </c>
      <c r="AB4167" t="str">
        <f t="shared" si="195"/>
        <v>01037</v>
      </c>
    </row>
    <row r="4168" ht="14.25" spans="1:28">
      <c r="A4168" s="5" t="s">
        <v>28</v>
      </c>
      <c r="B4168" s="5" t="s">
        <v>2338</v>
      </c>
      <c r="C4168" s="5">
        <v>2027</v>
      </c>
      <c r="D4168" s="5" t="s">
        <v>30</v>
      </c>
      <c r="E4168" t="s">
        <v>2347</v>
      </c>
      <c r="F4168" t="s">
        <v>2348</v>
      </c>
      <c r="G4168" t="s">
        <v>60</v>
      </c>
      <c r="I4168" t="s">
        <v>2341</v>
      </c>
      <c r="J4168" t="s">
        <v>36</v>
      </c>
      <c r="K4168">
        <v>590</v>
      </c>
      <c r="O4168" t="s">
        <v>176</v>
      </c>
      <c r="P4168" t="s">
        <v>45</v>
      </c>
      <c r="U4168" s="9"/>
      <c r="X4168" t="s">
        <v>62</v>
      </c>
      <c r="Y4168" t="s">
        <v>179</v>
      </c>
      <c r="Z4168" t="s">
        <v>41</v>
      </c>
      <c r="AB4168" t="str">
        <f t="shared" si="195"/>
        <v>01037</v>
      </c>
    </row>
    <row r="4169" ht="14.25" spans="1:28">
      <c r="A4169" s="5" t="s">
        <v>28</v>
      </c>
      <c r="B4169" s="5" t="s">
        <v>2338</v>
      </c>
      <c r="C4169" s="5">
        <v>2027</v>
      </c>
      <c r="D4169" s="5" t="s">
        <v>30</v>
      </c>
      <c r="E4169" t="s">
        <v>2349</v>
      </c>
      <c r="F4169" t="s">
        <v>2350</v>
      </c>
      <c r="G4169" t="s">
        <v>117</v>
      </c>
      <c r="I4169" t="s">
        <v>2341</v>
      </c>
      <c r="J4169" t="s">
        <v>36</v>
      </c>
      <c r="K4169">
        <v>590</v>
      </c>
      <c r="O4169" t="s">
        <v>176</v>
      </c>
      <c r="P4169" t="s">
        <v>38</v>
      </c>
      <c r="R4169">
        <f t="shared" si="196"/>
        <v>0</v>
      </c>
      <c r="S4169">
        <f>SUMIFS([1]Sheet1!$T:$T,[1]Sheet1!$I:$I,E4169,[1]Sheet1!$C:$C,A4169)</f>
        <v>0</v>
      </c>
      <c r="T4169">
        <f t="shared" si="197"/>
        <v>0</v>
      </c>
      <c r="U4169" s="9"/>
      <c r="X4169" t="s">
        <v>122</v>
      </c>
      <c r="Y4169" t="s">
        <v>179</v>
      </c>
      <c r="Z4169" t="s">
        <v>41</v>
      </c>
      <c r="AB4169" t="str">
        <f t="shared" si="195"/>
        <v>01038</v>
      </c>
    </row>
    <row r="4170" ht="14.25" spans="1:28">
      <c r="A4170" s="5" t="s">
        <v>28</v>
      </c>
      <c r="B4170" s="5" t="s">
        <v>2338</v>
      </c>
      <c r="C4170" s="5">
        <v>2027</v>
      </c>
      <c r="D4170" s="5" t="s">
        <v>30</v>
      </c>
      <c r="E4170" t="s">
        <v>2349</v>
      </c>
      <c r="F4170" t="s">
        <v>2350</v>
      </c>
      <c r="G4170" t="s">
        <v>117</v>
      </c>
      <c r="I4170" t="s">
        <v>2341</v>
      </c>
      <c r="J4170" t="s">
        <v>36</v>
      </c>
      <c r="K4170">
        <v>590</v>
      </c>
      <c r="O4170" t="s">
        <v>176</v>
      </c>
      <c r="P4170" t="s">
        <v>42</v>
      </c>
      <c r="U4170" s="9"/>
      <c r="X4170" t="s">
        <v>122</v>
      </c>
      <c r="Y4170" t="s">
        <v>179</v>
      </c>
      <c r="Z4170" t="s">
        <v>41</v>
      </c>
      <c r="AB4170" t="str">
        <f t="shared" si="195"/>
        <v>01038</v>
      </c>
    </row>
    <row r="4171" ht="14.25" spans="1:28">
      <c r="A4171" s="5" t="s">
        <v>28</v>
      </c>
      <c r="B4171" s="5" t="s">
        <v>2338</v>
      </c>
      <c r="C4171" s="5">
        <v>2027</v>
      </c>
      <c r="D4171" s="5" t="s">
        <v>30</v>
      </c>
      <c r="E4171" t="s">
        <v>2349</v>
      </c>
      <c r="F4171" t="s">
        <v>2350</v>
      </c>
      <c r="G4171" t="s">
        <v>117</v>
      </c>
      <c r="I4171" t="s">
        <v>2341</v>
      </c>
      <c r="J4171" t="s">
        <v>36</v>
      </c>
      <c r="K4171">
        <v>590</v>
      </c>
      <c r="O4171" t="s">
        <v>176</v>
      </c>
      <c r="P4171" t="s">
        <v>43</v>
      </c>
      <c r="U4171" s="9"/>
      <c r="X4171" t="s">
        <v>122</v>
      </c>
      <c r="Y4171" t="s">
        <v>179</v>
      </c>
      <c r="Z4171" t="s">
        <v>41</v>
      </c>
      <c r="AB4171" t="str">
        <f t="shared" si="195"/>
        <v>01038</v>
      </c>
    </row>
    <row r="4172" ht="14.25" spans="1:28">
      <c r="A4172" s="5" t="s">
        <v>28</v>
      </c>
      <c r="B4172" s="5" t="s">
        <v>2338</v>
      </c>
      <c r="C4172" s="5">
        <v>2027</v>
      </c>
      <c r="D4172" s="5" t="s">
        <v>30</v>
      </c>
      <c r="E4172" t="s">
        <v>2349</v>
      </c>
      <c r="F4172" t="s">
        <v>2350</v>
      </c>
      <c r="G4172" t="s">
        <v>117</v>
      </c>
      <c r="I4172" t="s">
        <v>2341</v>
      </c>
      <c r="J4172" t="s">
        <v>36</v>
      </c>
      <c r="K4172">
        <v>590</v>
      </c>
      <c r="O4172" t="s">
        <v>176</v>
      </c>
      <c r="P4172" t="s">
        <v>44</v>
      </c>
      <c r="U4172" s="9"/>
      <c r="X4172" t="s">
        <v>122</v>
      </c>
      <c r="Y4172" t="s">
        <v>179</v>
      </c>
      <c r="Z4172" t="s">
        <v>41</v>
      </c>
      <c r="AB4172" t="str">
        <f t="shared" si="195"/>
        <v>01038</v>
      </c>
    </row>
    <row r="4173" ht="14.25" spans="1:28">
      <c r="A4173" s="5" t="s">
        <v>28</v>
      </c>
      <c r="B4173" s="5" t="s">
        <v>2338</v>
      </c>
      <c r="C4173" s="5">
        <v>2027</v>
      </c>
      <c r="D4173" s="5" t="s">
        <v>30</v>
      </c>
      <c r="E4173" t="s">
        <v>2349</v>
      </c>
      <c r="F4173" t="s">
        <v>2350</v>
      </c>
      <c r="G4173" t="s">
        <v>117</v>
      </c>
      <c r="I4173" t="s">
        <v>2341</v>
      </c>
      <c r="J4173" t="s">
        <v>36</v>
      </c>
      <c r="K4173">
        <v>590</v>
      </c>
      <c r="O4173" t="s">
        <v>176</v>
      </c>
      <c r="P4173" t="s">
        <v>45</v>
      </c>
      <c r="U4173" s="9"/>
      <c r="X4173" t="s">
        <v>122</v>
      </c>
      <c r="Y4173" t="s">
        <v>179</v>
      </c>
      <c r="Z4173" t="s">
        <v>41</v>
      </c>
      <c r="AB4173" t="str">
        <f t="shared" si="195"/>
        <v>01038</v>
      </c>
    </row>
    <row r="4174" ht="14.25" spans="1:28">
      <c r="A4174" s="5" t="s">
        <v>28</v>
      </c>
      <c r="B4174" s="5" t="s">
        <v>2338</v>
      </c>
      <c r="C4174" s="5">
        <v>2027</v>
      </c>
      <c r="D4174" s="5" t="s">
        <v>30</v>
      </c>
      <c r="E4174" t="s">
        <v>2351</v>
      </c>
      <c r="F4174" t="s">
        <v>2352</v>
      </c>
      <c r="G4174" t="s">
        <v>117</v>
      </c>
      <c r="I4174" t="s">
        <v>2341</v>
      </c>
      <c r="J4174" t="s">
        <v>36</v>
      </c>
      <c r="K4174">
        <v>1390</v>
      </c>
      <c r="O4174" t="s">
        <v>176</v>
      </c>
      <c r="P4174" t="s">
        <v>38</v>
      </c>
      <c r="R4174">
        <f t="shared" si="196"/>
        <v>0</v>
      </c>
      <c r="S4174">
        <f>SUMIFS([1]Sheet1!$T:$T,[1]Sheet1!$I:$I,E4174,[1]Sheet1!$C:$C,A4174)</f>
        <v>0</v>
      </c>
      <c r="T4174">
        <f t="shared" si="197"/>
        <v>0</v>
      </c>
      <c r="U4174" s="9"/>
      <c r="X4174" t="s">
        <v>122</v>
      </c>
      <c r="Y4174" t="s">
        <v>179</v>
      </c>
      <c r="Z4174" t="s">
        <v>41</v>
      </c>
      <c r="AB4174" t="str">
        <f t="shared" si="195"/>
        <v>01042</v>
      </c>
    </row>
    <row r="4175" ht="14.25" spans="1:28">
      <c r="A4175" s="5" t="s">
        <v>28</v>
      </c>
      <c r="B4175" s="5" t="s">
        <v>2338</v>
      </c>
      <c r="C4175" s="5">
        <v>2027</v>
      </c>
      <c r="D4175" s="5" t="s">
        <v>30</v>
      </c>
      <c r="E4175" t="s">
        <v>2351</v>
      </c>
      <c r="F4175" t="s">
        <v>2352</v>
      </c>
      <c r="G4175" t="s">
        <v>117</v>
      </c>
      <c r="I4175" t="s">
        <v>2341</v>
      </c>
      <c r="J4175" t="s">
        <v>36</v>
      </c>
      <c r="K4175">
        <v>1390</v>
      </c>
      <c r="O4175" t="s">
        <v>176</v>
      </c>
      <c r="P4175" t="s">
        <v>42</v>
      </c>
      <c r="U4175" s="9"/>
      <c r="X4175" t="s">
        <v>122</v>
      </c>
      <c r="Y4175" t="s">
        <v>179</v>
      </c>
      <c r="Z4175" t="s">
        <v>41</v>
      </c>
      <c r="AB4175" t="str">
        <f t="shared" si="195"/>
        <v>01042</v>
      </c>
    </row>
    <row r="4176" ht="14.25" spans="1:28">
      <c r="A4176" s="5" t="s">
        <v>28</v>
      </c>
      <c r="B4176" s="5" t="s">
        <v>2338</v>
      </c>
      <c r="C4176" s="5">
        <v>2027</v>
      </c>
      <c r="D4176" s="5" t="s">
        <v>30</v>
      </c>
      <c r="E4176" t="s">
        <v>2351</v>
      </c>
      <c r="F4176" t="s">
        <v>2352</v>
      </c>
      <c r="G4176" t="s">
        <v>117</v>
      </c>
      <c r="I4176" t="s">
        <v>2341</v>
      </c>
      <c r="J4176" t="s">
        <v>36</v>
      </c>
      <c r="K4176">
        <v>1390</v>
      </c>
      <c r="O4176" t="s">
        <v>176</v>
      </c>
      <c r="P4176" t="s">
        <v>43</v>
      </c>
      <c r="U4176" s="9"/>
      <c r="X4176" t="s">
        <v>122</v>
      </c>
      <c r="Y4176" t="s">
        <v>179</v>
      </c>
      <c r="Z4176" t="s">
        <v>41</v>
      </c>
      <c r="AB4176" t="str">
        <f t="shared" si="195"/>
        <v>01042</v>
      </c>
    </row>
    <row r="4177" ht="14.25" spans="1:28">
      <c r="A4177" s="5" t="s">
        <v>28</v>
      </c>
      <c r="B4177" s="5" t="s">
        <v>2338</v>
      </c>
      <c r="C4177" s="5">
        <v>2027</v>
      </c>
      <c r="D4177" s="5" t="s">
        <v>30</v>
      </c>
      <c r="E4177" t="s">
        <v>2351</v>
      </c>
      <c r="F4177" t="s">
        <v>2352</v>
      </c>
      <c r="G4177" t="s">
        <v>117</v>
      </c>
      <c r="I4177" t="s">
        <v>2341</v>
      </c>
      <c r="J4177" t="s">
        <v>36</v>
      </c>
      <c r="K4177">
        <v>1390</v>
      </c>
      <c r="O4177" t="s">
        <v>176</v>
      </c>
      <c r="P4177" t="s">
        <v>44</v>
      </c>
      <c r="U4177" s="9"/>
      <c r="X4177" t="s">
        <v>122</v>
      </c>
      <c r="Y4177" t="s">
        <v>179</v>
      </c>
      <c r="Z4177" t="s">
        <v>41</v>
      </c>
      <c r="AB4177" t="str">
        <f t="shared" si="195"/>
        <v>01042</v>
      </c>
    </row>
    <row r="4178" ht="14.25" spans="1:28">
      <c r="A4178" s="5" t="s">
        <v>28</v>
      </c>
      <c r="B4178" s="5" t="s">
        <v>2338</v>
      </c>
      <c r="C4178" s="5">
        <v>2027</v>
      </c>
      <c r="D4178" s="5" t="s">
        <v>30</v>
      </c>
      <c r="E4178" t="s">
        <v>2351</v>
      </c>
      <c r="F4178" t="s">
        <v>2352</v>
      </c>
      <c r="G4178" t="s">
        <v>117</v>
      </c>
      <c r="I4178" t="s">
        <v>2341</v>
      </c>
      <c r="J4178" t="s">
        <v>36</v>
      </c>
      <c r="K4178">
        <v>1390</v>
      </c>
      <c r="O4178" t="s">
        <v>176</v>
      </c>
      <c r="P4178" t="s">
        <v>45</v>
      </c>
      <c r="U4178" s="9"/>
      <c r="X4178" t="s">
        <v>122</v>
      </c>
      <c r="Y4178" t="s">
        <v>179</v>
      </c>
      <c r="Z4178" t="s">
        <v>41</v>
      </c>
      <c r="AB4178" t="str">
        <f t="shared" si="195"/>
        <v>01042</v>
      </c>
    </row>
    <row r="4179" ht="14.25" spans="1:28">
      <c r="A4179" s="5" t="s">
        <v>28</v>
      </c>
      <c r="B4179" s="5" t="s">
        <v>2338</v>
      </c>
      <c r="C4179" s="5">
        <v>2027</v>
      </c>
      <c r="D4179" s="5" t="s">
        <v>30</v>
      </c>
      <c r="E4179" t="s">
        <v>2353</v>
      </c>
      <c r="F4179" t="s">
        <v>2354</v>
      </c>
      <c r="G4179" t="s">
        <v>117</v>
      </c>
      <c r="I4179" t="s">
        <v>2341</v>
      </c>
      <c r="J4179" t="s">
        <v>36</v>
      </c>
      <c r="K4179">
        <v>590</v>
      </c>
      <c r="O4179" t="s">
        <v>176</v>
      </c>
      <c r="P4179" t="s">
        <v>38</v>
      </c>
      <c r="R4179">
        <f t="shared" si="196"/>
        <v>0</v>
      </c>
      <c r="S4179">
        <f>SUMIFS([1]Sheet1!$T:$T,[1]Sheet1!$I:$I,E4179,[1]Sheet1!$C:$C,A4179)</f>
        <v>0</v>
      </c>
      <c r="T4179">
        <f t="shared" si="197"/>
        <v>0</v>
      </c>
      <c r="U4179" s="9"/>
      <c r="X4179" t="s">
        <v>122</v>
      </c>
      <c r="Y4179" t="s">
        <v>179</v>
      </c>
      <c r="Z4179" t="s">
        <v>41</v>
      </c>
      <c r="AB4179" t="str">
        <f t="shared" si="195"/>
        <v>01043</v>
      </c>
    </row>
    <row r="4180" ht="14.25" spans="1:28">
      <c r="A4180" s="5" t="s">
        <v>28</v>
      </c>
      <c r="B4180" s="5" t="s">
        <v>2338</v>
      </c>
      <c r="C4180" s="5">
        <v>2027</v>
      </c>
      <c r="D4180" s="5" t="s">
        <v>30</v>
      </c>
      <c r="E4180" t="s">
        <v>2353</v>
      </c>
      <c r="F4180" t="s">
        <v>2354</v>
      </c>
      <c r="G4180" t="s">
        <v>117</v>
      </c>
      <c r="I4180" t="s">
        <v>2341</v>
      </c>
      <c r="J4180" t="s">
        <v>36</v>
      </c>
      <c r="K4180">
        <v>590</v>
      </c>
      <c r="O4180" t="s">
        <v>176</v>
      </c>
      <c r="P4180" t="s">
        <v>42</v>
      </c>
      <c r="U4180" s="9"/>
      <c r="X4180" t="s">
        <v>122</v>
      </c>
      <c r="Y4180" t="s">
        <v>179</v>
      </c>
      <c r="Z4180" t="s">
        <v>41</v>
      </c>
      <c r="AB4180" t="str">
        <f t="shared" si="195"/>
        <v>01043</v>
      </c>
    </row>
    <row r="4181" ht="14.25" spans="1:28">
      <c r="A4181" s="5" t="s">
        <v>28</v>
      </c>
      <c r="B4181" s="5" t="s">
        <v>2338</v>
      </c>
      <c r="C4181" s="5">
        <v>2027</v>
      </c>
      <c r="D4181" s="5" t="s">
        <v>30</v>
      </c>
      <c r="E4181" t="s">
        <v>2353</v>
      </c>
      <c r="F4181" t="s">
        <v>2354</v>
      </c>
      <c r="G4181" t="s">
        <v>117</v>
      </c>
      <c r="I4181" t="s">
        <v>2341</v>
      </c>
      <c r="J4181" t="s">
        <v>36</v>
      </c>
      <c r="K4181">
        <v>590</v>
      </c>
      <c r="O4181" t="s">
        <v>176</v>
      </c>
      <c r="P4181" t="s">
        <v>43</v>
      </c>
      <c r="U4181" s="9"/>
      <c r="X4181" t="s">
        <v>122</v>
      </c>
      <c r="Y4181" t="s">
        <v>179</v>
      </c>
      <c r="Z4181" t="s">
        <v>41</v>
      </c>
      <c r="AB4181" t="str">
        <f t="shared" si="195"/>
        <v>01043</v>
      </c>
    </row>
    <row r="4182" ht="14.25" spans="1:28">
      <c r="A4182" s="5" t="s">
        <v>28</v>
      </c>
      <c r="B4182" s="5" t="s">
        <v>2338</v>
      </c>
      <c r="C4182" s="5">
        <v>2027</v>
      </c>
      <c r="D4182" s="5" t="s">
        <v>30</v>
      </c>
      <c r="E4182" t="s">
        <v>2353</v>
      </c>
      <c r="F4182" t="s">
        <v>2354</v>
      </c>
      <c r="G4182" t="s">
        <v>117</v>
      </c>
      <c r="I4182" t="s">
        <v>2341</v>
      </c>
      <c r="J4182" t="s">
        <v>36</v>
      </c>
      <c r="K4182">
        <v>590</v>
      </c>
      <c r="O4182" t="s">
        <v>176</v>
      </c>
      <c r="P4182" t="s">
        <v>44</v>
      </c>
      <c r="U4182" s="9"/>
      <c r="X4182" t="s">
        <v>122</v>
      </c>
      <c r="Y4182" t="s">
        <v>179</v>
      </c>
      <c r="Z4182" t="s">
        <v>41</v>
      </c>
      <c r="AB4182" t="str">
        <f t="shared" si="195"/>
        <v>01043</v>
      </c>
    </row>
    <row r="4183" ht="14.25" spans="1:28">
      <c r="A4183" s="5" t="s">
        <v>28</v>
      </c>
      <c r="B4183" s="5" t="s">
        <v>2338</v>
      </c>
      <c r="C4183" s="5">
        <v>2027</v>
      </c>
      <c r="D4183" s="5" t="s">
        <v>30</v>
      </c>
      <c r="E4183" t="s">
        <v>2353</v>
      </c>
      <c r="F4183" t="s">
        <v>2354</v>
      </c>
      <c r="G4183" t="s">
        <v>117</v>
      </c>
      <c r="I4183" t="s">
        <v>2341</v>
      </c>
      <c r="J4183" t="s">
        <v>36</v>
      </c>
      <c r="K4183">
        <v>590</v>
      </c>
      <c r="O4183" t="s">
        <v>176</v>
      </c>
      <c r="P4183" t="s">
        <v>45</v>
      </c>
      <c r="U4183" s="9"/>
      <c r="X4183" t="s">
        <v>122</v>
      </c>
      <c r="Y4183" t="s">
        <v>179</v>
      </c>
      <c r="Z4183" t="s">
        <v>41</v>
      </c>
      <c r="AB4183" t="str">
        <f t="shared" si="195"/>
        <v>01043</v>
      </c>
    </row>
    <row r="4184" ht="14.25" spans="1:28">
      <c r="A4184" s="5" t="s">
        <v>28</v>
      </c>
      <c r="B4184" s="5" t="s">
        <v>2338</v>
      </c>
      <c r="C4184" s="5">
        <v>2027</v>
      </c>
      <c r="D4184" s="5" t="s">
        <v>30</v>
      </c>
      <c r="E4184" t="s">
        <v>2355</v>
      </c>
      <c r="F4184" t="s">
        <v>2354</v>
      </c>
      <c r="G4184" t="s">
        <v>60</v>
      </c>
      <c r="I4184" t="s">
        <v>2341</v>
      </c>
      <c r="J4184" t="s">
        <v>36</v>
      </c>
      <c r="K4184">
        <v>590</v>
      </c>
      <c r="O4184" t="s">
        <v>176</v>
      </c>
      <c r="P4184" t="s">
        <v>38</v>
      </c>
      <c r="R4184">
        <f t="shared" si="196"/>
        <v>0</v>
      </c>
      <c r="S4184">
        <f>SUMIFS([1]Sheet1!$T:$T,[1]Sheet1!$I:$I,E4184,[1]Sheet1!$C:$C,A4184)</f>
        <v>0</v>
      </c>
      <c r="T4184">
        <f t="shared" si="197"/>
        <v>0</v>
      </c>
      <c r="U4184" s="9"/>
      <c r="X4184" t="s">
        <v>62</v>
      </c>
      <c r="Y4184" t="s">
        <v>179</v>
      </c>
      <c r="Z4184" t="s">
        <v>41</v>
      </c>
      <c r="AB4184" t="str">
        <f t="shared" si="195"/>
        <v>01043</v>
      </c>
    </row>
    <row r="4185" ht="14.25" spans="1:28">
      <c r="A4185" s="5" t="s">
        <v>28</v>
      </c>
      <c r="B4185" s="5" t="s">
        <v>2338</v>
      </c>
      <c r="C4185" s="5">
        <v>2027</v>
      </c>
      <c r="D4185" s="5" t="s">
        <v>30</v>
      </c>
      <c r="E4185" t="s">
        <v>2355</v>
      </c>
      <c r="F4185" t="s">
        <v>2354</v>
      </c>
      <c r="G4185" t="s">
        <v>60</v>
      </c>
      <c r="I4185" t="s">
        <v>2341</v>
      </c>
      <c r="J4185" t="s">
        <v>36</v>
      </c>
      <c r="K4185">
        <v>590</v>
      </c>
      <c r="O4185" t="s">
        <v>176</v>
      </c>
      <c r="P4185" t="s">
        <v>42</v>
      </c>
      <c r="U4185" s="9"/>
      <c r="X4185" t="s">
        <v>62</v>
      </c>
      <c r="Y4185" t="s">
        <v>179</v>
      </c>
      <c r="Z4185" t="s">
        <v>41</v>
      </c>
      <c r="AB4185" t="str">
        <f t="shared" si="195"/>
        <v>01043</v>
      </c>
    </row>
    <row r="4186" ht="14.25" spans="1:28">
      <c r="A4186" s="5" t="s">
        <v>28</v>
      </c>
      <c r="B4186" s="5" t="s">
        <v>2338</v>
      </c>
      <c r="C4186" s="5">
        <v>2027</v>
      </c>
      <c r="D4186" s="5" t="s">
        <v>30</v>
      </c>
      <c r="E4186" t="s">
        <v>2355</v>
      </c>
      <c r="F4186" t="s">
        <v>2354</v>
      </c>
      <c r="G4186" t="s">
        <v>60</v>
      </c>
      <c r="I4186" t="s">
        <v>2341</v>
      </c>
      <c r="J4186" t="s">
        <v>36</v>
      </c>
      <c r="K4186">
        <v>590</v>
      </c>
      <c r="O4186" t="s">
        <v>176</v>
      </c>
      <c r="P4186" t="s">
        <v>43</v>
      </c>
      <c r="U4186" s="9"/>
      <c r="X4186" t="s">
        <v>62</v>
      </c>
      <c r="Y4186" t="s">
        <v>179</v>
      </c>
      <c r="Z4186" t="s">
        <v>41</v>
      </c>
      <c r="AB4186" t="str">
        <f t="shared" si="195"/>
        <v>01043</v>
      </c>
    </row>
    <row r="4187" ht="14.25" spans="1:28">
      <c r="A4187" s="5" t="s">
        <v>28</v>
      </c>
      <c r="B4187" s="5" t="s">
        <v>2338</v>
      </c>
      <c r="C4187" s="5">
        <v>2027</v>
      </c>
      <c r="D4187" s="5" t="s">
        <v>30</v>
      </c>
      <c r="E4187" t="s">
        <v>2355</v>
      </c>
      <c r="F4187" t="s">
        <v>2354</v>
      </c>
      <c r="G4187" t="s">
        <v>60</v>
      </c>
      <c r="I4187" t="s">
        <v>2341</v>
      </c>
      <c r="J4187" t="s">
        <v>36</v>
      </c>
      <c r="K4187">
        <v>590</v>
      </c>
      <c r="O4187" t="s">
        <v>176</v>
      </c>
      <c r="P4187" t="s">
        <v>44</v>
      </c>
      <c r="U4187" s="9"/>
      <c r="X4187" t="s">
        <v>62</v>
      </c>
      <c r="Y4187" t="s">
        <v>179</v>
      </c>
      <c r="Z4187" t="s">
        <v>41</v>
      </c>
      <c r="AB4187" t="str">
        <f t="shared" si="195"/>
        <v>01043</v>
      </c>
    </row>
    <row r="4188" ht="14.25" spans="1:28">
      <c r="A4188" s="5" t="s">
        <v>28</v>
      </c>
      <c r="B4188" s="5" t="s">
        <v>2338</v>
      </c>
      <c r="C4188" s="5">
        <v>2027</v>
      </c>
      <c r="D4188" s="5" t="s">
        <v>30</v>
      </c>
      <c r="E4188" t="s">
        <v>2355</v>
      </c>
      <c r="F4188" t="s">
        <v>2354</v>
      </c>
      <c r="G4188" t="s">
        <v>60</v>
      </c>
      <c r="I4188" t="s">
        <v>2341</v>
      </c>
      <c r="J4188" t="s">
        <v>36</v>
      </c>
      <c r="K4188">
        <v>590</v>
      </c>
      <c r="O4188" t="s">
        <v>176</v>
      </c>
      <c r="P4188" t="s">
        <v>45</v>
      </c>
      <c r="U4188" s="9"/>
      <c r="X4188" t="s">
        <v>62</v>
      </c>
      <c r="Y4188" t="s">
        <v>179</v>
      </c>
      <c r="Z4188" t="s">
        <v>41</v>
      </c>
      <c r="AB4188" t="str">
        <f t="shared" si="195"/>
        <v>01043</v>
      </c>
    </row>
    <row r="4189" ht="14.25" spans="1:28">
      <c r="A4189" s="5" t="s">
        <v>28</v>
      </c>
      <c r="B4189" s="5" t="s">
        <v>2338</v>
      </c>
      <c r="C4189" s="5">
        <v>2027</v>
      </c>
      <c r="D4189" s="5" t="s">
        <v>30</v>
      </c>
      <c r="E4189" t="s">
        <v>2356</v>
      </c>
      <c r="F4189" t="s">
        <v>2357</v>
      </c>
      <c r="G4189" t="s">
        <v>117</v>
      </c>
      <c r="I4189" t="s">
        <v>2341</v>
      </c>
      <c r="J4189" t="s">
        <v>36</v>
      </c>
      <c r="K4189">
        <v>1590</v>
      </c>
      <c r="O4189" t="s">
        <v>176</v>
      </c>
      <c r="P4189" t="s">
        <v>38</v>
      </c>
      <c r="R4189">
        <f t="shared" si="196"/>
        <v>0</v>
      </c>
      <c r="S4189">
        <f>SUMIFS([1]Sheet1!$T:$T,[1]Sheet1!$I:$I,E4189,[1]Sheet1!$C:$C,A4189)</f>
        <v>0</v>
      </c>
      <c r="T4189">
        <f t="shared" si="197"/>
        <v>0</v>
      </c>
      <c r="U4189" s="9"/>
      <c r="X4189" t="s">
        <v>122</v>
      </c>
      <c r="Y4189" t="s">
        <v>179</v>
      </c>
      <c r="Z4189" t="s">
        <v>41</v>
      </c>
      <c r="AB4189" t="str">
        <f t="shared" si="195"/>
        <v>01045</v>
      </c>
    </row>
    <row r="4190" ht="14.25" spans="1:28">
      <c r="A4190" s="5" t="s">
        <v>28</v>
      </c>
      <c r="B4190" s="5" t="s">
        <v>2338</v>
      </c>
      <c r="C4190" s="5">
        <v>2027</v>
      </c>
      <c r="D4190" s="5" t="s">
        <v>30</v>
      </c>
      <c r="E4190" t="s">
        <v>2356</v>
      </c>
      <c r="F4190" t="s">
        <v>2357</v>
      </c>
      <c r="G4190" t="s">
        <v>117</v>
      </c>
      <c r="I4190" t="s">
        <v>2341</v>
      </c>
      <c r="J4190" t="s">
        <v>36</v>
      </c>
      <c r="K4190">
        <v>1590</v>
      </c>
      <c r="O4190" t="s">
        <v>176</v>
      </c>
      <c r="P4190" t="s">
        <v>42</v>
      </c>
      <c r="U4190" s="9"/>
      <c r="X4190" t="s">
        <v>122</v>
      </c>
      <c r="Y4190" t="s">
        <v>179</v>
      </c>
      <c r="Z4190" t="s">
        <v>41</v>
      </c>
      <c r="AB4190" t="str">
        <f t="shared" si="195"/>
        <v>01045</v>
      </c>
    </row>
    <row r="4191" ht="14.25" spans="1:28">
      <c r="A4191" s="5" t="s">
        <v>28</v>
      </c>
      <c r="B4191" s="5" t="s">
        <v>2338</v>
      </c>
      <c r="C4191" s="5">
        <v>2027</v>
      </c>
      <c r="D4191" s="5" t="s">
        <v>30</v>
      </c>
      <c r="E4191" t="s">
        <v>2356</v>
      </c>
      <c r="F4191" t="s">
        <v>2357</v>
      </c>
      <c r="G4191" t="s">
        <v>117</v>
      </c>
      <c r="I4191" t="s">
        <v>2341</v>
      </c>
      <c r="J4191" t="s">
        <v>36</v>
      </c>
      <c r="K4191">
        <v>1590</v>
      </c>
      <c r="O4191" t="s">
        <v>176</v>
      </c>
      <c r="P4191" t="s">
        <v>43</v>
      </c>
      <c r="U4191" s="9"/>
      <c r="X4191" t="s">
        <v>122</v>
      </c>
      <c r="Y4191" t="s">
        <v>179</v>
      </c>
      <c r="Z4191" t="s">
        <v>41</v>
      </c>
      <c r="AB4191" t="str">
        <f t="shared" si="195"/>
        <v>01045</v>
      </c>
    </row>
    <row r="4192" ht="14.25" spans="1:28">
      <c r="A4192" s="5" t="s">
        <v>28</v>
      </c>
      <c r="B4192" s="5" t="s">
        <v>2338</v>
      </c>
      <c r="C4192" s="5">
        <v>2027</v>
      </c>
      <c r="D4192" s="5" t="s">
        <v>30</v>
      </c>
      <c r="E4192" t="s">
        <v>2356</v>
      </c>
      <c r="F4192" t="s">
        <v>2357</v>
      </c>
      <c r="G4192" t="s">
        <v>117</v>
      </c>
      <c r="I4192" t="s">
        <v>2341</v>
      </c>
      <c r="J4192" t="s">
        <v>36</v>
      </c>
      <c r="K4192">
        <v>1590</v>
      </c>
      <c r="O4192" t="s">
        <v>176</v>
      </c>
      <c r="P4192" t="s">
        <v>44</v>
      </c>
      <c r="U4192" s="9"/>
      <c r="X4192" t="s">
        <v>122</v>
      </c>
      <c r="Y4192" t="s">
        <v>179</v>
      </c>
      <c r="Z4192" t="s">
        <v>41</v>
      </c>
      <c r="AB4192" t="str">
        <f t="shared" si="195"/>
        <v>01045</v>
      </c>
    </row>
    <row r="4193" ht="14.25" spans="1:28">
      <c r="A4193" s="5" t="s">
        <v>28</v>
      </c>
      <c r="B4193" s="5" t="s">
        <v>2338</v>
      </c>
      <c r="C4193" s="5">
        <v>2027</v>
      </c>
      <c r="D4193" s="5" t="s">
        <v>30</v>
      </c>
      <c r="E4193" t="s">
        <v>2356</v>
      </c>
      <c r="F4193" t="s">
        <v>2357</v>
      </c>
      <c r="G4193" t="s">
        <v>117</v>
      </c>
      <c r="I4193" t="s">
        <v>2341</v>
      </c>
      <c r="J4193" t="s">
        <v>36</v>
      </c>
      <c r="K4193">
        <v>1590</v>
      </c>
      <c r="O4193" t="s">
        <v>176</v>
      </c>
      <c r="P4193" t="s">
        <v>45</v>
      </c>
      <c r="U4193" s="9"/>
      <c r="X4193" t="s">
        <v>122</v>
      </c>
      <c r="Y4193" t="s">
        <v>179</v>
      </c>
      <c r="Z4193" t="s">
        <v>41</v>
      </c>
      <c r="AB4193" t="str">
        <f t="shared" si="195"/>
        <v>01045</v>
      </c>
    </row>
    <row r="4194" ht="14.25" spans="1:28">
      <c r="A4194" s="5" t="s">
        <v>28</v>
      </c>
      <c r="B4194" s="5" t="s">
        <v>2338</v>
      </c>
      <c r="C4194" s="5">
        <v>2027</v>
      </c>
      <c r="D4194" s="5" t="s">
        <v>30</v>
      </c>
      <c r="E4194" t="s">
        <v>2358</v>
      </c>
      <c r="F4194" t="s">
        <v>2359</v>
      </c>
      <c r="G4194" t="s">
        <v>117</v>
      </c>
      <c r="I4194" t="s">
        <v>2341</v>
      </c>
      <c r="J4194" t="s">
        <v>36</v>
      </c>
      <c r="K4194">
        <v>590</v>
      </c>
      <c r="O4194" t="s">
        <v>176</v>
      </c>
      <c r="P4194" t="s">
        <v>38</v>
      </c>
      <c r="R4194">
        <f t="shared" si="196"/>
        <v>0</v>
      </c>
      <c r="S4194">
        <f>SUMIFS([1]Sheet1!$T:$T,[1]Sheet1!$I:$I,E4194,[1]Sheet1!$C:$C,A4194)</f>
        <v>0</v>
      </c>
      <c r="T4194">
        <f t="shared" si="197"/>
        <v>0</v>
      </c>
      <c r="U4194" s="9"/>
      <c r="X4194" t="s">
        <v>122</v>
      </c>
      <c r="Y4194" t="s">
        <v>179</v>
      </c>
      <c r="Z4194" t="s">
        <v>41</v>
      </c>
      <c r="AB4194" t="str">
        <f t="shared" si="195"/>
        <v>01046</v>
      </c>
    </row>
    <row r="4195" ht="14.25" spans="1:28">
      <c r="A4195" s="5" t="s">
        <v>28</v>
      </c>
      <c r="B4195" s="5" t="s">
        <v>2338</v>
      </c>
      <c r="C4195" s="5">
        <v>2027</v>
      </c>
      <c r="D4195" s="5" t="s">
        <v>30</v>
      </c>
      <c r="E4195" t="s">
        <v>2358</v>
      </c>
      <c r="F4195" t="s">
        <v>2359</v>
      </c>
      <c r="G4195" t="s">
        <v>117</v>
      </c>
      <c r="I4195" t="s">
        <v>2341</v>
      </c>
      <c r="J4195" t="s">
        <v>36</v>
      </c>
      <c r="K4195">
        <v>590</v>
      </c>
      <c r="O4195" t="s">
        <v>176</v>
      </c>
      <c r="P4195" t="s">
        <v>42</v>
      </c>
      <c r="U4195" s="9"/>
      <c r="X4195" t="s">
        <v>122</v>
      </c>
      <c r="Y4195" t="s">
        <v>179</v>
      </c>
      <c r="Z4195" t="s">
        <v>41</v>
      </c>
      <c r="AB4195" t="str">
        <f t="shared" si="195"/>
        <v>01046</v>
      </c>
    </row>
    <row r="4196" ht="14.25" spans="1:28">
      <c r="A4196" s="5" t="s">
        <v>28</v>
      </c>
      <c r="B4196" s="5" t="s">
        <v>2338</v>
      </c>
      <c r="C4196" s="5">
        <v>2027</v>
      </c>
      <c r="D4196" s="5" t="s">
        <v>30</v>
      </c>
      <c r="E4196" t="s">
        <v>2358</v>
      </c>
      <c r="F4196" t="s">
        <v>2359</v>
      </c>
      <c r="G4196" t="s">
        <v>117</v>
      </c>
      <c r="I4196" t="s">
        <v>2341</v>
      </c>
      <c r="J4196" t="s">
        <v>36</v>
      </c>
      <c r="K4196">
        <v>590</v>
      </c>
      <c r="O4196" t="s">
        <v>176</v>
      </c>
      <c r="P4196" t="s">
        <v>43</v>
      </c>
      <c r="U4196" s="9"/>
      <c r="X4196" t="s">
        <v>122</v>
      </c>
      <c r="Y4196" t="s">
        <v>179</v>
      </c>
      <c r="Z4196" t="s">
        <v>41</v>
      </c>
      <c r="AB4196" t="str">
        <f t="shared" si="195"/>
        <v>01046</v>
      </c>
    </row>
    <row r="4197" ht="14.25" spans="1:28">
      <c r="A4197" s="5" t="s">
        <v>28</v>
      </c>
      <c r="B4197" s="5" t="s">
        <v>2338</v>
      </c>
      <c r="C4197" s="5">
        <v>2027</v>
      </c>
      <c r="D4197" s="5" t="s">
        <v>30</v>
      </c>
      <c r="E4197" t="s">
        <v>2358</v>
      </c>
      <c r="F4197" t="s">
        <v>2359</v>
      </c>
      <c r="G4197" t="s">
        <v>117</v>
      </c>
      <c r="I4197" t="s">
        <v>2341</v>
      </c>
      <c r="J4197" t="s">
        <v>36</v>
      </c>
      <c r="K4197">
        <v>590</v>
      </c>
      <c r="O4197" t="s">
        <v>176</v>
      </c>
      <c r="P4197" t="s">
        <v>44</v>
      </c>
      <c r="U4197" s="9"/>
      <c r="X4197" t="s">
        <v>122</v>
      </c>
      <c r="Y4197" t="s">
        <v>179</v>
      </c>
      <c r="Z4197" t="s">
        <v>41</v>
      </c>
      <c r="AB4197" t="str">
        <f t="shared" si="195"/>
        <v>01046</v>
      </c>
    </row>
    <row r="4198" ht="14.25" spans="1:28">
      <c r="A4198" s="5" t="s">
        <v>28</v>
      </c>
      <c r="B4198" s="5" t="s">
        <v>2338</v>
      </c>
      <c r="C4198" s="5">
        <v>2027</v>
      </c>
      <c r="D4198" s="5" t="s">
        <v>30</v>
      </c>
      <c r="E4198" t="s">
        <v>2358</v>
      </c>
      <c r="F4198" t="s">
        <v>2359</v>
      </c>
      <c r="G4198" t="s">
        <v>117</v>
      </c>
      <c r="I4198" t="s">
        <v>2341</v>
      </c>
      <c r="J4198" t="s">
        <v>36</v>
      </c>
      <c r="K4198">
        <v>590</v>
      </c>
      <c r="O4198" t="s">
        <v>176</v>
      </c>
      <c r="P4198" t="s">
        <v>45</v>
      </c>
      <c r="U4198" s="9"/>
      <c r="X4198" t="s">
        <v>122</v>
      </c>
      <c r="Y4198" t="s">
        <v>179</v>
      </c>
      <c r="Z4198" t="s">
        <v>41</v>
      </c>
      <c r="AB4198" t="str">
        <f t="shared" si="195"/>
        <v>01046</v>
      </c>
    </row>
    <row r="4199" ht="14.25" spans="1:28">
      <c r="A4199" s="5" t="s">
        <v>28</v>
      </c>
      <c r="B4199" s="5" t="s">
        <v>2338</v>
      </c>
      <c r="C4199" s="5">
        <v>2027</v>
      </c>
      <c r="D4199" s="5" t="s">
        <v>30</v>
      </c>
      <c r="E4199" t="s">
        <v>2360</v>
      </c>
      <c r="F4199" t="s">
        <v>2361</v>
      </c>
      <c r="G4199" t="s">
        <v>2362</v>
      </c>
      <c r="I4199" t="s">
        <v>2341</v>
      </c>
      <c r="J4199" t="s">
        <v>36</v>
      </c>
      <c r="K4199">
        <v>990</v>
      </c>
      <c r="O4199" t="s">
        <v>176</v>
      </c>
      <c r="P4199" t="s">
        <v>38</v>
      </c>
      <c r="R4199">
        <f t="shared" si="196"/>
        <v>0</v>
      </c>
      <c r="S4199">
        <f>SUMIFS([1]Sheet1!$T:$T,[1]Sheet1!$I:$I,E4199,[1]Sheet1!$C:$C,A4199)</f>
        <v>0</v>
      </c>
      <c r="T4199">
        <f t="shared" si="197"/>
        <v>0</v>
      </c>
      <c r="U4199" s="9"/>
      <c r="Y4199" t="s">
        <v>179</v>
      </c>
      <c r="Z4199" t="s">
        <v>41</v>
      </c>
      <c r="AB4199" t="str">
        <f t="shared" si="195"/>
        <v>01051</v>
      </c>
    </row>
    <row r="4200" ht="14.25" spans="1:28">
      <c r="A4200" s="5" t="s">
        <v>28</v>
      </c>
      <c r="B4200" s="5" t="s">
        <v>2338</v>
      </c>
      <c r="C4200" s="5">
        <v>2027</v>
      </c>
      <c r="D4200" s="5" t="s">
        <v>30</v>
      </c>
      <c r="E4200" t="s">
        <v>2360</v>
      </c>
      <c r="F4200" t="s">
        <v>2361</v>
      </c>
      <c r="G4200" t="s">
        <v>2362</v>
      </c>
      <c r="I4200" t="s">
        <v>2341</v>
      </c>
      <c r="J4200" t="s">
        <v>36</v>
      </c>
      <c r="K4200">
        <v>990</v>
      </c>
      <c r="O4200" t="s">
        <v>176</v>
      </c>
      <c r="P4200" t="s">
        <v>42</v>
      </c>
      <c r="U4200" s="9"/>
      <c r="Y4200" t="s">
        <v>179</v>
      </c>
      <c r="Z4200" t="s">
        <v>41</v>
      </c>
      <c r="AB4200" t="str">
        <f t="shared" si="195"/>
        <v>01051</v>
      </c>
    </row>
    <row r="4201" ht="14.25" spans="1:28">
      <c r="A4201" s="5" t="s">
        <v>28</v>
      </c>
      <c r="B4201" s="5" t="s">
        <v>2338</v>
      </c>
      <c r="C4201" s="5">
        <v>2027</v>
      </c>
      <c r="D4201" s="5" t="s">
        <v>30</v>
      </c>
      <c r="E4201" t="s">
        <v>2360</v>
      </c>
      <c r="F4201" t="s">
        <v>2361</v>
      </c>
      <c r="G4201" t="s">
        <v>2362</v>
      </c>
      <c r="I4201" t="s">
        <v>2341</v>
      </c>
      <c r="J4201" t="s">
        <v>36</v>
      </c>
      <c r="K4201">
        <v>990</v>
      </c>
      <c r="O4201" t="s">
        <v>176</v>
      </c>
      <c r="P4201" t="s">
        <v>43</v>
      </c>
      <c r="U4201" s="9"/>
      <c r="Y4201" t="s">
        <v>179</v>
      </c>
      <c r="Z4201" t="s">
        <v>41</v>
      </c>
      <c r="AB4201" t="str">
        <f t="shared" si="195"/>
        <v>01051</v>
      </c>
    </row>
    <row r="4202" ht="14.25" spans="1:28">
      <c r="A4202" s="5" t="s">
        <v>28</v>
      </c>
      <c r="B4202" s="5" t="s">
        <v>2338</v>
      </c>
      <c r="C4202" s="5">
        <v>2027</v>
      </c>
      <c r="D4202" s="5" t="s">
        <v>30</v>
      </c>
      <c r="E4202" t="s">
        <v>2360</v>
      </c>
      <c r="F4202" t="s">
        <v>2361</v>
      </c>
      <c r="G4202" t="s">
        <v>2362</v>
      </c>
      <c r="I4202" t="s">
        <v>2341</v>
      </c>
      <c r="J4202" t="s">
        <v>36</v>
      </c>
      <c r="K4202">
        <v>990</v>
      </c>
      <c r="O4202" t="s">
        <v>176</v>
      </c>
      <c r="P4202" t="s">
        <v>44</v>
      </c>
      <c r="U4202" s="9"/>
      <c r="Y4202" t="s">
        <v>179</v>
      </c>
      <c r="Z4202" t="s">
        <v>41</v>
      </c>
      <c r="AB4202" t="str">
        <f t="shared" si="195"/>
        <v>01051</v>
      </c>
    </row>
    <row r="4203" ht="14.25" spans="1:28">
      <c r="A4203" s="5" t="s">
        <v>28</v>
      </c>
      <c r="B4203" s="5" t="s">
        <v>2338</v>
      </c>
      <c r="C4203" s="5">
        <v>2027</v>
      </c>
      <c r="D4203" s="5" t="s">
        <v>30</v>
      </c>
      <c r="E4203" t="s">
        <v>2360</v>
      </c>
      <c r="F4203" t="s">
        <v>2361</v>
      </c>
      <c r="G4203" t="s">
        <v>2362</v>
      </c>
      <c r="I4203" t="s">
        <v>2341</v>
      </c>
      <c r="J4203" t="s">
        <v>36</v>
      </c>
      <c r="K4203">
        <v>990</v>
      </c>
      <c r="O4203" t="s">
        <v>176</v>
      </c>
      <c r="P4203" t="s">
        <v>45</v>
      </c>
      <c r="U4203" s="9"/>
      <c r="Y4203" t="s">
        <v>179</v>
      </c>
      <c r="Z4203" t="s">
        <v>41</v>
      </c>
      <c r="AB4203" t="str">
        <f t="shared" si="195"/>
        <v>01051</v>
      </c>
    </row>
    <row r="4204" ht="14.25" spans="1:28">
      <c r="A4204" s="5" t="s">
        <v>28</v>
      </c>
      <c r="B4204" s="5" t="s">
        <v>2338</v>
      </c>
      <c r="C4204" s="5">
        <v>2027</v>
      </c>
      <c r="D4204" s="5" t="s">
        <v>30</v>
      </c>
      <c r="E4204" t="s">
        <v>2363</v>
      </c>
      <c r="F4204" t="s">
        <v>2364</v>
      </c>
      <c r="G4204" t="s">
        <v>117</v>
      </c>
      <c r="I4204" t="s">
        <v>2341</v>
      </c>
      <c r="J4204" t="s">
        <v>36</v>
      </c>
      <c r="K4204">
        <v>890</v>
      </c>
      <c r="O4204" t="s">
        <v>176</v>
      </c>
      <c r="P4204" t="s">
        <v>38</v>
      </c>
      <c r="R4204">
        <f t="shared" si="196"/>
        <v>0</v>
      </c>
      <c r="S4204">
        <f>SUMIFS([1]Sheet1!$T:$T,[1]Sheet1!$I:$I,E4204,[1]Sheet1!$C:$C,A4204)</f>
        <v>0</v>
      </c>
      <c r="T4204">
        <f t="shared" si="197"/>
        <v>0</v>
      </c>
      <c r="U4204" s="9"/>
      <c r="X4204" t="s">
        <v>122</v>
      </c>
      <c r="Y4204" t="s">
        <v>179</v>
      </c>
      <c r="Z4204" t="s">
        <v>41</v>
      </c>
      <c r="AB4204" t="str">
        <f t="shared" si="195"/>
        <v>01052</v>
      </c>
    </row>
    <row r="4205" ht="14.25" spans="1:28">
      <c r="A4205" s="5" t="s">
        <v>28</v>
      </c>
      <c r="B4205" s="5" t="s">
        <v>2338</v>
      </c>
      <c r="C4205" s="5">
        <v>2027</v>
      </c>
      <c r="D4205" s="5" t="s">
        <v>30</v>
      </c>
      <c r="E4205" t="s">
        <v>2363</v>
      </c>
      <c r="F4205" t="s">
        <v>2364</v>
      </c>
      <c r="G4205" t="s">
        <v>117</v>
      </c>
      <c r="I4205" t="s">
        <v>2341</v>
      </c>
      <c r="J4205" t="s">
        <v>36</v>
      </c>
      <c r="K4205">
        <v>890</v>
      </c>
      <c r="O4205" t="s">
        <v>176</v>
      </c>
      <c r="P4205" t="s">
        <v>42</v>
      </c>
      <c r="U4205" s="9"/>
      <c r="X4205" t="s">
        <v>122</v>
      </c>
      <c r="Y4205" t="s">
        <v>179</v>
      </c>
      <c r="Z4205" t="s">
        <v>41</v>
      </c>
      <c r="AB4205" t="str">
        <f t="shared" si="195"/>
        <v>01052</v>
      </c>
    </row>
    <row r="4206" ht="14.25" spans="1:28">
      <c r="A4206" s="5" t="s">
        <v>28</v>
      </c>
      <c r="B4206" s="5" t="s">
        <v>2338</v>
      </c>
      <c r="C4206" s="5">
        <v>2027</v>
      </c>
      <c r="D4206" s="5" t="s">
        <v>30</v>
      </c>
      <c r="E4206" t="s">
        <v>2363</v>
      </c>
      <c r="F4206" t="s">
        <v>2364</v>
      </c>
      <c r="G4206" t="s">
        <v>117</v>
      </c>
      <c r="I4206" t="s">
        <v>2341</v>
      </c>
      <c r="J4206" t="s">
        <v>36</v>
      </c>
      <c r="K4206">
        <v>890</v>
      </c>
      <c r="O4206" t="s">
        <v>176</v>
      </c>
      <c r="P4206" t="s">
        <v>43</v>
      </c>
      <c r="U4206" s="9"/>
      <c r="X4206" t="s">
        <v>122</v>
      </c>
      <c r="Y4206" t="s">
        <v>179</v>
      </c>
      <c r="Z4206" t="s">
        <v>41</v>
      </c>
      <c r="AB4206" t="str">
        <f t="shared" si="195"/>
        <v>01052</v>
      </c>
    </row>
    <row r="4207" ht="14.25" spans="1:28">
      <c r="A4207" s="5" t="s">
        <v>28</v>
      </c>
      <c r="B4207" s="5" t="s">
        <v>2338</v>
      </c>
      <c r="C4207" s="5">
        <v>2027</v>
      </c>
      <c r="D4207" s="5" t="s">
        <v>30</v>
      </c>
      <c r="E4207" t="s">
        <v>2363</v>
      </c>
      <c r="F4207" t="s">
        <v>2364</v>
      </c>
      <c r="G4207" t="s">
        <v>117</v>
      </c>
      <c r="I4207" t="s">
        <v>2341</v>
      </c>
      <c r="J4207" t="s">
        <v>36</v>
      </c>
      <c r="K4207">
        <v>890</v>
      </c>
      <c r="O4207" t="s">
        <v>176</v>
      </c>
      <c r="P4207" t="s">
        <v>44</v>
      </c>
      <c r="U4207" s="9"/>
      <c r="X4207" t="s">
        <v>122</v>
      </c>
      <c r="Y4207" t="s">
        <v>179</v>
      </c>
      <c r="Z4207" t="s">
        <v>41</v>
      </c>
      <c r="AB4207" t="str">
        <f t="shared" si="195"/>
        <v>01052</v>
      </c>
    </row>
    <row r="4208" ht="14.25" spans="1:28">
      <c r="A4208" s="5" t="s">
        <v>28</v>
      </c>
      <c r="B4208" s="5" t="s">
        <v>2338</v>
      </c>
      <c r="C4208" s="5">
        <v>2027</v>
      </c>
      <c r="D4208" s="5" t="s">
        <v>30</v>
      </c>
      <c r="E4208" t="s">
        <v>2363</v>
      </c>
      <c r="F4208" t="s">
        <v>2364</v>
      </c>
      <c r="G4208" t="s">
        <v>117</v>
      </c>
      <c r="I4208" t="s">
        <v>2341</v>
      </c>
      <c r="J4208" t="s">
        <v>36</v>
      </c>
      <c r="K4208">
        <v>890</v>
      </c>
      <c r="O4208" t="s">
        <v>176</v>
      </c>
      <c r="P4208" t="s">
        <v>45</v>
      </c>
      <c r="U4208" s="9"/>
      <c r="X4208" t="s">
        <v>122</v>
      </c>
      <c r="Y4208" t="s">
        <v>179</v>
      </c>
      <c r="Z4208" t="s">
        <v>41</v>
      </c>
      <c r="AB4208" t="str">
        <f t="shared" si="195"/>
        <v>01052</v>
      </c>
    </row>
    <row r="4209" ht="14.25" spans="1:28">
      <c r="A4209" s="5" t="s">
        <v>28</v>
      </c>
      <c r="B4209" s="5" t="s">
        <v>2338</v>
      </c>
      <c r="C4209" s="5">
        <v>2027</v>
      </c>
      <c r="D4209" s="5" t="s">
        <v>30</v>
      </c>
      <c r="E4209" t="s">
        <v>2365</v>
      </c>
      <c r="F4209" t="s">
        <v>2364</v>
      </c>
      <c r="G4209" t="s">
        <v>60</v>
      </c>
      <c r="I4209" t="s">
        <v>2341</v>
      </c>
      <c r="J4209" t="s">
        <v>36</v>
      </c>
      <c r="K4209">
        <v>890</v>
      </c>
      <c r="O4209" t="s">
        <v>176</v>
      </c>
      <c r="P4209" t="s">
        <v>38</v>
      </c>
      <c r="R4209">
        <f t="shared" si="196"/>
        <v>0</v>
      </c>
      <c r="S4209">
        <f>SUMIFS([1]Sheet1!$T:$T,[1]Sheet1!$I:$I,E4209,[1]Sheet1!$C:$C,A4209)</f>
        <v>0</v>
      </c>
      <c r="T4209">
        <f t="shared" si="197"/>
        <v>0</v>
      </c>
      <c r="U4209" s="9"/>
      <c r="X4209" t="s">
        <v>62</v>
      </c>
      <c r="Y4209" t="s">
        <v>179</v>
      </c>
      <c r="Z4209" t="s">
        <v>41</v>
      </c>
      <c r="AB4209" t="str">
        <f t="shared" si="195"/>
        <v>01052</v>
      </c>
    </row>
    <row r="4210" ht="14.25" spans="1:28">
      <c r="A4210" s="5" t="s">
        <v>28</v>
      </c>
      <c r="B4210" s="5" t="s">
        <v>2338</v>
      </c>
      <c r="C4210" s="5">
        <v>2027</v>
      </c>
      <c r="D4210" s="5" t="s">
        <v>30</v>
      </c>
      <c r="E4210" t="s">
        <v>2365</v>
      </c>
      <c r="F4210" t="s">
        <v>2364</v>
      </c>
      <c r="G4210" t="s">
        <v>60</v>
      </c>
      <c r="I4210" t="s">
        <v>2341</v>
      </c>
      <c r="J4210" t="s">
        <v>36</v>
      </c>
      <c r="K4210">
        <v>890</v>
      </c>
      <c r="O4210" t="s">
        <v>176</v>
      </c>
      <c r="P4210" t="s">
        <v>42</v>
      </c>
      <c r="U4210" s="9"/>
      <c r="X4210" t="s">
        <v>62</v>
      </c>
      <c r="Y4210" t="s">
        <v>179</v>
      </c>
      <c r="Z4210" t="s">
        <v>41</v>
      </c>
      <c r="AB4210" t="str">
        <f t="shared" si="195"/>
        <v>01052</v>
      </c>
    </row>
    <row r="4211" ht="14.25" spans="1:28">
      <c r="A4211" s="5" t="s">
        <v>28</v>
      </c>
      <c r="B4211" s="5" t="s">
        <v>2338</v>
      </c>
      <c r="C4211" s="5">
        <v>2027</v>
      </c>
      <c r="D4211" s="5" t="s">
        <v>30</v>
      </c>
      <c r="E4211" t="s">
        <v>2365</v>
      </c>
      <c r="F4211" t="s">
        <v>2364</v>
      </c>
      <c r="G4211" t="s">
        <v>60</v>
      </c>
      <c r="I4211" t="s">
        <v>2341</v>
      </c>
      <c r="J4211" t="s">
        <v>36</v>
      </c>
      <c r="K4211">
        <v>890</v>
      </c>
      <c r="O4211" t="s">
        <v>176</v>
      </c>
      <c r="P4211" t="s">
        <v>43</v>
      </c>
      <c r="U4211" s="9"/>
      <c r="X4211" t="s">
        <v>62</v>
      </c>
      <c r="Y4211" t="s">
        <v>179</v>
      </c>
      <c r="Z4211" t="s">
        <v>41</v>
      </c>
      <c r="AB4211" t="str">
        <f t="shared" ref="AB4211:AB4274" si="198">MID(E4211,6,5)</f>
        <v>01052</v>
      </c>
    </row>
    <row r="4212" ht="14.25" spans="1:28">
      <c r="A4212" s="5" t="s">
        <v>28</v>
      </c>
      <c r="B4212" s="5" t="s">
        <v>2338</v>
      </c>
      <c r="C4212" s="5">
        <v>2027</v>
      </c>
      <c r="D4212" s="5" t="s">
        <v>30</v>
      </c>
      <c r="E4212" t="s">
        <v>2365</v>
      </c>
      <c r="F4212" t="s">
        <v>2364</v>
      </c>
      <c r="G4212" t="s">
        <v>60</v>
      </c>
      <c r="I4212" t="s">
        <v>2341</v>
      </c>
      <c r="J4212" t="s">
        <v>36</v>
      </c>
      <c r="K4212">
        <v>890</v>
      </c>
      <c r="O4212" t="s">
        <v>176</v>
      </c>
      <c r="P4212" t="s">
        <v>44</v>
      </c>
      <c r="U4212" s="9"/>
      <c r="X4212" t="s">
        <v>62</v>
      </c>
      <c r="Y4212" t="s">
        <v>179</v>
      </c>
      <c r="Z4212" t="s">
        <v>41</v>
      </c>
      <c r="AB4212" t="str">
        <f t="shared" si="198"/>
        <v>01052</v>
      </c>
    </row>
    <row r="4213" ht="14.25" spans="1:28">
      <c r="A4213" s="5" t="s">
        <v>28</v>
      </c>
      <c r="B4213" s="5" t="s">
        <v>2338</v>
      </c>
      <c r="C4213" s="5">
        <v>2027</v>
      </c>
      <c r="D4213" s="5" t="s">
        <v>30</v>
      </c>
      <c r="E4213" t="s">
        <v>2365</v>
      </c>
      <c r="F4213" t="s">
        <v>2364</v>
      </c>
      <c r="G4213" t="s">
        <v>60</v>
      </c>
      <c r="I4213" t="s">
        <v>2341</v>
      </c>
      <c r="J4213" t="s">
        <v>36</v>
      </c>
      <c r="K4213">
        <v>890</v>
      </c>
      <c r="O4213" t="s">
        <v>176</v>
      </c>
      <c r="P4213" t="s">
        <v>45</v>
      </c>
      <c r="U4213" s="9"/>
      <c r="X4213" t="s">
        <v>62</v>
      </c>
      <c r="Y4213" t="s">
        <v>179</v>
      </c>
      <c r="Z4213" t="s">
        <v>41</v>
      </c>
      <c r="AB4213" t="str">
        <f t="shared" si="198"/>
        <v>01052</v>
      </c>
    </row>
    <row r="4214" ht="14.25" spans="1:28">
      <c r="A4214" s="5" t="s">
        <v>28</v>
      </c>
      <c r="B4214" s="5" t="s">
        <v>2338</v>
      </c>
      <c r="C4214" s="5">
        <v>2027</v>
      </c>
      <c r="D4214" s="5" t="s">
        <v>30</v>
      </c>
      <c r="E4214" t="s">
        <v>2366</v>
      </c>
      <c r="F4214" t="s">
        <v>2367</v>
      </c>
      <c r="G4214" t="s">
        <v>117</v>
      </c>
      <c r="I4214" t="s">
        <v>2341</v>
      </c>
      <c r="J4214" t="s">
        <v>36</v>
      </c>
      <c r="K4214">
        <v>1390</v>
      </c>
      <c r="O4214" t="s">
        <v>176</v>
      </c>
      <c r="P4214" t="s">
        <v>38</v>
      </c>
      <c r="R4214">
        <f t="shared" si="196"/>
        <v>0</v>
      </c>
      <c r="S4214">
        <f>SUMIFS([1]Sheet1!$T:$T,[1]Sheet1!$I:$I,E4214,[1]Sheet1!$C:$C,A4214)</f>
        <v>0</v>
      </c>
      <c r="T4214">
        <f t="shared" si="197"/>
        <v>0</v>
      </c>
      <c r="U4214" s="9"/>
      <c r="X4214" t="s">
        <v>122</v>
      </c>
      <c r="Y4214" t="s">
        <v>179</v>
      </c>
      <c r="Z4214" t="s">
        <v>104</v>
      </c>
      <c r="AB4214" t="str">
        <f t="shared" si="198"/>
        <v>01054</v>
      </c>
    </row>
    <row r="4215" ht="14.25" spans="1:28">
      <c r="A4215" s="5" t="s">
        <v>28</v>
      </c>
      <c r="B4215" s="5" t="s">
        <v>2338</v>
      </c>
      <c r="C4215" s="5">
        <v>2027</v>
      </c>
      <c r="D4215" s="5" t="s">
        <v>30</v>
      </c>
      <c r="E4215" t="s">
        <v>2366</v>
      </c>
      <c r="F4215" t="s">
        <v>2367</v>
      </c>
      <c r="G4215" t="s">
        <v>117</v>
      </c>
      <c r="I4215" t="s">
        <v>2341</v>
      </c>
      <c r="J4215" t="s">
        <v>36</v>
      </c>
      <c r="K4215">
        <v>1390</v>
      </c>
      <c r="O4215" t="s">
        <v>176</v>
      </c>
      <c r="P4215" t="s">
        <v>42</v>
      </c>
      <c r="U4215" s="9"/>
      <c r="X4215" t="s">
        <v>122</v>
      </c>
      <c r="Y4215" t="s">
        <v>179</v>
      </c>
      <c r="Z4215" t="s">
        <v>104</v>
      </c>
      <c r="AB4215" t="str">
        <f t="shared" si="198"/>
        <v>01054</v>
      </c>
    </row>
    <row r="4216" ht="14.25" spans="1:28">
      <c r="A4216" s="5" t="s">
        <v>28</v>
      </c>
      <c r="B4216" s="5" t="s">
        <v>2338</v>
      </c>
      <c r="C4216" s="5">
        <v>2027</v>
      </c>
      <c r="D4216" s="5" t="s">
        <v>30</v>
      </c>
      <c r="E4216" t="s">
        <v>2366</v>
      </c>
      <c r="F4216" t="s">
        <v>2367</v>
      </c>
      <c r="G4216" t="s">
        <v>117</v>
      </c>
      <c r="I4216" t="s">
        <v>2341</v>
      </c>
      <c r="J4216" t="s">
        <v>36</v>
      </c>
      <c r="K4216">
        <v>1390</v>
      </c>
      <c r="O4216" t="s">
        <v>176</v>
      </c>
      <c r="P4216" t="s">
        <v>43</v>
      </c>
      <c r="U4216" s="9"/>
      <c r="X4216" t="s">
        <v>122</v>
      </c>
      <c r="Y4216" t="s">
        <v>179</v>
      </c>
      <c r="Z4216" t="s">
        <v>104</v>
      </c>
      <c r="AB4216" t="str">
        <f t="shared" si="198"/>
        <v>01054</v>
      </c>
    </row>
    <row r="4217" ht="14.25" spans="1:28">
      <c r="A4217" s="5" t="s">
        <v>28</v>
      </c>
      <c r="B4217" s="5" t="s">
        <v>2338</v>
      </c>
      <c r="C4217" s="5">
        <v>2027</v>
      </c>
      <c r="D4217" s="5" t="s">
        <v>30</v>
      </c>
      <c r="E4217" t="s">
        <v>2366</v>
      </c>
      <c r="F4217" t="s">
        <v>2367</v>
      </c>
      <c r="G4217" t="s">
        <v>117</v>
      </c>
      <c r="I4217" t="s">
        <v>2341</v>
      </c>
      <c r="J4217" t="s">
        <v>36</v>
      </c>
      <c r="K4217">
        <v>1390</v>
      </c>
      <c r="O4217" t="s">
        <v>176</v>
      </c>
      <c r="P4217" t="s">
        <v>44</v>
      </c>
      <c r="U4217" s="9"/>
      <c r="X4217" t="s">
        <v>122</v>
      </c>
      <c r="Y4217" t="s">
        <v>179</v>
      </c>
      <c r="Z4217" t="s">
        <v>104</v>
      </c>
      <c r="AB4217" t="str">
        <f t="shared" si="198"/>
        <v>01054</v>
      </c>
    </row>
    <row r="4218" ht="14.25" spans="1:28">
      <c r="A4218" s="5" t="s">
        <v>28</v>
      </c>
      <c r="B4218" s="5" t="s">
        <v>2338</v>
      </c>
      <c r="C4218" s="5">
        <v>2027</v>
      </c>
      <c r="D4218" s="5" t="s">
        <v>30</v>
      </c>
      <c r="E4218" t="s">
        <v>2366</v>
      </c>
      <c r="F4218" t="s">
        <v>2367</v>
      </c>
      <c r="G4218" t="s">
        <v>117</v>
      </c>
      <c r="I4218" t="s">
        <v>2341</v>
      </c>
      <c r="J4218" t="s">
        <v>36</v>
      </c>
      <c r="K4218">
        <v>1390</v>
      </c>
      <c r="O4218" t="s">
        <v>176</v>
      </c>
      <c r="P4218" t="s">
        <v>45</v>
      </c>
      <c r="U4218" s="9"/>
      <c r="X4218" t="s">
        <v>122</v>
      </c>
      <c r="Y4218" t="s">
        <v>179</v>
      </c>
      <c r="Z4218" t="s">
        <v>104</v>
      </c>
      <c r="AB4218" t="str">
        <f t="shared" si="198"/>
        <v>01054</v>
      </c>
    </row>
    <row r="4219" ht="14.25" spans="1:28">
      <c r="A4219" s="5" t="s">
        <v>28</v>
      </c>
      <c r="B4219" s="5" t="s">
        <v>2338</v>
      </c>
      <c r="C4219" s="5">
        <v>2027</v>
      </c>
      <c r="D4219" s="5" t="s">
        <v>30</v>
      </c>
      <c r="E4219" t="s">
        <v>2368</v>
      </c>
      <c r="F4219" t="s">
        <v>2369</v>
      </c>
      <c r="G4219" t="s">
        <v>117</v>
      </c>
      <c r="I4219" t="s">
        <v>2341</v>
      </c>
      <c r="J4219" t="s">
        <v>36</v>
      </c>
      <c r="K4219">
        <v>1390</v>
      </c>
      <c r="O4219" t="s">
        <v>176</v>
      </c>
      <c r="P4219" t="s">
        <v>38</v>
      </c>
      <c r="R4219">
        <f t="shared" si="196"/>
        <v>0</v>
      </c>
      <c r="S4219">
        <f>SUMIFS([1]Sheet1!$T:$T,[1]Sheet1!$I:$I,E4219,[1]Sheet1!$C:$C,A4219)</f>
        <v>0</v>
      </c>
      <c r="T4219">
        <f t="shared" si="197"/>
        <v>0</v>
      </c>
      <c r="U4219" s="9"/>
      <c r="X4219" t="s">
        <v>122</v>
      </c>
      <c r="Y4219" t="s">
        <v>179</v>
      </c>
      <c r="Z4219" t="s">
        <v>104</v>
      </c>
      <c r="AB4219" t="str">
        <f t="shared" si="198"/>
        <v>01055</v>
      </c>
    </row>
    <row r="4220" ht="14.25" spans="1:28">
      <c r="A4220" s="5" t="s">
        <v>28</v>
      </c>
      <c r="B4220" s="5" t="s">
        <v>2338</v>
      </c>
      <c r="C4220" s="5">
        <v>2027</v>
      </c>
      <c r="D4220" s="5" t="s">
        <v>30</v>
      </c>
      <c r="E4220" t="s">
        <v>2368</v>
      </c>
      <c r="F4220" t="s">
        <v>2369</v>
      </c>
      <c r="G4220" t="s">
        <v>117</v>
      </c>
      <c r="I4220" t="s">
        <v>2341</v>
      </c>
      <c r="J4220" t="s">
        <v>36</v>
      </c>
      <c r="K4220">
        <v>1390</v>
      </c>
      <c r="O4220" t="s">
        <v>176</v>
      </c>
      <c r="P4220" t="s">
        <v>42</v>
      </c>
      <c r="U4220" s="9"/>
      <c r="X4220" t="s">
        <v>122</v>
      </c>
      <c r="Y4220" t="s">
        <v>179</v>
      </c>
      <c r="Z4220" t="s">
        <v>104</v>
      </c>
      <c r="AB4220" t="str">
        <f t="shared" si="198"/>
        <v>01055</v>
      </c>
    </row>
    <row r="4221" ht="14.25" spans="1:28">
      <c r="A4221" s="5" t="s">
        <v>28</v>
      </c>
      <c r="B4221" s="5" t="s">
        <v>2338</v>
      </c>
      <c r="C4221" s="5">
        <v>2027</v>
      </c>
      <c r="D4221" s="5" t="s">
        <v>30</v>
      </c>
      <c r="E4221" t="s">
        <v>2368</v>
      </c>
      <c r="F4221" t="s">
        <v>2369</v>
      </c>
      <c r="G4221" t="s">
        <v>117</v>
      </c>
      <c r="I4221" t="s">
        <v>2341</v>
      </c>
      <c r="J4221" t="s">
        <v>36</v>
      </c>
      <c r="K4221">
        <v>1390</v>
      </c>
      <c r="O4221" t="s">
        <v>176</v>
      </c>
      <c r="P4221" t="s">
        <v>43</v>
      </c>
      <c r="U4221" s="9"/>
      <c r="X4221" t="s">
        <v>122</v>
      </c>
      <c r="Y4221" t="s">
        <v>179</v>
      </c>
      <c r="Z4221" t="s">
        <v>104</v>
      </c>
      <c r="AB4221" t="str">
        <f t="shared" si="198"/>
        <v>01055</v>
      </c>
    </row>
    <row r="4222" ht="14.25" spans="1:28">
      <c r="A4222" s="5" t="s">
        <v>28</v>
      </c>
      <c r="B4222" s="5" t="s">
        <v>2338</v>
      </c>
      <c r="C4222" s="5">
        <v>2027</v>
      </c>
      <c r="D4222" s="5" t="s">
        <v>30</v>
      </c>
      <c r="E4222" t="s">
        <v>2368</v>
      </c>
      <c r="F4222" t="s">
        <v>2369</v>
      </c>
      <c r="G4222" t="s">
        <v>117</v>
      </c>
      <c r="I4222" t="s">
        <v>2341</v>
      </c>
      <c r="J4222" t="s">
        <v>36</v>
      </c>
      <c r="K4222">
        <v>1390</v>
      </c>
      <c r="O4222" t="s">
        <v>176</v>
      </c>
      <c r="P4222" t="s">
        <v>44</v>
      </c>
      <c r="U4222" s="9"/>
      <c r="X4222" t="s">
        <v>122</v>
      </c>
      <c r="Y4222" t="s">
        <v>179</v>
      </c>
      <c r="Z4222" t="s">
        <v>104</v>
      </c>
      <c r="AB4222" t="str">
        <f t="shared" si="198"/>
        <v>01055</v>
      </c>
    </row>
    <row r="4223" ht="14.25" spans="1:28">
      <c r="A4223" s="5" t="s">
        <v>28</v>
      </c>
      <c r="B4223" s="5" t="s">
        <v>2338</v>
      </c>
      <c r="C4223" s="5">
        <v>2027</v>
      </c>
      <c r="D4223" s="5" t="s">
        <v>30</v>
      </c>
      <c r="E4223" t="s">
        <v>2368</v>
      </c>
      <c r="F4223" t="s">
        <v>2369</v>
      </c>
      <c r="G4223" t="s">
        <v>117</v>
      </c>
      <c r="I4223" t="s">
        <v>2341</v>
      </c>
      <c r="J4223" t="s">
        <v>36</v>
      </c>
      <c r="K4223">
        <v>1390</v>
      </c>
      <c r="O4223" t="s">
        <v>176</v>
      </c>
      <c r="P4223" t="s">
        <v>45</v>
      </c>
      <c r="U4223" s="9"/>
      <c r="X4223" t="s">
        <v>122</v>
      </c>
      <c r="Y4223" t="s">
        <v>179</v>
      </c>
      <c r="Z4223" t="s">
        <v>104</v>
      </c>
      <c r="AB4223" t="str">
        <f t="shared" si="198"/>
        <v>01055</v>
      </c>
    </row>
    <row r="4224" ht="14.25" spans="1:28">
      <c r="A4224" s="5" t="s">
        <v>28</v>
      </c>
      <c r="B4224" s="5" t="s">
        <v>2338</v>
      </c>
      <c r="C4224" s="5">
        <v>2027</v>
      </c>
      <c r="D4224" s="5" t="s">
        <v>30</v>
      </c>
      <c r="E4224" t="s">
        <v>2370</v>
      </c>
      <c r="F4224" t="s">
        <v>2371</v>
      </c>
      <c r="G4224" t="s">
        <v>117</v>
      </c>
      <c r="I4224" t="s">
        <v>2341</v>
      </c>
      <c r="J4224" t="s">
        <v>36</v>
      </c>
      <c r="K4224">
        <v>1190</v>
      </c>
      <c r="O4224" t="s">
        <v>176</v>
      </c>
      <c r="P4224" t="s">
        <v>38</v>
      </c>
      <c r="R4224">
        <f t="shared" si="196"/>
        <v>0</v>
      </c>
      <c r="S4224">
        <f>SUMIFS([1]Sheet1!$T:$T,[1]Sheet1!$I:$I,E4224,[1]Sheet1!$C:$C,A4224)</f>
        <v>0</v>
      </c>
      <c r="T4224">
        <f t="shared" si="197"/>
        <v>0</v>
      </c>
      <c r="U4224" s="9"/>
      <c r="X4224" t="s">
        <v>122</v>
      </c>
      <c r="Y4224" t="s">
        <v>179</v>
      </c>
      <c r="Z4224" t="s">
        <v>41</v>
      </c>
      <c r="AB4224" t="str">
        <f t="shared" si="198"/>
        <v>01058</v>
      </c>
    </row>
    <row r="4225" ht="14.25" spans="1:28">
      <c r="A4225" s="5" t="s">
        <v>28</v>
      </c>
      <c r="B4225" s="5" t="s">
        <v>2338</v>
      </c>
      <c r="C4225" s="5">
        <v>2027</v>
      </c>
      <c r="D4225" s="5" t="s">
        <v>30</v>
      </c>
      <c r="E4225" t="s">
        <v>2370</v>
      </c>
      <c r="F4225" t="s">
        <v>2371</v>
      </c>
      <c r="G4225" t="s">
        <v>117</v>
      </c>
      <c r="I4225" t="s">
        <v>2341</v>
      </c>
      <c r="J4225" t="s">
        <v>36</v>
      </c>
      <c r="K4225">
        <v>1190</v>
      </c>
      <c r="O4225" t="s">
        <v>176</v>
      </c>
      <c r="P4225" t="s">
        <v>42</v>
      </c>
      <c r="U4225" s="9"/>
      <c r="X4225" t="s">
        <v>122</v>
      </c>
      <c r="Y4225" t="s">
        <v>179</v>
      </c>
      <c r="Z4225" t="s">
        <v>41</v>
      </c>
      <c r="AB4225" t="str">
        <f t="shared" si="198"/>
        <v>01058</v>
      </c>
    </row>
    <row r="4226" ht="14.25" spans="1:28">
      <c r="A4226" s="5" t="s">
        <v>28</v>
      </c>
      <c r="B4226" s="5" t="s">
        <v>2338</v>
      </c>
      <c r="C4226" s="5">
        <v>2027</v>
      </c>
      <c r="D4226" s="5" t="s">
        <v>30</v>
      </c>
      <c r="E4226" t="s">
        <v>2370</v>
      </c>
      <c r="F4226" t="s">
        <v>2371</v>
      </c>
      <c r="G4226" t="s">
        <v>117</v>
      </c>
      <c r="I4226" t="s">
        <v>2341</v>
      </c>
      <c r="J4226" t="s">
        <v>36</v>
      </c>
      <c r="K4226">
        <v>1190</v>
      </c>
      <c r="O4226" t="s">
        <v>176</v>
      </c>
      <c r="P4226" t="s">
        <v>43</v>
      </c>
      <c r="U4226" s="9"/>
      <c r="X4226" t="s">
        <v>122</v>
      </c>
      <c r="Y4226" t="s">
        <v>179</v>
      </c>
      <c r="Z4226" t="s">
        <v>41</v>
      </c>
      <c r="AB4226" t="str">
        <f t="shared" si="198"/>
        <v>01058</v>
      </c>
    </row>
    <row r="4227" ht="14.25" spans="1:28">
      <c r="A4227" s="5" t="s">
        <v>28</v>
      </c>
      <c r="B4227" s="5" t="s">
        <v>2338</v>
      </c>
      <c r="C4227" s="5">
        <v>2027</v>
      </c>
      <c r="D4227" s="5" t="s">
        <v>30</v>
      </c>
      <c r="E4227" t="s">
        <v>2370</v>
      </c>
      <c r="F4227" t="s">
        <v>2371</v>
      </c>
      <c r="G4227" t="s">
        <v>117</v>
      </c>
      <c r="I4227" t="s">
        <v>2341</v>
      </c>
      <c r="J4227" t="s">
        <v>36</v>
      </c>
      <c r="K4227">
        <v>1190</v>
      </c>
      <c r="O4227" t="s">
        <v>176</v>
      </c>
      <c r="P4227" t="s">
        <v>44</v>
      </c>
      <c r="U4227" s="9"/>
      <c r="X4227" t="s">
        <v>122</v>
      </c>
      <c r="Y4227" t="s">
        <v>179</v>
      </c>
      <c r="Z4227" t="s">
        <v>41</v>
      </c>
      <c r="AB4227" t="str">
        <f t="shared" si="198"/>
        <v>01058</v>
      </c>
    </row>
    <row r="4228" ht="14.25" spans="1:28">
      <c r="A4228" s="5" t="s">
        <v>28</v>
      </c>
      <c r="B4228" s="5" t="s">
        <v>2338</v>
      </c>
      <c r="C4228" s="5">
        <v>2027</v>
      </c>
      <c r="D4228" s="5" t="s">
        <v>30</v>
      </c>
      <c r="E4228" t="s">
        <v>2370</v>
      </c>
      <c r="F4228" t="s">
        <v>2371</v>
      </c>
      <c r="G4228" t="s">
        <v>117</v>
      </c>
      <c r="I4228" t="s">
        <v>2341</v>
      </c>
      <c r="J4228" t="s">
        <v>36</v>
      </c>
      <c r="K4228">
        <v>1190</v>
      </c>
      <c r="O4228" t="s">
        <v>176</v>
      </c>
      <c r="P4228" t="s">
        <v>45</v>
      </c>
      <c r="U4228" s="9"/>
      <c r="X4228" t="s">
        <v>122</v>
      </c>
      <c r="Y4228" t="s">
        <v>179</v>
      </c>
      <c r="Z4228" t="s">
        <v>41</v>
      </c>
      <c r="AB4228" t="str">
        <f t="shared" si="198"/>
        <v>01058</v>
      </c>
    </row>
    <row r="4229" ht="14.25" spans="1:28">
      <c r="A4229" s="5" t="s">
        <v>28</v>
      </c>
      <c r="B4229" s="5" t="s">
        <v>2338</v>
      </c>
      <c r="C4229" s="5">
        <v>2027</v>
      </c>
      <c r="D4229" s="5" t="s">
        <v>30</v>
      </c>
      <c r="E4229" t="s">
        <v>2372</v>
      </c>
      <c r="F4229" t="s">
        <v>2371</v>
      </c>
      <c r="G4229" t="s">
        <v>60</v>
      </c>
      <c r="I4229" t="s">
        <v>2341</v>
      </c>
      <c r="J4229" t="s">
        <v>36</v>
      </c>
      <c r="K4229">
        <v>1190</v>
      </c>
      <c r="O4229" t="s">
        <v>176</v>
      </c>
      <c r="P4229" t="s">
        <v>38</v>
      </c>
      <c r="R4229">
        <f t="shared" ref="R4226:R4289" si="199">SUMIFS(Q:Q,E:E,E4229)</f>
        <v>0</v>
      </c>
      <c r="S4229">
        <f>SUMIFS([1]Sheet1!$T:$T,[1]Sheet1!$I:$I,E4229,[1]Sheet1!$C:$C,A4229)</f>
        <v>0</v>
      </c>
      <c r="T4229">
        <f t="shared" ref="T4226:T4289" si="200">R4229-S4229</f>
        <v>0</v>
      </c>
      <c r="U4229" s="9"/>
      <c r="X4229" t="s">
        <v>62</v>
      </c>
      <c r="Y4229" t="s">
        <v>179</v>
      </c>
      <c r="Z4229" t="s">
        <v>41</v>
      </c>
      <c r="AB4229" t="str">
        <f t="shared" si="198"/>
        <v>01058</v>
      </c>
    </row>
    <row r="4230" ht="14.25" spans="1:28">
      <c r="A4230" s="5" t="s">
        <v>28</v>
      </c>
      <c r="B4230" s="5" t="s">
        <v>2338</v>
      </c>
      <c r="C4230" s="5">
        <v>2027</v>
      </c>
      <c r="D4230" s="5" t="s">
        <v>30</v>
      </c>
      <c r="E4230" t="s">
        <v>2372</v>
      </c>
      <c r="F4230" t="s">
        <v>2371</v>
      </c>
      <c r="G4230" t="s">
        <v>60</v>
      </c>
      <c r="I4230" t="s">
        <v>2341</v>
      </c>
      <c r="J4230" t="s">
        <v>36</v>
      </c>
      <c r="K4230">
        <v>1190</v>
      </c>
      <c r="O4230" t="s">
        <v>176</v>
      </c>
      <c r="P4230" t="s">
        <v>42</v>
      </c>
      <c r="U4230" s="9"/>
      <c r="X4230" t="s">
        <v>62</v>
      </c>
      <c r="Y4230" t="s">
        <v>179</v>
      </c>
      <c r="Z4230" t="s">
        <v>41</v>
      </c>
      <c r="AB4230" t="str">
        <f t="shared" si="198"/>
        <v>01058</v>
      </c>
    </row>
    <row r="4231" ht="14.25" spans="1:28">
      <c r="A4231" s="5" t="s">
        <v>28</v>
      </c>
      <c r="B4231" s="5" t="s">
        <v>2338</v>
      </c>
      <c r="C4231" s="5">
        <v>2027</v>
      </c>
      <c r="D4231" s="5" t="s">
        <v>30</v>
      </c>
      <c r="E4231" t="s">
        <v>2372</v>
      </c>
      <c r="F4231" t="s">
        <v>2371</v>
      </c>
      <c r="G4231" t="s">
        <v>60</v>
      </c>
      <c r="I4231" t="s">
        <v>2341</v>
      </c>
      <c r="J4231" t="s">
        <v>36</v>
      </c>
      <c r="K4231">
        <v>1190</v>
      </c>
      <c r="O4231" t="s">
        <v>176</v>
      </c>
      <c r="P4231" t="s">
        <v>43</v>
      </c>
      <c r="U4231" s="9"/>
      <c r="X4231" t="s">
        <v>62</v>
      </c>
      <c r="Y4231" t="s">
        <v>179</v>
      </c>
      <c r="Z4231" t="s">
        <v>41</v>
      </c>
      <c r="AB4231" t="str">
        <f t="shared" si="198"/>
        <v>01058</v>
      </c>
    </row>
    <row r="4232" ht="14.25" spans="1:28">
      <c r="A4232" s="5" t="s">
        <v>28</v>
      </c>
      <c r="B4232" s="5" t="s">
        <v>2338</v>
      </c>
      <c r="C4232" s="5">
        <v>2027</v>
      </c>
      <c r="D4232" s="5" t="s">
        <v>30</v>
      </c>
      <c r="E4232" t="s">
        <v>2372</v>
      </c>
      <c r="F4232" t="s">
        <v>2371</v>
      </c>
      <c r="G4232" t="s">
        <v>60</v>
      </c>
      <c r="I4232" t="s">
        <v>2341</v>
      </c>
      <c r="J4232" t="s">
        <v>36</v>
      </c>
      <c r="K4232">
        <v>1190</v>
      </c>
      <c r="O4232" t="s">
        <v>176</v>
      </c>
      <c r="P4232" t="s">
        <v>44</v>
      </c>
      <c r="U4232" s="9"/>
      <c r="X4232" t="s">
        <v>62</v>
      </c>
      <c r="Y4232" t="s">
        <v>179</v>
      </c>
      <c r="Z4232" t="s">
        <v>41</v>
      </c>
      <c r="AB4232" t="str">
        <f t="shared" si="198"/>
        <v>01058</v>
      </c>
    </row>
    <row r="4233" ht="14.25" spans="1:28">
      <c r="A4233" s="5" t="s">
        <v>28</v>
      </c>
      <c r="B4233" s="5" t="s">
        <v>2338</v>
      </c>
      <c r="C4233" s="5">
        <v>2027</v>
      </c>
      <c r="D4233" s="5" t="s">
        <v>30</v>
      </c>
      <c r="E4233" t="s">
        <v>2372</v>
      </c>
      <c r="F4233" t="s">
        <v>2371</v>
      </c>
      <c r="G4233" t="s">
        <v>60</v>
      </c>
      <c r="I4233" t="s">
        <v>2341</v>
      </c>
      <c r="J4233" t="s">
        <v>36</v>
      </c>
      <c r="K4233">
        <v>1190</v>
      </c>
      <c r="O4233" t="s">
        <v>176</v>
      </c>
      <c r="P4233" t="s">
        <v>45</v>
      </c>
      <c r="U4233" s="9"/>
      <c r="X4233" t="s">
        <v>62</v>
      </c>
      <c r="Y4233" t="s">
        <v>179</v>
      </c>
      <c r="Z4233" t="s">
        <v>41</v>
      </c>
      <c r="AB4233" t="str">
        <f t="shared" si="198"/>
        <v>01058</v>
      </c>
    </row>
    <row r="4234" ht="14.25" spans="1:28">
      <c r="A4234" s="5" t="s">
        <v>28</v>
      </c>
      <c r="B4234" s="5" t="s">
        <v>2338</v>
      </c>
      <c r="C4234" s="5">
        <v>2027</v>
      </c>
      <c r="D4234" s="5" t="s">
        <v>30</v>
      </c>
      <c r="E4234" t="s">
        <v>2373</v>
      </c>
      <c r="F4234" t="s">
        <v>2374</v>
      </c>
      <c r="G4234" t="s">
        <v>117</v>
      </c>
      <c r="I4234" t="s">
        <v>2341</v>
      </c>
      <c r="J4234" t="s">
        <v>36</v>
      </c>
      <c r="K4234">
        <v>1590</v>
      </c>
      <c r="O4234" t="s">
        <v>176</v>
      </c>
      <c r="P4234" t="s">
        <v>38</v>
      </c>
      <c r="R4234">
        <f t="shared" si="199"/>
        <v>0</v>
      </c>
      <c r="S4234">
        <f>SUMIFS([1]Sheet1!$T:$T,[1]Sheet1!$I:$I,E4234,[1]Sheet1!$C:$C,A4234)</f>
        <v>0</v>
      </c>
      <c r="T4234">
        <f t="shared" si="200"/>
        <v>0</v>
      </c>
      <c r="U4234" s="9"/>
      <c r="X4234" t="s">
        <v>122</v>
      </c>
      <c r="Y4234" t="s">
        <v>179</v>
      </c>
      <c r="Z4234" t="s">
        <v>41</v>
      </c>
      <c r="AB4234" t="str">
        <f t="shared" si="198"/>
        <v>01059</v>
      </c>
    </row>
    <row r="4235" ht="14.25" spans="1:28">
      <c r="A4235" s="5" t="s">
        <v>28</v>
      </c>
      <c r="B4235" s="5" t="s">
        <v>2338</v>
      </c>
      <c r="C4235" s="5">
        <v>2027</v>
      </c>
      <c r="D4235" s="5" t="s">
        <v>30</v>
      </c>
      <c r="E4235" t="s">
        <v>2373</v>
      </c>
      <c r="F4235" t="s">
        <v>2374</v>
      </c>
      <c r="G4235" t="s">
        <v>117</v>
      </c>
      <c r="I4235" t="s">
        <v>2341</v>
      </c>
      <c r="J4235" t="s">
        <v>36</v>
      </c>
      <c r="K4235">
        <v>1590</v>
      </c>
      <c r="O4235" t="s">
        <v>176</v>
      </c>
      <c r="P4235" t="s">
        <v>42</v>
      </c>
      <c r="U4235" s="9"/>
      <c r="X4235" t="s">
        <v>122</v>
      </c>
      <c r="Y4235" t="s">
        <v>179</v>
      </c>
      <c r="Z4235" t="s">
        <v>41</v>
      </c>
      <c r="AB4235" t="str">
        <f t="shared" si="198"/>
        <v>01059</v>
      </c>
    </row>
    <row r="4236" ht="14.25" spans="1:28">
      <c r="A4236" s="5" t="s">
        <v>28</v>
      </c>
      <c r="B4236" s="5" t="s">
        <v>2338</v>
      </c>
      <c r="C4236" s="5">
        <v>2027</v>
      </c>
      <c r="D4236" s="5" t="s">
        <v>30</v>
      </c>
      <c r="E4236" t="s">
        <v>2373</v>
      </c>
      <c r="F4236" t="s">
        <v>2374</v>
      </c>
      <c r="G4236" t="s">
        <v>117</v>
      </c>
      <c r="I4236" t="s">
        <v>2341</v>
      </c>
      <c r="J4236" t="s">
        <v>36</v>
      </c>
      <c r="K4236">
        <v>1590</v>
      </c>
      <c r="O4236" t="s">
        <v>176</v>
      </c>
      <c r="P4236" t="s">
        <v>43</v>
      </c>
      <c r="U4236" s="9"/>
      <c r="X4236" t="s">
        <v>122</v>
      </c>
      <c r="Y4236" t="s">
        <v>179</v>
      </c>
      <c r="Z4236" t="s">
        <v>41</v>
      </c>
      <c r="AB4236" t="str">
        <f t="shared" si="198"/>
        <v>01059</v>
      </c>
    </row>
    <row r="4237" ht="14.25" spans="1:28">
      <c r="A4237" s="5" t="s">
        <v>28</v>
      </c>
      <c r="B4237" s="5" t="s">
        <v>2338</v>
      </c>
      <c r="C4237" s="5">
        <v>2027</v>
      </c>
      <c r="D4237" s="5" t="s">
        <v>30</v>
      </c>
      <c r="E4237" t="s">
        <v>2373</v>
      </c>
      <c r="F4237" t="s">
        <v>2374</v>
      </c>
      <c r="G4237" t="s">
        <v>117</v>
      </c>
      <c r="I4237" t="s">
        <v>2341</v>
      </c>
      <c r="J4237" t="s">
        <v>36</v>
      </c>
      <c r="K4237">
        <v>1590</v>
      </c>
      <c r="O4237" t="s">
        <v>176</v>
      </c>
      <c r="P4237" t="s">
        <v>44</v>
      </c>
      <c r="U4237" s="9"/>
      <c r="X4237" t="s">
        <v>122</v>
      </c>
      <c r="Y4237" t="s">
        <v>179</v>
      </c>
      <c r="Z4237" t="s">
        <v>41</v>
      </c>
      <c r="AB4237" t="str">
        <f t="shared" si="198"/>
        <v>01059</v>
      </c>
    </row>
    <row r="4238" ht="14.25" spans="1:28">
      <c r="A4238" s="5" t="s">
        <v>28</v>
      </c>
      <c r="B4238" s="5" t="s">
        <v>2338</v>
      </c>
      <c r="C4238" s="5">
        <v>2027</v>
      </c>
      <c r="D4238" s="5" t="s">
        <v>30</v>
      </c>
      <c r="E4238" t="s">
        <v>2373</v>
      </c>
      <c r="F4238" t="s">
        <v>2374</v>
      </c>
      <c r="G4238" t="s">
        <v>117</v>
      </c>
      <c r="I4238" t="s">
        <v>2341</v>
      </c>
      <c r="J4238" t="s">
        <v>36</v>
      </c>
      <c r="K4238">
        <v>1590</v>
      </c>
      <c r="O4238" t="s">
        <v>176</v>
      </c>
      <c r="P4238" t="s">
        <v>45</v>
      </c>
      <c r="U4238" s="9"/>
      <c r="X4238" t="s">
        <v>122</v>
      </c>
      <c r="Y4238" t="s">
        <v>179</v>
      </c>
      <c r="Z4238" t="s">
        <v>41</v>
      </c>
      <c r="AB4238" t="str">
        <f t="shared" si="198"/>
        <v>01059</v>
      </c>
    </row>
    <row r="4239" ht="14.25" spans="1:28">
      <c r="A4239" s="5" t="s">
        <v>28</v>
      </c>
      <c r="B4239" s="5" t="s">
        <v>2338</v>
      </c>
      <c r="C4239" s="5">
        <v>2027</v>
      </c>
      <c r="D4239" s="5" t="s">
        <v>30</v>
      </c>
      <c r="E4239" t="s">
        <v>2375</v>
      </c>
      <c r="F4239" t="s">
        <v>2376</v>
      </c>
      <c r="G4239" t="s">
        <v>117</v>
      </c>
      <c r="I4239" t="s">
        <v>2341</v>
      </c>
      <c r="J4239" t="s">
        <v>36</v>
      </c>
      <c r="K4239">
        <v>1390</v>
      </c>
      <c r="O4239" t="s">
        <v>176</v>
      </c>
      <c r="P4239" t="s">
        <v>38</v>
      </c>
      <c r="R4239">
        <f t="shared" si="199"/>
        <v>0</v>
      </c>
      <c r="S4239">
        <f>SUMIFS([1]Sheet1!$T:$T,[1]Sheet1!$I:$I,E4239,[1]Sheet1!$C:$C,A4239)</f>
        <v>0</v>
      </c>
      <c r="T4239">
        <f t="shared" si="200"/>
        <v>0</v>
      </c>
      <c r="U4239" s="9"/>
      <c r="X4239" t="s">
        <v>122</v>
      </c>
      <c r="Y4239" t="s">
        <v>179</v>
      </c>
      <c r="Z4239" t="s">
        <v>41</v>
      </c>
      <c r="AB4239" t="str">
        <f t="shared" si="198"/>
        <v>01062</v>
      </c>
    </row>
    <row r="4240" ht="14.25" spans="1:28">
      <c r="A4240" s="5" t="s">
        <v>28</v>
      </c>
      <c r="B4240" s="5" t="s">
        <v>2338</v>
      </c>
      <c r="C4240" s="5">
        <v>2027</v>
      </c>
      <c r="D4240" s="5" t="s">
        <v>30</v>
      </c>
      <c r="E4240" t="s">
        <v>2375</v>
      </c>
      <c r="F4240" t="s">
        <v>2376</v>
      </c>
      <c r="G4240" t="s">
        <v>117</v>
      </c>
      <c r="I4240" t="s">
        <v>2341</v>
      </c>
      <c r="J4240" t="s">
        <v>36</v>
      </c>
      <c r="K4240">
        <v>1390</v>
      </c>
      <c r="O4240" t="s">
        <v>176</v>
      </c>
      <c r="P4240" t="s">
        <v>42</v>
      </c>
      <c r="U4240" s="9"/>
      <c r="X4240" t="s">
        <v>122</v>
      </c>
      <c r="Y4240" t="s">
        <v>179</v>
      </c>
      <c r="Z4240" t="s">
        <v>41</v>
      </c>
      <c r="AB4240" t="str">
        <f t="shared" si="198"/>
        <v>01062</v>
      </c>
    </row>
    <row r="4241" ht="14.25" spans="1:28">
      <c r="A4241" s="5" t="s">
        <v>28</v>
      </c>
      <c r="B4241" s="5" t="s">
        <v>2338</v>
      </c>
      <c r="C4241" s="5">
        <v>2027</v>
      </c>
      <c r="D4241" s="5" t="s">
        <v>30</v>
      </c>
      <c r="E4241" t="s">
        <v>2375</v>
      </c>
      <c r="F4241" t="s">
        <v>2376</v>
      </c>
      <c r="G4241" t="s">
        <v>117</v>
      </c>
      <c r="I4241" t="s">
        <v>2341</v>
      </c>
      <c r="J4241" t="s">
        <v>36</v>
      </c>
      <c r="K4241">
        <v>1390</v>
      </c>
      <c r="O4241" t="s">
        <v>176</v>
      </c>
      <c r="P4241" t="s">
        <v>43</v>
      </c>
      <c r="U4241" s="9"/>
      <c r="X4241" t="s">
        <v>122</v>
      </c>
      <c r="Y4241" t="s">
        <v>179</v>
      </c>
      <c r="Z4241" t="s">
        <v>41</v>
      </c>
      <c r="AB4241" t="str">
        <f t="shared" si="198"/>
        <v>01062</v>
      </c>
    </row>
    <row r="4242" ht="14.25" spans="1:28">
      <c r="A4242" s="5" t="s">
        <v>28</v>
      </c>
      <c r="B4242" s="5" t="s">
        <v>2338</v>
      </c>
      <c r="C4242" s="5">
        <v>2027</v>
      </c>
      <c r="D4242" s="5" t="s">
        <v>30</v>
      </c>
      <c r="E4242" t="s">
        <v>2375</v>
      </c>
      <c r="F4242" t="s">
        <v>2376</v>
      </c>
      <c r="G4242" t="s">
        <v>117</v>
      </c>
      <c r="I4242" t="s">
        <v>2341</v>
      </c>
      <c r="J4242" t="s">
        <v>36</v>
      </c>
      <c r="K4242">
        <v>1390</v>
      </c>
      <c r="O4242" t="s">
        <v>176</v>
      </c>
      <c r="P4242" t="s">
        <v>44</v>
      </c>
      <c r="U4242" s="9"/>
      <c r="X4242" t="s">
        <v>122</v>
      </c>
      <c r="Y4242" t="s">
        <v>179</v>
      </c>
      <c r="Z4242" t="s">
        <v>41</v>
      </c>
      <c r="AB4242" t="str">
        <f t="shared" si="198"/>
        <v>01062</v>
      </c>
    </row>
    <row r="4243" ht="14.25" spans="1:28">
      <c r="A4243" s="5" t="s">
        <v>28</v>
      </c>
      <c r="B4243" s="5" t="s">
        <v>2338</v>
      </c>
      <c r="C4243" s="5">
        <v>2027</v>
      </c>
      <c r="D4243" s="5" t="s">
        <v>30</v>
      </c>
      <c r="E4243" t="s">
        <v>2375</v>
      </c>
      <c r="F4243" t="s">
        <v>2376</v>
      </c>
      <c r="G4243" t="s">
        <v>117</v>
      </c>
      <c r="I4243" t="s">
        <v>2341</v>
      </c>
      <c r="J4243" t="s">
        <v>36</v>
      </c>
      <c r="K4243">
        <v>1390</v>
      </c>
      <c r="O4243" t="s">
        <v>176</v>
      </c>
      <c r="P4243" t="s">
        <v>45</v>
      </c>
      <c r="U4243" s="9"/>
      <c r="X4243" t="s">
        <v>122</v>
      </c>
      <c r="Y4243" t="s">
        <v>179</v>
      </c>
      <c r="Z4243" t="s">
        <v>41</v>
      </c>
      <c r="AB4243" t="str">
        <f t="shared" si="198"/>
        <v>01062</v>
      </c>
    </row>
    <row r="4244" ht="14.25" spans="1:28">
      <c r="A4244" s="5" t="s">
        <v>28</v>
      </c>
      <c r="B4244" s="5" t="s">
        <v>2338</v>
      </c>
      <c r="C4244" s="5">
        <v>2027</v>
      </c>
      <c r="D4244" s="5" t="s">
        <v>30</v>
      </c>
      <c r="E4244" t="s">
        <v>2377</v>
      </c>
      <c r="F4244" t="s">
        <v>2378</v>
      </c>
      <c r="G4244" t="s">
        <v>117</v>
      </c>
      <c r="I4244" t="s">
        <v>2341</v>
      </c>
      <c r="J4244" t="s">
        <v>36</v>
      </c>
      <c r="K4244">
        <v>2190</v>
      </c>
      <c r="O4244" t="s">
        <v>176</v>
      </c>
      <c r="P4244" t="s">
        <v>38</v>
      </c>
      <c r="R4244">
        <f t="shared" si="199"/>
        <v>0</v>
      </c>
      <c r="S4244">
        <f>SUMIFS([1]Sheet1!$T:$T,[1]Sheet1!$I:$I,E4244,[1]Sheet1!$C:$C,A4244)</f>
        <v>0</v>
      </c>
      <c r="T4244">
        <f t="shared" si="200"/>
        <v>0</v>
      </c>
      <c r="U4244" s="9"/>
      <c r="X4244" t="s">
        <v>122</v>
      </c>
      <c r="Y4244" t="s">
        <v>179</v>
      </c>
      <c r="Z4244" t="s">
        <v>41</v>
      </c>
      <c r="AB4244" t="str">
        <f t="shared" si="198"/>
        <v>01065</v>
      </c>
    </row>
    <row r="4245" ht="14.25" spans="1:28">
      <c r="A4245" s="5" t="s">
        <v>28</v>
      </c>
      <c r="B4245" s="5" t="s">
        <v>2338</v>
      </c>
      <c r="C4245" s="5">
        <v>2027</v>
      </c>
      <c r="D4245" s="5" t="s">
        <v>30</v>
      </c>
      <c r="E4245" t="s">
        <v>2377</v>
      </c>
      <c r="F4245" t="s">
        <v>2378</v>
      </c>
      <c r="G4245" t="s">
        <v>117</v>
      </c>
      <c r="I4245" t="s">
        <v>2341</v>
      </c>
      <c r="J4245" t="s">
        <v>36</v>
      </c>
      <c r="K4245">
        <v>2190</v>
      </c>
      <c r="O4245" t="s">
        <v>176</v>
      </c>
      <c r="P4245" t="s">
        <v>42</v>
      </c>
      <c r="U4245" s="9"/>
      <c r="X4245" t="s">
        <v>122</v>
      </c>
      <c r="Y4245" t="s">
        <v>179</v>
      </c>
      <c r="Z4245" t="s">
        <v>41</v>
      </c>
      <c r="AB4245" t="str">
        <f t="shared" si="198"/>
        <v>01065</v>
      </c>
    </row>
    <row r="4246" ht="14.25" spans="1:28">
      <c r="A4246" s="5" t="s">
        <v>28</v>
      </c>
      <c r="B4246" s="5" t="s">
        <v>2338</v>
      </c>
      <c r="C4246" s="5">
        <v>2027</v>
      </c>
      <c r="D4246" s="5" t="s">
        <v>30</v>
      </c>
      <c r="E4246" t="s">
        <v>2377</v>
      </c>
      <c r="F4246" t="s">
        <v>2378</v>
      </c>
      <c r="G4246" t="s">
        <v>117</v>
      </c>
      <c r="I4246" t="s">
        <v>2341</v>
      </c>
      <c r="J4246" t="s">
        <v>36</v>
      </c>
      <c r="K4246">
        <v>2190</v>
      </c>
      <c r="O4246" t="s">
        <v>176</v>
      </c>
      <c r="P4246" t="s">
        <v>43</v>
      </c>
      <c r="U4246" s="9"/>
      <c r="X4246" t="s">
        <v>122</v>
      </c>
      <c r="Y4246" t="s">
        <v>179</v>
      </c>
      <c r="Z4246" t="s">
        <v>41</v>
      </c>
      <c r="AB4246" t="str">
        <f t="shared" si="198"/>
        <v>01065</v>
      </c>
    </row>
    <row r="4247" ht="14.25" spans="1:28">
      <c r="A4247" s="5" t="s">
        <v>28</v>
      </c>
      <c r="B4247" s="5" t="s">
        <v>2338</v>
      </c>
      <c r="C4247" s="5">
        <v>2027</v>
      </c>
      <c r="D4247" s="5" t="s">
        <v>30</v>
      </c>
      <c r="E4247" t="s">
        <v>2377</v>
      </c>
      <c r="F4247" t="s">
        <v>2378</v>
      </c>
      <c r="G4247" t="s">
        <v>117</v>
      </c>
      <c r="I4247" t="s">
        <v>2341</v>
      </c>
      <c r="J4247" t="s">
        <v>36</v>
      </c>
      <c r="K4247">
        <v>2190</v>
      </c>
      <c r="O4247" t="s">
        <v>176</v>
      </c>
      <c r="P4247" t="s">
        <v>44</v>
      </c>
      <c r="U4247" s="9"/>
      <c r="X4247" t="s">
        <v>122</v>
      </c>
      <c r="Y4247" t="s">
        <v>179</v>
      </c>
      <c r="Z4247" t="s">
        <v>41</v>
      </c>
      <c r="AB4247" t="str">
        <f t="shared" si="198"/>
        <v>01065</v>
      </c>
    </row>
    <row r="4248" ht="14.25" spans="1:28">
      <c r="A4248" s="5" t="s">
        <v>28</v>
      </c>
      <c r="B4248" s="5" t="s">
        <v>2338</v>
      </c>
      <c r="C4248" s="5">
        <v>2027</v>
      </c>
      <c r="D4248" s="5" t="s">
        <v>30</v>
      </c>
      <c r="E4248" t="s">
        <v>2377</v>
      </c>
      <c r="F4248" t="s">
        <v>2378</v>
      </c>
      <c r="G4248" t="s">
        <v>117</v>
      </c>
      <c r="I4248" t="s">
        <v>2341</v>
      </c>
      <c r="J4248" t="s">
        <v>36</v>
      </c>
      <c r="K4248">
        <v>2190</v>
      </c>
      <c r="O4248" t="s">
        <v>176</v>
      </c>
      <c r="P4248" t="s">
        <v>45</v>
      </c>
      <c r="U4248" s="9"/>
      <c r="X4248" t="s">
        <v>122</v>
      </c>
      <c r="Y4248" t="s">
        <v>179</v>
      </c>
      <c r="Z4248" t="s">
        <v>41</v>
      </c>
      <c r="AB4248" t="str">
        <f t="shared" si="198"/>
        <v>01065</v>
      </c>
    </row>
    <row r="4249" ht="14.25" spans="1:28">
      <c r="A4249" s="5" t="s">
        <v>28</v>
      </c>
      <c r="B4249" s="5" t="s">
        <v>2338</v>
      </c>
      <c r="C4249" s="5">
        <v>2027</v>
      </c>
      <c r="D4249" s="5" t="s">
        <v>30</v>
      </c>
      <c r="E4249" t="s">
        <v>2379</v>
      </c>
      <c r="F4249" t="s">
        <v>2380</v>
      </c>
      <c r="G4249" t="s">
        <v>117</v>
      </c>
      <c r="I4249" t="s">
        <v>2341</v>
      </c>
      <c r="J4249" t="s">
        <v>36</v>
      </c>
      <c r="K4249">
        <v>590</v>
      </c>
      <c r="O4249" t="s">
        <v>113</v>
      </c>
      <c r="P4249" t="s">
        <v>113</v>
      </c>
      <c r="R4249">
        <f t="shared" si="199"/>
        <v>0</v>
      </c>
      <c r="S4249">
        <f>SUMIFS([1]Sheet1!$T:$T,[1]Sheet1!$I:$I,E4249,[1]Sheet1!$C:$C,A4249)</f>
        <v>0</v>
      </c>
      <c r="T4249">
        <f t="shared" si="200"/>
        <v>0</v>
      </c>
      <c r="U4249" s="9"/>
      <c r="X4249" t="s">
        <v>122</v>
      </c>
      <c r="Y4249" t="s">
        <v>179</v>
      </c>
      <c r="Z4249" t="s">
        <v>179</v>
      </c>
      <c r="AB4249" t="str">
        <f t="shared" si="198"/>
        <v>01066</v>
      </c>
    </row>
    <row r="4250" ht="14.25" spans="1:28">
      <c r="A4250" s="5" t="s">
        <v>28</v>
      </c>
      <c r="B4250" s="5" t="s">
        <v>2338</v>
      </c>
      <c r="C4250" s="5">
        <v>2027</v>
      </c>
      <c r="D4250" s="5" t="s">
        <v>30</v>
      </c>
      <c r="E4250" t="s">
        <v>2381</v>
      </c>
      <c r="F4250" t="s">
        <v>2382</v>
      </c>
      <c r="G4250" t="s">
        <v>117</v>
      </c>
      <c r="I4250" t="s">
        <v>2341</v>
      </c>
      <c r="J4250" t="s">
        <v>36</v>
      </c>
      <c r="K4250">
        <v>490</v>
      </c>
      <c r="O4250" t="s">
        <v>113</v>
      </c>
      <c r="P4250" t="s">
        <v>113</v>
      </c>
      <c r="R4250">
        <f t="shared" si="199"/>
        <v>0</v>
      </c>
      <c r="S4250">
        <f>SUMIFS([1]Sheet1!$T:$T,[1]Sheet1!$I:$I,E4250,[1]Sheet1!$C:$C,A4250)</f>
        <v>0</v>
      </c>
      <c r="T4250">
        <f t="shared" si="200"/>
        <v>0</v>
      </c>
      <c r="U4250" s="9"/>
      <c r="X4250" t="s">
        <v>122</v>
      </c>
      <c r="Y4250" t="s">
        <v>179</v>
      </c>
      <c r="Z4250" t="s">
        <v>179</v>
      </c>
      <c r="AB4250" t="str">
        <f t="shared" si="198"/>
        <v>01076</v>
      </c>
    </row>
    <row r="4251" ht="14.25" spans="1:28">
      <c r="A4251" s="5" t="s">
        <v>28</v>
      </c>
      <c r="B4251" s="5" t="s">
        <v>2338</v>
      </c>
      <c r="C4251" s="5">
        <v>2027</v>
      </c>
      <c r="D4251" s="5" t="s">
        <v>30</v>
      </c>
      <c r="E4251" t="s">
        <v>2383</v>
      </c>
      <c r="F4251" t="s">
        <v>2382</v>
      </c>
      <c r="G4251" t="s">
        <v>2343</v>
      </c>
      <c r="I4251" t="s">
        <v>2341</v>
      </c>
      <c r="J4251" t="s">
        <v>36</v>
      </c>
      <c r="K4251">
        <v>490</v>
      </c>
      <c r="O4251" t="s">
        <v>113</v>
      </c>
      <c r="P4251" t="s">
        <v>113</v>
      </c>
      <c r="R4251">
        <f t="shared" si="199"/>
        <v>0</v>
      </c>
      <c r="S4251">
        <f>SUMIFS([1]Sheet1!$T:$T,[1]Sheet1!$I:$I,E4251,[1]Sheet1!$C:$C,A4251)</f>
        <v>0</v>
      </c>
      <c r="T4251">
        <f t="shared" si="200"/>
        <v>0</v>
      </c>
      <c r="U4251" s="9"/>
      <c r="X4251" t="s">
        <v>503</v>
      </c>
      <c r="Y4251" t="s">
        <v>179</v>
      </c>
      <c r="Z4251" t="s">
        <v>179</v>
      </c>
      <c r="AB4251" t="str">
        <f t="shared" si="198"/>
        <v>01076</v>
      </c>
    </row>
    <row r="4252" ht="14.25" spans="1:28">
      <c r="A4252" s="5" t="s">
        <v>28</v>
      </c>
      <c r="B4252" s="5" t="s">
        <v>2338</v>
      </c>
      <c r="C4252" s="5">
        <v>2027</v>
      </c>
      <c r="D4252" s="5" t="s">
        <v>30</v>
      </c>
      <c r="E4252" t="s">
        <v>2384</v>
      </c>
      <c r="F4252" t="s">
        <v>2385</v>
      </c>
      <c r="G4252" t="s">
        <v>117</v>
      </c>
      <c r="I4252" t="s">
        <v>2341</v>
      </c>
      <c r="J4252" t="s">
        <v>36</v>
      </c>
      <c r="K4252">
        <v>690</v>
      </c>
      <c r="O4252" t="s">
        <v>113</v>
      </c>
      <c r="P4252" t="s">
        <v>113</v>
      </c>
      <c r="R4252">
        <f t="shared" si="199"/>
        <v>0</v>
      </c>
      <c r="S4252">
        <f>SUMIFS([1]Sheet1!$T:$T,[1]Sheet1!$I:$I,E4252,[1]Sheet1!$C:$C,A4252)</f>
        <v>0</v>
      </c>
      <c r="T4252">
        <f t="shared" si="200"/>
        <v>0</v>
      </c>
      <c r="U4252" s="9"/>
      <c r="X4252" t="s">
        <v>122</v>
      </c>
      <c r="Y4252" t="s">
        <v>179</v>
      </c>
      <c r="Z4252" t="s">
        <v>179</v>
      </c>
      <c r="AB4252" t="str">
        <f t="shared" si="198"/>
        <v>01077</v>
      </c>
    </row>
    <row r="4253" ht="14.25" spans="1:28">
      <c r="A4253" s="5" t="s">
        <v>28</v>
      </c>
      <c r="B4253" s="5" t="s">
        <v>2338</v>
      </c>
      <c r="C4253" s="5">
        <v>2027</v>
      </c>
      <c r="D4253" s="5" t="s">
        <v>30</v>
      </c>
      <c r="E4253" t="s">
        <v>2386</v>
      </c>
      <c r="F4253" t="s">
        <v>2387</v>
      </c>
      <c r="G4253" t="s">
        <v>117</v>
      </c>
      <c r="I4253" t="s">
        <v>2341</v>
      </c>
      <c r="J4253" t="s">
        <v>36</v>
      </c>
      <c r="K4253">
        <v>590</v>
      </c>
      <c r="O4253" t="s">
        <v>113</v>
      </c>
      <c r="P4253" t="s">
        <v>113</v>
      </c>
      <c r="R4253">
        <f t="shared" si="199"/>
        <v>0</v>
      </c>
      <c r="S4253">
        <f>SUMIFS([1]Sheet1!$T:$T,[1]Sheet1!$I:$I,E4253,[1]Sheet1!$C:$C,A4253)</f>
        <v>0</v>
      </c>
      <c r="T4253">
        <f t="shared" si="200"/>
        <v>0</v>
      </c>
      <c r="U4253" s="9"/>
      <c r="X4253" t="s">
        <v>122</v>
      </c>
      <c r="Y4253" t="s">
        <v>179</v>
      </c>
      <c r="Z4253" t="s">
        <v>179</v>
      </c>
      <c r="AB4253" t="str">
        <f t="shared" si="198"/>
        <v>01083</v>
      </c>
    </row>
    <row r="4254" ht="14.25" spans="1:28">
      <c r="A4254" s="5" t="s">
        <v>28</v>
      </c>
      <c r="B4254" s="5" t="s">
        <v>2338</v>
      </c>
      <c r="C4254" s="5">
        <v>2027</v>
      </c>
      <c r="D4254" s="5" t="s">
        <v>30</v>
      </c>
      <c r="E4254" t="s">
        <v>2388</v>
      </c>
      <c r="F4254" t="s">
        <v>2387</v>
      </c>
      <c r="G4254" t="s">
        <v>2343</v>
      </c>
      <c r="I4254" t="s">
        <v>2341</v>
      </c>
      <c r="J4254" t="s">
        <v>36</v>
      </c>
      <c r="K4254">
        <v>590</v>
      </c>
      <c r="O4254" t="s">
        <v>113</v>
      </c>
      <c r="P4254" t="s">
        <v>113</v>
      </c>
      <c r="R4254">
        <f t="shared" si="199"/>
        <v>0</v>
      </c>
      <c r="S4254">
        <f>SUMIFS([1]Sheet1!$T:$T,[1]Sheet1!$I:$I,E4254,[1]Sheet1!$C:$C,A4254)</f>
        <v>0</v>
      </c>
      <c r="T4254">
        <f t="shared" si="200"/>
        <v>0</v>
      </c>
      <c r="U4254" s="9"/>
      <c r="X4254" t="s">
        <v>503</v>
      </c>
      <c r="Y4254" t="s">
        <v>179</v>
      </c>
      <c r="Z4254" t="s">
        <v>179</v>
      </c>
      <c r="AB4254" t="str">
        <f t="shared" si="198"/>
        <v>01083</v>
      </c>
    </row>
    <row r="4255" ht="14.25" spans="1:28">
      <c r="A4255" s="5" t="s">
        <v>28</v>
      </c>
      <c r="B4255" s="5" t="s">
        <v>2338</v>
      </c>
      <c r="C4255" s="5">
        <v>2027</v>
      </c>
      <c r="D4255" s="5" t="s">
        <v>30</v>
      </c>
      <c r="E4255" t="s">
        <v>2389</v>
      </c>
      <c r="F4255" t="s">
        <v>2390</v>
      </c>
      <c r="G4255" t="s">
        <v>2391</v>
      </c>
      <c r="I4255" t="s">
        <v>2341</v>
      </c>
      <c r="J4255" t="s">
        <v>36</v>
      </c>
      <c r="K4255">
        <v>590</v>
      </c>
      <c r="O4255" t="s">
        <v>113</v>
      </c>
      <c r="P4255" t="s">
        <v>113</v>
      </c>
      <c r="R4255">
        <f t="shared" si="199"/>
        <v>0</v>
      </c>
      <c r="S4255">
        <f>SUMIFS([1]Sheet1!$T:$T,[1]Sheet1!$I:$I,E4255,[1]Sheet1!$C:$C,A4255)</f>
        <v>0</v>
      </c>
      <c r="T4255">
        <f t="shared" si="200"/>
        <v>0</v>
      </c>
      <c r="U4255" s="9"/>
      <c r="Y4255" t="s">
        <v>179</v>
      </c>
      <c r="Z4255" t="s">
        <v>179</v>
      </c>
      <c r="AB4255" t="str">
        <f t="shared" si="198"/>
        <v>01084</v>
      </c>
    </row>
    <row r="4256" ht="14.25" spans="1:28">
      <c r="A4256" s="5" t="s">
        <v>28</v>
      </c>
      <c r="B4256" s="5" t="s">
        <v>2338</v>
      </c>
      <c r="C4256" s="5">
        <v>2027</v>
      </c>
      <c r="D4256" s="5" t="s">
        <v>30</v>
      </c>
      <c r="E4256" t="s">
        <v>2392</v>
      </c>
      <c r="F4256" t="s">
        <v>2393</v>
      </c>
      <c r="G4256" t="s">
        <v>117</v>
      </c>
      <c r="I4256" t="s">
        <v>2341</v>
      </c>
      <c r="J4256" t="s">
        <v>36</v>
      </c>
      <c r="K4256">
        <v>590</v>
      </c>
      <c r="O4256" t="s">
        <v>113</v>
      </c>
      <c r="P4256" t="s">
        <v>113</v>
      </c>
      <c r="R4256">
        <f t="shared" si="199"/>
        <v>0</v>
      </c>
      <c r="S4256">
        <f>SUMIFS([1]Sheet1!$T:$T,[1]Sheet1!$I:$I,E4256,[1]Sheet1!$C:$C,A4256)</f>
        <v>0</v>
      </c>
      <c r="T4256">
        <f t="shared" si="200"/>
        <v>0</v>
      </c>
      <c r="U4256" s="9"/>
      <c r="X4256" t="s">
        <v>122</v>
      </c>
      <c r="Y4256" t="s">
        <v>179</v>
      </c>
      <c r="Z4256" t="s">
        <v>179</v>
      </c>
      <c r="AB4256" t="str">
        <f t="shared" si="198"/>
        <v>01085</v>
      </c>
    </row>
    <row r="4257" ht="14.25" spans="1:28">
      <c r="A4257" s="5" t="s">
        <v>28</v>
      </c>
      <c r="B4257" s="5" t="s">
        <v>2338</v>
      </c>
      <c r="C4257" s="5">
        <v>2027</v>
      </c>
      <c r="D4257" s="5" t="s">
        <v>30</v>
      </c>
      <c r="E4257" t="s">
        <v>2394</v>
      </c>
      <c r="F4257" t="s">
        <v>2393</v>
      </c>
      <c r="G4257" t="s">
        <v>60</v>
      </c>
      <c r="I4257" t="s">
        <v>2341</v>
      </c>
      <c r="J4257" t="s">
        <v>36</v>
      </c>
      <c r="K4257">
        <v>590</v>
      </c>
      <c r="O4257" t="s">
        <v>113</v>
      </c>
      <c r="P4257" t="s">
        <v>113</v>
      </c>
      <c r="R4257">
        <f t="shared" si="199"/>
        <v>0</v>
      </c>
      <c r="S4257">
        <f>SUMIFS([1]Sheet1!$T:$T,[1]Sheet1!$I:$I,E4257,[1]Sheet1!$C:$C,A4257)</f>
        <v>0</v>
      </c>
      <c r="T4257">
        <f t="shared" si="200"/>
        <v>0</v>
      </c>
      <c r="U4257" s="9"/>
      <c r="X4257" t="s">
        <v>62</v>
      </c>
      <c r="Y4257" t="s">
        <v>179</v>
      </c>
      <c r="Z4257" t="s">
        <v>179</v>
      </c>
      <c r="AB4257" t="str">
        <f t="shared" si="198"/>
        <v>01085</v>
      </c>
    </row>
    <row r="4258" ht="14.25" spans="1:28">
      <c r="A4258" s="5" t="s">
        <v>28</v>
      </c>
      <c r="B4258" s="5" t="s">
        <v>2338</v>
      </c>
      <c r="C4258" s="5">
        <v>2027</v>
      </c>
      <c r="D4258" s="5" t="s">
        <v>30</v>
      </c>
      <c r="E4258" t="s">
        <v>2395</v>
      </c>
      <c r="F4258" t="s">
        <v>2396</v>
      </c>
      <c r="G4258" t="s">
        <v>117</v>
      </c>
      <c r="I4258" t="s">
        <v>2341</v>
      </c>
      <c r="J4258" t="s">
        <v>36</v>
      </c>
      <c r="K4258">
        <v>590</v>
      </c>
      <c r="O4258" t="s">
        <v>113</v>
      </c>
      <c r="P4258" t="s">
        <v>113</v>
      </c>
      <c r="R4258">
        <f t="shared" si="199"/>
        <v>0</v>
      </c>
      <c r="S4258">
        <f>SUMIFS([1]Sheet1!$T:$T,[1]Sheet1!$I:$I,E4258,[1]Sheet1!$C:$C,A4258)</f>
        <v>0</v>
      </c>
      <c r="T4258">
        <f t="shared" si="200"/>
        <v>0</v>
      </c>
      <c r="U4258" s="9"/>
      <c r="X4258" t="s">
        <v>122</v>
      </c>
      <c r="Y4258" t="s">
        <v>179</v>
      </c>
      <c r="Z4258" t="s">
        <v>179</v>
      </c>
      <c r="AB4258" t="str">
        <f t="shared" si="198"/>
        <v>01086</v>
      </c>
    </row>
    <row r="4259" ht="14.25" spans="1:28">
      <c r="A4259" s="5" t="s">
        <v>28</v>
      </c>
      <c r="B4259" s="5" t="s">
        <v>2338</v>
      </c>
      <c r="C4259" s="5">
        <v>2027</v>
      </c>
      <c r="D4259" s="5" t="s">
        <v>30</v>
      </c>
      <c r="E4259" t="s">
        <v>2397</v>
      </c>
      <c r="F4259" t="s">
        <v>2398</v>
      </c>
      <c r="G4259" t="s">
        <v>60</v>
      </c>
      <c r="I4259" t="s">
        <v>2341</v>
      </c>
      <c r="J4259" t="s">
        <v>36</v>
      </c>
      <c r="K4259">
        <v>590</v>
      </c>
      <c r="O4259" t="s">
        <v>113</v>
      </c>
      <c r="P4259" t="s">
        <v>113</v>
      </c>
      <c r="R4259">
        <f t="shared" si="199"/>
        <v>0</v>
      </c>
      <c r="S4259">
        <f>SUMIFS([1]Sheet1!$T:$T,[1]Sheet1!$I:$I,E4259,[1]Sheet1!$C:$C,A4259)</f>
        <v>0</v>
      </c>
      <c r="T4259">
        <f t="shared" si="200"/>
        <v>0</v>
      </c>
      <c r="U4259" s="9"/>
      <c r="X4259" t="s">
        <v>62</v>
      </c>
      <c r="Y4259" t="s">
        <v>179</v>
      </c>
      <c r="Z4259" t="s">
        <v>179</v>
      </c>
      <c r="AB4259" t="str">
        <f t="shared" si="198"/>
        <v>01087</v>
      </c>
    </row>
    <row r="4260" ht="14.25" spans="1:28">
      <c r="A4260" s="5" t="s">
        <v>28</v>
      </c>
      <c r="B4260" s="5" t="s">
        <v>2338</v>
      </c>
      <c r="C4260" s="5">
        <v>2027</v>
      </c>
      <c r="D4260" s="5" t="s">
        <v>30</v>
      </c>
      <c r="E4260" t="s">
        <v>2399</v>
      </c>
      <c r="F4260" t="s">
        <v>2400</v>
      </c>
      <c r="G4260" t="s">
        <v>2362</v>
      </c>
      <c r="I4260" t="s">
        <v>2341</v>
      </c>
      <c r="J4260" t="s">
        <v>36</v>
      </c>
      <c r="K4260">
        <v>590</v>
      </c>
      <c r="O4260" t="s">
        <v>113</v>
      </c>
      <c r="P4260" t="s">
        <v>113</v>
      </c>
      <c r="R4260">
        <f t="shared" si="199"/>
        <v>0</v>
      </c>
      <c r="S4260">
        <f>SUMIFS([1]Sheet1!$T:$T,[1]Sheet1!$I:$I,E4260,[1]Sheet1!$C:$C,A4260)</f>
        <v>0</v>
      </c>
      <c r="T4260">
        <f t="shared" si="200"/>
        <v>0</v>
      </c>
      <c r="U4260" s="9"/>
      <c r="Y4260" t="s">
        <v>179</v>
      </c>
      <c r="Z4260" t="s">
        <v>179</v>
      </c>
      <c r="AB4260" t="str">
        <f t="shared" si="198"/>
        <v>01088</v>
      </c>
    </row>
    <row r="4261" ht="14.25" spans="1:28">
      <c r="A4261" s="5" t="s">
        <v>28</v>
      </c>
      <c r="B4261" s="5" t="s">
        <v>2338</v>
      </c>
      <c r="C4261" s="5">
        <v>2027</v>
      </c>
      <c r="D4261" s="5" t="s">
        <v>30</v>
      </c>
      <c r="E4261" t="s">
        <v>2401</v>
      </c>
      <c r="F4261" t="s">
        <v>2402</v>
      </c>
      <c r="G4261" t="s">
        <v>2403</v>
      </c>
      <c r="I4261" t="s">
        <v>2404</v>
      </c>
      <c r="J4261" t="s">
        <v>36</v>
      </c>
      <c r="K4261">
        <v>3990</v>
      </c>
      <c r="O4261" t="s">
        <v>176</v>
      </c>
      <c r="P4261" t="s">
        <v>38</v>
      </c>
      <c r="R4261">
        <f t="shared" si="199"/>
        <v>0</v>
      </c>
      <c r="S4261">
        <f>SUMIFS([1]Sheet1!$T:$T,[1]Sheet1!$I:$I,E4261,[1]Sheet1!$C:$C,A4261)</f>
        <v>0</v>
      </c>
      <c r="T4261">
        <f t="shared" si="200"/>
        <v>0</v>
      </c>
      <c r="U4261" s="9"/>
      <c r="Y4261" t="s">
        <v>2405</v>
      </c>
      <c r="Z4261" t="s">
        <v>179</v>
      </c>
      <c r="AB4261" t="str">
        <f t="shared" si="198"/>
        <v>01160</v>
      </c>
    </row>
    <row r="4262" ht="14.25" spans="1:28">
      <c r="A4262" s="5" t="s">
        <v>28</v>
      </c>
      <c r="B4262" s="5" t="s">
        <v>2338</v>
      </c>
      <c r="C4262" s="5">
        <v>2027</v>
      </c>
      <c r="D4262" s="5" t="s">
        <v>30</v>
      </c>
      <c r="E4262" t="s">
        <v>2401</v>
      </c>
      <c r="F4262" t="s">
        <v>2402</v>
      </c>
      <c r="G4262" t="s">
        <v>2403</v>
      </c>
      <c r="I4262" t="s">
        <v>2404</v>
      </c>
      <c r="J4262" t="s">
        <v>36</v>
      </c>
      <c r="K4262">
        <v>3990</v>
      </c>
      <c r="O4262" t="s">
        <v>176</v>
      </c>
      <c r="P4262" t="s">
        <v>42</v>
      </c>
      <c r="U4262" s="9"/>
      <c r="Y4262" t="s">
        <v>2405</v>
      </c>
      <c r="Z4262" t="s">
        <v>179</v>
      </c>
      <c r="AB4262" t="str">
        <f t="shared" si="198"/>
        <v>01160</v>
      </c>
    </row>
    <row r="4263" ht="14.25" spans="1:28">
      <c r="A4263" s="5" t="s">
        <v>28</v>
      </c>
      <c r="B4263" s="5" t="s">
        <v>2338</v>
      </c>
      <c r="C4263" s="5">
        <v>2027</v>
      </c>
      <c r="D4263" s="5" t="s">
        <v>30</v>
      </c>
      <c r="E4263" t="s">
        <v>2401</v>
      </c>
      <c r="F4263" t="s">
        <v>2402</v>
      </c>
      <c r="G4263" t="s">
        <v>2403</v>
      </c>
      <c r="I4263" t="s">
        <v>2404</v>
      </c>
      <c r="J4263" t="s">
        <v>36</v>
      </c>
      <c r="K4263">
        <v>3990</v>
      </c>
      <c r="O4263" t="s">
        <v>176</v>
      </c>
      <c r="P4263" t="s">
        <v>43</v>
      </c>
      <c r="U4263" s="9"/>
      <c r="Y4263" t="s">
        <v>2405</v>
      </c>
      <c r="Z4263" t="s">
        <v>179</v>
      </c>
      <c r="AB4263" t="str">
        <f t="shared" si="198"/>
        <v>01160</v>
      </c>
    </row>
    <row r="4264" ht="14.25" spans="1:28">
      <c r="A4264" s="5" t="s">
        <v>28</v>
      </c>
      <c r="B4264" s="5" t="s">
        <v>2338</v>
      </c>
      <c r="C4264" s="5">
        <v>2027</v>
      </c>
      <c r="D4264" s="5" t="s">
        <v>30</v>
      </c>
      <c r="E4264" t="s">
        <v>2401</v>
      </c>
      <c r="F4264" t="s">
        <v>2402</v>
      </c>
      <c r="G4264" t="s">
        <v>2403</v>
      </c>
      <c r="I4264" t="s">
        <v>2404</v>
      </c>
      <c r="J4264" t="s">
        <v>36</v>
      </c>
      <c r="K4264">
        <v>3990</v>
      </c>
      <c r="O4264" t="s">
        <v>176</v>
      </c>
      <c r="P4264" t="s">
        <v>44</v>
      </c>
      <c r="U4264" s="9"/>
      <c r="Y4264" t="s">
        <v>2405</v>
      </c>
      <c r="Z4264" t="s">
        <v>179</v>
      </c>
      <c r="AB4264" t="str">
        <f t="shared" si="198"/>
        <v>01160</v>
      </c>
    </row>
    <row r="4265" ht="14.25" spans="1:28">
      <c r="A4265" s="5" t="s">
        <v>28</v>
      </c>
      <c r="B4265" s="5" t="s">
        <v>2338</v>
      </c>
      <c r="C4265" s="5">
        <v>2027</v>
      </c>
      <c r="D4265" s="5" t="s">
        <v>30</v>
      </c>
      <c r="E4265" t="s">
        <v>2401</v>
      </c>
      <c r="F4265" t="s">
        <v>2402</v>
      </c>
      <c r="G4265" t="s">
        <v>2403</v>
      </c>
      <c r="I4265" t="s">
        <v>2404</v>
      </c>
      <c r="J4265" t="s">
        <v>36</v>
      </c>
      <c r="K4265">
        <v>3990</v>
      </c>
      <c r="O4265" t="s">
        <v>176</v>
      </c>
      <c r="P4265" t="s">
        <v>45</v>
      </c>
      <c r="U4265" s="9"/>
      <c r="Y4265" t="s">
        <v>2405</v>
      </c>
      <c r="Z4265" t="s">
        <v>179</v>
      </c>
      <c r="AB4265" t="str">
        <f t="shared" si="198"/>
        <v>01160</v>
      </c>
    </row>
    <row r="4266" ht="14.25" spans="1:28">
      <c r="A4266" s="5" t="s">
        <v>28</v>
      </c>
      <c r="B4266" s="5" t="s">
        <v>2338</v>
      </c>
      <c r="C4266" s="5">
        <v>2027</v>
      </c>
      <c r="D4266" s="5" t="s">
        <v>30</v>
      </c>
      <c r="E4266" t="s">
        <v>2406</v>
      </c>
      <c r="F4266" t="s">
        <v>2407</v>
      </c>
      <c r="G4266" t="s">
        <v>2403</v>
      </c>
      <c r="I4266" t="s">
        <v>2404</v>
      </c>
      <c r="J4266" t="s">
        <v>36</v>
      </c>
      <c r="K4266">
        <v>990</v>
      </c>
      <c r="O4266" t="s">
        <v>176</v>
      </c>
      <c r="P4266" t="s">
        <v>38</v>
      </c>
      <c r="R4266">
        <f t="shared" si="199"/>
        <v>0</v>
      </c>
      <c r="S4266">
        <f>SUMIFS([1]Sheet1!$T:$T,[1]Sheet1!$I:$I,E4266,[1]Sheet1!$C:$C,A4266)</f>
        <v>0</v>
      </c>
      <c r="T4266">
        <f t="shared" si="200"/>
        <v>0</v>
      </c>
      <c r="U4266" s="9"/>
      <c r="Y4266" t="s">
        <v>2408</v>
      </c>
      <c r="Z4266" t="s">
        <v>179</v>
      </c>
      <c r="AB4266" t="str">
        <f t="shared" si="198"/>
        <v>01162</v>
      </c>
    </row>
    <row r="4267" ht="14.25" spans="1:28">
      <c r="A4267" s="5" t="s">
        <v>28</v>
      </c>
      <c r="B4267" s="5" t="s">
        <v>2338</v>
      </c>
      <c r="C4267" s="5">
        <v>2027</v>
      </c>
      <c r="D4267" s="5" t="s">
        <v>30</v>
      </c>
      <c r="E4267" t="s">
        <v>2406</v>
      </c>
      <c r="F4267" t="s">
        <v>2407</v>
      </c>
      <c r="G4267" t="s">
        <v>2403</v>
      </c>
      <c r="I4267" t="s">
        <v>2404</v>
      </c>
      <c r="J4267" t="s">
        <v>36</v>
      </c>
      <c r="K4267">
        <v>990</v>
      </c>
      <c r="O4267" t="s">
        <v>176</v>
      </c>
      <c r="P4267" t="s">
        <v>42</v>
      </c>
      <c r="U4267" s="9"/>
      <c r="Y4267" t="s">
        <v>2408</v>
      </c>
      <c r="Z4267" t="s">
        <v>179</v>
      </c>
      <c r="AB4267" t="str">
        <f t="shared" si="198"/>
        <v>01162</v>
      </c>
    </row>
    <row r="4268" ht="14.25" spans="1:28">
      <c r="A4268" s="5" t="s">
        <v>28</v>
      </c>
      <c r="B4268" s="5" t="s">
        <v>2338</v>
      </c>
      <c r="C4268" s="5">
        <v>2027</v>
      </c>
      <c r="D4268" s="5" t="s">
        <v>30</v>
      </c>
      <c r="E4268" t="s">
        <v>2406</v>
      </c>
      <c r="F4268" t="s">
        <v>2407</v>
      </c>
      <c r="G4268" t="s">
        <v>2403</v>
      </c>
      <c r="I4268" t="s">
        <v>2404</v>
      </c>
      <c r="J4268" t="s">
        <v>36</v>
      </c>
      <c r="K4268">
        <v>990</v>
      </c>
      <c r="O4268" t="s">
        <v>176</v>
      </c>
      <c r="P4268" t="s">
        <v>43</v>
      </c>
      <c r="U4268" s="9"/>
      <c r="Y4268" t="s">
        <v>2408</v>
      </c>
      <c r="Z4268" t="s">
        <v>179</v>
      </c>
      <c r="AB4268" t="str">
        <f t="shared" si="198"/>
        <v>01162</v>
      </c>
    </row>
    <row r="4269" ht="14.25" spans="1:28">
      <c r="A4269" s="5" t="s">
        <v>28</v>
      </c>
      <c r="B4269" s="5" t="s">
        <v>2338</v>
      </c>
      <c r="C4269" s="5">
        <v>2027</v>
      </c>
      <c r="D4269" s="5" t="s">
        <v>30</v>
      </c>
      <c r="E4269" t="s">
        <v>2406</v>
      </c>
      <c r="F4269" t="s">
        <v>2407</v>
      </c>
      <c r="G4269" t="s">
        <v>2403</v>
      </c>
      <c r="I4269" t="s">
        <v>2404</v>
      </c>
      <c r="J4269" t="s">
        <v>36</v>
      </c>
      <c r="K4269">
        <v>990</v>
      </c>
      <c r="O4269" t="s">
        <v>176</v>
      </c>
      <c r="P4269" t="s">
        <v>44</v>
      </c>
      <c r="U4269" s="9"/>
      <c r="Y4269" t="s">
        <v>2408</v>
      </c>
      <c r="Z4269" t="s">
        <v>179</v>
      </c>
      <c r="AB4269" t="str">
        <f t="shared" si="198"/>
        <v>01162</v>
      </c>
    </row>
    <row r="4270" ht="14.25" spans="1:28">
      <c r="A4270" s="5" t="s">
        <v>28</v>
      </c>
      <c r="B4270" s="5" t="s">
        <v>2338</v>
      </c>
      <c r="C4270" s="5">
        <v>2027</v>
      </c>
      <c r="D4270" s="5" t="s">
        <v>30</v>
      </c>
      <c r="E4270" t="s">
        <v>2406</v>
      </c>
      <c r="F4270" t="s">
        <v>2407</v>
      </c>
      <c r="G4270" t="s">
        <v>2403</v>
      </c>
      <c r="I4270" t="s">
        <v>2404</v>
      </c>
      <c r="J4270" t="s">
        <v>36</v>
      </c>
      <c r="K4270">
        <v>990</v>
      </c>
      <c r="O4270" t="s">
        <v>176</v>
      </c>
      <c r="P4270" t="s">
        <v>45</v>
      </c>
      <c r="U4270" s="9"/>
      <c r="Y4270" t="s">
        <v>2408</v>
      </c>
      <c r="Z4270" t="s">
        <v>179</v>
      </c>
      <c r="AB4270" t="str">
        <f t="shared" si="198"/>
        <v>01162</v>
      </c>
    </row>
    <row r="4271" ht="14.25" spans="1:28">
      <c r="A4271" s="5" t="s">
        <v>28</v>
      </c>
      <c r="B4271" s="5" t="s">
        <v>2338</v>
      </c>
      <c r="C4271" s="5">
        <v>2027</v>
      </c>
      <c r="D4271" s="5" t="s">
        <v>30</v>
      </c>
      <c r="E4271" t="s">
        <v>2409</v>
      </c>
      <c r="F4271" t="s">
        <v>2410</v>
      </c>
      <c r="G4271" t="s">
        <v>2411</v>
      </c>
      <c r="I4271" t="s">
        <v>2404</v>
      </c>
      <c r="J4271" t="s">
        <v>36</v>
      </c>
      <c r="K4271">
        <v>990</v>
      </c>
      <c r="O4271" t="s">
        <v>176</v>
      </c>
      <c r="P4271" t="s">
        <v>38</v>
      </c>
      <c r="R4271">
        <f t="shared" si="199"/>
        <v>0</v>
      </c>
      <c r="S4271">
        <f>SUMIFS([1]Sheet1!$T:$T,[1]Sheet1!$I:$I,E4271,[1]Sheet1!$C:$C,A4271)</f>
        <v>0</v>
      </c>
      <c r="T4271">
        <f t="shared" si="200"/>
        <v>0</v>
      </c>
      <c r="U4271" s="9"/>
      <c r="Y4271" t="s">
        <v>2412</v>
      </c>
      <c r="Z4271" t="s">
        <v>179</v>
      </c>
      <c r="AB4271" t="str">
        <f t="shared" si="198"/>
        <v>01164</v>
      </c>
    </row>
    <row r="4272" ht="14.25" spans="1:28">
      <c r="A4272" s="5" t="s">
        <v>28</v>
      </c>
      <c r="B4272" s="5" t="s">
        <v>2338</v>
      </c>
      <c r="C4272" s="5">
        <v>2027</v>
      </c>
      <c r="D4272" s="5" t="s">
        <v>30</v>
      </c>
      <c r="E4272" t="s">
        <v>2409</v>
      </c>
      <c r="F4272" t="s">
        <v>2410</v>
      </c>
      <c r="G4272" t="s">
        <v>2411</v>
      </c>
      <c r="I4272" t="s">
        <v>2404</v>
      </c>
      <c r="J4272" t="s">
        <v>36</v>
      </c>
      <c r="K4272">
        <v>990</v>
      </c>
      <c r="O4272" t="s">
        <v>176</v>
      </c>
      <c r="P4272" t="s">
        <v>42</v>
      </c>
      <c r="U4272" s="9"/>
      <c r="Y4272" t="s">
        <v>2412</v>
      </c>
      <c r="Z4272" t="s">
        <v>179</v>
      </c>
      <c r="AB4272" t="str">
        <f t="shared" si="198"/>
        <v>01164</v>
      </c>
    </row>
    <row r="4273" ht="14.25" spans="1:28">
      <c r="A4273" s="5" t="s">
        <v>28</v>
      </c>
      <c r="B4273" s="5" t="s">
        <v>2338</v>
      </c>
      <c r="C4273" s="5">
        <v>2027</v>
      </c>
      <c r="D4273" s="5" t="s">
        <v>30</v>
      </c>
      <c r="E4273" t="s">
        <v>2409</v>
      </c>
      <c r="F4273" t="s">
        <v>2410</v>
      </c>
      <c r="G4273" t="s">
        <v>2411</v>
      </c>
      <c r="I4273" t="s">
        <v>2404</v>
      </c>
      <c r="J4273" t="s">
        <v>36</v>
      </c>
      <c r="K4273">
        <v>990</v>
      </c>
      <c r="O4273" t="s">
        <v>176</v>
      </c>
      <c r="P4273" t="s">
        <v>43</v>
      </c>
      <c r="U4273" s="9"/>
      <c r="Y4273" t="s">
        <v>2412</v>
      </c>
      <c r="Z4273" t="s">
        <v>179</v>
      </c>
      <c r="AB4273" t="str">
        <f t="shared" si="198"/>
        <v>01164</v>
      </c>
    </row>
    <row r="4274" ht="14.25" spans="1:28">
      <c r="A4274" s="5" t="s">
        <v>28</v>
      </c>
      <c r="B4274" s="5" t="s">
        <v>2338</v>
      </c>
      <c r="C4274" s="5">
        <v>2027</v>
      </c>
      <c r="D4274" s="5" t="s">
        <v>30</v>
      </c>
      <c r="E4274" t="s">
        <v>2409</v>
      </c>
      <c r="F4274" t="s">
        <v>2410</v>
      </c>
      <c r="G4274" t="s">
        <v>2411</v>
      </c>
      <c r="I4274" t="s">
        <v>2404</v>
      </c>
      <c r="J4274" t="s">
        <v>36</v>
      </c>
      <c r="K4274">
        <v>990</v>
      </c>
      <c r="O4274" t="s">
        <v>176</v>
      </c>
      <c r="P4274" t="s">
        <v>44</v>
      </c>
      <c r="U4274" s="9"/>
      <c r="Y4274" t="s">
        <v>2412</v>
      </c>
      <c r="Z4274" t="s">
        <v>179</v>
      </c>
      <c r="AB4274" t="str">
        <f t="shared" si="198"/>
        <v>01164</v>
      </c>
    </row>
    <row r="4275" ht="14.25" spans="1:28">
      <c r="A4275" s="5" t="s">
        <v>28</v>
      </c>
      <c r="B4275" s="5" t="s">
        <v>2338</v>
      </c>
      <c r="C4275" s="5">
        <v>2027</v>
      </c>
      <c r="D4275" s="5" t="s">
        <v>30</v>
      </c>
      <c r="E4275" t="s">
        <v>2409</v>
      </c>
      <c r="F4275" t="s">
        <v>2410</v>
      </c>
      <c r="G4275" t="s">
        <v>2411</v>
      </c>
      <c r="I4275" t="s">
        <v>2404</v>
      </c>
      <c r="J4275" t="s">
        <v>36</v>
      </c>
      <c r="K4275">
        <v>990</v>
      </c>
      <c r="O4275" t="s">
        <v>176</v>
      </c>
      <c r="P4275" t="s">
        <v>45</v>
      </c>
      <c r="U4275" s="9"/>
      <c r="Y4275" t="s">
        <v>2412</v>
      </c>
      <c r="Z4275" t="s">
        <v>179</v>
      </c>
      <c r="AB4275" t="str">
        <f t="shared" ref="AB4275:AB4338" si="201">MID(E4275,6,5)</f>
        <v>01164</v>
      </c>
    </row>
    <row r="4276" ht="14.25" spans="1:28">
      <c r="A4276" s="5" t="s">
        <v>28</v>
      </c>
      <c r="B4276" s="5" t="s">
        <v>2338</v>
      </c>
      <c r="C4276" s="5">
        <v>2027</v>
      </c>
      <c r="D4276" s="5" t="s">
        <v>30</v>
      </c>
      <c r="E4276" t="s">
        <v>2413</v>
      </c>
      <c r="F4276" t="s">
        <v>2410</v>
      </c>
      <c r="G4276" t="s">
        <v>2414</v>
      </c>
      <c r="I4276" t="s">
        <v>2404</v>
      </c>
      <c r="J4276" t="s">
        <v>36</v>
      </c>
      <c r="K4276">
        <v>990</v>
      </c>
      <c r="O4276" t="s">
        <v>176</v>
      </c>
      <c r="P4276" t="s">
        <v>38</v>
      </c>
      <c r="R4276">
        <f t="shared" si="199"/>
        <v>0</v>
      </c>
      <c r="S4276">
        <f>SUMIFS([1]Sheet1!$T:$T,[1]Sheet1!$I:$I,E4276,[1]Sheet1!$C:$C,A4276)</f>
        <v>0</v>
      </c>
      <c r="T4276">
        <f t="shared" si="200"/>
        <v>0</v>
      </c>
      <c r="U4276" s="9"/>
      <c r="Y4276" t="s">
        <v>2412</v>
      </c>
      <c r="Z4276" t="s">
        <v>179</v>
      </c>
      <c r="AB4276" t="str">
        <f t="shared" si="201"/>
        <v>01164</v>
      </c>
    </row>
    <row r="4277" ht="14.25" spans="1:28">
      <c r="A4277" s="5" t="s">
        <v>28</v>
      </c>
      <c r="B4277" s="5" t="s">
        <v>2338</v>
      </c>
      <c r="C4277" s="5">
        <v>2027</v>
      </c>
      <c r="D4277" s="5" t="s">
        <v>30</v>
      </c>
      <c r="E4277" t="s">
        <v>2413</v>
      </c>
      <c r="F4277" t="s">
        <v>2410</v>
      </c>
      <c r="G4277" t="s">
        <v>2414</v>
      </c>
      <c r="I4277" t="s">
        <v>2404</v>
      </c>
      <c r="J4277" t="s">
        <v>36</v>
      </c>
      <c r="K4277">
        <v>990</v>
      </c>
      <c r="O4277" t="s">
        <v>176</v>
      </c>
      <c r="P4277" t="s">
        <v>42</v>
      </c>
      <c r="U4277" s="9"/>
      <c r="Y4277" t="s">
        <v>2412</v>
      </c>
      <c r="Z4277" t="s">
        <v>179</v>
      </c>
      <c r="AB4277" t="str">
        <f t="shared" si="201"/>
        <v>01164</v>
      </c>
    </row>
    <row r="4278" ht="14.25" spans="1:28">
      <c r="A4278" s="5" t="s">
        <v>28</v>
      </c>
      <c r="B4278" s="5" t="s">
        <v>2338</v>
      </c>
      <c r="C4278" s="5">
        <v>2027</v>
      </c>
      <c r="D4278" s="5" t="s">
        <v>30</v>
      </c>
      <c r="E4278" t="s">
        <v>2413</v>
      </c>
      <c r="F4278" t="s">
        <v>2410</v>
      </c>
      <c r="G4278" t="s">
        <v>2414</v>
      </c>
      <c r="I4278" t="s">
        <v>2404</v>
      </c>
      <c r="J4278" t="s">
        <v>36</v>
      </c>
      <c r="K4278">
        <v>990</v>
      </c>
      <c r="O4278" t="s">
        <v>176</v>
      </c>
      <c r="P4278" t="s">
        <v>43</v>
      </c>
      <c r="U4278" s="9"/>
      <c r="Y4278" t="s">
        <v>2412</v>
      </c>
      <c r="Z4278" t="s">
        <v>179</v>
      </c>
      <c r="AB4278" t="str">
        <f t="shared" si="201"/>
        <v>01164</v>
      </c>
    </row>
    <row r="4279" ht="14.25" spans="1:28">
      <c r="A4279" s="5" t="s">
        <v>28</v>
      </c>
      <c r="B4279" s="5" t="s">
        <v>2338</v>
      </c>
      <c r="C4279" s="5">
        <v>2027</v>
      </c>
      <c r="D4279" s="5" t="s">
        <v>30</v>
      </c>
      <c r="E4279" t="s">
        <v>2413</v>
      </c>
      <c r="F4279" t="s">
        <v>2410</v>
      </c>
      <c r="G4279" t="s">
        <v>2414</v>
      </c>
      <c r="I4279" t="s">
        <v>2404</v>
      </c>
      <c r="J4279" t="s">
        <v>36</v>
      </c>
      <c r="K4279">
        <v>990</v>
      </c>
      <c r="O4279" t="s">
        <v>176</v>
      </c>
      <c r="P4279" t="s">
        <v>44</v>
      </c>
      <c r="U4279" s="9"/>
      <c r="Y4279" t="s">
        <v>2412</v>
      </c>
      <c r="Z4279" t="s">
        <v>179</v>
      </c>
      <c r="AB4279" t="str">
        <f t="shared" si="201"/>
        <v>01164</v>
      </c>
    </row>
    <row r="4280" ht="14.25" spans="1:28">
      <c r="A4280" s="5" t="s">
        <v>28</v>
      </c>
      <c r="B4280" s="5" t="s">
        <v>2338</v>
      </c>
      <c r="C4280" s="5">
        <v>2027</v>
      </c>
      <c r="D4280" s="5" t="s">
        <v>30</v>
      </c>
      <c r="E4280" t="s">
        <v>2413</v>
      </c>
      <c r="F4280" t="s">
        <v>2410</v>
      </c>
      <c r="G4280" t="s">
        <v>2414</v>
      </c>
      <c r="I4280" t="s">
        <v>2404</v>
      </c>
      <c r="J4280" t="s">
        <v>36</v>
      </c>
      <c r="K4280">
        <v>990</v>
      </c>
      <c r="O4280" t="s">
        <v>176</v>
      </c>
      <c r="P4280" t="s">
        <v>45</v>
      </c>
      <c r="U4280" s="9"/>
      <c r="Y4280" t="s">
        <v>2412</v>
      </c>
      <c r="Z4280" t="s">
        <v>179</v>
      </c>
      <c r="AB4280" t="str">
        <f t="shared" si="201"/>
        <v>01164</v>
      </c>
    </row>
    <row r="4281" ht="14.25" spans="1:28">
      <c r="A4281" s="5" t="s">
        <v>28</v>
      </c>
      <c r="B4281" s="5" t="s">
        <v>2338</v>
      </c>
      <c r="C4281" s="5">
        <v>2027</v>
      </c>
      <c r="D4281" s="5" t="s">
        <v>30</v>
      </c>
      <c r="E4281" t="s">
        <v>2415</v>
      </c>
      <c r="F4281" t="s">
        <v>2416</v>
      </c>
      <c r="G4281" t="s">
        <v>2411</v>
      </c>
      <c r="I4281" t="s">
        <v>2404</v>
      </c>
      <c r="J4281" t="s">
        <v>36</v>
      </c>
      <c r="K4281">
        <v>1390</v>
      </c>
      <c r="O4281" t="s">
        <v>176</v>
      </c>
      <c r="P4281" t="s">
        <v>38</v>
      </c>
      <c r="R4281">
        <f t="shared" si="199"/>
        <v>0</v>
      </c>
      <c r="S4281">
        <f>SUMIFS([1]Sheet1!$T:$T,[1]Sheet1!$I:$I,E4281,[1]Sheet1!$C:$C,A4281)</f>
        <v>0</v>
      </c>
      <c r="T4281">
        <f t="shared" si="200"/>
        <v>0</v>
      </c>
      <c r="U4281" s="9"/>
      <c r="Y4281" t="s">
        <v>2417</v>
      </c>
      <c r="Z4281" t="s">
        <v>179</v>
      </c>
      <c r="AB4281" t="str">
        <f t="shared" si="201"/>
        <v>01165</v>
      </c>
    </row>
    <row r="4282" ht="14.25" spans="1:28">
      <c r="A4282" s="5" t="s">
        <v>28</v>
      </c>
      <c r="B4282" s="5" t="s">
        <v>2338</v>
      </c>
      <c r="C4282" s="5">
        <v>2027</v>
      </c>
      <c r="D4282" s="5" t="s">
        <v>30</v>
      </c>
      <c r="E4282" t="s">
        <v>2415</v>
      </c>
      <c r="F4282" t="s">
        <v>2416</v>
      </c>
      <c r="G4282" t="s">
        <v>2411</v>
      </c>
      <c r="I4282" t="s">
        <v>2404</v>
      </c>
      <c r="J4282" t="s">
        <v>36</v>
      </c>
      <c r="K4282">
        <v>1390</v>
      </c>
      <c r="O4282" t="s">
        <v>176</v>
      </c>
      <c r="P4282" t="s">
        <v>42</v>
      </c>
      <c r="U4282" s="9"/>
      <c r="Y4282" t="s">
        <v>2417</v>
      </c>
      <c r="Z4282" t="s">
        <v>179</v>
      </c>
      <c r="AB4282" t="str">
        <f t="shared" si="201"/>
        <v>01165</v>
      </c>
    </row>
    <row r="4283" ht="14.25" spans="1:28">
      <c r="A4283" s="5" t="s">
        <v>28</v>
      </c>
      <c r="B4283" s="5" t="s">
        <v>2338</v>
      </c>
      <c r="C4283" s="5">
        <v>2027</v>
      </c>
      <c r="D4283" s="5" t="s">
        <v>30</v>
      </c>
      <c r="E4283" t="s">
        <v>2415</v>
      </c>
      <c r="F4283" t="s">
        <v>2416</v>
      </c>
      <c r="G4283" t="s">
        <v>2411</v>
      </c>
      <c r="I4283" t="s">
        <v>2404</v>
      </c>
      <c r="J4283" t="s">
        <v>36</v>
      </c>
      <c r="K4283">
        <v>1390</v>
      </c>
      <c r="O4283" t="s">
        <v>176</v>
      </c>
      <c r="P4283" t="s">
        <v>43</v>
      </c>
      <c r="U4283" s="9"/>
      <c r="Y4283" t="s">
        <v>2417</v>
      </c>
      <c r="Z4283" t="s">
        <v>179</v>
      </c>
      <c r="AB4283" t="str">
        <f t="shared" si="201"/>
        <v>01165</v>
      </c>
    </row>
    <row r="4284" ht="14.25" spans="1:28">
      <c r="A4284" s="5" t="s">
        <v>28</v>
      </c>
      <c r="B4284" s="5" t="s">
        <v>2338</v>
      </c>
      <c r="C4284" s="5">
        <v>2027</v>
      </c>
      <c r="D4284" s="5" t="s">
        <v>30</v>
      </c>
      <c r="E4284" t="s">
        <v>2415</v>
      </c>
      <c r="F4284" t="s">
        <v>2416</v>
      </c>
      <c r="G4284" t="s">
        <v>2411</v>
      </c>
      <c r="I4284" t="s">
        <v>2404</v>
      </c>
      <c r="J4284" t="s">
        <v>36</v>
      </c>
      <c r="K4284">
        <v>1390</v>
      </c>
      <c r="O4284" t="s">
        <v>176</v>
      </c>
      <c r="P4284" t="s">
        <v>44</v>
      </c>
      <c r="U4284" s="9"/>
      <c r="Y4284" t="s">
        <v>2417</v>
      </c>
      <c r="Z4284" t="s">
        <v>179</v>
      </c>
      <c r="AB4284" t="str">
        <f t="shared" si="201"/>
        <v>01165</v>
      </c>
    </row>
    <row r="4285" ht="14.25" spans="1:28">
      <c r="A4285" s="5" t="s">
        <v>28</v>
      </c>
      <c r="B4285" s="5" t="s">
        <v>2338</v>
      </c>
      <c r="C4285" s="5">
        <v>2027</v>
      </c>
      <c r="D4285" s="5" t="s">
        <v>30</v>
      </c>
      <c r="E4285" t="s">
        <v>2415</v>
      </c>
      <c r="F4285" t="s">
        <v>2416</v>
      </c>
      <c r="G4285" t="s">
        <v>2411</v>
      </c>
      <c r="I4285" t="s">
        <v>2404</v>
      </c>
      <c r="J4285" t="s">
        <v>36</v>
      </c>
      <c r="K4285">
        <v>1390</v>
      </c>
      <c r="O4285" t="s">
        <v>176</v>
      </c>
      <c r="P4285" t="s">
        <v>45</v>
      </c>
      <c r="U4285" s="9"/>
      <c r="Y4285" t="s">
        <v>2417</v>
      </c>
      <c r="Z4285" t="s">
        <v>179</v>
      </c>
      <c r="AB4285" t="str">
        <f t="shared" si="201"/>
        <v>01165</v>
      </c>
    </row>
    <row r="4286" ht="14.25" spans="1:28">
      <c r="A4286" s="5" t="s">
        <v>28</v>
      </c>
      <c r="B4286" s="5" t="s">
        <v>2338</v>
      </c>
      <c r="C4286" s="5">
        <v>2027</v>
      </c>
      <c r="D4286" s="5" t="s">
        <v>30</v>
      </c>
      <c r="E4286" t="s">
        <v>2418</v>
      </c>
      <c r="F4286" t="s">
        <v>2416</v>
      </c>
      <c r="G4286" t="s">
        <v>2403</v>
      </c>
      <c r="I4286" t="s">
        <v>2404</v>
      </c>
      <c r="J4286" t="s">
        <v>36</v>
      </c>
      <c r="K4286">
        <v>1390</v>
      </c>
      <c r="O4286" t="s">
        <v>176</v>
      </c>
      <c r="P4286" t="s">
        <v>38</v>
      </c>
      <c r="R4286">
        <f t="shared" si="199"/>
        <v>0</v>
      </c>
      <c r="S4286">
        <f>SUMIFS([1]Sheet1!$T:$T,[1]Sheet1!$I:$I,E4286,[1]Sheet1!$C:$C,A4286)</f>
        <v>0</v>
      </c>
      <c r="T4286">
        <f t="shared" si="200"/>
        <v>0</v>
      </c>
      <c r="U4286" s="9"/>
      <c r="Y4286" t="s">
        <v>2417</v>
      </c>
      <c r="Z4286" t="s">
        <v>179</v>
      </c>
      <c r="AB4286" t="str">
        <f t="shared" si="201"/>
        <v>01165</v>
      </c>
    </row>
    <row r="4287" ht="14.25" spans="1:28">
      <c r="A4287" s="5" t="s">
        <v>28</v>
      </c>
      <c r="B4287" s="5" t="s">
        <v>2338</v>
      </c>
      <c r="C4287" s="5">
        <v>2027</v>
      </c>
      <c r="D4287" s="5" t="s">
        <v>30</v>
      </c>
      <c r="E4287" t="s">
        <v>2418</v>
      </c>
      <c r="F4287" t="s">
        <v>2416</v>
      </c>
      <c r="G4287" t="s">
        <v>2403</v>
      </c>
      <c r="I4287" t="s">
        <v>2404</v>
      </c>
      <c r="J4287" t="s">
        <v>36</v>
      </c>
      <c r="K4287">
        <v>1390</v>
      </c>
      <c r="O4287" t="s">
        <v>176</v>
      </c>
      <c r="P4287" t="s">
        <v>42</v>
      </c>
      <c r="U4287" s="9"/>
      <c r="Y4287" t="s">
        <v>2417</v>
      </c>
      <c r="Z4287" t="s">
        <v>179</v>
      </c>
      <c r="AB4287" t="str">
        <f t="shared" si="201"/>
        <v>01165</v>
      </c>
    </row>
    <row r="4288" ht="14.25" spans="1:28">
      <c r="A4288" s="5" t="s">
        <v>28</v>
      </c>
      <c r="B4288" s="5" t="s">
        <v>2338</v>
      </c>
      <c r="C4288" s="5">
        <v>2027</v>
      </c>
      <c r="D4288" s="5" t="s">
        <v>30</v>
      </c>
      <c r="E4288" t="s">
        <v>2418</v>
      </c>
      <c r="F4288" t="s">
        <v>2416</v>
      </c>
      <c r="G4288" t="s">
        <v>2403</v>
      </c>
      <c r="I4288" t="s">
        <v>2404</v>
      </c>
      <c r="J4288" t="s">
        <v>36</v>
      </c>
      <c r="K4288">
        <v>1390</v>
      </c>
      <c r="O4288" t="s">
        <v>176</v>
      </c>
      <c r="P4288" t="s">
        <v>43</v>
      </c>
      <c r="U4288" s="9"/>
      <c r="Y4288" t="s">
        <v>2417</v>
      </c>
      <c r="Z4288" t="s">
        <v>179</v>
      </c>
      <c r="AB4288" t="str">
        <f t="shared" si="201"/>
        <v>01165</v>
      </c>
    </row>
    <row r="4289" ht="14.25" spans="1:28">
      <c r="A4289" s="5" t="s">
        <v>28</v>
      </c>
      <c r="B4289" s="5" t="s">
        <v>2338</v>
      </c>
      <c r="C4289" s="5">
        <v>2027</v>
      </c>
      <c r="D4289" s="5" t="s">
        <v>30</v>
      </c>
      <c r="E4289" t="s">
        <v>2418</v>
      </c>
      <c r="F4289" t="s">
        <v>2416</v>
      </c>
      <c r="G4289" t="s">
        <v>2403</v>
      </c>
      <c r="I4289" t="s">
        <v>2404</v>
      </c>
      <c r="J4289" t="s">
        <v>36</v>
      </c>
      <c r="K4289">
        <v>1390</v>
      </c>
      <c r="O4289" t="s">
        <v>176</v>
      </c>
      <c r="P4289" t="s">
        <v>44</v>
      </c>
      <c r="U4289" s="9"/>
      <c r="Y4289" t="s">
        <v>2417</v>
      </c>
      <c r="Z4289" t="s">
        <v>179</v>
      </c>
      <c r="AB4289" t="str">
        <f t="shared" si="201"/>
        <v>01165</v>
      </c>
    </row>
    <row r="4290" ht="14.25" spans="1:28">
      <c r="A4290" s="5" t="s">
        <v>28</v>
      </c>
      <c r="B4290" s="5" t="s">
        <v>2338</v>
      </c>
      <c r="C4290" s="5">
        <v>2027</v>
      </c>
      <c r="D4290" s="5" t="s">
        <v>30</v>
      </c>
      <c r="E4290" t="s">
        <v>2418</v>
      </c>
      <c r="F4290" t="s">
        <v>2416</v>
      </c>
      <c r="G4290" t="s">
        <v>2403</v>
      </c>
      <c r="I4290" t="s">
        <v>2404</v>
      </c>
      <c r="J4290" t="s">
        <v>36</v>
      </c>
      <c r="K4290">
        <v>1390</v>
      </c>
      <c r="O4290" t="s">
        <v>176</v>
      </c>
      <c r="P4290" t="s">
        <v>45</v>
      </c>
      <c r="U4290" s="9"/>
      <c r="Y4290" t="s">
        <v>2417</v>
      </c>
      <c r="Z4290" t="s">
        <v>179</v>
      </c>
      <c r="AB4290" t="str">
        <f t="shared" si="201"/>
        <v>01165</v>
      </c>
    </row>
    <row r="4291" ht="14.25" spans="1:28">
      <c r="A4291" s="5" t="s">
        <v>28</v>
      </c>
      <c r="B4291" s="5" t="s">
        <v>2338</v>
      </c>
      <c r="C4291" s="5">
        <v>2027</v>
      </c>
      <c r="D4291" s="5" t="s">
        <v>30</v>
      </c>
      <c r="E4291" t="s">
        <v>2419</v>
      </c>
      <c r="F4291" t="s">
        <v>2420</v>
      </c>
      <c r="G4291" t="s">
        <v>2411</v>
      </c>
      <c r="I4291" t="s">
        <v>2404</v>
      </c>
      <c r="J4291" t="s">
        <v>36</v>
      </c>
      <c r="K4291">
        <v>1790</v>
      </c>
      <c r="O4291" t="s">
        <v>176</v>
      </c>
      <c r="P4291" t="s">
        <v>38</v>
      </c>
      <c r="R4291">
        <f>SUMIFS(Q:Q,E:E,E4291)</f>
        <v>0</v>
      </c>
      <c r="S4291">
        <f>SUMIFS([1]Sheet1!$T:$T,[1]Sheet1!$I:$I,E4291,[1]Sheet1!$C:$C,A4291)</f>
        <v>0</v>
      </c>
      <c r="T4291">
        <f>R4291-S4291</f>
        <v>0</v>
      </c>
      <c r="U4291" s="9"/>
      <c r="Y4291" t="s">
        <v>2421</v>
      </c>
      <c r="Z4291" t="s">
        <v>179</v>
      </c>
      <c r="AB4291" t="str">
        <f t="shared" si="201"/>
        <v>01169</v>
      </c>
    </row>
    <row r="4292" ht="14.25" spans="1:28">
      <c r="A4292" s="5" t="s">
        <v>28</v>
      </c>
      <c r="B4292" s="5" t="s">
        <v>2338</v>
      </c>
      <c r="C4292" s="5">
        <v>2027</v>
      </c>
      <c r="D4292" s="5" t="s">
        <v>30</v>
      </c>
      <c r="E4292" t="s">
        <v>2419</v>
      </c>
      <c r="F4292" t="s">
        <v>2420</v>
      </c>
      <c r="G4292" t="s">
        <v>2411</v>
      </c>
      <c r="I4292" t="s">
        <v>2404</v>
      </c>
      <c r="J4292" t="s">
        <v>36</v>
      </c>
      <c r="K4292">
        <v>1790</v>
      </c>
      <c r="O4292" t="s">
        <v>176</v>
      </c>
      <c r="P4292" t="s">
        <v>42</v>
      </c>
      <c r="U4292" s="9"/>
      <c r="Y4292" t="s">
        <v>2421</v>
      </c>
      <c r="Z4292" t="s">
        <v>179</v>
      </c>
      <c r="AB4292" t="str">
        <f t="shared" si="201"/>
        <v>01169</v>
      </c>
    </row>
    <row r="4293" ht="14.25" spans="1:28">
      <c r="A4293" s="5" t="s">
        <v>28</v>
      </c>
      <c r="B4293" s="5" t="s">
        <v>2338</v>
      </c>
      <c r="C4293" s="5">
        <v>2027</v>
      </c>
      <c r="D4293" s="5" t="s">
        <v>30</v>
      </c>
      <c r="E4293" t="s">
        <v>2419</v>
      </c>
      <c r="F4293" t="s">
        <v>2420</v>
      </c>
      <c r="G4293" t="s">
        <v>2411</v>
      </c>
      <c r="I4293" t="s">
        <v>2404</v>
      </c>
      <c r="J4293" t="s">
        <v>36</v>
      </c>
      <c r="K4293">
        <v>1790</v>
      </c>
      <c r="O4293" t="s">
        <v>176</v>
      </c>
      <c r="P4293" t="s">
        <v>43</v>
      </c>
      <c r="U4293" s="9"/>
      <c r="Y4293" t="s">
        <v>2421</v>
      </c>
      <c r="Z4293" t="s">
        <v>179</v>
      </c>
      <c r="AB4293" t="str">
        <f t="shared" si="201"/>
        <v>01169</v>
      </c>
    </row>
    <row r="4294" ht="14.25" spans="1:28">
      <c r="A4294" s="5" t="s">
        <v>28</v>
      </c>
      <c r="B4294" s="5" t="s">
        <v>2338</v>
      </c>
      <c r="C4294" s="5">
        <v>2027</v>
      </c>
      <c r="D4294" s="5" t="s">
        <v>30</v>
      </c>
      <c r="E4294" t="s">
        <v>2419</v>
      </c>
      <c r="F4294" t="s">
        <v>2420</v>
      </c>
      <c r="G4294" t="s">
        <v>2411</v>
      </c>
      <c r="I4294" t="s">
        <v>2404</v>
      </c>
      <c r="J4294" t="s">
        <v>36</v>
      </c>
      <c r="K4294">
        <v>1790</v>
      </c>
      <c r="O4294" t="s">
        <v>176</v>
      </c>
      <c r="P4294" t="s">
        <v>44</v>
      </c>
      <c r="U4294" s="9"/>
      <c r="Y4294" t="s">
        <v>2421</v>
      </c>
      <c r="Z4294" t="s">
        <v>179</v>
      </c>
      <c r="AB4294" t="str">
        <f t="shared" si="201"/>
        <v>01169</v>
      </c>
    </row>
    <row r="4295" ht="14.25" spans="1:28">
      <c r="A4295" s="5" t="s">
        <v>28</v>
      </c>
      <c r="B4295" s="5" t="s">
        <v>2338</v>
      </c>
      <c r="C4295" s="5">
        <v>2027</v>
      </c>
      <c r="D4295" s="5" t="s">
        <v>30</v>
      </c>
      <c r="E4295" t="s">
        <v>2419</v>
      </c>
      <c r="F4295" t="s">
        <v>2420</v>
      </c>
      <c r="G4295" t="s">
        <v>2411</v>
      </c>
      <c r="I4295" t="s">
        <v>2404</v>
      </c>
      <c r="J4295" t="s">
        <v>36</v>
      </c>
      <c r="K4295">
        <v>1790</v>
      </c>
      <c r="O4295" t="s">
        <v>176</v>
      </c>
      <c r="P4295" t="s">
        <v>45</v>
      </c>
      <c r="U4295" s="9"/>
      <c r="Y4295" t="s">
        <v>2421</v>
      </c>
      <c r="Z4295" t="s">
        <v>179</v>
      </c>
      <c r="AB4295" t="str">
        <f t="shared" si="201"/>
        <v>01169</v>
      </c>
    </row>
    <row r="4296" ht="14.25" spans="1:28">
      <c r="A4296" s="5" t="s">
        <v>28</v>
      </c>
      <c r="B4296" s="5" t="s">
        <v>2338</v>
      </c>
      <c r="C4296" s="5">
        <v>2027</v>
      </c>
      <c r="D4296" s="5" t="s">
        <v>30</v>
      </c>
      <c r="E4296" t="s">
        <v>2422</v>
      </c>
      <c r="F4296" t="s">
        <v>2423</v>
      </c>
      <c r="G4296" t="s">
        <v>2424</v>
      </c>
      <c r="I4296" t="s">
        <v>2404</v>
      </c>
      <c r="J4296" t="s">
        <v>36</v>
      </c>
      <c r="K4296">
        <v>1590</v>
      </c>
      <c r="O4296" t="s">
        <v>176</v>
      </c>
      <c r="P4296" t="s">
        <v>38</v>
      </c>
      <c r="R4296">
        <f>SUMIFS(Q:Q,E:E,E4296)</f>
        <v>0</v>
      </c>
      <c r="S4296">
        <f>SUMIFS([1]Sheet1!$T:$T,[1]Sheet1!$I:$I,E4296,[1]Sheet1!$C:$C,A4296)</f>
        <v>0</v>
      </c>
      <c r="T4296">
        <f>R4296-S4296</f>
        <v>0</v>
      </c>
      <c r="U4296" s="9"/>
      <c r="Y4296" t="s">
        <v>2425</v>
      </c>
      <c r="Z4296" t="s">
        <v>179</v>
      </c>
      <c r="AB4296" t="str">
        <f t="shared" si="201"/>
        <v>01170</v>
      </c>
    </row>
    <row r="4297" ht="14.25" spans="1:28">
      <c r="A4297" s="5" t="s">
        <v>28</v>
      </c>
      <c r="B4297" s="5" t="s">
        <v>2338</v>
      </c>
      <c r="C4297" s="5">
        <v>2027</v>
      </c>
      <c r="D4297" s="5" t="s">
        <v>30</v>
      </c>
      <c r="E4297" t="s">
        <v>2422</v>
      </c>
      <c r="F4297" t="s">
        <v>2423</v>
      </c>
      <c r="G4297" t="s">
        <v>2424</v>
      </c>
      <c r="I4297" t="s">
        <v>2404</v>
      </c>
      <c r="J4297" t="s">
        <v>36</v>
      </c>
      <c r="K4297">
        <v>1590</v>
      </c>
      <c r="O4297" t="s">
        <v>176</v>
      </c>
      <c r="P4297" t="s">
        <v>42</v>
      </c>
      <c r="U4297" s="9"/>
      <c r="Y4297" t="s">
        <v>2425</v>
      </c>
      <c r="Z4297" t="s">
        <v>179</v>
      </c>
      <c r="AB4297" t="str">
        <f t="shared" si="201"/>
        <v>01170</v>
      </c>
    </row>
    <row r="4298" ht="14.25" spans="1:28">
      <c r="A4298" s="5" t="s">
        <v>28</v>
      </c>
      <c r="B4298" s="5" t="s">
        <v>2338</v>
      </c>
      <c r="C4298" s="5">
        <v>2027</v>
      </c>
      <c r="D4298" s="5" t="s">
        <v>30</v>
      </c>
      <c r="E4298" t="s">
        <v>2422</v>
      </c>
      <c r="F4298" t="s">
        <v>2423</v>
      </c>
      <c r="G4298" t="s">
        <v>2424</v>
      </c>
      <c r="I4298" t="s">
        <v>2404</v>
      </c>
      <c r="J4298" t="s">
        <v>36</v>
      </c>
      <c r="K4298">
        <v>1590</v>
      </c>
      <c r="O4298" t="s">
        <v>176</v>
      </c>
      <c r="P4298" t="s">
        <v>43</v>
      </c>
      <c r="U4298" s="9"/>
      <c r="Y4298" t="s">
        <v>2425</v>
      </c>
      <c r="Z4298" t="s">
        <v>179</v>
      </c>
      <c r="AB4298" t="str">
        <f t="shared" si="201"/>
        <v>01170</v>
      </c>
    </row>
    <row r="4299" ht="14.25" spans="1:28">
      <c r="A4299" s="5" t="s">
        <v>28</v>
      </c>
      <c r="B4299" s="5" t="s">
        <v>2338</v>
      </c>
      <c r="C4299" s="5">
        <v>2027</v>
      </c>
      <c r="D4299" s="5" t="s">
        <v>30</v>
      </c>
      <c r="E4299" t="s">
        <v>2422</v>
      </c>
      <c r="F4299" t="s">
        <v>2423</v>
      </c>
      <c r="G4299" t="s">
        <v>2424</v>
      </c>
      <c r="I4299" t="s">
        <v>2404</v>
      </c>
      <c r="J4299" t="s">
        <v>36</v>
      </c>
      <c r="K4299">
        <v>1590</v>
      </c>
      <c r="O4299" t="s">
        <v>176</v>
      </c>
      <c r="P4299" t="s">
        <v>44</v>
      </c>
      <c r="U4299" s="9"/>
      <c r="Y4299" t="s">
        <v>2425</v>
      </c>
      <c r="Z4299" t="s">
        <v>179</v>
      </c>
      <c r="AB4299" t="str">
        <f t="shared" si="201"/>
        <v>01170</v>
      </c>
    </row>
    <row r="4300" ht="14.25" spans="1:28">
      <c r="A4300" s="5" t="s">
        <v>28</v>
      </c>
      <c r="B4300" s="5" t="s">
        <v>2338</v>
      </c>
      <c r="C4300" s="5">
        <v>2027</v>
      </c>
      <c r="D4300" s="5" t="s">
        <v>30</v>
      </c>
      <c r="E4300" t="s">
        <v>2422</v>
      </c>
      <c r="F4300" t="s">
        <v>2423</v>
      </c>
      <c r="G4300" t="s">
        <v>2424</v>
      </c>
      <c r="I4300" t="s">
        <v>2404</v>
      </c>
      <c r="J4300" t="s">
        <v>36</v>
      </c>
      <c r="K4300">
        <v>1590</v>
      </c>
      <c r="O4300" t="s">
        <v>176</v>
      </c>
      <c r="P4300" t="s">
        <v>45</v>
      </c>
      <c r="U4300" s="9"/>
      <c r="Y4300" t="s">
        <v>2425</v>
      </c>
      <c r="Z4300" t="s">
        <v>179</v>
      </c>
      <c r="AB4300" t="str">
        <f t="shared" si="201"/>
        <v>01170</v>
      </c>
    </row>
    <row r="4301" ht="14.25" spans="1:28">
      <c r="A4301" s="5" t="s">
        <v>28</v>
      </c>
      <c r="B4301" s="5" t="s">
        <v>2338</v>
      </c>
      <c r="C4301" s="5">
        <v>2027</v>
      </c>
      <c r="D4301" s="5" t="s">
        <v>30</v>
      </c>
      <c r="E4301" t="s">
        <v>2426</v>
      </c>
      <c r="F4301" t="s">
        <v>2427</v>
      </c>
      <c r="G4301" t="s">
        <v>2428</v>
      </c>
      <c r="I4301" t="s">
        <v>2404</v>
      </c>
      <c r="J4301" t="s">
        <v>36</v>
      </c>
      <c r="K4301">
        <v>1590</v>
      </c>
      <c r="O4301" t="s">
        <v>176</v>
      </c>
      <c r="P4301" t="s">
        <v>38</v>
      </c>
      <c r="R4301">
        <f>SUMIFS(Q:Q,E:E,E4301)</f>
        <v>0</v>
      </c>
      <c r="S4301">
        <f>SUMIFS([1]Sheet1!$T:$T,[1]Sheet1!$I:$I,E4301,[1]Sheet1!$C:$C,A4301)</f>
        <v>0</v>
      </c>
      <c r="T4301">
        <f>R4301-S4301</f>
        <v>0</v>
      </c>
      <c r="U4301" s="9"/>
      <c r="Y4301" t="s">
        <v>2429</v>
      </c>
      <c r="Z4301" t="s">
        <v>179</v>
      </c>
      <c r="AB4301" t="str">
        <f t="shared" si="201"/>
        <v>01171</v>
      </c>
    </row>
    <row r="4302" ht="14.25" spans="1:28">
      <c r="A4302" s="5" t="s">
        <v>28</v>
      </c>
      <c r="B4302" s="5" t="s">
        <v>2338</v>
      </c>
      <c r="C4302" s="5">
        <v>2027</v>
      </c>
      <c r="D4302" s="5" t="s">
        <v>30</v>
      </c>
      <c r="E4302" t="s">
        <v>2426</v>
      </c>
      <c r="F4302" t="s">
        <v>2427</v>
      </c>
      <c r="G4302" t="s">
        <v>2428</v>
      </c>
      <c r="I4302" t="s">
        <v>2404</v>
      </c>
      <c r="J4302" t="s">
        <v>36</v>
      </c>
      <c r="K4302">
        <v>1590</v>
      </c>
      <c r="O4302" t="s">
        <v>176</v>
      </c>
      <c r="P4302" t="s">
        <v>42</v>
      </c>
      <c r="U4302" s="9"/>
      <c r="Y4302" t="s">
        <v>2429</v>
      </c>
      <c r="Z4302" t="s">
        <v>179</v>
      </c>
      <c r="AB4302" t="str">
        <f t="shared" si="201"/>
        <v>01171</v>
      </c>
    </row>
    <row r="4303" ht="14.25" spans="1:28">
      <c r="A4303" s="5" t="s">
        <v>28</v>
      </c>
      <c r="B4303" s="5" t="s">
        <v>2338</v>
      </c>
      <c r="C4303" s="5">
        <v>2027</v>
      </c>
      <c r="D4303" s="5" t="s">
        <v>30</v>
      </c>
      <c r="E4303" t="s">
        <v>2426</v>
      </c>
      <c r="F4303" t="s">
        <v>2427</v>
      </c>
      <c r="G4303" t="s">
        <v>2428</v>
      </c>
      <c r="I4303" t="s">
        <v>2404</v>
      </c>
      <c r="J4303" t="s">
        <v>36</v>
      </c>
      <c r="K4303">
        <v>1590</v>
      </c>
      <c r="O4303" t="s">
        <v>176</v>
      </c>
      <c r="P4303" t="s">
        <v>43</v>
      </c>
      <c r="U4303" s="9"/>
      <c r="Y4303" t="s">
        <v>2429</v>
      </c>
      <c r="Z4303" t="s">
        <v>179</v>
      </c>
      <c r="AB4303" t="str">
        <f t="shared" si="201"/>
        <v>01171</v>
      </c>
    </row>
    <row r="4304" ht="14.25" spans="1:28">
      <c r="A4304" s="5" t="s">
        <v>28</v>
      </c>
      <c r="B4304" s="5" t="s">
        <v>2338</v>
      </c>
      <c r="C4304" s="5">
        <v>2027</v>
      </c>
      <c r="D4304" s="5" t="s">
        <v>30</v>
      </c>
      <c r="E4304" t="s">
        <v>2426</v>
      </c>
      <c r="F4304" t="s">
        <v>2427</v>
      </c>
      <c r="G4304" t="s">
        <v>2428</v>
      </c>
      <c r="I4304" t="s">
        <v>2404</v>
      </c>
      <c r="J4304" t="s">
        <v>36</v>
      </c>
      <c r="K4304">
        <v>1590</v>
      </c>
      <c r="O4304" t="s">
        <v>176</v>
      </c>
      <c r="P4304" t="s">
        <v>44</v>
      </c>
      <c r="U4304" s="9"/>
      <c r="Y4304" t="s">
        <v>2429</v>
      </c>
      <c r="Z4304" t="s">
        <v>179</v>
      </c>
      <c r="AB4304" t="str">
        <f t="shared" si="201"/>
        <v>01171</v>
      </c>
    </row>
    <row r="4305" ht="14.25" spans="1:28">
      <c r="A4305" s="5" t="s">
        <v>28</v>
      </c>
      <c r="B4305" s="5" t="s">
        <v>2338</v>
      </c>
      <c r="C4305" s="5">
        <v>2027</v>
      </c>
      <c r="D4305" s="5" t="s">
        <v>30</v>
      </c>
      <c r="E4305" t="s">
        <v>2426</v>
      </c>
      <c r="F4305" t="s">
        <v>2427</v>
      </c>
      <c r="G4305" t="s">
        <v>2428</v>
      </c>
      <c r="I4305" t="s">
        <v>2404</v>
      </c>
      <c r="J4305" t="s">
        <v>36</v>
      </c>
      <c r="K4305">
        <v>1590</v>
      </c>
      <c r="O4305" t="s">
        <v>176</v>
      </c>
      <c r="P4305" t="s">
        <v>45</v>
      </c>
      <c r="U4305" s="9"/>
      <c r="Y4305" t="s">
        <v>2429</v>
      </c>
      <c r="Z4305" t="s">
        <v>179</v>
      </c>
      <c r="AB4305" t="str">
        <f t="shared" si="201"/>
        <v>01171</v>
      </c>
    </row>
    <row r="4306" ht="14.25" spans="1:28">
      <c r="A4306" s="5" t="s">
        <v>28</v>
      </c>
      <c r="B4306" s="5" t="s">
        <v>2338</v>
      </c>
      <c r="C4306" s="5">
        <v>2027</v>
      </c>
      <c r="D4306" s="5" t="s">
        <v>30</v>
      </c>
      <c r="E4306" t="s">
        <v>2430</v>
      </c>
      <c r="F4306" t="s">
        <v>2431</v>
      </c>
      <c r="G4306" t="s">
        <v>2414</v>
      </c>
      <c r="I4306" t="s">
        <v>2404</v>
      </c>
      <c r="J4306" t="s">
        <v>36</v>
      </c>
      <c r="K4306">
        <v>1390</v>
      </c>
      <c r="O4306" t="s">
        <v>176</v>
      </c>
      <c r="P4306" t="s">
        <v>38</v>
      </c>
      <c r="R4306">
        <f>SUMIFS(Q:Q,E:E,E4306)</f>
        <v>0</v>
      </c>
      <c r="S4306">
        <f>SUMIFS([1]Sheet1!$T:$T,[1]Sheet1!$I:$I,E4306,[1]Sheet1!$C:$C,A4306)</f>
        <v>0</v>
      </c>
      <c r="T4306">
        <f>R4306-S4306</f>
        <v>0</v>
      </c>
      <c r="U4306" s="9"/>
      <c r="Y4306" t="s">
        <v>2417</v>
      </c>
      <c r="Z4306" t="s">
        <v>179</v>
      </c>
      <c r="AB4306" t="str">
        <f t="shared" si="201"/>
        <v>01301</v>
      </c>
    </row>
    <row r="4307" ht="14.25" spans="1:28">
      <c r="A4307" s="5" t="s">
        <v>28</v>
      </c>
      <c r="B4307" s="5" t="s">
        <v>2338</v>
      </c>
      <c r="C4307" s="5">
        <v>2027</v>
      </c>
      <c r="D4307" s="5" t="s">
        <v>30</v>
      </c>
      <c r="E4307" t="s">
        <v>2430</v>
      </c>
      <c r="F4307" t="s">
        <v>2431</v>
      </c>
      <c r="G4307" t="s">
        <v>2414</v>
      </c>
      <c r="I4307" t="s">
        <v>2404</v>
      </c>
      <c r="J4307" t="s">
        <v>36</v>
      </c>
      <c r="K4307">
        <v>1390</v>
      </c>
      <c r="O4307" t="s">
        <v>176</v>
      </c>
      <c r="P4307" t="s">
        <v>42</v>
      </c>
      <c r="U4307" s="9"/>
      <c r="Y4307" t="s">
        <v>2417</v>
      </c>
      <c r="Z4307" t="s">
        <v>179</v>
      </c>
      <c r="AB4307" t="str">
        <f t="shared" si="201"/>
        <v>01301</v>
      </c>
    </row>
    <row r="4308" ht="14.25" spans="1:28">
      <c r="A4308" s="5" t="s">
        <v>28</v>
      </c>
      <c r="B4308" s="5" t="s">
        <v>2338</v>
      </c>
      <c r="C4308" s="5">
        <v>2027</v>
      </c>
      <c r="D4308" s="5" t="s">
        <v>30</v>
      </c>
      <c r="E4308" t="s">
        <v>2430</v>
      </c>
      <c r="F4308" t="s">
        <v>2431</v>
      </c>
      <c r="G4308" t="s">
        <v>2414</v>
      </c>
      <c r="I4308" t="s">
        <v>2404</v>
      </c>
      <c r="J4308" t="s">
        <v>36</v>
      </c>
      <c r="K4308">
        <v>1390</v>
      </c>
      <c r="O4308" t="s">
        <v>176</v>
      </c>
      <c r="P4308" t="s">
        <v>43</v>
      </c>
      <c r="U4308" s="9"/>
      <c r="Y4308" t="s">
        <v>2417</v>
      </c>
      <c r="Z4308" t="s">
        <v>179</v>
      </c>
      <c r="AB4308" t="str">
        <f t="shared" si="201"/>
        <v>01301</v>
      </c>
    </row>
    <row r="4309" ht="14.25" spans="1:28">
      <c r="A4309" s="5" t="s">
        <v>28</v>
      </c>
      <c r="B4309" s="5" t="s">
        <v>2338</v>
      </c>
      <c r="C4309" s="5">
        <v>2027</v>
      </c>
      <c r="D4309" s="5" t="s">
        <v>30</v>
      </c>
      <c r="E4309" t="s">
        <v>2430</v>
      </c>
      <c r="F4309" t="s">
        <v>2431</v>
      </c>
      <c r="G4309" t="s">
        <v>2414</v>
      </c>
      <c r="I4309" t="s">
        <v>2404</v>
      </c>
      <c r="J4309" t="s">
        <v>36</v>
      </c>
      <c r="K4309">
        <v>1390</v>
      </c>
      <c r="O4309" t="s">
        <v>176</v>
      </c>
      <c r="P4309" t="s">
        <v>44</v>
      </c>
      <c r="U4309" s="9"/>
      <c r="Y4309" t="s">
        <v>2417</v>
      </c>
      <c r="Z4309" t="s">
        <v>179</v>
      </c>
      <c r="AB4309" t="str">
        <f t="shared" si="201"/>
        <v>01301</v>
      </c>
    </row>
    <row r="4310" ht="14.25" spans="1:28">
      <c r="A4310" s="5" t="s">
        <v>28</v>
      </c>
      <c r="B4310" s="5" t="s">
        <v>2338</v>
      </c>
      <c r="C4310" s="5">
        <v>2027</v>
      </c>
      <c r="D4310" s="5" t="s">
        <v>30</v>
      </c>
      <c r="E4310" t="s">
        <v>2430</v>
      </c>
      <c r="F4310" t="s">
        <v>2431</v>
      </c>
      <c r="G4310" t="s">
        <v>2414</v>
      </c>
      <c r="I4310" t="s">
        <v>2404</v>
      </c>
      <c r="J4310" t="s">
        <v>36</v>
      </c>
      <c r="K4310">
        <v>1390</v>
      </c>
      <c r="O4310" t="s">
        <v>176</v>
      </c>
      <c r="P4310" t="s">
        <v>45</v>
      </c>
      <c r="U4310" s="9"/>
      <c r="Y4310" t="s">
        <v>2417</v>
      </c>
      <c r="Z4310" t="s">
        <v>179</v>
      </c>
      <c r="AB4310" t="str">
        <f t="shared" si="201"/>
        <v>01301</v>
      </c>
    </row>
    <row r="4311" ht="14.25" spans="1:28">
      <c r="A4311" s="5" t="s">
        <v>28</v>
      </c>
      <c r="B4311" s="5" t="s">
        <v>2338</v>
      </c>
      <c r="C4311" s="5">
        <v>2027</v>
      </c>
      <c r="D4311" s="5" t="s">
        <v>30</v>
      </c>
      <c r="E4311" t="s">
        <v>2432</v>
      </c>
      <c r="F4311" t="s">
        <v>2433</v>
      </c>
      <c r="G4311" t="s">
        <v>2434</v>
      </c>
      <c r="I4311" t="s">
        <v>2404</v>
      </c>
      <c r="J4311" t="s">
        <v>36</v>
      </c>
      <c r="K4311">
        <v>2990</v>
      </c>
      <c r="O4311" t="s">
        <v>176</v>
      </c>
      <c r="P4311" t="s">
        <v>38</v>
      </c>
      <c r="R4311">
        <f>SUMIFS(Q:Q,E:E,E4311)</f>
        <v>0</v>
      </c>
      <c r="S4311">
        <f>SUMIFS([1]Sheet1!$T:$T,[1]Sheet1!$I:$I,E4311,[1]Sheet1!$C:$C,A4311)</f>
        <v>0</v>
      </c>
      <c r="T4311">
        <f>R4311-S4311</f>
        <v>0</v>
      </c>
      <c r="U4311" s="9"/>
      <c r="Y4311" t="s">
        <v>2435</v>
      </c>
      <c r="Z4311" t="s">
        <v>179</v>
      </c>
      <c r="AB4311" t="str">
        <f t="shared" si="201"/>
        <v>01302</v>
      </c>
    </row>
    <row r="4312" ht="14.25" spans="1:28">
      <c r="A4312" s="5" t="s">
        <v>28</v>
      </c>
      <c r="B4312" s="5" t="s">
        <v>2338</v>
      </c>
      <c r="C4312" s="5">
        <v>2027</v>
      </c>
      <c r="D4312" s="5" t="s">
        <v>30</v>
      </c>
      <c r="E4312" t="s">
        <v>2432</v>
      </c>
      <c r="F4312" t="s">
        <v>2433</v>
      </c>
      <c r="G4312" t="s">
        <v>2434</v>
      </c>
      <c r="I4312" t="s">
        <v>2404</v>
      </c>
      <c r="J4312" t="s">
        <v>36</v>
      </c>
      <c r="K4312">
        <v>2990</v>
      </c>
      <c r="O4312" t="s">
        <v>176</v>
      </c>
      <c r="P4312" t="s">
        <v>42</v>
      </c>
      <c r="U4312" s="9"/>
      <c r="Y4312" t="s">
        <v>2435</v>
      </c>
      <c r="Z4312" t="s">
        <v>179</v>
      </c>
      <c r="AB4312" t="str">
        <f t="shared" si="201"/>
        <v>01302</v>
      </c>
    </row>
    <row r="4313" ht="14.25" spans="1:28">
      <c r="A4313" s="5" t="s">
        <v>28</v>
      </c>
      <c r="B4313" s="5" t="s">
        <v>2338</v>
      </c>
      <c r="C4313" s="5">
        <v>2027</v>
      </c>
      <c r="D4313" s="5" t="s">
        <v>30</v>
      </c>
      <c r="E4313" t="s">
        <v>2432</v>
      </c>
      <c r="F4313" t="s">
        <v>2433</v>
      </c>
      <c r="G4313" t="s">
        <v>2434</v>
      </c>
      <c r="I4313" t="s">
        <v>2404</v>
      </c>
      <c r="J4313" t="s">
        <v>36</v>
      </c>
      <c r="K4313">
        <v>2990</v>
      </c>
      <c r="O4313" t="s">
        <v>176</v>
      </c>
      <c r="P4313" t="s">
        <v>43</v>
      </c>
      <c r="U4313" s="9"/>
      <c r="Y4313" t="s">
        <v>2435</v>
      </c>
      <c r="Z4313" t="s">
        <v>179</v>
      </c>
      <c r="AB4313" t="str">
        <f t="shared" si="201"/>
        <v>01302</v>
      </c>
    </row>
    <row r="4314" ht="14.25" spans="1:28">
      <c r="A4314" s="5" t="s">
        <v>28</v>
      </c>
      <c r="B4314" s="5" t="s">
        <v>2338</v>
      </c>
      <c r="C4314" s="5">
        <v>2027</v>
      </c>
      <c r="D4314" s="5" t="s">
        <v>30</v>
      </c>
      <c r="E4314" t="s">
        <v>2432</v>
      </c>
      <c r="F4314" t="s">
        <v>2433</v>
      </c>
      <c r="G4314" t="s">
        <v>2434</v>
      </c>
      <c r="I4314" t="s">
        <v>2404</v>
      </c>
      <c r="J4314" t="s">
        <v>36</v>
      </c>
      <c r="K4314">
        <v>2990</v>
      </c>
      <c r="O4314" t="s">
        <v>176</v>
      </c>
      <c r="P4314" t="s">
        <v>44</v>
      </c>
      <c r="U4314" s="9"/>
      <c r="Y4314" t="s">
        <v>2435</v>
      </c>
      <c r="Z4314" t="s">
        <v>179</v>
      </c>
      <c r="AB4314" t="str">
        <f t="shared" si="201"/>
        <v>01302</v>
      </c>
    </row>
    <row r="4315" ht="14.25" spans="1:28">
      <c r="A4315" s="5" t="s">
        <v>28</v>
      </c>
      <c r="B4315" s="5" t="s">
        <v>2338</v>
      </c>
      <c r="C4315" s="5">
        <v>2027</v>
      </c>
      <c r="D4315" s="5" t="s">
        <v>30</v>
      </c>
      <c r="E4315" t="s">
        <v>2432</v>
      </c>
      <c r="F4315" t="s">
        <v>2433</v>
      </c>
      <c r="G4315" t="s">
        <v>2434</v>
      </c>
      <c r="I4315" t="s">
        <v>2404</v>
      </c>
      <c r="J4315" t="s">
        <v>36</v>
      </c>
      <c r="K4315">
        <v>2990</v>
      </c>
      <c r="O4315" t="s">
        <v>176</v>
      </c>
      <c r="P4315" t="s">
        <v>45</v>
      </c>
      <c r="U4315" s="9"/>
      <c r="Y4315" t="s">
        <v>2435</v>
      </c>
      <c r="Z4315" t="s">
        <v>179</v>
      </c>
      <c r="AB4315" t="str">
        <f t="shared" si="201"/>
        <v>01302</v>
      </c>
    </row>
    <row r="4316" ht="14.25" spans="1:28">
      <c r="A4316" s="5" t="s">
        <v>28</v>
      </c>
      <c r="B4316" s="5" t="s">
        <v>2338</v>
      </c>
      <c r="C4316" s="5">
        <v>2027</v>
      </c>
      <c r="D4316" s="5" t="s">
        <v>30</v>
      </c>
      <c r="E4316" t="s">
        <v>2436</v>
      </c>
      <c r="F4316" t="s">
        <v>2437</v>
      </c>
      <c r="G4316" t="s">
        <v>2438</v>
      </c>
      <c r="I4316" t="s">
        <v>2404</v>
      </c>
      <c r="J4316" t="s">
        <v>36</v>
      </c>
      <c r="K4316">
        <v>1790</v>
      </c>
      <c r="O4316" t="s">
        <v>176</v>
      </c>
      <c r="P4316" t="s">
        <v>38</v>
      </c>
      <c r="R4316">
        <f>SUMIFS(Q:Q,E:E,E4316)</f>
        <v>0</v>
      </c>
      <c r="S4316">
        <f>SUMIFS([1]Sheet1!$T:$T,[1]Sheet1!$I:$I,E4316,[1]Sheet1!$C:$C,A4316)</f>
        <v>0</v>
      </c>
      <c r="T4316">
        <f>R4316-S4316</f>
        <v>0</v>
      </c>
      <c r="U4316" s="9"/>
      <c r="Y4316" t="s">
        <v>2421</v>
      </c>
      <c r="Z4316" t="s">
        <v>179</v>
      </c>
      <c r="AB4316" t="str">
        <f t="shared" si="201"/>
        <v>01303</v>
      </c>
    </row>
    <row r="4317" ht="14.25" spans="1:28">
      <c r="A4317" s="5" t="s">
        <v>28</v>
      </c>
      <c r="B4317" s="5" t="s">
        <v>2338</v>
      </c>
      <c r="C4317" s="5">
        <v>2027</v>
      </c>
      <c r="D4317" s="5" t="s">
        <v>30</v>
      </c>
      <c r="E4317" t="s">
        <v>2436</v>
      </c>
      <c r="F4317" t="s">
        <v>2437</v>
      </c>
      <c r="G4317" t="s">
        <v>2438</v>
      </c>
      <c r="I4317" t="s">
        <v>2404</v>
      </c>
      <c r="J4317" t="s">
        <v>36</v>
      </c>
      <c r="K4317">
        <v>1790</v>
      </c>
      <c r="O4317" t="s">
        <v>176</v>
      </c>
      <c r="P4317" t="s">
        <v>42</v>
      </c>
      <c r="U4317" s="9"/>
      <c r="Y4317" t="s">
        <v>2421</v>
      </c>
      <c r="Z4317" t="s">
        <v>179</v>
      </c>
      <c r="AB4317" t="str">
        <f t="shared" si="201"/>
        <v>01303</v>
      </c>
    </row>
    <row r="4318" ht="14.25" spans="1:28">
      <c r="A4318" s="5" t="s">
        <v>28</v>
      </c>
      <c r="B4318" s="5" t="s">
        <v>2338</v>
      </c>
      <c r="C4318" s="5">
        <v>2027</v>
      </c>
      <c r="D4318" s="5" t="s">
        <v>30</v>
      </c>
      <c r="E4318" t="s">
        <v>2436</v>
      </c>
      <c r="F4318" t="s">
        <v>2437</v>
      </c>
      <c r="G4318" t="s">
        <v>2438</v>
      </c>
      <c r="I4318" t="s">
        <v>2404</v>
      </c>
      <c r="J4318" t="s">
        <v>36</v>
      </c>
      <c r="K4318">
        <v>1790</v>
      </c>
      <c r="O4318" t="s">
        <v>176</v>
      </c>
      <c r="P4318" t="s">
        <v>43</v>
      </c>
      <c r="U4318" s="9"/>
      <c r="Y4318" t="s">
        <v>2421</v>
      </c>
      <c r="Z4318" t="s">
        <v>179</v>
      </c>
      <c r="AB4318" t="str">
        <f t="shared" si="201"/>
        <v>01303</v>
      </c>
    </row>
    <row r="4319" ht="14.25" spans="1:28">
      <c r="A4319" s="5" t="s">
        <v>28</v>
      </c>
      <c r="B4319" s="5" t="s">
        <v>2338</v>
      </c>
      <c r="C4319" s="5">
        <v>2027</v>
      </c>
      <c r="D4319" s="5" t="s">
        <v>30</v>
      </c>
      <c r="E4319" t="s">
        <v>2436</v>
      </c>
      <c r="F4319" t="s">
        <v>2437</v>
      </c>
      <c r="G4319" t="s">
        <v>2438</v>
      </c>
      <c r="I4319" t="s">
        <v>2404</v>
      </c>
      <c r="J4319" t="s">
        <v>36</v>
      </c>
      <c r="K4319">
        <v>1790</v>
      </c>
      <c r="O4319" t="s">
        <v>176</v>
      </c>
      <c r="P4319" t="s">
        <v>44</v>
      </c>
      <c r="U4319" s="9"/>
      <c r="Y4319" t="s">
        <v>2421</v>
      </c>
      <c r="Z4319" t="s">
        <v>179</v>
      </c>
      <c r="AB4319" t="str">
        <f t="shared" si="201"/>
        <v>01303</v>
      </c>
    </row>
    <row r="4320" ht="14.25" spans="1:28">
      <c r="A4320" s="5" t="s">
        <v>28</v>
      </c>
      <c r="B4320" s="5" t="s">
        <v>2338</v>
      </c>
      <c r="C4320" s="5">
        <v>2027</v>
      </c>
      <c r="D4320" s="5" t="s">
        <v>30</v>
      </c>
      <c r="E4320" t="s">
        <v>2436</v>
      </c>
      <c r="F4320" t="s">
        <v>2437</v>
      </c>
      <c r="G4320" t="s">
        <v>2438</v>
      </c>
      <c r="I4320" t="s">
        <v>2404</v>
      </c>
      <c r="J4320" t="s">
        <v>36</v>
      </c>
      <c r="K4320">
        <v>1790</v>
      </c>
      <c r="O4320" t="s">
        <v>176</v>
      </c>
      <c r="P4320" t="s">
        <v>45</v>
      </c>
      <c r="U4320" s="9"/>
      <c r="Y4320" t="s">
        <v>2421</v>
      </c>
      <c r="Z4320" t="s">
        <v>179</v>
      </c>
      <c r="AB4320" t="str">
        <f t="shared" si="201"/>
        <v>01303</v>
      </c>
    </row>
    <row r="4321" ht="14.25" spans="1:28">
      <c r="A4321" s="5" t="s">
        <v>28</v>
      </c>
      <c r="B4321" s="5" t="s">
        <v>2338</v>
      </c>
      <c r="C4321" s="5">
        <v>2027</v>
      </c>
      <c r="D4321" s="5" t="s">
        <v>30</v>
      </c>
      <c r="E4321" t="s">
        <v>2439</v>
      </c>
      <c r="F4321" t="s">
        <v>2440</v>
      </c>
      <c r="G4321" t="s">
        <v>117</v>
      </c>
      <c r="I4321" t="s">
        <v>2341</v>
      </c>
      <c r="J4321" t="s">
        <v>36</v>
      </c>
      <c r="K4321">
        <v>2690</v>
      </c>
      <c r="O4321" t="s">
        <v>176</v>
      </c>
      <c r="P4321" t="s">
        <v>38</v>
      </c>
      <c r="R4321">
        <f>SUMIFS(Q:Q,E:E,E4321)</f>
        <v>0</v>
      </c>
      <c r="S4321">
        <f>SUMIFS([1]Sheet1!$T:$T,[1]Sheet1!$I:$I,E4321,[1]Sheet1!$C:$C,A4321)</f>
        <v>0</v>
      </c>
      <c r="T4321">
        <f>R4321-S4321</f>
        <v>0</v>
      </c>
      <c r="U4321" s="9"/>
      <c r="X4321" t="s">
        <v>122</v>
      </c>
      <c r="Y4321" t="s">
        <v>179</v>
      </c>
      <c r="Z4321" t="s">
        <v>179</v>
      </c>
      <c r="AB4321" t="str">
        <f t="shared" si="201"/>
        <v>01325</v>
      </c>
    </row>
    <row r="4322" ht="14.25" spans="1:28">
      <c r="A4322" s="5" t="s">
        <v>28</v>
      </c>
      <c r="B4322" s="5" t="s">
        <v>2338</v>
      </c>
      <c r="C4322" s="5">
        <v>2027</v>
      </c>
      <c r="D4322" s="5" t="s">
        <v>30</v>
      </c>
      <c r="E4322" t="s">
        <v>2439</v>
      </c>
      <c r="F4322" t="s">
        <v>2440</v>
      </c>
      <c r="G4322" t="s">
        <v>117</v>
      </c>
      <c r="I4322" t="s">
        <v>2341</v>
      </c>
      <c r="J4322" t="s">
        <v>36</v>
      </c>
      <c r="K4322">
        <v>2690</v>
      </c>
      <c r="O4322" t="s">
        <v>176</v>
      </c>
      <c r="P4322" t="s">
        <v>42</v>
      </c>
      <c r="U4322" s="9"/>
      <c r="X4322" t="s">
        <v>122</v>
      </c>
      <c r="Y4322" t="s">
        <v>179</v>
      </c>
      <c r="Z4322" t="s">
        <v>179</v>
      </c>
      <c r="AB4322" t="str">
        <f t="shared" si="201"/>
        <v>01325</v>
      </c>
    </row>
    <row r="4323" ht="14.25" spans="1:28">
      <c r="A4323" s="5" t="s">
        <v>28</v>
      </c>
      <c r="B4323" s="5" t="s">
        <v>2338</v>
      </c>
      <c r="C4323" s="5">
        <v>2027</v>
      </c>
      <c r="D4323" s="5" t="s">
        <v>30</v>
      </c>
      <c r="E4323" t="s">
        <v>2439</v>
      </c>
      <c r="F4323" t="s">
        <v>2440</v>
      </c>
      <c r="G4323" t="s">
        <v>117</v>
      </c>
      <c r="I4323" t="s">
        <v>2341</v>
      </c>
      <c r="J4323" t="s">
        <v>36</v>
      </c>
      <c r="K4323">
        <v>2690</v>
      </c>
      <c r="O4323" t="s">
        <v>176</v>
      </c>
      <c r="P4323" t="s">
        <v>43</v>
      </c>
      <c r="U4323" s="9"/>
      <c r="X4323" t="s">
        <v>122</v>
      </c>
      <c r="Y4323" t="s">
        <v>179</v>
      </c>
      <c r="Z4323" t="s">
        <v>179</v>
      </c>
      <c r="AB4323" t="str">
        <f t="shared" si="201"/>
        <v>01325</v>
      </c>
    </row>
    <row r="4324" ht="14.25" spans="1:28">
      <c r="A4324" s="5" t="s">
        <v>28</v>
      </c>
      <c r="B4324" s="5" t="s">
        <v>2338</v>
      </c>
      <c r="C4324" s="5">
        <v>2027</v>
      </c>
      <c r="D4324" s="5" t="s">
        <v>30</v>
      </c>
      <c r="E4324" t="s">
        <v>2439</v>
      </c>
      <c r="F4324" t="s">
        <v>2440</v>
      </c>
      <c r="G4324" t="s">
        <v>117</v>
      </c>
      <c r="I4324" t="s">
        <v>2341</v>
      </c>
      <c r="J4324" t="s">
        <v>36</v>
      </c>
      <c r="K4324">
        <v>2690</v>
      </c>
      <c r="O4324" t="s">
        <v>176</v>
      </c>
      <c r="P4324" t="s">
        <v>44</v>
      </c>
      <c r="U4324" s="9"/>
      <c r="X4324" t="s">
        <v>122</v>
      </c>
      <c r="Y4324" t="s">
        <v>179</v>
      </c>
      <c r="Z4324" t="s">
        <v>179</v>
      </c>
      <c r="AB4324" t="str">
        <f t="shared" si="201"/>
        <v>01325</v>
      </c>
    </row>
    <row r="4325" ht="14.25" spans="1:28">
      <c r="A4325" s="5" t="s">
        <v>28</v>
      </c>
      <c r="B4325" s="5" t="s">
        <v>2338</v>
      </c>
      <c r="C4325" s="5">
        <v>2027</v>
      </c>
      <c r="D4325" s="5" t="s">
        <v>30</v>
      </c>
      <c r="E4325" t="s">
        <v>2439</v>
      </c>
      <c r="F4325" t="s">
        <v>2440</v>
      </c>
      <c r="G4325" t="s">
        <v>117</v>
      </c>
      <c r="I4325" t="s">
        <v>2341</v>
      </c>
      <c r="J4325" t="s">
        <v>36</v>
      </c>
      <c r="K4325">
        <v>2690</v>
      </c>
      <c r="O4325" t="s">
        <v>176</v>
      </c>
      <c r="P4325" t="s">
        <v>45</v>
      </c>
      <c r="U4325" s="9"/>
      <c r="X4325" t="s">
        <v>122</v>
      </c>
      <c r="Y4325" t="s">
        <v>179</v>
      </c>
      <c r="Z4325" t="s">
        <v>179</v>
      </c>
      <c r="AB4325" t="str">
        <f t="shared" si="201"/>
        <v>01325</v>
      </c>
    </row>
    <row r="4326" ht="14.25" spans="1:28">
      <c r="A4326" s="5" t="s">
        <v>28</v>
      </c>
      <c r="B4326" s="5" t="s">
        <v>2338</v>
      </c>
      <c r="C4326" s="5">
        <v>2027</v>
      </c>
      <c r="D4326" s="5" t="s">
        <v>30</v>
      </c>
      <c r="E4326" t="s">
        <v>2441</v>
      </c>
      <c r="F4326" t="s">
        <v>2442</v>
      </c>
      <c r="G4326" t="s">
        <v>117</v>
      </c>
      <c r="I4326" t="s">
        <v>2341</v>
      </c>
      <c r="J4326" t="s">
        <v>36</v>
      </c>
      <c r="K4326">
        <v>1790</v>
      </c>
      <c r="O4326" t="s">
        <v>176</v>
      </c>
      <c r="P4326" t="s">
        <v>38</v>
      </c>
      <c r="R4326">
        <f>SUMIFS(Q:Q,E:E,E4326)</f>
        <v>0</v>
      </c>
      <c r="S4326">
        <f>SUMIFS([1]Sheet1!$T:$T,[1]Sheet1!$I:$I,E4326,[1]Sheet1!$C:$C,A4326)</f>
        <v>0</v>
      </c>
      <c r="T4326">
        <f>R4326-S4326</f>
        <v>0</v>
      </c>
      <c r="U4326" s="9"/>
      <c r="X4326" t="s">
        <v>122</v>
      </c>
      <c r="Y4326" t="s">
        <v>179</v>
      </c>
      <c r="Z4326" t="s">
        <v>179</v>
      </c>
      <c r="AB4326" t="str">
        <f t="shared" si="201"/>
        <v>01326</v>
      </c>
    </row>
    <row r="4327" ht="14.25" spans="1:28">
      <c r="A4327" s="5" t="s">
        <v>28</v>
      </c>
      <c r="B4327" s="5" t="s">
        <v>2338</v>
      </c>
      <c r="C4327" s="5">
        <v>2027</v>
      </c>
      <c r="D4327" s="5" t="s">
        <v>30</v>
      </c>
      <c r="E4327" t="s">
        <v>2441</v>
      </c>
      <c r="F4327" t="s">
        <v>2442</v>
      </c>
      <c r="G4327" t="s">
        <v>117</v>
      </c>
      <c r="I4327" t="s">
        <v>2341</v>
      </c>
      <c r="J4327" t="s">
        <v>36</v>
      </c>
      <c r="K4327">
        <v>1790</v>
      </c>
      <c r="O4327" t="s">
        <v>176</v>
      </c>
      <c r="P4327" t="s">
        <v>42</v>
      </c>
      <c r="U4327" s="9"/>
      <c r="X4327" t="s">
        <v>122</v>
      </c>
      <c r="Y4327" t="s">
        <v>179</v>
      </c>
      <c r="Z4327" t="s">
        <v>179</v>
      </c>
      <c r="AB4327" t="str">
        <f t="shared" si="201"/>
        <v>01326</v>
      </c>
    </row>
    <row r="4328" ht="14.25" spans="1:28">
      <c r="A4328" s="5" t="s">
        <v>28</v>
      </c>
      <c r="B4328" s="5" t="s">
        <v>2338</v>
      </c>
      <c r="C4328" s="5">
        <v>2027</v>
      </c>
      <c r="D4328" s="5" t="s">
        <v>30</v>
      </c>
      <c r="E4328" t="s">
        <v>2441</v>
      </c>
      <c r="F4328" t="s">
        <v>2442</v>
      </c>
      <c r="G4328" t="s">
        <v>117</v>
      </c>
      <c r="I4328" t="s">
        <v>2341</v>
      </c>
      <c r="J4328" t="s">
        <v>36</v>
      </c>
      <c r="K4328">
        <v>1790</v>
      </c>
      <c r="O4328" t="s">
        <v>176</v>
      </c>
      <c r="P4328" t="s">
        <v>43</v>
      </c>
      <c r="U4328" s="9"/>
      <c r="X4328" t="s">
        <v>122</v>
      </c>
      <c r="Y4328" t="s">
        <v>179</v>
      </c>
      <c r="Z4328" t="s">
        <v>179</v>
      </c>
      <c r="AB4328" t="str">
        <f t="shared" si="201"/>
        <v>01326</v>
      </c>
    </row>
    <row r="4329" ht="14.25" spans="1:28">
      <c r="A4329" s="5" t="s">
        <v>28</v>
      </c>
      <c r="B4329" s="5" t="s">
        <v>2338</v>
      </c>
      <c r="C4329" s="5">
        <v>2027</v>
      </c>
      <c r="D4329" s="5" t="s">
        <v>30</v>
      </c>
      <c r="E4329" t="s">
        <v>2441</v>
      </c>
      <c r="F4329" t="s">
        <v>2442</v>
      </c>
      <c r="G4329" t="s">
        <v>117</v>
      </c>
      <c r="I4329" t="s">
        <v>2341</v>
      </c>
      <c r="J4329" t="s">
        <v>36</v>
      </c>
      <c r="K4329">
        <v>1790</v>
      </c>
      <c r="O4329" t="s">
        <v>176</v>
      </c>
      <c r="P4329" t="s">
        <v>44</v>
      </c>
      <c r="U4329" s="9"/>
      <c r="X4329" t="s">
        <v>122</v>
      </c>
      <c r="Y4329" t="s">
        <v>179</v>
      </c>
      <c r="Z4329" t="s">
        <v>179</v>
      </c>
      <c r="AB4329" t="str">
        <f t="shared" si="201"/>
        <v>01326</v>
      </c>
    </row>
    <row r="4330" ht="14.25" spans="1:28">
      <c r="A4330" s="5" t="s">
        <v>28</v>
      </c>
      <c r="B4330" s="5" t="s">
        <v>2338</v>
      </c>
      <c r="C4330" s="5">
        <v>2027</v>
      </c>
      <c r="D4330" s="5" t="s">
        <v>30</v>
      </c>
      <c r="E4330" t="s">
        <v>2441</v>
      </c>
      <c r="F4330" t="s">
        <v>2442</v>
      </c>
      <c r="G4330" t="s">
        <v>117</v>
      </c>
      <c r="I4330" t="s">
        <v>2341</v>
      </c>
      <c r="J4330" t="s">
        <v>36</v>
      </c>
      <c r="K4330">
        <v>1790</v>
      </c>
      <c r="O4330" t="s">
        <v>176</v>
      </c>
      <c r="P4330" t="s">
        <v>45</v>
      </c>
      <c r="U4330" s="9"/>
      <c r="X4330" t="s">
        <v>122</v>
      </c>
      <c r="Y4330" t="s">
        <v>179</v>
      </c>
      <c r="Z4330" t="s">
        <v>179</v>
      </c>
      <c r="AB4330" t="str">
        <f t="shared" si="201"/>
        <v>01326</v>
      </c>
    </row>
    <row r="4331" ht="14.25" spans="1:28">
      <c r="A4331" s="5" t="s">
        <v>28</v>
      </c>
      <c r="B4331" s="5" t="s">
        <v>2338</v>
      </c>
      <c r="C4331" s="5">
        <v>2027</v>
      </c>
      <c r="D4331" s="5" t="s">
        <v>30</v>
      </c>
      <c r="E4331" t="s">
        <v>2443</v>
      </c>
      <c r="F4331" t="s">
        <v>2444</v>
      </c>
      <c r="G4331" t="s">
        <v>117</v>
      </c>
      <c r="I4331" t="s">
        <v>2341</v>
      </c>
      <c r="J4331" t="s">
        <v>36</v>
      </c>
      <c r="K4331">
        <v>890</v>
      </c>
      <c r="O4331" t="s">
        <v>176</v>
      </c>
      <c r="P4331" t="s">
        <v>38</v>
      </c>
      <c r="R4331">
        <f>SUMIFS(Q:Q,E:E,E4331)</f>
        <v>0</v>
      </c>
      <c r="S4331">
        <f>SUMIFS([1]Sheet1!$T:$T,[1]Sheet1!$I:$I,E4331,[1]Sheet1!$C:$C,A4331)</f>
        <v>0</v>
      </c>
      <c r="T4331">
        <f>R4331-S4331</f>
        <v>0</v>
      </c>
      <c r="U4331" s="9"/>
      <c r="X4331" t="s">
        <v>122</v>
      </c>
      <c r="Y4331" t="s">
        <v>179</v>
      </c>
      <c r="Z4331" t="s">
        <v>179</v>
      </c>
      <c r="AB4331" t="str">
        <f t="shared" si="201"/>
        <v>01358</v>
      </c>
    </row>
    <row r="4332" ht="14.25" spans="1:28">
      <c r="A4332" s="5" t="s">
        <v>28</v>
      </c>
      <c r="B4332" s="5" t="s">
        <v>2338</v>
      </c>
      <c r="C4332" s="5">
        <v>2027</v>
      </c>
      <c r="D4332" s="5" t="s">
        <v>30</v>
      </c>
      <c r="E4332" t="s">
        <v>2443</v>
      </c>
      <c r="F4332" t="s">
        <v>2444</v>
      </c>
      <c r="G4332" t="s">
        <v>117</v>
      </c>
      <c r="I4332" t="s">
        <v>2341</v>
      </c>
      <c r="J4332" t="s">
        <v>36</v>
      </c>
      <c r="K4332">
        <v>890</v>
      </c>
      <c r="O4332" t="s">
        <v>176</v>
      </c>
      <c r="P4332" t="s">
        <v>42</v>
      </c>
      <c r="U4332" s="9"/>
      <c r="X4332" t="s">
        <v>122</v>
      </c>
      <c r="Y4332" t="s">
        <v>179</v>
      </c>
      <c r="Z4332" t="s">
        <v>179</v>
      </c>
      <c r="AB4332" t="str">
        <f t="shared" si="201"/>
        <v>01358</v>
      </c>
    </row>
    <row r="4333" ht="14.25" spans="1:28">
      <c r="A4333" s="5" t="s">
        <v>28</v>
      </c>
      <c r="B4333" s="5" t="s">
        <v>2338</v>
      </c>
      <c r="C4333" s="5">
        <v>2027</v>
      </c>
      <c r="D4333" s="5" t="s">
        <v>30</v>
      </c>
      <c r="E4333" t="s">
        <v>2443</v>
      </c>
      <c r="F4333" t="s">
        <v>2444</v>
      </c>
      <c r="G4333" t="s">
        <v>117</v>
      </c>
      <c r="I4333" t="s">
        <v>2341</v>
      </c>
      <c r="J4333" t="s">
        <v>36</v>
      </c>
      <c r="K4333">
        <v>890</v>
      </c>
      <c r="O4333" t="s">
        <v>176</v>
      </c>
      <c r="P4333" t="s">
        <v>43</v>
      </c>
      <c r="U4333" s="9"/>
      <c r="X4333" t="s">
        <v>122</v>
      </c>
      <c r="Y4333" t="s">
        <v>179</v>
      </c>
      <c r="Z4333" t="s">
        <v>179</v>
      </c>
      <c r="AB4333" t="str">
        <f t="shared" si="201"/>
        <v>01358</v>
      </c>
    </row>
    <row r="4334" ht="14.25" spans="1:28">
      <c r="A4334" s="5" t="s">
        <v>28</v>
      </c>
      <c r="B4334" s="5" t="s">
        <v>2338</v>
      </c>
      <c r="C4334" s="5">
        <v>2027</v>
      </c>
      <c r="D4334" s="5" t="s">
        <v>30</v>
      </c>
      <c r="E4334" t="s">
        <v>2443</v>
      </c>
      <c r="F4334" t="s">
        <v>2444</v>
      </c>
      <c r="G4334" t="s">
        <v>117</v>
      </c>
      <c r="I4334" t="s">
        <v>2341</v>
      </c>
      <c r="J4334" t="s">
        <v>36</v>
      </c>
      <c r="K4334">
        <v>890</v>
      </c>
      <c r="O4334" t="s">
        <v>176</v>
      </c>
      <c r="P4334" t="s">
        <v>44</v>
      </c>
      <c r="U4334" s="9"/>
      <c r="X4334" t="s">
        <v>122</v>
      </c>
      <c r="Y4334" t="s">
        <v>179</v>
      </c>
      <c r="Z4334" t="s">
        <v>179</v>
      </c>
      <c r="AB4334" t="str">
        <f t="shared" si="201"/>
        <v>01358</v>
      </c>
    </row>
    <row r="4335" ht="14.25" spans="1:28">
      <c r="A4335" s="5" t="s">
        <v>28</v>
      </c>
      <c r="B4335" s="5" t="s">
        <v>2338</v>
      </c>
      <c r="C4335" s="5">
        <v>2027</v>
      </c>
      <c r="D4335" s="5" t="s">
        <v>30</v>
      </c>
      <c r="E4335" t="s">
        <v>2443</v>
      </c>
      <c r="F4335" t="s">
        <v>2444</v>
      </c>
      <c r="G4335" t="s">
        <v>117</v>
      </c>
      <c r="I4335" t="s">
        <v>2341</v>
      </c>
      <c r="J4335" t="s">
        <v>36</v>
      </c>
      <c r="K4335">
        <v>890</v>
      </c>
      <c r="O4335" t="s">
        <v>176</v>
      </c>
      <c r="P4335" t="s">
        <v>45</v>
      </c>
      <c r="U4335" s="9"/>
      <c r="X4335" t="s">
        <v>122</v>
      </c>
      <c r="Y4335" t="s">
        <v>179</v>
      </c>
      <c r="Z4335" t="s">
        <v>179</v>
      </c>
      <c r="AB4335" t="str">
        <f t="shared" si="201"/>
        <v>01358</v>
      </c>
    </row>
    <row r="4336" ht="14.25" spans="1:28">
      <c r="A4336" s="5" t="s">
        <v>28</v>
      </c>
      <c r="B4336" s="5" t="s">
        <v>2338</v>
      </c>
      <c r="C4336" s="5">
        <v>2027</v>
      </c>
      <c r="D4336" s="5" t="s">
        <v>30</v>
      </c>
      <c r="E4336" t="s">
        <v>2445</v>
      </c>
      <c r="F4336" t="s">
        <v>2446</v>
      </c>
      <c r="G4336" t="s">
        <v>2403</v>
      </c>
      <c r="I4336" t="s">
        <v>2404</v>
      </c>
      <c r="J4336" t="s">
        <v>36</v>
      </c>
      <c r="K4336">
        <v>890</v>
      </c>
      <c r="O4336" t="s">
        <v>176</v>
      </c>
      <c r="P4336" t="s">
        <v>38</v>
      </c>
      <c r="R4336">
        <f t="shared" ref="R4336:R4356" si="202">SUMIFS(Q:Q,E:E,E4336)</f>
        <v>0</v>
      </c>
      <c r="S4336">
        <f>SUMIFS([1]Sheet1!$T:$T,[1]Sheet1!$I:$I,E4336,[1]Sheet1!$C:$C,A4336)</f>
        <v>0</v>
      </c>
      <c r="T4336">
        <f t="shared" ref="T4336:T4356" si="203">R4336-S4336</f>
        <v>0</v>
      </c>
      <c r="U4336" s="9"/>
      <c r="Y4336" t="s">
        <v>179</v>
      </c>
      <c r="Z4336" t="s">
        <v>179</v>
      </c>
      <c r="AB4336" t="str">
        <f t="shared" si="201"/>
        <v>00081</v>
      </c>
    </row>
    <row r="4337" ht="14.25" spans="1:28">
      <c r="A4337" s="5" t="s">
        <v>28</v>
      </c>
      <c r="B4337" s="5" t="s">
        <v>2338</v>
      </c>
      <c r="C4337" s="5">
        <v>2027</v>
      </c>
      <c r="D4337" s="5" t="s">
        <v>30</v>
      </c>
      <c r="E4337" t="s">
        <v>2445</v>
      </c>
      <c r="F4337" t="s">
        <v>2446</v>
      </c>
      <c r="G4337" t="s">
        <v>2403</v>
      </c>
      <c r="I4337" t="s">
        <v>2404</v>
      </c>
      <c r="J4337" t="s">
        <v>36</v>
      </c>
      <c r="K4337">
        <v>890</v>
      </c>
      <c r="O4337" t="s">
        <v>176</v>
      </c>
      <c r="P4337" t="s">
        <v>42</v>
      </c>
      <c r="U4337" s="9"/>
      <c r="Y4337" t="s">
        <v>179</v>
      </c>
      <c r="Z4337" t="s">
        <v>179</v>
      </c>
      <c r="AB4337" t="str">
        <f t="shared" si="201"/>
        <v>00081</v>
      </c>
    </row>
    <row r="4338" ht="14.25" spans="1:28">
      <c r="A4338" s="5" t="s">
        <v>28</v>
      </c>
      <c r="B4338" s="5" t="s">
        <v>2338</v>
      </c>
      <c r="C4338" s="5">
        <v>2027</v>
      </c>
      <c r="D4338" s="5" t="s">
        <v>30</v>
      </c>
      <c r="E4338" t="s">
        <v>2445</v>
      </c>
      <c r="F4338" t="s">
        <v>2446</v>
      </c>
      <c r="G4338" t="s">
        <v>2403</v>
      </c>
      <c r="I4338" t="s">
        <v>2404</v>
      </c>
      <c r="J4338" t="s">
        <v>36</v>
      </c>
      <c r="K4338">
        <v>890</v>
      </c>
      <c r="O4338" t="s">
        <v>176</v>
      </c>
      <c r="P4338" t="s">
        <v>43</v>
      </c>
      <c r="U4338" s="9"/>
      <c r="Y4338" t="s">
        <v>179</v>
      </c>
      <c r="Z4338" t="s">
        <v>179</v>
      </c>
      <c r="AB4338" t="str">
        <f t="shared" si="201"/>
        <v>00081</v>
      </c>
    </row>
    <row r="4339" ht="14.25" spans="1:28">
      <c r="A4339" s="5" t="s">
        <v>28</v>
      </c>
      <c r="B4339" s="5" t="s">
        <v>2338</v>
      </c>
      <c r="C4339" s="5">
        <v>2027</v>
      </c>
      <c r="D4339" s="5" t="s">
        <v>30</v>
      </c>
      <c r="E4339" t="s">
        <v>2445</v>
      </c>
      <c r="F4339" t="s">
        <v>2446</v>
      </c>
      <c r="G4339" t="s">
        <v>2403</v>
      </c>
      <c r="I4339" t="s">
        <v>2404</v>
      </c>
      <c r="J4339" t="s">
        <v>36</v>
      </c>
      <c r="K4339">
        <v>890</v>
      </c>
      <c r="O4339" t="s">
        <v>176</v>
      </c>
      <c r="P4339" t="s">
        <v>44</v>
      </c>
      <c r="U4339" s="9"/>
      <c r="Y4339" t="s">
        <v>179</v>
      </c>
      <c r="Z4339" t="s">
        <v>179</v>
      </c>
      <c r="AB4339" t="str">
        <f t="shared" ref="AB4339:AB4372" si="204">MID(E4339,6,5)</f>
        <v>00081</v>
      </c>
    </row>
    <row r="4340" ht="14.25" spans="1:28">
      <c r="A4340" s="5" t="s">
        <v>28</v>
      </c>
      <c r="B4340" s="5" t="s">
        <v>2338</v>
      </c>
      <c r="C4340" s="5">
        <v>2027</v>
      </c>
      <c r="D4340" s="5" t="s">
        <v>30</v>
      </c>
      <c r="E4340" t="s">
        <v>2445</v>
      </c>
      <c r="F4340" t="s">
        <v>2446</v>
      </c>
      <c r="G4340" t="s">
        <v>2403</v>
      </c>
      <c r="I4340" t="s">
        <v>2404</v>
      </c>
      <c r="J4340" t="s">
        <v>36</v>
      </c>
      <c r="K4340">
        <v>890</v>
      </c>
      <c r="O4340" t="s">
        <v>176</v>
      </c>
      <c r="P4340" t="s">
        <v>45</v>
      </c>
      <c r="U4340" s="9"/>
      <c r="V4340" s="9"/>
      <c r="W4340" s="9"/>
      <c r="Y4340" t="s">
        <v>179</v>
      </c>
      <c r="Z4340" t="s">
        <v>179</v>
      </c>
      <c r="AB4340" t="str">
        <f t="shared" si="204"/>
        <v>00081</v>
      </c>
    </row>
    <row r="4341" ht="14.25" spans="1:28">
      <c r="A4341" s="5" t="s">
        <v>28</v>
      </c>
      <c r="B4341" t="s">
        <v>697</v>
      </c>
      <c r="C4341" s="5">
        <v>2027</v>
      </c>
      <c r="D4341" s="5" t="s">
        <v>30</v>
      </c>
      <c r="E4341" s="13" t="s">
        <v>2447</v>
      </c>
      <c r="F4341" s="13" t="s">
        <v>2448</v>
      </c>
      <c r="G4341" s="13" t="s">
        <v>2449</v>
      </c>
      <c r="H4341" s="13" t="s">
        <v>2450</v>
      </c>
      <c r="I4341" s="13" t="s">
        <v>119</v>
      </c>
      <c r="J4341" s="13" t="s">
        <v>72</v>
      </c>
      <c r="K4341" s="13">
        <v>1590</v>
      </c>
      <c r="L4341" s="13">
        <v>0</v>
      </c>
      <c r="M4341" s="13"/>
      <c r="N4341" s="13"/>
      <c r="O4341" s="13" t="s">
        <v>2451</v>
      </c>
      <c r="P4341" s="13" t="s">
        <v>614</v>
      </c>
      <c r="R4341" s="15">
        <f t="shared" si="202"/>
        <v>0</v>
      </c>
      <c r="S4341" s="15">
        <f>SUMIFS([1]Sheet1!$T:$T,[1]Sheet1!$I:$I,E4341,[1]Sheet1!$C:$C,A4341)</f>
        <v>80</v>
      </c>
      <c r="T4341" s="15">
        <f t="shared" si="203"/>
        <v>-80</v>
      </c>
      <c r="U4341" s="9" t="s">
        <v>136</v>
      </c>
      <c r="V4341" t="s">
        <v>137</v>
      </c>
      <c r="W4341" t="s">
        <v>178</v>
      </c>
      <c r="X4341" t="s">
        <v>308</v>
      </c>
      <c r="Z4341" t="s">
        <v>196</v>
      </c>
      <c r="AB4341" t="str">
        <f t="shared" si="204"/>
        <v>54543</v>
      </c>
    </row>
    <row r="4342" ht="14.25" spans="1:28">
      <c r="A4342" s="5" t="s">
        <v>28</v>
      </c>
      <c r="B4342" t="s">
        <v>697</v>
      </c>
      <c r="C4342" s="5">
        <v>2027</v>
      </c>
      <c r="D4342" s="5" t="s">
        <v>30</v>
      </c>
      <c r="E4342" s="13" t="s">
        <v>2447</v>
      </c>
      <c r="F4342" s="13" t="s">
        <v>2448</v>
      </c>
      <c r="G4342" s="13" t="s">
        <v>2449</v>
      </c>
      <c r="H4342" s="13" t="s">
        <v>2450</v>
      </c>
      <c r="I4342" s="13" t="s">
        <v>119</v>
      </c>
      <c r="J4342" s="13" t="s">
        <v>72</v>
      </c>
      <c r="K4342" s="13">
        <v>1590</v>
      </c>
      <c r="L4342" s="13">
        <v>0</v>
      </c>
      <c r="M4342" s="13"/>
      <c r="N4342" s="13"/>
      <c r="O4342" s="13" t="s">
        <v>2451</v>
      </c>
      <c r="P4342" s="13" t="s">
        <v>615</v>
      </c>
      <c r="R4342" s="15"/>
      <c r="S4342" s="15"/>
      <c r="T4342" s="15"/>
      <c r="U4342" s="9" t="s">
        <v>136</v>
      </c>
      <c r="V4342" t="s">
        <v>137</v>
      </c>
      <c r="W4342" t="s">
        <v>178</v>
      </c>
      <c r="X4342" t="s">
        <v>308</v>
      </c>
      <c r="Z4342" t="s">
        <v>196</v>
      </c>
      <c r="AB4342" t="str">
        <f t="shared" si="204"/>
        <v>54543</v>
      </c>
    </row>
    <row r="4343" ht="14.25" spans="1:28">
      <c r="A4343" s="5" t="s">
        <v>28</v>
      </c>
      <c r="B4343" t="s">
        <v>697</v>
      </c>
      <c r="C4343" s="5">
        <v>2027</v>
      </c>
      <c r="D4343" s="5" t="s">
        <v>30</v>
      </c>
      <c r="E4343" s="13" t="s">
        <v>2447</v>
      </c>
      <c r="F4343" s="13" t="s">
        <v>2448</v>
      </c>
      <c r="G4343" s="13" t="s">
        <v>2449</v>
      </c>
      <c r="H4343" s="13" t="s">
        <v>2450</v>
      </c>
      <c r="I4343" s="13" t="s">
        <v>119</v>
      </c>
      <c r="J4343" s="13" t="s">
        <v>72</v>
      </c>
      <c r="K4343" s="13">
        <v>1590</v>
      </c>
      <c r="L4343" s="13">
        <v>0</v>
      </c>
      <c r="M4343" s="13"/>
      <c r="N4343" s="13"/>
      <c r="O4343" s="13" t="s">
        <v>2451</v>
      </c>
      <c r="P4343" s="13" t="s">
        <v>616</v>
      </c>
      <c r="R4343" s="15"/>
      <c r="S4343" s="15"/>
      <c r="T4343" s="15"/>
      <c r="U4343" s="9" t="s">
        <v>136</v>
      </c>
      <c r="V4343" t="s">
        <v>137</v>
      </c>
      <c r="W4343" t="s">
        <v>178</v>
      </c>
      <c r="X4343" t="s">
        <v>308</v>
      </c>
      <c r="Z4343" t="s">
        <v>196</v>
      </c>
      <c r="AB4343" t="str">
        <f t="shared" si="204"/>
        <v>54543</v>
      </c>
    </row>
    <row r="4344" ht="14.25" spans="1:28">
      <c r="A4344" s="5" t="s">
        <v>28</v>
      </c>
      <c r="B4344" t="s">
        <v>697</v>
      </c>
      <c r="C4344" s="5">
        <v>2027</v>
      </c>
      <c r="D4344" s="5" t="s">
        <v>30</v>
      </c>
      <c r="E4344" s="13" t="s">
        <v>2447</v>
      </c>
      <c r="F4344" s="13" t="s">
        <v>2448</v>
      </c>
      <c r="G4344" s="13" t="s">
        <v>2449</v>
      </c>
      <c r="H4344" s="13" t="s">
        <v>2450</v>
      </c>
      <c r="I4344" s="13" t="s">
        <v>119</v>
      </c>
      <c r="J4344" s="13" t="s">
        <v>72</v>
      </c>
      <c r="K4344" s="13">
        <v>1590</v>
      </c>
      <c r="L4344" s="13">
        <v>0</v>
      </c>
      <c r="M4344" s="13"/>
      <c r="N4344" s="13"/>
      <c r="O4344" s="13" t="s">
        <v>2451</v>
      </c>
      <c r="P4344" s="13" t="s">
        <v>318</v>
      </c>
      <c r="R4344" s="15"/>
      <c r="S4344" s="15"/>
      <c r="T4344" s="15"/>
      <c r="U4344" s="9" t="s">
        <v>136</v>
      </c>
      <c r="V4344" t="s">
        <v>137</v>
      </c>
      <c r="W4344" t="s">
        <v>178</v>
      </c>
      <c r="X4344" t="s">
        <v>308</v>
      </c>
      <c r="Z4344" t="s">
        <v>196</v>
      </c>
      <c r="AB4344" t="str">
        <f t="shared" si="204"/>
        <v>54543</v>
      </c>
    </row>
    <row r="4345" ht="14.25" spans="1:28">
      <c r="A4345" s="5" t="s">
        <v>28</v>
      </c>
      <c r="B4345" t="s">
        <v>697</v>
      </c>
      <c r="C4345" s="5">
        <v>2027</v>
      </c>
      <c r="D4345" s="5" t="s">
        <v>30</v>
      </c>
      <c r="E4345" s="13" t="s">
        <v>2447</v>
      </c>
      <c r="F4345" s="13" t="s">
        <v>2448</v>
      </c>
      <c r="G4345" s="13" t="s">
        <v>2449</v>
      </c>
      <c r="H4345" s="13" t="s">
        <v>2450</v>
      </c>
      <c r="I4345" s="13" t="s">
        <v>119</v>
      </c>
      <c r="J4345" s="13" t="s">
        <v>72</v>
      </c>
      <c r="K4345" s="13">
        <v>1590</v>
      </c>
      <c r="L4345" s="13">
        <v>0</v>
      </c>
      <c r="M4345" s="13"/>
      <c r="N4345" s="13"/>
      <c r="O4345" s="13" t="s">
        <v>2451</v>
      </c>
      <c r="P4345" s="13" t="s">
        <v>69</v>
      </c>
      <c r="R4345" s="15"/>
      <c r="S4345" s="15"/>
      <c r="T4345" s="15"/>
      <c r="U4345" s="9" t="s">
        <v>136</v>
      </c>
      <c r="V4345" t="s">
        <v>137</v>
      </c>
      <c r="W4345" t="s">
        <v>178</v>
      </c>
      <c r="X4345" t="s">
        <v>308</v>
      </c>
      <c r="Z4345" t="s">
        <v>196</v>
      </c>
      <c r="AB4345" t="str">
        <f t="shared" si="204"/>
        <v>54543</v>
      </c>
    </row>
    <row r="4346" ht="14.25" spans="1:28">
      <c r="A4346" s="5" t="s">
        <v>28</v>
      </c>
      <c r="B4346" t="s">
        <v>697</v>
      </c>
      <c r="C4346" s="5">
        <v>2027</v>
      </c>
      <c r="D4346" s="5" t="s">
        <v>30</v>
      </c>
      <c r="E4346" s="13" t="s">
        <v>2447</v>
      </c>
      <c r="F4346" s="13" t="s">
        <v>2448</v>
      </c>
      <c r="G4346" s="13" t="s">
        <v>2449</v>
      </c>
      <c r="H4346" s="13" t="s">
        <v>2450</v>
      </c>
      <c r="I4346" s="13" t="s">
        <v>119</v>
      </c>
      <c r="J4346" s="13" t="s">
        <v>72</v>
      </c>
      <c r="K4346" s="13">
        <v>1590</v>
      </c>
      <c r="L4346" s="13">
        <v>0</v>
      </c>
      <c r="M4346" s="13"/>
      <c r="N4346" s="13"/>
      <c r="O4346" s="13" t="s">
        <v>2451</v>
      </c>
      <c r="P4346" s="13" t="s">
        <v>72</v>
      </c>
      <c r="R4346" s="15"/>
      <c r="S4346" s="15"/>
      <c r="T4346" s="15"/>
      <c r="U4346" s="9" t="s">
        <v>136</v>
      </c>
      <c r="V4346" t="s">
        <v>137</v>
      </c>
      <c r="W4346" t="s">
        <v>178</v>
      </c>
      <c r="X4346" t="s">
        <v>308</v>
      </c>
      <c r="Z4346" t="s">
        <v>196</v>
      </c>
      <c r="AB4346" t="str">
        <f t="shared" si="204"/>
        <v>54543</v>
      </c>
    </row>
    <row r="4347" ht="14.25" spans="1:28">
      <c r="A4347" s="5" t="s">
        <v>28</v>
      </c>
      <c r="B4347" t="s">
        <v>697</v>
      </c>
      <c r="C4347" s="5">
        <v>2027</v>
      </c>
      <c r="D4347" s="5" t="s">
        <v>30</v>
      </c>
      <c r="E4347" s="13" t="s">
        <v>2447</v>
      </c>
      <c r="F4347" s="13" t="s">
        <v>2448</v>
      </c>
      <c r="G4347" s="13" t="s">
        <v>2449</v>
      </c>
      <c r="H4347" s="13" t="s">
        <v>2450</v>
      </c>
      <c r="I4347" s="13" t="s">
        <v>119</v>
      </c>
      <c r="J4347" s="13" t="s">
        <v>72</v>
      </c>
      <c r="K4347" s="13">
        <v>1590</v>
      </c>
      <c r="L4347" s="13">
        <v>0</v>
      </c>
      <c r="M4347" s="13"/>
      <c r="N4347" s="13"/>
      <c r="O4347" s="13" t="s">
        <v>2451</v>
      </c>
      <c r="P4347" s="13" t="s">
        <v>73</v>
      </c>
      <c r="R4347" s="15"/>
      <c r="S4347" s="15"/>
      <c r="T4347" s="15"/>
      <c r="U4347" s="9" t="s">
        <v>136</v>
      </c>
      <c r="V4347" t="s">
        <v>137</v>
      </c>
      <c r="W4347" t="s">
        <v>178</v>
      </c>
      <c r="X4347" t="s">
        <v>308</v>
      </c>
      <c r="Z4347" t="s">
        <v>196</v>
      </c>
      <c r="AB4347" t="str">
        <f t="shared" si="204"/>
        <v>54543</v>
      </c>
    </row>
    <row r="4348" ht="14.25" spans="1:28">
      <c r="A4348" s="5" t="s">
        <v>28</v>
      </c>
      <c r="B4348" t="s">
        <v>697</v>
      </c>
      <c r="C4348" s="5">
        <v>2027</v>
      </c>
      <c r="D4348" s="5" t="s">
        <v>30</v>
      </c>
      <c r="E4348" s="13" t="s">
        <v>2447</v>
      </c>
      <c r="F4348" s="13" t="s">
        <v>2448</v>
      </c>
      <c r="G4348" s="13" t="s">
        <v>2449</v>
      </c>
      <c r="H4348" s="13" t="s">
        <v>2450</v>
      </c>
      <c r="I4348" s="13" t="s">
        <v>119</v>
      </c>
      <c r="J4348" s="13" t="s">
        <v>72</v>
      </c>
      <c r="K4348" s="13">
        <v>1590</v>
      </c>
      <c r="L4348" s="13">
        <v>0</v>
      </c>
      <c r="M4348" s="13"/>
      <c r="N4348" s="13"/>
      <c r="O4348" s="13" t="s">
        <v>2451</v>
      </c>
      <c r="P4348" s="13" t="s">
        <v>74</v>
      </c>
      <c r="R4348" s="15"/>
      <c r="S4348" s="15"/>
      <c r="T4348" s="15"/>
      <c r="U4348" s="9" t="s">
        <v>136</v>
      </c>
      <c r="V4348" t="s">
        <v>137</v>
      </c>
      <c r="W4348" t="s">
        <v>178</v>
      </c>
      <c r="X4348" t="s">
        <v>308</v>
      </c>
      <c r="Z4348" t="s">
        <v>196</v>
      </c>
      <c r="AB4348" t="str">
        <f t="shared" si="204"/>
        <v>54543</v>
      </c>
    </row>
    <row r="4349" ht="14.25" spans="1:28">
      <c r="A4349" s="5" t="s">
        <v>28</v>
      </c>
      <c r="B4349" t="s">
        <v>697</v>
      </c>
      <c r="C4349" s="5">
        <v>2027</v>
      </c>
      <c r="D4349" s="5" t="s">
        <v>30</v>
      </c>
      <c r="E4349" s="13" t="s">
        <v>2452</v>
      </c>
      <c r="F4349" s="13" t="s">
        <v>2448</v>
      </c>
      <c r="G4349" s="13" t="s">
        <v>2027</v>
      </c>
      <c r="H4349" s="13" t="s">
        <v>2453</v>
      </c>
      <c r="I4349" s="13" t="s">
        <v>119</v>
      </c>
      <c r="J4349" s="13" t="s">
        <v>72</v>
      </c>
      <c r="K4349" s="13">
        <v>1590</v>
      </c>
      <c r="L4349" s="13">
        <v>0</v>
      </c>
      <c r="M4349" s="13"/>
      <c r="N4349" s="13"/>
      <c r="O4349" s="13" t="s">
        <v>2451</v>
      </c>
      <c r="P4349" s="13" t="s">
        <v>614</v>
      </c>
      <c r="R4349" s="15">
        <f t="shared" ref="R4349:R4372" si="205">SUMIFS(Q:Q,E:E,E4349)</f>
        <v>0</v>
      </c>
      <c r="S4349" s="15">
        <f>SUMIFS([1]Sheet1!$T:$T,[1]Sheet1!$I:$I,E4349,[1]Sheet1!$C:$C,A4349)</f>
        <v>60</v>
      </c>
      <c r="T4349" s="15">
        <f t="shared" ref="T4349:T4372" si="206">R4349-S4349</f>
        <v>-60</v>
      </c>
      <c r="U4349" s="9" t="s">
        <v>136</v>
      </c>
      <c r="V4349" t="s">
        <v>137</v>
      </c>
      <c r="W4349" t="s">
        <v>178</v>
      </c>
      <c r="X4349" t="s">
        <v>332</v>
      </c>
      <c r="Z4349" t="s">
        <v>196</v>
      </c>
      <c r="AB4349" t="str">
        <f t="shared" si="204"/>
        <v>54543</v>
      </c>
    </row>
    <row r="4350" ht="14.25" spans="1:28">
      <c r="A4350" s="5" t="s">
        <v>28</v>
      </c>
      <c r="B4350" t="s">
        <v>697</v>
      </c>
      <c r="C4350" s="5">
        <v>2027</v>
      </c>
      <c r="D4350" s="5" t="s">
        <v>30</v>
      </c>
      <c r="E4350" s="13" t="s">
        <v>2452</v>
      </c>
      <c r="F4350" s="13" t="s">
        <v>2448</v>
      </c>
      <c r="G4350" s="13" t="s">
        <v>2027</v>
      </c>
      <c r="H4350" s="13" t="s">
        <v>2453</v>
      </c>
      <c r="I4350" s="13" t="s">
        <v>119</v>
      </c>
      <c r="J4350" s="13" t="s">
        <v>72</v>
      </c>
      <c r="K4350" s="13">
        <v>1590</v>
      </c>
      <c r="L4350" s="13">
        <v>0</v>
      </c>
      <c r="M4350" s="13"/>
      <c r="N4350" s="13"/>
      <c r="O4350" s="13" t="s">
        <v>2451</v>
      </c>
      <c r="P4350" s="13" t="s">
        <v>615</v>
      </c>
      <c r="R4350" s="15"/>
      <c r="S4350" s="15"/>
      <c r="T4350" s="15"/>
      <c r="U4350" s="9" t="s">
        <v>136</v>
      </c>
      <c r="V4350" t="s">
        <v>137</v>
      </c>
      <c r="W4350" t="s">
        <v>178</v>
      </c>
      <c r="X4350" t="s">
        <v>332</v>
      </c>
      <c r="Z4350" t="s">
        <v>196</v>
      </c>
      <c r="AB4350" t="str">
        <f t="shared" si="204"/>
        <v>54543</v>
      </c>
    </row>
    <row r="4351" ht="14.25" spans="1:28">
      <c r="A4351" s="5" t="s">
        <v>28</v>
      </c>
      <c r="B4351" t="s">
        <v>697</v>
      </c>
      <c r="C4351" s="5">
        <v>2027</v>
      </c>
      <c r="D4351" s="5" t="s">
        <v>30</v>
      </c>
      <c r="E4351" s="13" t="s">
        <v>2452</v>
      </c>
      <c r="F4351" s="13" t="s">
        <v>2448</v>
      </c>
      <c r="G4351" s="13" t="s">
        <v>2027</v>
      </c>
      <c r="H4351" s="13" t="s">
        <v>2453</v>
      </c>
      <c r="I4351" s="13" t="s">
        <v>119</v>
      </c>
      <c r="J4351" s="13" t="s">
        <v>72</v>
      </c>
      <c r="K4351" s="13">
        <v>1590</v>
      </c>
      <c r="L4351" s="13">
        <v>0</v>
      </c>
      <c r="M4351" s="13"/>
      <c r="N4351" s="13"/>
      <c r="O4351" s="13" t="s">
        <v>2451</v>
      </c>
      <c r="P4351" s="13" t="s">
        <v>616</v>
      </c>
      <c r="R4351" s="15"/>
      <c r="S4351" s="15"/>
      <c r="T4351" s="15"/>
      <c r="U4351" s="9" t="s">
        <v>136</v>
      </c>
      <c r="V4351" t="s">
        <v>137</v>
      </c>
      <c r="W4351" t="s">
        <v>178</v>
      </c>
      <c r="X4351" t="s">
        <v>332</v>
      </c>
      <c r="Z4351" t="s">
        <v>196</v>
      </c>
      <c r="AB4351" t="str">
        <f t="shared" si="204"/>
        <v>54543</v>
      </c>
    </row>
    <row r="4352" ht="14.25" spans="1:28">
      <c r="A4352" s="5" t="s">
        <v>28</v>
      </c>
      <c r="B4352" t="s">
        <v>697</v>
      </c>
      <c r="C4352" s="5">
        <v>2027</v>
      </c>
      <c r="D4352" s="5" t="s">
        <v>30</v>
      </c>
      <c r="E4352" s="13" t="s">
        <v>2452</v>
      </c>
      <c r="F4352" s="13" t="s">
        <v>2448</v>
      </c>
      <c r="G4352" s="13" t="s">
        <v>2027</v>
      </c>
      <c r="H4352" s="13" t="s">
        <v>2453</v>
      </c>
      <c r="I4352" s="13" t="s">
        <v>119</v>
      </c>
      <c r="J4352" s="13" t="s">
        <v>72</v>
      </c>
      <c r="K4352" s="13">
        <v>1590</v>
      </c>
      <c r="L4352" s="13">
        <v>0</v>
      </c>
      <c r="M4352" s="13"/>
      <c r="N4352" s="13"/>
      <c r="O4352" s="13" t="s">
        <v>2451</v>
      </c>
      <c r="P4352" s="13" t="s">
        <v>318</v>
      </c>
      <c r="R4352" s="15"/>
      <c r="S4352" s="15"/>
      <c r="T4352" s="15"/>
      <c r="U4352" s="9" t="s">
        <v>136</v>
      </c>
      <c r="V4352" t="s">
        <v>137</v>
      </c>
      <c r="W4352" t="s">
        <v>178</v>
      </c>
      <c r="X4352" t="s">
        <v>332</v>
      </c>
      <c r="Z4352" t="s">
        <v>196</v>
      </c>
      <c r="AB4352" t="str">
        <f t="shared" si="204"/>
        <v>54543</v>
      </c>
    </row>
    <row r="4353" ht="14.25" spans="1:28">
      <c r="A4353" s="5" t="s">
        <v>28</v>
      </c>
      <c r="B4353" t="s">
        <v>697</v>
      </c>
      <c r="C4353" s="5">
        <v>2027</v>
      </c>
      <c r="D4353" s="5" t="s">
        <v>30</v>
      </c>
      <c r="E4353" s="13" t="s">
        <v>2452</v>
      </c>
      <c r="F4353" s="13" t="s">
        <v>2448</v>
      </c>
      <c r="G4353" s="13" t="s">
        <v>2027</v>
      </c>
      <c r="H4353" s="13" t="s">
        <v>2453</v>
      </c>
      <c r="I4353" s="13" t="s">
        <v>119</v>
      </c>
      <c r="J4353" s="13" t="s">
        <v>72</v>
      </c>
      <c r="K4353" s="13">
        <v>1590</v>
      </c>
      <c r="L4353" s="13">
        <v>0</v>
      </c>
      <c r="M4353" s="13"/>
      <c r="N4353" s="13"/>
      <c r="O4353" s="13" t="s">
        <v>2451</v>
      </c>
      <c r="P4353" s="13" t="s">
        <v>69</v>
      </c>
      <c r="R4353" s="15"/>
      <c r="S4353" s="15"/>
      <c r="T4353" s="15"/>
      <c r="U4353" s="9" t="s">
        <v>136</v>
      </c>
      <c r="V4353" t="s">
        <v>137</v>
      </c>
      <c r="W4353" t="s">
        <v>178</v>
      </c>
      <c r="X4353" t="s">
        <v>332</v>
      </c>
      <c r="Z4353" t="s">
        <v>196</v>
      </c>
      <c r="AB4353" t="str">
        <f t="shared" si="204"/>
        <v>54543</v>
      </c>
    </row>
    <row r="4354" ht="14.25" spans="1:28">
      <c r="A4354" s="5" t="s">
        <v>28</v>
      </c>
      <c r="B4354" t="s">
        <v>697</v>
      </c>
      <c r="C4354" s="5">
        <v>2027</v>
      </c>
      <c r="D4354" s="5" t="s">
        <v>30</v>
      </c>
      <c r="E4354" s="13" t="s">
        <v>2452</v>
      </c>
      <c r="F4354" s="13" t="s">
        <v>2448</v>
      </c>
      <c r="G4354" s="13" t="s">
        <v>2027</v>
      </c>
      <c r="H4354" s="13" t="s">
        <v>2453</v>
      </c>
      <c r="I4354" s="13" t="s">
        <v>119</v>
      </c>
      <c r="J4354" s="13" t="s">
        <v>72</v>
      </c>
      <c r="K4354" s="13">
        <v>1590</v>
      </c>
      <c r="L4354" s="13">
        <v>0</v>
      </c>
      <c r="M4354" s="13"/>
      <c r="N4354" s="13"/>
      <c r="O4354" s="13" t="s">
        <v>2451</v>
      </c>
      <c r="P4354" s="13" t="s">
        <v>72</v>
      </c>
      <c r="R4354" s="15"/>
      <c r="S4354" s="15"/>
      <c r="T4354" s="15"/>
      <c r="U4354" s="9" t="s">
        <v>136</v>
      </c>
      <c r="V4354" t="s">
        <v>137</v>
      </c>
      <c r="W4354" t="s">
        <v>178</v>
      </c>
      <c r="X4354" t="s">
        <v>332</v>
      </c>
      <c r="Z4354" t="s">
        <v>196</v>
      </c>
      <c r="AB4354" t="str">
        <f t="shared" si="204"/>
        <v>54543</v>
      </c>
    </row>
    <row r="4355" ht="14.25" spans="1:28">
      <c r="A4355" s="5" t="s">
        <v>28</v>
      </c>
      <c r="B4355" t="s">
        <v>697</v>
      </c>
      <c r="C4355" s="5">
        <v>2027</v>
      </c>
      <c r="D4355" s="5" t="s">
        <v>30</v>
      </c>
      <c r="E4355" s="13" t="s">
        <v>2452</v>
      </c>
      <c r="F4355" s="13" t="s">
        <v>2448</v>
      </c>
      <c r="G4355" s="13" t="s">
        <v>2027</v>
      </c>
      <c r="H4355" s="13" t="s">
        <v>2453</v>
      </c>
      <c r="I4355" s="13" t="s">
        <v>119</v>
      </c>
      <c r="J4355" s="13" t="s">
        <v>72</v>
      </c>
      <c r="K4355" s="13">
        <v>1590</v>
      </c>
      <c r="L4355" s="13">
        <v>0</v>
      </c>
      <c r="M4355" s="13"/>
      <c r="N4355" s="13"/>
      <c r="O4355" s="13" t="s">
        <v>2451</v>
      </c>
      <c r="P4355" s="13" t="s">
        <v>73</v>
      </c>
      <c r="R4355" s="15"/>
      <c r="S4355" s="15"/>
      <c r="T4355" s="15"/>
      <c r="U4355" s="9" t="s">
        <v>136</v>
      </c>
      <c r="V4355" t="s">
        <v>137</v>
      </c>
      <c r="W4355" t="s">
        <v>178</v>
      </c>
      <c r="X4355" t="s">
        <v>332</v>
      </c>
      <c r="Z4355" t="s">
        <v>196</v>
      </c>
      <c r="AB4355" t="str">
        <f t="shared" si="204"/>
        <v>54543</v>
      </c>
    </row>
    <row r="4356" ht="14.25" spans="1:28">
      <c r="A4356" s="5" t="s">
        <v>28</v>
      </c>
      <c r="B4356" t="s">
        <v>697</v>
      </c>
      <c r="C4356" s="5">
        <v>2027</v>
      </c>
      <c r="D4356" s="5" t="s">
        <v>30</v>
      </c>
      <c r="E4356" s="13" t="s">
        <v>2452</v>
      </c>
      <c r="F4356" s="13" t="s">
        <v>2448</v>
      </c>
      <c r="G4356" s="13" t="s">
        <v>2027</v>
      </c>
      <c r="H4356" s="13" t="s">
        <v>2453</v>
      </c>
      <c r="I4356" s="13" t="s">
        <v>119</v>
      </c>
      <c r="J4356" s="13" t="s">
        <v>72</v>
      </c>
      <c r="K4356" s="13">
        <v>1590</v>
      </c>
      <c r="L4356" s="13">
        <v>0</v>
      </c>
      <c r="M4356" s="13"/>
      <c r="N4356" s="13"/>
      <c r="O4356" s="13" t="s">
        <v>2451</v>
      </c>
      <c r="P4356" s="13" t="s">
        <v>74</v>
      </c>
      <c r="R4356" s="15"/>
      <c r="S4356" s="15"/>
      <c r="T4356" s="15"/>
      <c r="U4356" s="9" t="s">
        <v>136</v>
      </c>
      <c r="V4356" t="s">
        <v>137</v>
      </c>
      <c r="W4356" t="s">
        <v>178</v>
      </c>
      <c r="X4356" t="s">
        <v>332</v>
      </c>
      <c r="Z4356" t="s">
        <v>196</v>
      </c>
      <c r="AB4356" t="str">
        <f t="shared" si="204"/>
        <v>54543</v>
      </c>
    </row>
    <row r="4357" ht="14.25" spans="1:28">
      <c r="A4357" s="5" t="s">
        <v>28</v>
      </c>
      <c r="B4357" t="s">
        <v>697</v>
      </c>
      <c r="C4357" s="5">
        <v>2027</v>
      </c>
      <c r="D4357" s="5" t="s">
        <v>30</v>
      </c>
      <c r="E4357" s="13" t="s">
        <v>2454</v>
      </c>
      <c r="F4357" s="13" t="s">
        <v>2455</v>
      </c>
      <c r="G4357" s="13" t="s">
        <v>2449</v>
      </c>
      <c r="H4357" s="13" t="s">
        <v>2456</v>
      </c>
      <c r="I4357" s="13" t="s">
        <v>147</v>
      </c>
      <c r="J4357" s="13" t="s">
        <v>72</v>
      </c>
      <c r="K4357" s="13">
        <v>1790</v>
      </c>
      <c r="L4357" s="13">
        <v>0</v>
      </c>
      <c r="M4357" s="13"/>
      <c r="N4357" s="13"/>
      <c r="O4357" s="13" t="s">
        <v>2451</v>
      </c>
      <c r="P4357" s="13" t="s">
        <v>614</v>
      </c>
      <c r="R4357" s="16">
        <f t="shared" si="205"/>
        <v>0</v>
      </c>
      <c r="S4357" s="16">
        <f>SUMIFS([1]Sheet1!$T:$T,[1]Sheet1!$I:$I,E4357,[1]Sheet1!$C:$C,A4357)</f>
        <v>60</v>
      </c>
      <c r="T4357" s="16">
        <f t="shared" si="206"/>
        <v>-60</v>
      </c>
      <c r="U4357" s="9" t="s">
        <v>136</v>
      </c>
      <c r="V4357" t="s">
        <v>137</v>
      </c>
      <c r="W4357" t="s">
        <v>178</v>
      </c>
      <c r="X4357" t="s">
        <v>313</v>
      </c>
      <c r="Z4357" t="s">
        <v>2457</v>
      </c>
      <c r="AB4357" t="str">
        <f t="shared" si="204"/>
        <v>53842</v>
      </c>
    </row>
    <row r="4358" ht="14.25" spans="1:28">
      <c r="A4358" s="5" t="s">
        <v>28</v>
      </c>
      <c r="B4358" t="s">
        <v>697</v>
      </c>
      <c r="C4358" s="5">
        <v>2027</v>
      </c>
      <c r="D4358" s="5" t="s">
        <v>30</v>
      </c>
      <c r="E4358" s="13" t="s">
        <v>2454</v>
      </c>
      <c r="F4358" s="13" t="s">
        <v>2455</v>
      </c>
      <c r="G4358" s="13" t="s">
        <v>2449</v>
      </c>
      <c r="H4358" s="13" t="s">
        <v>2456</v>
      </c>
      <c r="I4358" s="13" t="s">
        <v>147</v>
      </c>
      <c r="J4358" s="13" t="s">
        <v>72</v>
      </c>
      <c r="K4358" s="13">
        <v>1790</v>
      </c>
      <c r="L4358" s="13">
        <v>0</v>
      </c>
      <c r="M4358" s="13"/>
      <c r="N4358" s="13"/>
      <c r="O4358" s="13" t="s">
        <v>2451</v>
      </c>
      <c r="P4358" s="13" t="s">
        <v>615</v>
      </c>
      <c r="R4358" s="16"/>
      <c r="S4358" s="16"/>
      <c r="T4358" s="16"/>
      <c r="U4358" s="9" t="s">
        <v>136</v>
      </c>
      <c r="V4358" t="s">
        <v>137</v>
      </c>
      <c r="W4358" t="s">
        <v>178</v>
      </c>
      <c r="X4358" t="s">
        <v>313</v>
      </c>
      <c r="Z4358" t="s">
        <v>2457</v>
      </c>
      <c r="AB4358" t="str">
        <f t="shared" si="204"/>
        <v>53842</v>
      </c>
    </row>
    <row r="4359" ht="14.25" spans="1:28">
      <c r="A4359" s="5" t="s">
        <v>28</v>
      </c>
      <c r="B4359" t="s">
        <v>697</v>
      </c>
      <c r="C4359" s="5">
        <v>2027</v>
      </c>
      <c r="D4359" s="5" t="s">
        <v>30</v>
      </c>
      <c r="E4359" s="13" t="s">
        <v>2454</v>
      </c>
      <c r="F4359" s="13" t="s">
        <v>2455</v>
      </c>
      <c r="G4359" s="13" t="s">
        <v>2449</v>
      </c>
      <c r="H4359" s="13" t="s">
        <v>2456</v>
      </c>
      <c r="I4359" s="13" t="s">
        <v>147</v>
      </c>
      <c r="J4359" s="13" t="s">
        <v>72</v>
      </c>
      <c r="K4359" s="13">
        <v>1790</v>
      </c>
      <c r="L4359" s="13">
        <v>0</v>
      </c>
      <c r="M4359" s="13"/>
      <c r="N4359" s="13"/>
      <c r="O4359" s="13" t="s">
        <v>2451</v>
      </c>
      <c r="P4359" s="13" t="s">
        <v>616</v>
      </c>
      <c r="R4359" s="16"/>
      <c r="S4359" s="16"/>
      <c r="T4359" s="16"/>
      <c r="U4359" s="9" t="s">
        <v>136</v>
      </c>
      <c r="V4359" t="s">
        <v>137</v>
      </c>
      <c r="W4359" t="s">
        <v>178</v>
      </c>
      <c r="X4359" t="s">
        <v>313</v>
      </c>
      <c r="Z4359" t="s">
        <v>2457</v>
      </c>
      <c r="AB4359" t="str">
        <f t="shared" si="204"/>
        <v>53842</v>
      </c>
    </row>
    <row r="4360" ht="14.25" spans="1:28">
      <c r="A4360" s="5" t="s">
        <v>28</v>
      </c>
      <c r="B4360" t="s">
        <v>697</v>
      </c>
      <c r="C4360" s="5">
        <v>2027</v>
      </c>
      <c r="D4360" s="5" t="s">
        <v>30</v>
      </c>
      <c r="E4360" s="13" t="s">
        <v>2454</v>
      </c>
      <c r="F4360" s="13" t="s">
        <v>2455</v>
      </c>
      <c r="G4360" s="13" t="s">
        <v>2449</v>
      </c>
      <c r="H4360" s="13" t="s">
        <v>2456</v>
      </c>
      <c r="I4360" s="13" t="s">
        <v>147</v>
      </c>
      <c r="J4360" s="13" t="s">
        <v>72</v>
      </c>
      <c r="K4360" s="13">
        <v>1790</v>
      </c>
      <c r="L4360" s="13">
        <v>0</v>
      </c>
      <c r="M4360" s="13"/>
      <c r="N4360" s="13"/>
      <c r="O4360" s="13" t="s">
        <v>2451</v>
      </c>
      <c r="P4360" s="13" t="s">
        <v>318</v>
      </c>
      <c r="R4360" s="16"/>
      <c r="S4360" s="16"/>
      <c r="T4360" s="16"/>
      <c r="U4360" s="9" t="s">
        <v>136</v>
      </c>
      <c r="V4360" t="s">
        <v>137</v>
      </c>
      <c r="W4360" t="s">
        <v>178</v>
      </c>
      <c r="X4360" t="s">
        <v>313</v>
      </c>
      <c r="Z4360" t="s">
        <v>2457</v>
      </c>
      <c r="AB4360" t="str">
        <f t="shared" si="204"/>
        <v>53842</v>
      </c>
    </row>
    <row r="4361" ht="14.25" spans="1:28">
      <c r="A4361" s="5" t="s">
        <v>28</v>
      </c>
      <c r="B4361" t="s">
        <v>697</v>
      </c>
      <c r="C4361" s="5">
        <v>2027</v>
      </c>
      <c r="D4361" s="5" t="s">
        <v>30</v>
      </c>
      <c r="E4361" s="13" t="s">
        <v>2454</v>
      </c>
      <c r="F4361" s="13" t="s">
        <v>2455</v>
      </c>
      <c r="G4361" s="13" t="s">
        <v>2449</v>
      </c>
      <c r="H4361" s="13" t="s">
        <v>2456</v>
      </c>
      <c r="I4361" s="13" t="s">
        <v>147</v>
      </c>
      <c r="J4361" s="13" t="s">
        <v>72</v>
      </c>
      <c r="K4361" s="13">
        <v>1790</v>
      </c>
      <c r="L4361" s="13">
        <v>0</v>
      </c>
      <c r="M4361" s="13"/>
      <c r="N4361" s="13"/>
      <c r="O4361" s="13" t="s">
        <v>2451</v>
      </c>
      <c r="P4361" s="13" t="s">
        <v>69</v>
      </c>
      <c r="R4361" s="16"/>
      <c r="S4361" s="16"/>
      <c r="T4361" s="16"/>
      <c r="U4361" s="9" t="s">
        <v>136</v>
      </c>
      <c r="V4361" t="s">
        <v>137</v>
      </c>
      <c r="W4361" t="s">
        <v>178</v>
      </c>
      <c r="X4361" t="s">
        <v>313</v>
      </c>
      <c r="Z4361" t="s">
        <v>2457</v>
      </c>
      <c r="AB4361" t="str">
        <f t="shared" si="204"/>
        <v>53842</v>
      </c>
    </row>
    <row r="4362" ht="14.25" spans="1:28">
      <c r="A4362" s="5" t="s">
        <v>28</v>
      </c>
      <c r="B4362" t="s">
        <v>697</v>
      </c>
      <c r="C4362" s="5">
        <v>2027</v>
      </c>
      <c r="D4362" s="5" t="s">
        <v>30</v>
      </c>
      <c r="E4362" s="13" t="s">
        <v>2454</v>
      </c>
      <c r="F4362" s="13" t="s">
        <v>2455</v>
      </c>
      <c r="G4362" s="13" t="s">
        <v>2449</v>
      </c>
      <c r="H4362" s="13" t="s">
        <v>2456</v>
      </c>
      <c r="I4362" s="13" t="s">
        <v>147</v>
      </c>
      <c r="J4362" s="13" t="s">
        <v>72</v>
      </c>
      <c r="K4362" s="13">
        <v>1790</v>
      </c>
      <c r="L4362" s="13">
        <v>0</v>
      </c>
      <c r="M4362" s="13"/>
      <c r="N4362" s="13"/>
      <c r="O4362" s="13" t="s">
        <v>2451</v>
      </c>
      <c r="P4362" s="13" t="s">
        <v>72</v>
      </c>
      <c r="R4362" s="16"/>
      <c r="S4362" s="16"/>
      <c r="T4362" s="16"/>
      <c r="U4362" s="9" t="s">
        <v>136</v>
      </c>
      <c r="V4362" t="s">
        <v>137</v>
      </c>
      <c r="W4362" t="s">
        <v>178</v>
      </c>
      <c r="X4362" t="s">
        <v>313</v>
      </c>
      <c r="Z4362" t="s">
        <v>2457</v>
      </c>
      <c r="AB4362" t="str">
        <f t="shared" si="204"/>
        <v>53842</v>
      </c>
    </row>
    <row r="4363" ht="14.25" spans="1:28">
      <c r="A4363" s="5" t="s">
        <v>28</v>
      </c>
      <c r="B4363" t="s">
        <v>697</v>
      </c>
      <c r="C4363" s="5">
        <v>2027</v>
      </c>
      <c r="D4363" s="5" t="s">
        <v>30</v>
      </c>
      <c r="E4363" s="13" t="s">
        <v>2454</v>
      </c>
      <c r="F4363" s="13" t="s">
        <v>2455</v>
      </c>
      <c r="G4363" s="13" t="s">
        <v>2449</v>
      </c>
      <c r="H4363" s="13" t="s">
        <v>2456</v>
      </c>
      <c r="I4363" s="13" t="s">
        <v>147</v>
      </c>
      <c r="J4363" s="13" t="s">
        <v>72</v>
      </c>
      <c r="K4363" s="13">
        <v>1790</v>
      </c>
      <c r="L4363" s="13">
        <v>0</v>
      </c>
      <c r="M4363" s="13"/>
      <c r="N4363" s="13"/>
      <c r="O4363" s="13" t="s">
        <v>2451</v>
      </c>
      <c r="P4363" s="13" t="s">
        <v>73</v>
      </c>
      <c r="R4363" s="16"/>
      <c r="S4363" s="16"/>
      <c r="T4363" s="16"/>
      <c r="U4363" s="9" t="s">
        <v>136</v>
      </c>
      <c r="V4363" t="s">
        <v>137</v>
      </c>
      <c r="W4363" t="s">
        <v>178</v>
      </c>
      <c r="X4363" t="s">
        <v>313</v>
      </c>
      <c r="Z4363" t="s">
        <v>2457</v>
      </c>
      <c r="AB4363" t="str">
        <f t="shared" si="204"/>
        <v>53842</v>
      </c>
    </row>
    <row r="4364" ht="14.25" spans="1:28">
      <c r="A4364" s="5" t="s">
        <v>28</v>
      </c>
      <c r="B4364" t="s">
        <v>697</v>
      </c>
      <c r="C4364" s="5">
        <v>2027</v>
      </c>
      <c r="D4364" s="5" t="s">
        <v>30</v>
      </c>
      <c r="E4364" s="13" t="s">
        <v>2454</v>
      </c>
      <c r="F4364" s="13" t="s">
        <v>2455</v>
      </c>
      <c r="G4364" s="13" t="s">
        <v>2449</v>
      </c>
      <c r="H4364" s="13" t="s">
        <v>2456</v>
      </c>
      <c r="I4364" s="13" t="s">
        <v>147</v>
      </c>
      <c r="J4364" s="13" t="s">
        <v>72</v>
      </c>
      <c r="K4364" s="13">
        <v>1790</v>
      </c>
      <c r="L4364" s="13">
        <v>0</v>
      </c>
      <c r="M4364" s="13"/>
      <c r="N4364" s="13"/>
      <c r="O4364" s="13" t="s">
        <v>2451</v>
      </c>
      <c r="P4364" s="13" t="s">
        <v>74</v>
      </c>
      <c r="R4364" s="16"/>
      <c r="S4364" s="16"/>
      <c r="T4364" s="16"/>
      <c r="U4364" s="9" t="s">
        <v>136</v>
      </c>
      <c r="V4364" t="s">
        <v>137</v>
      </c>
      <c r="W4364" t="s">
        <v>178</v>
      </c>
      <c r="X4364" t="s">
        <v>313</v>
      </c>
      <c r="Z4364" t="s">
        <v>2457</v>
      </c>
      <c r="AB4364" t="str">
        <f t="shared" si="204"/>
        <v>53842</v>
      </c>
    </row>
    <row r="4365" ht="14.25" spans="1:28">
      <c r="A4365" s="5" t="s">
        <v>28</v>
      </c>
      <c r="B4365" t="s">
        <v>697</v>
      </c>
      <c r="C4365" s="5">
        <v>2027</v>
      </c>
      <c r="D4365" s="5" t="s">
        <v>30</v>
      </c>
      <c r="E4365" s="13" t="s">
        <v>2458</v>
      </c>
      <c r="F4365" s="13" t="s">
        <v>2455</v>
      </c>
      <c r="G4365" s="13" t="s">
        <v>346</v>
      </c>
      <c r="H4365" s="13" t="s">
        <v>2459</v>
      </c>
      <c r="I4365" s="13" t="s">
        <v>147</v>
      </c>
      <c r="J4365" s="13" t="s">
        <v>72</v>
      </c>
      <c r="K4365" s="13">
        <v>1590</v>
      </c>
      <c r="L4365" s="13">
        <v>0</v>
      </c>
      <c r="M4365" s="13"/>
      <c r="N4365" s="13"/>
      <c r="O4365" s="13" t="s">
        <v>2451</v>
      </c>
      <c r="P4365" s="13" t="s">
        <v>614</v>
      </c>
      <c r="R4365" s="16">
        <f t="shared" si="205"/>
        <v>0</v>
      </c>
      <c r="S4365" s="16">
        <f>SUMIFS([1]Sheet1!$T:$T,[1]Sheet1!$I:$I,E4365,[1]Sheet1!$C:$C,A4365)</f>
        <v>60</v>
      </c>
      <c r="T4365" s="16">
        <f t="shared" si="206"/>
        <v>-60</v>
      </c>
      <c r="U4365" s="9" t="s">
        <v>136</v>
      </c>
      <c r="V4365" t="s">
        <v>137</v>
      </c>
      <c r="W4365" t="s">
        <v>178</v>
      </c>
      <c r="X4365" t="s">
        <v>191</v>
      </c>
      <c r="Z4365" t="s">
        <v>2457</v>
      </c>
      <c r="AB4365" t="str">
        <f t="shared" si="204"/>
        <v>53834</v>
      </c>
    </row>
    <row r="4366" ht="14.25" spans="1:28">
      <c r="A4366" s="5" t="s">
        <v>28</v>
      </c>
      <c r="B4366" t="s">
        <v>697</v>
      </c>
      <c r="C4366" s="5">
        <v>2027</v>
      </c>
      <c r="D4366" s="5" t="s">
        <v>30</v>
      </c>
      <c r="E4366" s="13" t="s">
        <v>2458</v>
      </c>
      <c r="F4366" s="13" t="s">
        <v>2455</v>
      </c>
      <c r="G4366" s="13" t="s">
        <v>346</v>
      </c>
      <c r="H4366" s="13" t="s">
        <v>2459</v>
      </c>
      <c r="I4366" s="13" t="s">
        <v>147</v>
      </c>
      <c r="J4366" s="13" t="s">
        <v>72</v>
      </c>
      <c r="K4366" s="13">
        <v>1590</v>
      </c>
      <c r="L4366" s="13">
        <v>0</v>
      </c>
      <c r="M4366" s="13"/>
      <c r="N4366" s="13"/>
      <c r="O4366" s="13" t="s">
        <v>2451</v>
      </c>
      <c r="P4366" s="13" t="s">
        <v>615</v>
      </c>
      <c r="R4366" s="16"/>
      <c r="S4366" s="16"/>
      <c r="T4366" s="16"/>
      <c r="U4366" s="9" t="s">
        <v>136</v>
      </c>
      <c r="V4366" t="s">
        <v>137</v>
      </c>
      <c r="W4366" t="s">
        <v>178</v>
      </c>
      <c r="X4366" t="s">
        <v>191</v>
      </c>
      <c r="Z4366" t="s">
        <v>2457</v>
      </c>
      <c r="AB4366" t="str">
        <f t="shared" si="204"/>
        <v>53834</v>
      </c>
    </row>
    <row r="4367" ht="14.25" spans="1:28">
      <c r="A4367" s="5" t="s">
        <v>28</v>
      </c>
      <c r="B4367" t="s">
        <v>697</v>
      </c>
      <c r="C4367" s="5">
        <v>2027</v>
      </c>
      <c r="D4367" s="5" t="s">
        <v>30</v>
      </c>
      <c r="E4367" s="13" t="s">
        <v>2458</v>
      </c>
      <c r="F4367" s="13" t="s">
        <v>2455</v>
      </c>
      <c r="G4367" s="13" t="s">
        <v>346</v>
      </c>
      <c r="H4367" s="13" t="s">
        <v>2459</v>
      </c>
      <c r="I4367" s="13" t="s">
        <v>147</v>
      </c>
      <c r="J4367" s="13" t="s">
        <v>72</v>
      </c>
      <c r="K4367" s="13">
        <v>1590</v>
      </c>
      <c r="L4367" s="13">
        <v>0</v>
      </c>
      <c r="M4367" s="13"/>
      <c r="N4367" s="13"/>
      <c r="O4367" s="13" t="s">
        <v>2451</v>
      </c>
      <c r="P4367" s="13" t="s">
        <v>616</v>
      </c>
      <c r="R4367" s="16"/>
      <c r="S4367" s="16"/>
      <c r="T4367" s="16"/>
      <c r="U4367" s="9" t="s">
        <v>136</v>
      </c>
      <c r="V4367" t="s">
        <v>137</v>
      </c>
      <c r="W4367" t="s">
        <v>178</v>
      </c>
      <c r="X4367" t="s">
        <v>191</v>
      </c>
      <c r="Z4367" t="s">
        <v>2457</v>
      </c>
      <c r="AB4367" t="str">
        <f t="shared" si="204"/>
        <v>53834</v>
      </c>
    </row>
    <row r="4368" ht="14.25" spans="1:28">
      <c r="A4368" s="5" t="s">
        <v>28</v>
      </c>
      <c r="B4368" t="s">
        <v>697</v>
      </c>
      <c r="C4368" s="5">
        <v>2027</v>
      </c>
      <c r="D4368" s="5" t="s">
        <v>30</v>
      </c>
      <c r="E4368" s="13" t="s">
        <v>2458</v>
      </c>
      <c r="F4368" s="13" t="s">
        <v>2455</v>
      </c>
      <c r="G4368" s="13" t="s">
        <v>346</v>
      </c>
      <c r="H4368" s="13" t="s">
        <v>2459</v>
      </c>
      <c r="I4368" s="13" t="s">
        <v>147</v>
      </c>
      <c r="J4368" s="13" t="s">
        <v>72</v>
      </c>
      <c r="K4368" s="13">
        <v>1590</v>
      </c>
      <c r="L4368" s="13">
        <v>0</v>
      </c>
      <c r="M4368" s="13"/>
      <c r="N4368" s="13"/>
      <c r="O4368" s="13" t="s">
        <v>2451</v>
      </c>
      <c r="P4368" s="13" t="s">
        <v>318</v>
      </c>
      <c r="R4368" s="16"/>
      <c r="S4368" s="16"/>
      <c r="T4368" s="16"/>
      <c r="U4368" s="9" t="s">
        <v>136</v>
      </c>
      <c r="V4368" t="s">
        <v>137</v>
      </c>
      <c r="W4368" t="s">
        <v>178</v>
      </c>
      <c r="X4368" t="s">
        <v>191</v>
      </c>
      <c r="Z4368" t="s">
        <v>2457</v>
      </c>
      <c r="AB4368" t="str">
        <f t="shared" si="204"/>
        <v>53834</v>
      </c>
    </row>
    <row r="4369" ht="14.25" spans="1:28">
      <c r="A4369" s="5" t="s">
        <v>28</v>
      </c>
      <c r="B4369" t="s">
        <v>697</v>
      </c>
      <c r="C4369" s="5">
        <v>2027</v>
      </c>
      <c r="D4369" s="5" t="s">
        <v>30</v>
      </c>
      <c r="E4369" s="13" t="s">
        <v>2458</v>
      </c>
      <c r="F4369" s="13" t="s">
        <v>2455</v>
      </c>
      <c r="G4369" s="13" t="s">
        <v>346</v>
      </c>
      <c r="H4369" s="13" t="s">
        <v>2459</v>
      </c>
      <c r="I4369" s="13" t="s">
        <v>147</v>
      </c>
      <c r="J4369" s="13" t="s">
        <v>72</v>
      </c>
      <c r="K4369" s="13">
        <v>1590</v>
      </c>
      <c r="L4369" s="13">
        <v>0</v>
      </c>
      <c r="M4369" s="13"/>
      <c r="N4369" s="13"/>
      <c r="O4369" s="13" t="s">
        <v>2451</v>
      </c>
      <c r="P4369" s="13" t="s">
        <v>69</v>
      </c>
      <c r="R4369" s="16"/>
      <c r="S4369" s="16"/>
      <c r="T4369" s="16"/>
      <c r="U4369" s="9" t="s">
        <v>136</v>
      </c>
      <c r="V4369" t="s">
        <v>137</v>
      </c>
      <c r="W4369" t="s">
        <v>178</v>
      </c>
      <c r="X4369" t="s">
        <v>191</v>
      </c>
      <c r="Z4369" t="s">
        <v>2457</v>
      </c>
      <c r="AB4369" t="str">
        <f t="shared" si="204"/>
        <v>53834</v>
      </c>
    </row>
    <row r="4370" ht="14.25" spans="1:28">
      <c r="A4370" s="5" t="s">
        <v>28</v>
      </c>
      <c r="B4370" t="s">
        <v>697</v>
      </c>
      <c r="C4370" s="5">
        <v>2027</v>
      </c>
      <c r="D4370" s="5" t="s">
        <v>30</v>
      </c>
      <c r="E4370" s="13" t="s">
        <v>2458</v>
      </c>
      <c r="F4370" s="13" t="s">
        <v>2455</v>
      </c>
      <c r="G4370" s="13" t="s">
        <v>346</v>
      </c>
      <c r="H4370" s="13" t="s">
        <v>2459</v>
      </c>
      <c r="I4370" s="13" t="s">
        <v>147</v>
      </c>
      <c r="J4370" s="13" t="s">
        <v>72</v>
      </c>
      <c r="K4370" s="13">
        <v>1590</v>
      </c>
      <c r="L4370" s="13">
        <v>0</v>
      </c>
      <c r="M4370" s="13"/>
      <c r="N4370" s="13"/>
      <c r="O4370" s="13" t="s">
        <v>2451</v>
      </c>
      <c r="P4370" s="13" t="s">
        <v>72</v>
      </c>
      <c r="R4370" s="16"/>
      <c r="S4370" s="16"/>
      <c r="T4370" s="16"/>
      <c r="U4370" s="9" t="s">
        <v>136</v>
      </c>
      <c r="V4370" t="s">
        <v>137</v>
      </c>
      <c r="W4370" t="s">
        <v>178</v>
      </c>
      <c r="X4370" t="s">
        <v>191</v>
      </c>
      <c r="Z4370" t="s">
        <v>2457</v>
      </c>
      <c r="AB4370" t="str">
        <f t="shared" si="204"/>
        <v>53834</v>
      </c>
    </row>
    <row r="4371" ht="14.25" spans="1:28">
      <c r="A4371" s="5" t="s">
        <v>28</v>
      </c>
      <c r="B4371" t="s">
        <v>697</v>
      </c>
      <c r="C4371" s="5">
        <v>2027</v>
      </c>
      <c r="D4371" s="5" t="s">
        <v>30</v>
      </c>
      <c r="E4371" s="13" t="s">
        <v>2458</v>
      </c>
      <c r="F4371" s="13" t="s">
        <v>2455</v>
      </c>
      <c r="G4371" s="13" t="s">
        <v>346</v>
      </c>
      <c r="H4371" s="13" t="s">
        <v>2459</v>
      </c>
      <c r="I4371" s="13" t="s">
        <v>147</v>
      </c>
      <c r="J4371" s="13" t="s">
        <v>72</v>
      </c>
      <c r="K4371" s="13">
        <v>1590</v>
      </c>
      <c r="L4371" s="13">
        <v>0</v>
      </c>
      <c r="M4371" s="13"/>
      <c r="N4371" s="13"/>
      <c r="O4371" s="13" t="s">
        <v>2451</v>
      </c>
      <c r="P4371" s="13" t="s">
        <v>73</v>
      </c>
      <c r="R4371" s="16"/>
      <c r="S4371" s="16"/>
      <c r="T4371" s="16"/>
      <c r="U4371" s="9" t="s">
        <v>136</v>
      </c>
      <c r="V4371" t="s">
        <v>137</v>
      </c>
      <c r="W4371" t="s">
        <v>178</v>
      </c>
      <c r="X4371" t="s">
        <v>191</v>
      </c>
      <c r="Z4371" t="s">
        <v>2457</v>
      </c>
      <c r="AB4371" t="str">
        <f t="shared" si="204"/>
        <v>53834</v>
      </c>
    </row>
    <row r="4372" ht="14.25" spans="1:28">
      <c r="A4372" s="5" t="s">
        <v>28</v>
      </c>
      <c r="B4372" t="s">
        <v>697</v>
      </c>
      <c r="C4372" s="5">
        <v>2027</v>
      </c>
      <c r="D4372" s="5" t="s">
        <v>30</v>
      </c>
      <c r="E4372" s="13" t="s">
        <v>2458</v>
      </c>
      <c r="F4372" s="13" t="s">
        <v>2455</v>
      </c>
      <c r="G4372" s="13" t="s">
        <v>346</v>
      </c>
      <c r="H4372" s="13" t="s">
        <v>2459</v>
      </c>
      <c r="I4372" s="13" t="s">
        <v>147</v>
      </c>
      <c r="J4372" s="13" t="s">
        <v>72</v>
      </c>
      <c r="K4372" s="13">
        <v>1590</v>
      </c>
      <c r="L4372" s="13">
        <v>0</v>
      </c>
      <c r="M4372" s="13"/>
      <c r="N4372" s="13"/>
      <c r="O4372" s="13" t="s">
        <v>2451</v>
      </c>
      <c r="P4372" s="13" t="s">
        <v>74</v>
      </c>
      <c r="R4372" s="16"/>
      <c r="S4372" s="16"/>
      <c r="T4372" s="16"/>
      <c r="U4372" s="9" t="s">
        <v>136</v>
      </c>
      <c r="V4372" t="s">
        <v>137</v>
      </c>
      <c r="W4372" t="s">
        <v>178</v>
      </c>
      <c r="X4372" t="s">
        <v>191</v>
      </c>
      <c r="Z4372" t="s">
        <v>2457</v>
      </c>
      <c r="AB4372" t="str">
        <f t="shared" si="204"/>
        <v>53834</v>
      </c>
    </row>
  </sheetData>
  <autoFilter xmlns:etc="http://www.wps.cn/officeDocument/2017/etCustomData" ref="A1:AB4372" etc:filterBottomFollowUsedRange="0">
    <extLst/>
  </autoFilter>
  <mergeCells count="2127">
    <mergeCell ref="R2:R7"/>
    <mergeCell ref="R8:R13"/>
    <mergeCell ref="R14:R19"/>
    <mergeCell ref="R20:R25"/>
    <mergeCell ref="R26:R31"/>
    <mergeCell ref="R32:R40"/>
    <mergeCell ref="R41:R49"/>
    <mergeCell ref="R50:R58"/>
    <mergeCell ref="R59:R64"/>
    <mergeCell ref="R65:R70"/>
    <mergeCell ref="R71:R76"/>
    <mergeCell ref="R77:R82"/>
    <mergeCell ref="R83:R88"/>
    <mergeCell ref="R90:R94"/>
    <mergeCell ref="R96:R104"/>
    <mergeCell ref="R105:R113"/>
    <mergeCell ref="R114:R119"/>
    <mergeCell ref="R120:R125"/>
    <mergeCell ref="R126:R131"/>
    <mergeCell ref="R132:R137"/>
    <mergeCell ref="R138:R143"/>
    <mergeCell ref="R144:R149"/>
    <mergeCell ref="R150:R155"/>
    <mergeCell ref="R156:R161"/>
    <mergeCell ref="R162:R167"/>
    <mergeCell ref="R168:R173"/>
    <mergeCell ref="R174:R179"/>
    <mergeCell ref="R180:R184"/>
    <mergeCell ref="R185:R193"/>
    <mergeCell ref="R194:R200"/>
    <mergeCell ref="R201:R209"/>
    <mergeCell ref="R210:R215"/>
    <mergeCell ref="R216:R221"/>
    <mergeCell ref="R222:R227"/>
    <mergeCell ref="R228:R233"/>
    <mergeCell ref="R234:R239"/>
    <mergeCell ref="R240:R244"/>
    <mergeCell ref="R245:R250"/>
    <mergeCell ref="R251:R255"/>
    <mergeCell ref="R256:R261"/>
    <mergeCell ref="R271:R274"/>
    <mergeCell ref="R276:R282"/>
    <mergeCell ref="R283:R289"/>
    <mergeCell ref="R290:R296"/>
    <mergeCell ref="R297:R303"/>
    <mergeCell ref="R304:R310"/>
    <mergeCell ref="R311:R317"/>
    <mergeCell ref="R318:R322"/>
    <mergeCell ref="R323:R327"/>
    <mergeCell ref="R328:R332"/>
    <mergeCell ref="R333:R337"/>
    <mergeCell ref="R338:R342"/>
    <mergeCell ref="R343:R347"/>
    <mergeCell ref="R348:R352"/>
    <mergeCell ref="R353:R357"/>
    <mergeCell ref="R358:R362"/>
    <mergeCell ref="R363:R367"/>
    <mergeCell ref="R368:R372"/>
    <mergeCell ref="R373:R377"/>
    <mergeCell ref="R378:R382"/>
    <mergeCell ref="R383:R387"/>
    <mergeCell ref="R388:R392"/>
    <mergeCell ref="R393:R397"/>
    <mergeCell ref="R398:R402"/>
    <mergeCell ref="R403:R407"/>
    <mergeCell ref="R408:R412"/>
    <mergeCell ref="R413:R417"/>
    <mergeCell ref="R418:R422"/>
    <mergeCell ref="R423:R427"/>
    <mergeCell ref="R428:R432"/>
    <mergeCell ref="R433:R437"/>
    <mergeCell ref="R438:R442"/>
    <mergeCell ref="R443:R449"/>
    <mergeCell ref="R450:R456"/>
    <mergeCell ref="R457:R461"/>
    <mergeCell ref="R462:R466"/>
    <mergeCell ref="R467:R473"/>
    <mergeCell ref="R474:R480"/>
    <mergeCell ref="R481:R485"/>
    <mergeCell ref="R486:R490"/>
    <mergeCell ref="R491:R495"/>
    <mergeCell ref="R496:R500"/>
    <mergeCell ref="R501:R505"/>
    <mergeCell ref="R506:R512"/>
    <mergeCell ref="R513:R519"/>
    <mergeCell ref="R520:R524"/>
    <mergeCell ref="R525:R529"/>
    <mergeCell ref="R530:R534"/>
    <mergeCell ref="R535:R539"/>
    <mergeCell ref="R540:R544"/>
    <mergeCell ref="R545:R549"/>
    <mergeCell ref="R550:R554"/>
    <mergeCell ref="R555:R559"/>
    <mergeCell ref="R560:R564"/>
    <mergeCell ref="R565:R569"/>
    <mergeCell ref="R570:R576"/>
    <mergeCell ref="R577:R583"/>
    <mergeCell ref="R584:R589"/>
    <mergeCell ref="R590:R594"/>
    <mergeCell ref="R595:R599"/>
    <mergeCell ref="R600:R604"/>
    <mergeCell ref="R605:R609"/>
    <mergeCell ref="R610:R614"/>
    <mergeCell ref="R615:R619"/>
    <mergeCell ref="R620:R624"/>
    <mergeCell ref="R625:R629"/>
    <mergeCell ref="R630:R634"/>
    <mergeCell ref="R635:R639"/>
    <mergeCell ref="R640:R644"/>
    <mergeCell ref="R645:R649"/>
    <mergeCell ref="R650:R654"/>
    <mergeCell ref="R655:R659"/>
    <mergeCell ref="R660:R664"/>
    <mergeCell ref="R665:R669"/>
    <mergeCell ref="R670:R674"/>
    <mergeCell ref="R675:R679"/>
    <mergeCell ref="R680:R684"/>
    <mergeCell ref="R685:R689"/>
    <mergeCell ref="R690:R694"/>
    <mergeCell ref="R695:R699"/>
    <mergeCell ref="R700:R704"/>
    <mergeCell ref="R705:R709"/>
    <mergeCell ref="R710:R714"/>
    <mergeCell ref="R715:R719"/>
    <mergeCell ref="R720:R724"/>
    <mergeCell ref="R725:R729"/>
    <mergeCell ref="R730:R734"/>
    <mergeCell ref="R735:R739"/>
    <mergeCell ref="R740:R744"/>
    <mergeCell ref="R745:R749"/>
    <mergeCell ref="R750:R754"/>
    <mergeCell ref="R755:R759"/>
    <mergeCell ref="R760:R764"/>
    <mergeCell ref="R765:R769"/>
    <mergeCell ref="R770:R774"/>
    <mergeCell ref="R775:R779"/>
    <mergeCell ref="R780:R784"/>
    <mergeCell ref="R785:R789"/>
    <mergeCell ref="R790:R794"/>
    <mergeCell ref="R795:R799"/>
    <mergeCell ref="R800:R804"/>
    <mergeCell ref="R805:R809"/>
    <mergeCell ref="R810:R814"/>
    <mergeCell ref="R815:R819"/>
    <mergeCell ref="R820:R824"/>
    <mergeCell ref="R825:R830"/>
    <mergeCell ref="R831:R835"/>
    <mergeCell ref="R836:R840"/>
    <mergeCell ref="R841:R845"/>
    <mergeCell ref="R846:R850"/>
    <mergeCell ref="R851:R856"/>
    <mergeCell ref="R857:R861"/>
    <mergeCell ref="R862:R867"/>
    <mergeCell ref="R868:R872"/>
    <mergeCell ref="R873:R877"/>
    <mergeCell ref="R878:R882"/>
    <mergeCell ref="R883:R887"/>
    <mergeCell ref="R888:R892"/>
    <mergeCell ref="R893:R897"/>
    <mergeCell ref="R898:R902"/>
    <mergeCell ref="R903:R907"/>
    <mergeCell ref="R908:R912"/>
    <mergeCell ref="R913:R917"/>
    <mergeCell ref="R918:R922"/>
    <mergeCell ref="R923:R931"/>
    <mergeCell ref="R932:R940"/>
    <mergeCell ref="R965:R969"/>
    <mergeCell ref="R970:R974"/>
    <mergeCell ref="R975:R979"/>
    <mergeCell ref="R980:R984"/>
    <mergeCell ref="R985:R989"/>
    <mergeCell ref="R997:R1001"/>
    <mergeCell ref="R1002:R1006"/>
    <mergeCell ref="R1007:R1011"/>
    <mergeCell ref="R1012:R1016"/>
    <mergeCell ref="R1038:R1042"/>
    <mergeCell ref="R1043:R1047"/>
    <mergeCell ref="R1048:R1052"/>
    <mergeCell ref="R1077:R1085"/>
    <mergeCell ref="R1086:R1094"/>
    <mergeCell ref="R1095:R1103"/>
    <mergeCell ref="R1104:R1110"/>
    <mergeCell ref="R1111:R1117"/>
    <mergeCell ref="R1118:R1124"/>
    <mergeCell ref="R1125:R1131"/>
    <mergeCell ref="R1132:R1140"/>
    <mergeCell ref="R1141:R1149"/>
    <mergeCell ref="R1150:R1158"/>
    <mergeCell ref="R1159:R1167"/>
    <mergeCell ref="R1168:R1176"/>
    <mergeCell ref="R1177:R1184"/>
    <mergeCell ref="R1185:R1192"/>
    <mergeCell ref="R1193:R1200"/>
    <mergeCell ref="R1201:R1208"/>
    <mergeCell ref="R1209:R1215"/>
    <mergeCell ref="R1216:R1222"/>
    <mergeCell ref="R1223:R1229"/>
    <mergeCell ref="R1230:R1236"/>
    <mergeCell ref="R1237:R1243"/>
    <mergeCell ref="R1244:R1250"/>
    <mergeCell ref="R1251:R1258"/>
    <mergeCell ref="R1259:R1264"/>
    <mergeCell ref="R1265:R1270"/>
    <mergeCell ref="R1271:R1276"/>
    <mergeCell ref="R1277:R1282"/>
    <mergeCell ref="R1283:R1288"/>
    <mergeCell ref="R1289:R1297"/>
    <mergeCell ref="R1298:R1306"/>
    <mergeCell ref="R1307:R1312"/>
    <mergeCell ref="R1313:R1318"/>
    <mergeCell ref="R1319:R1324"/>
    <mergeCell ref="R1325:R1330"/>
    <mergeCell ref="R1331:R1336"/>
    <mergeCell ref="R1337:R1342"/>
    <mergeCell ref="R1343:R1348"/>
    <mergeCell ref="R1349:R1354"/>
    <mergeCell ref="R1355:R1360"/>
    <mergeCell ref="R1361:R1366"/>
    <mergeCell ref="R1367:R1372"/>
    <mergeCell ref="R1373:R1378"/>
    <mergeCell ref="R1379:R1384"/>
    <mergeCell ref="R1385:R1390"/>
    <mergeCell ref="R1391:R1396"/>
    <mergeCell ref="R1397:R1402"/>
    <mergeCell ref="R1403:R1408"/>
    <mergeCell ref="R1409:R1414"/>
    <mergeCell ref="R1415:R1420"/>
    <mergeCell ref="R1421:R1426"/>
    <mergeCell ref="R1427:R1432"/>
    <mergeCell ref="R1433:R1438"/>
    <mergeCell ref="R1439:R1444"/>
    <mergeCell ref="R1445:R1450"/>
    <mergeCell ref="R1451:R1456"/>
    <mergeCell ref="R1457:R1462"/>
    <mergeCell ref="R1463:R1468"/>
    <mergeCell ref="R1469:R1474"/>
    <mergeCell ref="R1475:R1483"/>
    <mergeCell ref="R1484:R1501"/>
    <mergeCell ref="R1502:R1510"/>
    <mergeCell ref="R1511:R1516"/>
    <mergeCell ref="R1517:R1522"/>
    <mergeCell ref="R1523:R1528"/>
    <mergeCell ref="R1529:R1534"/>
    <mergeCell ref="R1535:R1540"/>
    <mergeCell ref="R1541:R1546"/>
    <mergeCell ref="R1547:R1555"/>
    <mergeCell ref="R1556:R1564"/>
    <mergeCell ref="R1565:R1573"/>
    <mergeCell ref="R1574:R1582"/>
    <mergeCell ref="R1583:R1588"/>
    <mergeCell ref="R1589:R1594"/>
    <mergeCell ref="R1595:R1603"/>
    <mergeCell ref="R1604:R1612"/>
    <mergeCell ref="R1613:R1621"/>
    <mergeCell ref="R1622:R1630"/>
    <mergeCell ref="R1631:R1636"/>
    <mergeCell ref="R1637:R1642"/>
    <mergeCell ref="R1643:R1648"/>
    <mergeCell ref="R1649:R1654"/>
    <mergeCell ref="R1655:R1660"/>
    <mergeCell ref="R1661:R1666"/>
    <mergeCell ref="R1667:R1672"/>
    <mergeCell ref="R1673:R1678"/>
    <mergeCell ref="R1679:R1684"/>
    <mergeCell ref="R1685:R1690"/>
    <mergeCell ref="R1691:R1696"/>
    <mergeCell ref="R1697:R1702"/>
    <mergeCell ref="R1703:R1708"/>
    <mergeCell ref="R1709:R1714"/>
    <mergeCell ref="R1715:R1720"/>
    <mergeCell ref="R1721:R1726"/>
    <mergeCell ref="R1727:R1732"/>
    <mergeCell ref="R1733:R1738"/>
    <mergeCell ref="R1739:R1744"/>
    <mergeCell ref="R1745:R1750"/>
    <mergeCell ref="R1751:R1756"/>
    <mergeCell ref="R1757:R1762"/>
    <mergeCell ref="R1763:R1768"/>
    <mergeCell ref="R1769:R1774"/>
    <mergeCell ref="R1775:R1780"/>
    <mergeCell ref="R1781:R1786"/>
    <mergeCell ref="R1787:R1792"/>
    <mergeCell ref="R1793:R1798"/>
    <mergeCell ref="R1799:R1804"/>
    <mergeCell ref="R1805:R1810"/>
    <mergeCell ref="R1811:R1816"/>
    <mergeCell ref="R1817:R1822"/>
    <mergeCell ref="R1823:R1828"/>
    <mergeCell ref="R1829:R1834"/>
    <mergeCell ref="R1835:R1840"/>
    <mergeCell ref="R1841:R1846"/>
    <mergeCell ref="R1847:R1852"/>
    <mergeCell ref="R1853:R1858"/>
    <mergeCell ref="R1859:R1864"/>
    <mergeCell ref="R1865:R1870"/>
    <mergeCell ref="R1871:R1876"/>
    <mergeCell ref="R1877:R1882"/>
    <mergeCell ref="R1883:R1888"/>
    <mergeCell ref="R1889:R1894"/>
    <mergeCell ref="R1895:R1900"/>
    <mergeCell ref="R1901:R1906"/>
    <mergeCell ref="R1907:R1912"/>
    <mergeCell ref="R1913:R1918"/>
    <mergeCell ref="R1919:R1924"/>
    <mergeCell ref="R1925:R1930"/>
    <mergeCell ref="R1931:R1936"/>
    <mergeCell ref="R1937:R1942"/>
    <mergeCell ref="R1943:R1948"/>
    <mergeCell ref="R1949:R1954"/>
    <mergeCell ref="R1955:R1963"/>
    <mergeCell ref="R1964:R1972"/>
    <mergeCell ref="R1973:R1981"/>
    <mergeCell ref="R1982:R1990"/>
    <mergeCell ref="R1991:R1999"/>
    <mergeCell ref="R2000:R2008"/>
    <mergeCell ref="R2009:R2017"/>
    <mergeCell ref="R2018:R2026"/>
    <mergeCell ref="R2027:R2035"/>
    <mergeCell ref="R2036:R2044"/>
    <mergeCell ref="R2045:R2053"/>
    <mergeCell ref="R2054:R2059"/>
    <mergeCell ref="R2060:R2065"/>
    <mergeCell ref="R2066:R2071"/>
    <mergeCell ref="R2072:R2077"/>
    <mergeCell ref="R2078:R2083"/>
    <mergeCell ref="R2084:R2089"/>
    <mergeCell ref="R2090:R2095"/>
    <mergeCell ref="R2096:R2101"/>
    <mergeCell ref="R2102:R2107"/>
    <mergeCell ref="R2108:R2113"/>
    <mergeCell ref="R2114:R2119"/>
    <mergeCell ref="R2120:R2125"/>
    <mergeCell ref="R2126:R2131"/>
    <mergeCell ref="R2132:R2137"/>
    <mergeCell ref="R2138:R2143"/>
    <mergeCell ref="R2144:R2149"/>
    <mergeCell ref="R2150:R2155"/>
    <mergeCell ref="R2156:R2161"/>
    <mergeCell ref="R2162:R2167"/>
    <mergeCell ref="R2168:R2173"/>
    <mergeCell ref="R2174:R2179"/>
    <mergeCell ref="R2180:R2185"/>
    <mergeCell ref="R2186:R2191"/>
    <mergeCell ref="R2192:R2197"/>
    <mergeCell ref="R2198:R2202"/>
    <mergeCell ref="R2203:R2208"/>
    <mergeCell ref="R2209:R2213"/>
    <mergeCell ref="R2214:R2218"/>
    <mergeCell ref="R2219:R2223"/>
    <mergeCell ref="R2224:R2228"/>
    <mergeCell ref="R2229:R2234"/>
    <mergeCell ref="R2235:R2240"/>
    <mergeCell ref="R2241:R2246"/>
    <mergeCell ref="R2247:R2252"/>
    <mergeCell ref="R2253:R2258"/>
    <mergeCell ref="R2259:R2264"/>
    <mergeCell ref="R2265:R2270"/>
    <mergeCell ref="R2271:R2276"/>
    <mergeCell ref="R2277:R2282"/>
    <mergeCell ref="R2283:R2291"/>
    <mergeCell ref="R2292:R2300"/>
    <mergeCell ref="R2301:R2306"/>
    <mergeCell ref="R2307:R2312"/>
    <mergeCell ref="R2313:R2318"/>
    <mergeCell ref="R2319:R2324"/>
    <mergeCell ref="R2325:R2330"/>
    <mergeCell ref="R2331:R2336"/>
    <mergeCell ref="R2337:R2342"/>
    <mergeCell ref="R2343:R2348"/>
    <mergeCell ref="R2349:R2354"/>
    <mergeCell ref="R2355:R2360"/>
    <mergeCell ref="R2361:R2366"/>
    <mergeCell ref="R2367:R2372"/>
    <mergeCell ref="R2373:R2378"/>
    <mergeCell ref="R2379:R2384"/>
    <mergeCell ref="R2385:R2390"/>
    <mergeCell ref="R2391:R2396"/>
    <mergeCell ref="R2397:R2402"/>
    <mergeCell ref="R2403:R2408"/>
    <mergeCell ref="R2409:R2414"/>
    <mergeCell ref="R2415:R2420"/>
    <mergeCell ref="R2421:R2426"/>
    <mergeCell ref="R2427:R2432"/>
    <mergeCell ref="R2433:R2438"/>
    <mergeCell ref="R2439:R2447"/>
    <mergeCell ref="R2448:R2453"/>
    <mergeCell ref="R2454:R2459"/>
    <mergeCell ref="R2460:R2465"/>
    <mergeCell ref="R2466:R2471"/>
    <mergeCell ref="R2472:R2477"/>
    <mergeCell ref="R2478:R2483"/>
    <mergeCell ref="R2484:R2492"/>
    <mergeCell ref="R2493:R2501"/>
    <mergeCell ref="R2502:R2510"/>
    <mergeCell ref="R2511:R2516"/>
    <mergeCell ref="R2517:R2522"/>
    <mergeCell ref="R2523:R2528"/>
    <mergeCell ref="R2529:R2534"/>
    <mergeCell ref="R2535:R2540"/>
    <mergeCell ref="R2541:R2546"/>
    <mergeCell ref="R2547:R2552"/>
    <mergeCell ref="R2553:R2558"/>
    <mergeCell ref="R2559:R2567"/>
    <mergeCell ref="R2568:R2576"/>
    <mergeCell ref="R2577:R2585"/>
    <mergeCell ref="R2586:R2594"/>
    <mergeCell ref="R2595:R2603"/>
    <mergeCell ref="R2604:R2612"/>
    <mergeCell ref="R2613:R2621"/>
    <mergeCell ref="R2622:R2630"/>
    <mergeCell ref="R2631:R2639"/>
    <mergeCell ref="R2640:R2645"/>
    <mergeCell ref="R2646:R2651"/>
    <mergeCell ref="R2652:R2657"/>
    <mergeCell ref="R2658:R2663"/>
    <mergeCell ref="R2664:R2669"/>
    <mergeCell ref="R2670:R2675"/>
    <mergeCell ref="R2676:R2681"/>
    <mergeCell ref="R2682:R2687"/>
    <mergeCell ref="R2688:R2693"/>
    <mergeCell ref="R2694:R2699"/>
    <mergeCell ref="R2700:R2705"/>
    <mergeCell ref="R2706:R2711"/>
    <mergeCell ref="R2712:R2717"/>
    <mergeCell ref="R2718:R2726"/>
    <mergeCell ref="R2727:R2732"/>
    <mergeCell ref="R2733:R2738"/>
    <mergeCell ref="R2739:R2744"/>
    <mergeCell ref="R2745:R2750"/>
    <mergeCell ref="R2751:R2756"/>
    <mergeCell ref="R2757:R2762"/>
    <mergeCell ref="R2763:R2768"/>
    <mergeCell ref="R2769:R2774"/>
    <mergeCell ref="R2775:R2780"/>
    <mergeCell ref="R2781:R2786"/>
    <mergeCell ref="R2787:R2792"/>
    <mergeCell ref="R2793:R2798"/>
    <mergeCell ref="R2799:R2804"/>
    <mergeCell ref="R2805:R2810"/>
    <mergeCell ref="R2811:R2816"/>
    <mergeCell ref="R2817:R2822"/>
    <mergeCell ref="R2823:R2828"/>
    <mergeCell ref="R2829:R2834"/>
    <mergeCell ref="R2835:R2840"/>
    <mergeCell ref="R2841:R2846"/>
    <mergeCell ref="R2847:R2852"/>
    <mergeCell ref="R2853:R2858"/>
    <mergeCell ref="R2859:R2864"/>
    <mergeCell ref="R2865:R2870"/>
    <mergeCell ref="R2871:R2876"/>
    <mergeCell ref="R2877:R2882"/>
    <mergeCell ref="R2883:R2888"/>
    <mergeCell ref="R2889:R2894"/>
    <mergeCell ref="R2895:R2900"/>
    <mergeCell ref="R2901:R2906"/>
    <mergeCell ref="R2907:R2912"/>
    <mergeCell ref="R2913:R2918"/>
    <mergeCell ref="R2919:R2924"/>
    <mergeCell ref="R2925:R2930"/>
    <mergeCell ref="R2931:R2936"/>
    <mergeCell ref="R2937:R2942"/>
    <mergeCell ref="R2943:R2948"/>
    <mergeCell ref="R2949:R2954"/>
    <mergeCell ref="R2955:R2960"/>
    <mergeCell ref="R2961:R2966"/>
    <mergeCell ref="R2967:R2972"/>
    <mergeCell ref="R2973:R2978"/>
    <mergeCell ref="R2979:R2984"/>
    <mergeCell ref="R2985:R2990"/>
    <mergeCell ref="R2991:R2996"/>
    <mergeCell ref="R2997:R3002"/>
    <mergeCell ref="R3003:R3011"/>
    <mergeCell ref="R3012:R3020"/>
    <mergeCell ref="R3021:R3026"/>
    <mergeCell ref="R3027:R3032"/>
    <mergeCell ref="R3033:R3038"/>
    <mergeCell ref="R3039:R3044"/>
    <mergeCell ref="R3045:R3053"/>
    <mergeCell ref="R3054:R3062"/>
    <mergeCell ref="R3063:R3071"/>
    <mergeCell ref="R3072:R3080"/>
    <mergeCell ref="R3081:R3089"/>
    <mergeCell ref="R3090:R3098"/>
    <mergeCell ref="R3099:R3107"/>
    <mergeCell ref="R3108:R3113"/>
    <mergeCell ref="R3114:R3119"/>
    <mergeCell ref="R3125:R3129"/>
    <mergeCell ref="R3130:R3134"/>
    <mergeCell ref="R3135:R3139"/>
    <mergeCell ref="R3140:R3144"/>
    <mergeCell ref="R3145:R3149"/>
    <mergeCell ref="R3150:R3154"/>
    <mergeCell ref="R3155:R3159"/>
    <mergeCell ref="R3160:R3164"/>
    <mergeCell ref="R3165:R3169"/>
    <mergeCell ref="R3170:R3174"/>
    <mergeCell ref="R3175:R3179"/>
    <mergeCell ref="R3180:R3184"/>
    <mergeCell ref="R3185:R3189"/>
    <mergeCell ref="R3190:R3194"/>
    <mergeCell ref="R3195:R3199"/>
    <mergeCell ref="R3200:R3204"/>
    <mergeCell ref="R3205:R3209"/>
    <mergeCell ref="R3210:R3215"/>
    <mergeCell ref="R3216:R3221"/>
    <mergeCell ref="R3222:R3227"/>
    <mergeCell ref="R3228:R3233"/>
    <mergeCell ref="R3234:R3239"/>
    <mergeCell ref="R3240:R3245"/>
    <mergeCell ref="R3246:R3251"/>
    <mergeCell ref="R3252:R3257"/>
    <mergeCell ref="R3258:R3263"/>
    <mergeCell ref="R3264:R3269"/>
    <mergeCell ref="R3270:R3275"/>
    <mergeCell ref="R3276:R3281"/>
    <mergeCell ref="R3282:R3287"/>
    <mergeCell ref="R3288:R3292"/>
    <mergeCell ref="R3293:R3297"/>
    <mergeCell ref="R3298:R3302"/>
    <mergeCell ref="R3303:R3307"/>
    <mergeCell ref="R3308:R3312"/>
    <mergeCell ref="R3313:R3317"/>
    <mergeCell ref="R3318:R3322"/>
    <mergeCell ref="R3323:R3327"/>
    <mergeCell ref="R3328:R3332"/>
    <mergeCell ref="R3333:R3337"/>
    <mergeCell ref="R3338:R3342"/>
    <mergeCell ref="R3343:R3347"/>
    <mergeCell ref="R3348:R3352"/>
    <mergeCell ref="R3353:R3358"/>
    <mergeCell ref="R3359:R3364"/>
    <mergeCell ref="R3365:R3370"/>
    <mergeCell ref="R3371:R3376"/>
    <mergeCell ref="R3377:R3382"/>
    <mergeCell ref="R3383:R3387"/>
    <mergeCell ref="R3388:R3392"/>
    <mergeCell ref="R3393:R3397"/>
    <mergeCell ref="R3398:R3403"/>
    <mergeCell ref="R3404:R3408"/>
    <mergeCell ref="R3409:R3413"/>
    <mergeCell ref="R3414:R3418"/>
    <mergeCell ref="R3419:R3423"/>
    <mergeCell ref="R3424:R3428"/>
    <mergeCell ref="R3429:R3433"/>
    <mergeCell ref="R3434:R3438"/>
    <mergeCell ref="R3439:R3444"/>
    <mergeCell ref="R3445:R3450"/>
    <mergeCell ref="R3451:R3456"/>
    <mergeCell ref="R3457:R3462"/>
    <mergeCell ref="R3463:R3468"/>
    <mergeCell ref="R3469:R3474"/>
    <mergeCell ref="R3475:R3480"/>
    <mergeCell ref="R3481:R3486"/>
    <mergeCell ref="R3487:R3492"/>
    <mergeCell ref="R3493:R3498"/>
    <mergeCell ref="R3499:R3503"/>
    <mergeCell ref="R3504:R3508"/>
    <mergeCell ref="R3509:R3513"/>
    <mergeCell ref="R3514:R3518"/>
    <mergeCell ref="R3519:R3523"/>
    <mergeCell ref="R3524:R3528"/>
    <mergeCell ref="R3529:R3533"/>
    <mergeCell ref="R3534:R3539"/>
    <mergeCell ref="R3540:R3545"/>
    <mergeCell ref="R3546:R3551"/>
    <mergeCell ref="R3552:R3557"/>
    <mergeCell ref="R3558:R3562"/>
    <mergeCell ref="R3563:R3568"/>
    <mergeCell ref="R3569:R3574"/>
    <mergeCell ref="R3575:R3580"/>
    <mergeCell ref="R3581:R3586"/>
    <mergeCell ref="R3587:R3592"/>
    <mergeCell ref="R3593:R3598"/>
    <mergeCell ref="R3599:R3604"/>
    <mergeCell ref="R3605:R3610"/>
    <mergeCell ref="R3611:R3616"/>
    <mergeCell ref="R3617:R3622"/>
    <mergeCell ref="R3623:R3628"/>
    <mergeCell ref="R3629:R3634"/>
    <mergeCell ref="R3635:R3640"/>
    <mergeCell ref="R3641:R3646"/>
    <mergeCell ref="R3647:R3652"/>
    <mergeCell ref="R3653:R3658"/>
    <mergeCell ref="R3659:R3664"/>
    <mergeCell ref="R3665:R3670"/>
    <mergeCell ref="R3671:R3676"/>
    <mergeCell ref="R3677:R3682"/>
    <mergeCell ref="R3683:R3688"/>
    <mergeCell ref="R3689:R3694"/>
    <mergeCell ref="R3695:R3700"/>
    <mergeCell ref="R3701:R3706"/>
    <mergeCell ref="R3707:R3712"/>
    <mergeCell ref="R3713:R3717"/>
    <mergeCell ref="R3718:R3722"/>
    <mergeCell ref="R3723:R3728"/>
    <mergeCell ref="R3729:R3734"/>
    <mergeCell ref="R3735:R3740"/>
    <mergeCell ref="R3741:R3746"/>
    <mergeCell ref="R3747:R3752"/>
    <mergeCell ref="R3753:R3758"/>
    <mergeCell ref="R3759:R3764"/>
    <mergeCell ref="R3765:R3770"/>
    <mergeCell ref="R3771:R3776"/>
    <mergeCell ref="R3777:R3782"/>
    <mergeCell ref="R3783:R3788"/>
    <mergeCell ref="R3789:R3794"/>
    <mergeCell ref="R3795:R3800"/>
    <mergeCell ref="R3801:R3806"/>
    <mergeCell ref="R3807:R3812"/>
    <mergeCell ref="R3813:R3818"/>
    <mergeCell ref="R3819:R3824"/>
    <mergeCell ref="R3825:R3830"/>
    <mergeCell ref="R3831:R3836"/>
    <mergeCell ref="R3837:R3842"/>
    <mergeCell ref="R3843:R3848"/>
    <mergeCell ref="R3849:R3854"/>
    <mergeCell ref="R3855:R3860"/>
    <mergeCell ref="R3861:R3865"/>
    <mergeCell ref="R3866:R3870"/>
    <mergeCell ref="R3871:R3876"/>
    <mergeCell ref="R3877:R3882"/>
    <mergeCell ref="R3883:R3888"/>
    <mergeCell ref="R3889:R3894"/>
    <mergeCell ref="R3895:R3900"/>
    <mergeCell ref="R3901:R3906"/>
    <mergeCell ref="R3907:R3911"/>
    <mergeCell ref="R3912:R3917"/>
    <mergeCell ref="R3918:R3923"/>
    <mergeCell ref="R3924:R3929"/>
    <mergeCell ref="R3930:R3935"/>
    <mergeCell ref="R3936:R3941"/>
    <mergeCell ref="R3942:R3946"/>
    <mergeCell ref="R3947:R3951"/>
    <mergeCell ref="R3952:R3956"/>
    <mergeCell ref="R3957:R3961"/>
    <mergeCell ref="R3962:R3967"/>
    <mergeCell ref="R3968:R3972"/>
    <mergeCell ref="R3973:R3977"/>
    <mergeCell ref="R3978:R3983"/>
    <mergeCell ref="R3984:R3989"/>
    <mergeCell ref="R3990:R3994"/>
    <mergeCell ref="R3995:R3999"/>
    <mergeCell ref="R4000:R4004"/>
    <mergeCell ref="R4005:R4009"/>
    <mergeCell ref="R4010:R4015"/>
    <mergeCell ref="R4016:R4021"/>
    <mergeCell ref="R4022:R4027"/>
    <mergeCell ref="R4028:R4032"/>
    <mergeCell ref="R4033:R4037"/>
    <mergeCell ref="R4038:R4042"/>
    <mergeCell ref="R4043:R4047"/>
    <mergeCell ref="R4048:R4052"/>
    <mergeCell ref="R4053:R4057"/>
    <mergeCell ref="R4058:R4063"/>
    <mergeCell ref="R4064:R4069"/>
    <mergeCell ref="R4070:R4075"/>
    <mergeCell ref="R4076:R4081"/>
    <mergeCell ref="R4082:R4087"/>
    <mergeCell ref="R4088:R4093"/>
    <mergeCell ref="R4094:R4099"/>
    <mergeCell ref="R4100:R4105"/>
    <mergeCell ref="R4106:R4111"/>
    <mergeCell ref="R4112:R4116"/>
    <mergeCell ref="R4117:R4121"/>
    <mergeCell ref="R4122:R4127"/>
    <mergeCell ref="R4128:R4133"/>
    <mergeCell ref="R4134:R4138"/>
    <mergeCell ref="R4139:R4143"/>
    <mergeCell ref="R4144:R4148"/>
    <mergeCell ref="R4149:R4153"/>
    <mergeCell ref="R4154:R4158"/>
    <mergeCell ref="R4159:R4163"/>
    <mergeCell ref="R4164:R4168"/>
    <mergeCell ref="R4169:R4173"/>
    <mergeCell ref="R4174:R4178"/>
    <mergeCell ref="R4179:R4183"/>
    <mergeCell ref="R4184:R4188"/>
    <mergeCell ref="R4189:R4193"/>
    <mergeCell ref="R4194:R4198"/>
    <mergeCell ref="R4199:R4203"/>
    <mergeCell ref="R4204:R4208"/>
    <mergeCell ref="R4209:R4213"/>
    <mergeCell ref="R4214:R4218"/>
    <mergeCell ref="R4219:R4223"/>
    <mergeCell ref="R4224:R4228"/>
    <mergeCell ref="R4229:R4233"/>
    <mergeCell ref="R4234:R4238"/>
    <mergeCell ref="R4239:R4243"/>
    <mergeCell ref="R4244:R4248"/>
    <mergeCell ref="R4261:R4265"/>
    <mergeCell ref="R4266:R4270"/>
    <mergeCell ref="R4271:R4275"/>
    <mergeCell ref="R4276:R4280"/>
    <mergeCell ref="R4281:R4285"/>
    <mergeCell ref="R4286:R4290"/>
    <mergeCell ref="R4291:R4295"/>
    <mergeCell ref="R4296:R4300"/>
    <mergeCell ref="R4301:R4305"/>
    <mergeCell ref="R4306:R4310"/>
    <mergeCell ref="R4311:R4315"/>
    <mergeCell ref="R4316:R4320"/>
    <mergeCell ref="R4321:R4325"/>
    <mergeCell ref="R4326:R4330"/>
    <mergeCell ref="R4331:R4335"/>
    <mergeCell ref="R4336:R4340"/>
    <mergeCell ref="R4341:R4348"/>
    <mergeCell ref="R4349:R4356"/>
    <mergeCell ref="R4357:R4364"/>
    <mergeCell ref="R4365:R4372"/>
    <mergeCell ref="S2:S7"/>
    <mergeCell ref="S8:S13"/>
    <mergeCell ref="S14:S19"/>
    <mergeCell ref="S20:S25"/>
    <mergeCell ref="S26:S31"/>
    <mergeCell ref="S32:S40"/>
    <mergeCell ref="S41:S49"/>
    <mergeCell ref="S50:S58"/>
    <mergeCell ref="S59:S64"/>
    <mergeCell ref="S65:S70"/>
    <mergeCell ref="S71:S76"/>
    <mergeCell ref="S77:S82"/>
    <mergeCell ref="S83:S88"/>
    <mergeCell ref="S90:S94"/>
    <mergeCell ref="S96:S104"/>
    <mergeCell ref="S105:S113"/>
    <mergeCell ref="S114:S119"/>
    <mergeCell ref="S120:S125"/>
    <mergeCell ref="S126:S131"/>
    <mergeCell ref="S132:S137"/>
    <mergeCell ref="S138:S143"/>
    <mergeCell ref="S144:S149"/>
    <mergeCell ref="S150:S155"/>
    <mergeCell ref="S156:S161"/>
    <mergeCell ref="S162:S167"/>
    <mergeCell ref="S168:S173"/>
    <mergeCell ref="S174:S179"/>
    <mergeCell ref="S180:S184"/>
    <mergeCell ref="S185:S193"/>
    <mergeCell ref="S194:S200"/>
    <mergeCell ref="S201:S209"/>
    <mergeCell ref="S210:S215"/>
    <mergeCell ref="S216:S221"/>
    <mergeCell ref="S222:S227"/>
    <mergeCell ref="S228:S233"/>
    <mergeCell ref="S234:S239"/>
    <mergeCell ref="S240:S244"/>
    <mergeCell ref="S245:S250"/>
    <mergeCell ref="S251:S255"/>
    <mergeCell ref="S256:S261"/>
    <mergeCell ref="S271:S274"/>
    <mergeCell ref="S276:S282"/>
    <mergeCell ref="S283:S289"/>
    <mergeCell ref="S290:S296"/>
    <mergeCell ref="S297:S303"/>
    <mergeCell ref="S304:S310"/>
    <mergeCell ref="S311:S317"/>
    <mergeCell ref="S318:S322"/>
    <mergeCell ref="S323:S327"/>
    <mergeCell ref="S328:S332"/>
    <mergeCell ref="S333:S337"/>
    <mergeCell ref="S338:S342"/>
    <mergeCell ref="S343:S347"/>
    <mergeCell ref="S348:S352"/>
    <mergeCell ref="S353:S357"/>
    <mergeCell ref="S358:S362"/>
    <mergeCell ref="S363:S367"/>
    <mergeCell ref="S368:S372"/>
    <mergeCell ref="S373:S377"/>
    <mergeCell ref="S378:S382"/>
    <mergeCell ref="S383:S387"/>
    <mergeCell ref="S388:S392"/>
    <mergeCell ref="S393:S397"/>
    <mergeCell ref="S398:S402"/>
    <mergeCell ref="S403:S407"/>
    <mergeCell ref="S408:S412"/>
    <mergeCell ref="S413:S417"/>
    <mergeCell ref="S418:S422"/>
    <mergeCell ref="S423:S427"/>
    <mergeCell ref="S428:S432"/>
    <mergeCell ref="S433:S437"/>
    <mergeCell ref="S438:S442"/>
    <mergeCell ref="S443:S449"/>
    <mergeCell ref="S450:S456"/>
    <mergeCell ref="S457:S461"/>
    <mergeCell ref="S462:S466"/>
    <mergeCell ref="S467:S473"/>
    <mergeCell ref="S474:S480"/>
    <mergeCell ref="S481:S485"/>
    <mergeCell ref="S486:S490"/>
    <mergeCell ref="S491:S495"/>
    <mergeCell ref="S496:S500"/>
    <mergeCell ref="S501:S505"/>
    <mergeCell ref="S506:S512"/>
    <mergeCell ref="S513:S519"/>
    <mergeCell ref="S520:S524"/>
    <mergeCell ref="S525:S529"/>
    <mergeCell ref="S530:S534"/>
    <mergeCell ref="S535:S539"/>
    <mergeCell ref="S540:S544"/>
    <mergeCell ref="S545:S549"/>
    <mergeCell ref="S550:S554"/>
    <mergeCell ref="S555:S559"/>
    <mergeCell ref="S560:S564"/>
    <mergeCell ref="S565:S569"/>
    <mergeCell ref="S570:S576"/>
    <mergeCell ref="S577:S583"/>
    <mergeCell ref="S584:S589"/>
    <mergeCell ref="S590:S594"/>
    <mergeCell ref="S595:S599"/>
    <mergeCell ref="S600:S604"/>
    <mergeCell ref="S605:S609"/>
    <mergeCell ref="S610:S614"/>
    <mergeCell ref="S615:S619"/>
    <mergeCell ref="S620:S624"/>
    <mergeCell ref="S625:S629"/>
    <mergeCell ref="S630:S634"/>
    <mergeCell ref="S635:S639"/>
    <mergeCell ref="S640:S644"/>
    <mergeCell ref="S645:S649"/>
    <mergeCell ref="S650:S654"/>
    <mergeCell ref="S655:S659"/>
    <mergeCell ref="S660:S664"/>
    <mergeCell ref="S665:S669"/>
    <mergeCell ref="S670:S674"/>
    <mergeCell ref="S675:S679"/>
    <mergeCell ref="S680:S684"/>
    <mergeCell ref="S685:S689"/>
    <mergeCell ref="S690:S694"/>
    <mergeCell ref="S695:S699"/>
    <mergeCell ref="S700:S704"/>
    <mergeCell ref="S705:S709"/>
    <mergeCell ref="S710:S714"/>
    <mergeCell ref="S715:S719"/>
    <mergeCell ref="S720:S724"/>
    <mergeCell ref="S725:S729"/>
    <mergeCell ref="S730:S734"/>
    <mergeCell ref="S735:S739"/>
    <mergeCell ref="S740:S744"/>
    <mergeCell ref="S745:S749"/>
    <mergeCell ref="S750:S754"/>
    <mergeCell ref="S755:S759"/>
    <mergeCell ref="S760:S764"/>
    <mergeCell ref="S765:S769"/>
    <mergeCell ref="S770:S774"/>
    <mergeCell ref="S775:S779"/>
    <mergeCell ref="S780:S784"/>
    <mergeCell ref="S785:S789"/>
    <mergeCell ref="S790:S794"/>
    <mergeCell ref="S795:S799"/>
    <mergeCell ref="S800:S804"/>
    <mergeCell ref="S805:S809"/>
    <mergeCell ref="S810:S814"/>
    <mergeCell ref="S815:S819"/>
    <mergeCell ref="S820:S824"/>
    <mergeCell ref="S825:S830"/>
    <mergeCell ref="S831:S835"/>
    <mergeCell ref="S836:S840"/>
    <mergeCell ref="S841:S845"/>
    <mergeCell ref="S846:S850"/>
    <mergeCell ref="S851:S856"/>
    <mergeCell ref="S857:S861"/>
    <mergeCell ref="S862:S867"/>
    <mergeCell ref="S868:S872"/>
    <mergeCell ref="S873:S877"/>
    <mergeCell ref="S878:S882"/>
    <mergeCell ref="S883:S887"/>
    <mergeCell ref="S888:S892"/>
    <mergeCell ref="S893:S897"/>
    <mergeCell ref="S898:S902"/>
    <mergeCell ref="S903:S907"/>
    <mergeCell ref="S908:S912"/>
    <mergeCell ref="S913:S917"/>
    <mergeCell ref="S918:S922"/>
    <mergeCell ref="S923:S931"/>
    <mergeCell ref="S932:S940"/>
    <mergeCell ref="S965:S969"/>
    <mergeCell ref="S970:S974"/>
    <mergeCell ref="S975:S979"/>
    <mergeCell ref="S980:S984"/>
    <mergeCell ref="S985:S989"/>
    <mergeCell ref="S997:S1001"/>
    <mergeCell ref="S1002:S1006"/>
    <mergeCell ref="S1007:S1011"/>
    <mergeCell ref="S1012:S1016"/>
    <mergeCell ref="S1038:S1042"/>
    <mergeCell ref="S1043:S1047"/>
    <mergeCell ref="S1048:S1052"/>
    <mergeCell ref="S1077:S1085"/>
    <mergeCell ref="S1086:S1094"/>
    <mergeCell ref="S1095:S1103"/>
    <mergeCell ref="S1104:S1110"/>
    <mergeCell ref="S1111:S1117"/>
    <mergeCell ref="S1118:S1124"/>
    <mergeCell ref="S1125:S1131"/>
    <mergeCell ref="S1132:S1140"/>
    <mergeCell ref="S1141:S1149"/>
    <mergeCell ref="S1150:S1158"/>
    <mergeCell ref="S1159:S1167"/>
    <mergeCell ref="S1168:S1176"/>
    <mergeCell ref="S1177:S1184"/>
    <mergeCell ref="S1185:S1192"/>
    <mergeCell ref="S1193:S1200"/>
    <mergeCell ref="S1201:S1208"/>
    <mergeCell ref="S1209:S1215"/>
    <mergeCell ref="S1216:S1222"/>
    <mergeCell ref="S1223:S1229"/>
    <mergeCell ref="S1230:S1236"/>
    <mergeCell ref="S1237:S1243"/>
    <mergeCell ref="S1244:S1250"/>
    <mergeCell ref="S1251:S1258"/>
    <mergeCell ref="S1259:S1264"/>
    <mergeCell ref="S1265:S1270"/>
    <mergeCell ref="S1271:S1276"/>
    <mergeCell ref="S1277:S1282"/>
    <mergeCell ref="S1283:S1288"/>
    <mergeCell ref="S1289:S1297"/>
    <mergeCell ref="S1298:S1306"/>
    <mergeCell ref="S1307:S1312"/>
    <mergeCell ref="S1313:S1318"/>
    <mergeCell ref="S1319:S1324"/>
    <mergeCell ref="S1325:S1330"/>
    <mergeCell ref="S1331:S1336"/>
    <mergeCell ref="S1337:S1342"/>
    <mergeCell ref="S1343:S1348"/>
    <mergeCell ref="S1349:S1354"/>
    <mergeCell ref="S1355:S1360"/>
    <mergeCell ref="S1361:S1366"/>
    <mergeCell ref="S1367:S1372"/>
    <mergeCell ref="S1373:S1378"/>
    <mergeCell ref="S1379:S1384"/>
    <mergeCell ref="S1385:S1390"/>
    <mergeCell ref="S1391:S1396"/>
    <mergeCell ref="S1397:S1402"/>
    <mergeCell ref="S1403:S1408"/>
    <mergeCell ref="S1409:S1414"/>
    <mergeCell ref="S1415:S1420"/>
    <mergeCell ref="S1421:S1426"/>
    <mergeCell ref="S1427:S1432"/>
    <mergeCell ref="S1433:S1438"/>
    <mergeCell ref="S1439:S1444"/>
    <mergeCell ref="S1445:S1450"/>
    <mergeCell ref="S1451:S1456"/>
    <mergeCell ref="S1457:S1462"/>
    <mergeCell ref="S1463:S1468"/>
    <mergeCell ref="S1469:S1474"/>
    <mergeCell ref="S1475:S1483"/>
    <mergeCell ref="S1484:S1501"/>
    <mergeCell ref="S1502:S1510"/>
    <mergeCell ref="S1511:S1516"/>
    <mergeCell ref="S1517:S1522"/>
    <mergeCell ref="S1523:S1528"/>
    <mergeCell ref="S1529:S1534"/>
    <mergeCell ref="S1535:S1540"/>
    <mergeCell ref="S1541:S1546"/>
    <mergeCell ref="S1547:S1555"/>
    <mergeCell ref="S1556:S1564"/>
    <mergeCell ref="S1565:S1573"/>
    <mergeCell ref="S1574:S1582"/>
    <mergeCell ref="S1583:S1588"/>
    <mergeCell ref="S1589:S1594"/>
    <mergeCell ref="S1595:S1603"/>
    <mergeCell ref="S1604:S1612"/>
    <mergeCell ref="S1613:S1621"/>
    <mergeCell ref="S1622:S1630"/>
    <mergeCell ref="S1631:S1636"/>
    <mergeCell ref="S1637:S1642"/>
    <mergeCell ref="S1643:S1648"/>
    <mergeCell ref="S1649:S1654"/>
    <mergeCell ref="S1655:S1660"/>
    <mergeCell ref="S1661:S1666"/>
    <mergeCell ref="S1667:S1672"/>
    <mergeCell ref="S1673:S1678"/>
    <mergeCell ref="S1679:S1684"/>
    <mergeCell ref="S1685:S1690"/>
    <mergeCell ref="S1691:S1696"/>
    <mergeCell ref="S1697:S1702"/>
    <mergeCell ref="S1703:S1708"/>
    <mergeCell ref="S1709:S1714"/>
    <mergeCell ref="S1715:S1720"/>
    <mergeCell ref="S1721:S1726"/>
    <mergeCell ref="S1727:S1732"/>
    <mergeCell ref="S1733:S1738"/>
    <mergeCell ref="S1739:S1744"/>
    <mergeCell ref="S1745:S1750"/>
    <mergeCell ref="S1751:S1756"/>
    <mergeCell ref="S1757:S1762"/>
    <mergeCell ref="S1763:S1768"/>
    <mergeCell ref="S1769:S1774"/>
    <mergeCell ref="S1775:S1780"/>
    <mergeCell ref="S1781:S1786"/>
    <mergeCell ref="S1787:S1792"/>
    <mergeCell ref="S1793:S1798"/>
    <mergeCell ref="S1799:S1804"/>
    <mergeCell ref="S1805:S1810"/>
    <mergeCell ref="S1811:S1816"/>
    <mergeCell ref="S1817:S1822"/>
    <mergeCell ref="S1823:S1828"/>
    <mergeCell ref="S1829:S1834"/>
    <mergeCell ref="S1835:S1840"/>
    <mergeCell ref="S1841:S1846"/>
    <mergeCell ref="S1847:S1852"/>
    <mergeCell ref="S1853:S1858"/>
    <mergeCell ref="S1859:S1864"/>
    <mergeCell ref="S1865:S1870"/>
    <mergeCell ref="S1871:S1876"/>
    <mergeCell ref="S1877:S1882"/>
    <mergeCell ref="S1883:S1888"/>
    <mergeCell ref="S1889:S1894"/>
    <mergeCell ref="S1895:S1900"/>
    <mergeCell ref="S1901:S1906"/>
    <mergeCell ref="S1907:S1912"/>
    <mergeCell ref="S1913:S1918"/>
    <mergeCell ref="S1919:S1924"/>
    <mergeCell ref="S1925:S1930"/>
    <mergeCell ref="S1931:S1936"/>
    <mergeCell ref="S1937:S1942"/>
    <mergeCell ref="S1943:S1948"/>
    <mergeCell ref="S1949:S1954"/>
    <mergeCell ref="S1955:S1963"/>
    <mergeCell ref="S1964:S1972"/>
    <mergeCell ref="S1973:S1981"/>
    <mergeCell ref="S1982:S1990"/>
    <mergeCell ref="S1991:S1999"/>
    <mergeCell ref="S2000:S2008"/>
    <mergeCell ref="S2009:S2017"/>
    <mergeCell ref="S2018:S2026"/>
    <mergeCell ref="S2027:S2035"/>
    <mergeCell ref="S2036:S2044"/>
    <mergeCell ref="S2045:S2053"/>
    <mergeCell ref="S2054:S2059"/>
    <mergeCell ref="S2060:S2065"/>
    <mergeCell ref="S2066:S2071"/>
    <mergeCell ref="S2072:S2077"/>
    <mergeCell ref="S2078:S2083"/>
    <mergeCell ref="S2084:S2089"/>
    <mergeCell ref="S2090:S2095"/>
    <mergeCell ref="S2096:S2101"/>
    <mergeCell ref="S2102:S2107"/>
    <mergeCell ref="S2108:S2113"/>
    <mergeCell ref="S2114:S2119"/>
    <mergeCell ref="S2120:S2125"/>
    <mergeCell ref="S2126:S2131"/>
    <mergeCell ref="S2132:S2137"/>
    <mergeCell ref="S2138:S2143"/>
    <mergeCell ref="S2144:S2149"/>
    <mergeCell ref="S2150:S2155"/>
    <mergeCell ref="S2156:S2161"/>
    <mergeCell ref="S2162:S2167"/>
    <mergeCell ref="S2168:S2173"/>
    <mergeCell ref="S2174:S2179"/>
    <mergeCell ref="S2180:S2185"/>
    <mergeCell ref="S2186:S2191"/>
    <mergeCell ref="S2192:S2197"/>
    <mergeCell ref="S2198:S2202"/>
    <mergeCell ref="S2203:S2208"/>
    <mergeCell ref="S2209:S2213"/>
    <mergeCell ref="S2214:S2218"/>
    <mergeCell ref="S2219:S2223"/>
    <mergeCell ref="S2224:S2228"/>
    <mergeCell ref="S2229:S2234"/>
    <mergeCell ref="S2235:S2240"/>
    <mergeCell ref="S2241:S2246"/>
    <mergeCell ref="S2247:S2252"/>
    <mergeCell ref="S2253:S2258"/>
    <mergeCell ref="S2259:S2264"/>
    <mergeCell ref="S2265:S2270"/>
    <mergeCell ref="S2271:S2276"/>
    <mergeCell ref="S2277:S2282"/>
    <mergeCell ref="S2283:S2291"/>
    <mergeCell ref="S2292:S2300"/>
    <mergeCell ref="S2301:S2306"/>
    <mergeCell ref="S2307:S2312"/>
    <mergeCell ref="S2313:S2318"/>
    <mergeCell ref="S2319:S2324"/>
    <mergeCell ref="S2325:S2330"/>
    <mergeCell ref="S2331:S2336"/>
    <mergeCell ref="S2337:S2342"/>
    <mergeCell ref="S2343:S2348"/>
    <mergeCell ref="S2349:S2354"/>
    <mergeCell ref="S2355:S2360"/>
    <mergeCell ref="S2361:S2366"/>
    <mergeCell ref="S2367:S2372"/>
    <mergeCell ref="S2373:S2378"/>
    <mergeCell ref="S2379:S2384"/>
    <mergeCell ref="S2385:S2390"/>
    <mergeCell ref="S2391:S2396"/>
    <mergeCell ref="S2397:S2402"/>
    <mergeCell ref="S2403:S2408"/>
    <mergeCell ref="S2409:S2414"/>
    <mergeCell ref="S2415:S2420"/>
    <mergeCell ref="S2421:S2426"/>
    <mergeCell ref="S2427:S2432"/>
    <mergeCell ref="S2433:S2438"/>
    <mergeCell ref="S2439:S2447"/>
    <mergeCell ref="S2448:S2453"/>
    <mergeCell ref="S2454:S2459"/>
    <mergeCell ref="S2460:S2465"/>
    <mergeCell ref="S2466:S2471"/>
    <mergeCell ref="S2472:S2477"/>
    <mergeCell ref="S2478:S2483"/>
    <mergeCell ref="S2484:S2492"/>
    <mergeCell ref="S2493:S2501"/>
    <mergeCell ref="S2502:S2510"/>
    <mergeCell ref="S2511:S2516"/>
    <mergeCell ref="S2517:S2522"/>
    <mergeCell ref="S2523:S2528"/>
    <mergeCell ref="S2529:S2534"/>
    <mergeCell ref="S2535:S2540"/>
    <mergeCell ref="S2541:S2546"/>
    <mergeCell ref="S2547:S2552"/>
    <mergeCell ref="S2553:S2558"/>
    <mergeCell ref="S2559:S2567"/>
    <mergeCell ref="S2568:S2576"/>
    <mergeCell ref="S2577:S2585"/>
    <mergeCell ref="S2586:S2594"/>
    <mergeCell ref="S2595:S2603"/>
    <mergeCell ref="S2604:S2612"/>
    <mergeCell ref="S2613:S2621"/>
    <mergeCell ref="S2622:S2630"/>
    <mergeCell ref="S2631:S2639"/>
    <mergeCell ref="S2640:S2645"/>
    <mergeCell ref="S2646:S2651"/>
    <mergeCell ref="S2652:S2657"/>
    <mergeCell ref="S2658:S2663"/>
    <mergeCell ref="S2664:S2669"/>
    <mergeCell ref="S2670:S2675"/>
    <mergeCell ref="S2676:S2681"/>
    <mergeCell ref="S2682:S2687"/>
    <mergeCell ref="S2688:S2693"/>
    <mergeCell ref="S2694:S2699"/>
    <mergeCell ref="S2700:S2705"/>
    <mergeCell ref="S2706:S2711"/>
    <mergeCell ref="S2712:S2717"/>
    <mergeCell ref="S2718:S2726"/>
    <mergeCell ref="S2727:S2732"/>
    <mergeCell ref="S2733:S2738"/>
    <mergeCell ref="S2739:S2744"/>
    <mergeCell ref="S2745:S2750"/>
    <mergeCell ref="S2751:S2756"/>
    <mergeCell ref="S2757:S2762"/>
    <mergeCell ref="S2763:S2768"/>
    <mergeCell ref="S2769:S2774"/>
    <mergeCell ref="S2775:S2780"/>
    <mergeCell ref="S2781:S2786"/>
    <mergeCell ref="S2787:S2792"/>
    <mergeCell ref="S2793:S2798"/>
    <mergeCell ref="S2799:S2804"/>
    <mergeCell ref="S2805:S2810"/>
    <mergeCell ref="S2811:S2816"/>
    <mergeCell ref="S2817:S2822"/>
    <mergeCell ref="S2823:S2828"/>
    <mergeCell ref="S2829:S2834"/>
    <mergeCell ref="S2835:S2840"/>
    <mergeCell ref="S2841:S2846"/>
    <mergeCell ref="S2847:S2852"/>
    <mergeCell ref="S2853:S2858"/>
    <mergeCell ref="S2859:S2864"/>
    <mergeCell ref="S2865:S2870"/>
    <mergeCell ref="S2871:S2876"/>
    <mergeCell ref="S2877:S2882"/>
    <mergeCell ref="S2883:S2888"/>
    <mergeCell ref="S2889:S2894"/>
    <mergeCell ref="S2895:S2900"/>
    <mergeCell ref="S2901:S2906"/>
    <mergeCell ref="S2907:S2912"/>
    <mergeCell ref="S2913:S2918"/>
    <mergeCell ref="S2919:S2924"/>
    <mergeCell ref="S2925:S2930"/>
    <mergeCell ref="S2931:S2936"/>
    <mergeCell ref="S2937:S2942"/>
    <mergeCell ref="S2943:S2948"/>
    <mergeCell ref="S2949:S2954"/>
    <mergeCell ref="S2955:S2960"/>
    <mergeCell ref="S2961:S2966"/>
    <mergeCell ref="S2967:S2972"/>
    <mergeCell ref="S2973:S2978"/>
    <mergeCell ref="S2979:S2984"/>
    <mergeCell ref="S2985:S2990"/>
    <mergeCell ref="S2991:S2996"/>
    <mergeCell ref="S2997:S3002"/>
    <mergeCell ref="S3003:S3011"/>
    <mergeCell ref="S3012:S3020"/>
    <mergeCell ref="S3021:S3026"/>
    <mergeCell ref="S3027:S3032"/>
    <mergeCell ref="S3033:S3038"/>
    <mergeCell ref="S3039:S3044"/>
    <mergeCell ref="S3045:S3053"/>
    <mergeCell ref="S3054:S3062"/>
    <mergeCell ref="S3063:S3071"/>
    <mergeCell ref="S3072:S3080"/>
    <mergeCell ref="S3081:S3089"/>
    <mergeCell ref="S3090:S3098"/>
    <mergeCell ref="S3099:S3107"/>
    <mergeCell ref="S3108:S3113"/>
    <mergeCell ref="S3114:S3119"/>
    <mergeCell ref="S3125:S3129"/>
    <mergeCell ref="S3130:S3134"/>
    <mergeCell ref="S3135:S3139"/>
    <mergeCell ref="S3140:S3144"/>
    <mergeCell ref="S3145:S3149"/>
    <mergeCell ref="S3150:S3154"/>
    <mergeCell ref="S3155:S3159"/>
    <mergeCell ref="S3160:S3164"/>
    <mergeCell ref="S3165:S3169"/>
    <mergeCell ref="S3170:S3174"/>
    <mergeCell ref="S3175:S3179"/>
    <mergeCell ref="S3180:S3184"/>
    <mergeCell ref="S3185:S3189"/>
    <mergeCell ref="S3190:S3194"/>
    <mergeCell ref="S3195:S3199"/>
    <mergeCell ref="S3200:S3204"/>
    <mergeCell ref="S3205:S3209"/>
    <mergeCell ref="S3210:S3215"/>
    <mergeCell ref="S3216:S3221"/>
    <mergeCell ref="S3222:S3227"/>
    <mergeCell ref="S3228:S3233"/>
    <mergeCell ref="S3234:S3239"/>
    <mergeCell ref="S3240:S3245"/>
    <mergeCell ref="S3246:S3251"/>
    <mergeCell ref="S3252:S3257"/>
    <mergeCell ref="S3258:S3263"/>
    <mergeCell ref="S3264:S3269"/>
    <mergeCell ref="S3270:S3275"/>
    <mergeCell ref="S3276:S3281"/>
    <mergeCell ref="S3282:S3287"/>
    <mergeCell ref="S3288:S3292"/>
    <mergeCell ref="S3293:S3297"/>
    <mergeCell ref="S3298:S3302"/>
    <mergeCell ref="S3303:S3307"/>
    <mergeCell ref="S3308:S3312"/>
    <mergeCell ref="S3313:S3317"/>
    <mergeCell ref="S3318:S3322"/>
    <mergeCell ref="S3323:S3327"/>
    <mergeCell ref="S3328:S3332"/>
    <mergeCell ref="S3333:S3337"/>
    <mergeCell ref="S3338:S3342"/>
    <mergeCell ref="S3343:S3347"/>
    <mergeCell ref="S3348:S3352"/>
    <mergeCell ref="S3353:S3358"/>
    <mergeCell ref="S3359:S3364"/>
    <mergeCell ref="S3365:S3370"/>
    <mergeCell ref="S3371:S3376"/>
    <mergeCell ref="S3377:S3382"/>
    <mergeCell ref="S3383:S3387"/>
    <mergeCell ref="S3388:S3392"/>
    <mergeCell ref="S3393:S3397"/>
    <mergeCell ref="S3398:S3403"/>
    <mergeCell ref="S3404:S3408"/>
    <mergeCell ref="S3409:S3413"/>
    <mergeCell ref="S3414:S3418"/>
    <mergeCell ref="S3419:S3423"/>
    <mergeCell ref="S3424:S3428"/>
    <mergeCell ref="S3429:S3433"/>
    <mergeCell ref="S3434:S3438"/>
    <mergeCell ref="S3439:S3444"/>
    <mergeCell ref="S3445:S3450"/>
    <mergeCell ref="S3451:S3456"/>
    <mergeCell ref="S3457:S3462"/>
    <mergeCell ref="S3463:S3468"/>
    <mergeCell ref="S3469:S3474"/>
    <mergeCell ref="S3475:S3480"/>
    <mergeCell ref="S3481:S3486"/>
    <mergeCell ref="S3487:S3492"/>
    <mergeCell ref="S3493:S3498"/>
    <mergeCell ref="S3499:S3503"/>
    <mergeCell ref="S3504:S3508"/>
    <mergeCell ref="S3509:S3513"/>
    <mergeCell ref="S3514:S3518"/>
    <mergeCell ref="S3519:S3523"/>
    <mergeCell ref="S3524:S3528"/>
    <mergeCell ref="S3529:S3533"/>
    <mergeCell ref="S3534:S3539"/>
    <mergeCell ref="S3540:S3545"/>
    <mergeCell ref="S3546:S3551"/>
    <mergeCell ref="S3552:S3557"/>
    <mergeCell ref="S3558:S3562"/>
    <mergeCell ref="S3563:S3568"/>
    <mergeCell ref="S3569:S3574"/>
    <mergeCell ref="S3575:S3580"/>
    <mergeCell ref="S3581:S3586"/>
    <mergeCell ref="S3587:S3592"/>
    <mergeCell ref="S3593:S3598"/>
    <mergeCell ref="S3599:S3604"/>
    <mergeCell ref="S3605:S3610"/>
    <mergeCell ref="S3611:S3616"/>
    <mergeCell ref="S3617:S3622"/>
    <mergeCell ref="S3623:S3628"/>
    <mergeCell ref="S3629:S3634"/>
    <mergeCell ref="S3635:S3640"/>
    <mergeCell ref="S3641:S3646"/>
    <mergeCell ref="S3647:S3652"/>
    <mergeCell ref="S3653:S3658"/>
    <mergeCell ref="S3659:S3664"/>
    <mergeCell ref="S3665:S3670"/>
    <mergeCell ref="S3671:S3676"/>
    <mergeCell ref="S3677:S3682"/>
    <mergeCell ref="S3683:S3688"/>
    <mergeCell ref="S3689:S3694"/>
    <mergeCell ref="S3695:S3700"/>
    <mergeCell ref="S3701:S3706"/>
    <mergeCell ref="S3707:S3712"/>
    <mergeCell ref="S3713:S3717"/>
    <mergeCell ref="S3718:S3722"/>
    <mergeCell ref="S3723:S3728"/>
    <mergeCell ref="S3729:S3734"/>
    <mergeCell ref="S3735:S3740"/>
    <mergeCell ref="S3741:S3746"/>
    <mergeCell ref="S3747:S3752"/>
    <mergeCell ref="S3753:S3758"/>
    <mergeCell ref="S3759:S3764"/>
    <mergeCell ref="S3765:S3770"/>
    <mergeCell ref="S3771:S3776"/>
    <mergeCell ref="S3777:S3782"/>
    <mergeCell ref="S3783:S3788"/>
    <mergeCell ref="S3789:S3794"/>
    <mergeCell ref="S3795:S3800"/>
    <mergeCell ref="S3801:S3806"/>
    <mergeCell ref="S3807:S3812"/>
    <mergeCell ref="S3813:S3818"/>
    <mergeCell ref="S3819:S3824"/>
    <mergeCell ref="S3825:S3830"/>
    <mergeCell ref="S3831:S3836"/>
    <mergeCell ref="S3837:S3842"/>
    <mergeCell ref="S3843:S3848"/>
    <mergeCell ref="S3849:S3854"/>
    <mergeCell ref="S3855:S3860"/>
    <mergeCell ref="S3861:S3865"/>
    <mergeCell ref="S3866:S3870"/>
    <mergeCell ref="S3871:S3876"/>
    <mergeCell ref="S3877:S3882"/>
    <mergeCell ref="S3883:S3888"/>
    <mergeCell ref="S3889:S3894"/>
    <mergeCell ref="S3895:S3900"/>
    <mergeCell ref="S3901:S3906"/>
    <mergeCell ref="S3907:S3911"/>
    <mergeCell ref="S3912:S3917"/>
    <mergeCell ref="S3918:S3923"/>
    <mergeCell ref="S3924:S3929"/>
    <mergeCell ref="S3930:S3935"/>
    <mergeCell ref="S3936:S3941"/>
    <mergeCell ref="S3942:S3946"/>
    <mergeCell ref="S3947:S3951"/>
    <mergeCell ref="S3952:S3956"/>
    <mergeCell ref="S3957:S3961"/>
    <mergeCell ref="S3962:S3967"/>
    <mergeCell ref="S3968:S3972"/>
    <mergeCell ref="S3973:S3977"/>
    <mergeCell ref="S3978:S3983"/>
    <mergeCell ref="S3984:S3989"/>
    <mergeCell ref="S3990:S3994"/>
    <mergeCell ref="S3995:S3999"/>
    <mergeCell ref="S4000:S4004"/>
    <mergeCell ref="S4005:S4009"/>
    <mergeCell ref="S4010:S4015"/>
    <mergeCell ref="S4016:S4021"/>
    <mergeCell ref="S4022:S4027"/>
    <mergeCell ref="S4028:S4032"/>
    <mergeCell ref="S4033:S4037"/>
    <mergeCell ref="S4038:S4042"/>
    <mergeCell ref="S4043:S4047"/>
    <mergeCell ref="S4048:S4052"/>
    <mergeCell ref="S4053:S4057"/>
    <mergeCell ref="S4058:S4063"/>
    <mergeCell ref="S4064:S4069"/>
    <mergeCell ref="S4070:S4075"/>
    <mergeCell ref="S4076:S4081"/>
    <mergeCell ref="S4082:S4087"/>
    <mergeCell ref="S4088:S4093"/>
    <mergeCell ref="S4094:S4099"/>
    <mergeCell ref="S4100:S4105"/>
    <mergeCell ref="S4106:S4111"/>
    <mergeCell ref="S4112:S4116"/>
    <mergeCell ref="S4117:S4121"/>
    <mergeCell ref="S4122:S4127"/>
    <mergeCell ref="S4128:S4133"/>
    <mergeCell ref="S4134:S4138"/>
    <mergeCell ref="S4139:S4143"/>
    <mergeCell ref="S4144:S4148"/>
    <mergeCell ref="S4149:S4153"/>
    <mergeCell ref="S4154:S4158"/>
    <mergeCell ref="S4159:S4163"/>
    <mergeCell ref="S4164:S4168"/>
    <mergeCell ref="S4169:S4173"/>
    <mergeCell ref="S4174:S4178"/>
    <mergeCell ref="S4179:S4183"/>
    <mergeCell ref="S4184:S4188"/>
    <mergeCell ref="S4189:S4193"/>
    <mergeCell ref="S4194:S4198"/>
    <mergeCell ref="S4199:S4203"/>
    <mergeCell ref="S4204:S4208"/>
    <mergeCell ref="S4209:S4213"/>
    <mergeCell ref="S4214:S4218"/>
    <mergeCell ref="S4219:S4223"/>
    <mergeCell ref="S4224:S4228"/>
    <mergeCell ref="S4229:S4233"/>
    <mergeCell ref="S4234:S4238"/>
    <mergeCell ref="S4239:S4243"/>
    <mergeCell ref="S4244:S4248"/>
    <mergeCell ref="S4261:S4265"/>
    <mergeCell ref="S4266:S4270"/>
    <mergeCell ref="S4271:S4275"/>
    <mergeCell ref="S4276:S4280"/>
    <mergeCell ref="S4281:S4285"/>
    <mergeCell ref="S4286:S4290"/>
    <mergeCell ref="S4291:S4295"/>
    <mergeCell ref="S4296:S4300"/>
    <mergeCell ref="S4301:S4305"/>
    <mergeCell ref="S4306:S4310"/>
    <mergeCell ref="S4311:S4315"/>
    <mergeCell ref="S4316:S4320"/>
    <mergeCell ref="S4321:S4325"/>
    <mergeCell ref="S4326:S4330"/>
    <mergeCell ref="S4331:S4335"/>
    <mergeCell ref="S4336:S4340"/>
    <mergeCell ref="S4341:S4348"/>
    <mergeCell ref="S4349:S4356"/>
    <mergeCell ref="S4357:S4364"/>
    <mergeCell ref="S4365:S4372"/>
    <mergeCell ref="T2:T7"/>
    <mergeCell ref="T8:T13"/>
    <mergeCell ref="T14:T19"/>
    <mergeCell ref="T20:T25"/>
    <mergeCell ref="T26:T31"/>
    <mergeCell ref="T32:T40"/>
    <mergeCell ref="T41:T49"/>
    <mergeCell ref="T50:T58"/>
    <mergeCell ref="T59:T64"/>
    <mergeCell ref="T65:T70"/>
    <mergeCell ref="T71:T76"/>
    <mergeCell ref="T77:T82"/>
    <mergeCell ref="T83:T88"/>
    <mergeCell ref="T90:T94"/>
    <mergeCell ref="T96:T104"/>
    <mergeCell ref="T105:T113"/>
    <mergeCell ref="T114:T119"/>
    <mergeCell ref="T120:T125"/>
    <mergeCell ref="T126:T131"/>
    <mergeCell ref="T132:T137"/>
    <mergeCell ref="T138:T143"/>
    <mergeCell ref="T144:T149"/>
    <mergeCell ref="T150:T155"/>
    <mergeCell ref="T156:T161"/>
    <mergeCell ref="T162:T167"/>
    <mergeCell ref="T168:T173"/>
    <mergeCell ref="T174:T179"/>
    <mergeCell ref="T180:T184"/>
    <mergeCell ref="T185:T193"/>
    <mergeCell ref="T194:T200"/>
    <mergeCell ref="T201:T209"/>
    <mergeCell ref="T210:T215"/>
    <mergeCell ref="T216:T221"/>
    <mergeCell ref="T222:T227"/>
    <mergeCell ref="T228:T233"/>
    <mergeCell ref="T234:T239"/>
    <mergeCell ref="T240:T244"/>
    <mergeCell ref="T245:T250"/>
    <mergeCell ref="T251:T255"/>
    <mergeCell ref="T256:T261"/>
    <mergeCell ref="T271:T274"/>
    <mergeCell ref="T276:T282"/>
    <mergeCell ref="T283:T289"/>
    <mergeCell ref="T290:T296"/>
    <mergeCell ref="T297:T303"/>
    <mergeCell ref="T304:T310"/>
    <mergeCell ref="T311:T317"/>
    <mergeCell ref="T318:T322"/>
    <mergeCell ref="T323:T327"/>
    <mergeCell ref="T328:T332"/>
    <mergeCell ref="T333:T337"/>
    <mergeCell ref="T338:T342"/>
    <mergeCell ref="T343:T347"/>
    <mergeCell ref="T348:T352"/>
    <mergeCell ref="T353:T357"/>
    <mergeCell ref="T358:T362"/>
    <mergeCell ref="T363:T367"/>
    <mergeCell ref="T368:T372"/>
    <mergeCell ref="T373:T377"/>
    <mergeCell ref="T378:T382"/>
    <mergeCell ref="T383:T387"/>
    <mergeCell ref="T388:T392"/>
    <mergeCell ref="T393:T397"/>
    <mergeCell ref="T398:T402"/>
    <mergeCell ref="T403:T407"/>
    <mergeCell ref="T408:T412"/>
    <mergeCell ref="T413:T417"/>
    <mergeCell ref="T418:T422"/>
    <mergeCell ref="T423:T427"/>
    <mergeCell ref="T428:T432"/>
    <mergeCell ref="T433:T437"/>
    <mergeCell ref="T438:T442"/>
    <mergeCell ref="T443:T449"/>
    <mergeCell ref="T450:T456"/>
    <mergeCell ref="T457:T461"/>
    <mergeCell ref="T462:T466"/>
    <mergeCell ref="T467:T473"/>
    <mergeCell ref="T474:T480"/>
    <mergeCell ref="T481:T485"/>
    <mergeCell ref="T486:T490"/>
    <mergeCell ref="T491:T495"/>
    <mergeCell ref="T496:T500"/>
    <mergeCell ref="T501:T505"/>
    <mergeCell ref="T506:T512"/>
    <mergeCell ref="T513:T519"/>
    <mergeCell ref="T520:T524"/>
    <mergeCell ref="T525:T529"/>
    <mergeCell ref="T530:T534"/>
    <mergeCell ref="T535:T539"/>
    <mergeCell ref="T540:T544"/>
    <mergeCell ref="T545:T549"/>
    <mergeCell ref="T550:T554"/>
    <mergeCell ref="T555:T559"/>
    <mergeCell ref="T560:T564"/>
    <mergeCell ref="T565:T569"/>
    <mergeCell ref="T570:T576"/>
    <mergeCell ref="T577:T583"/>
    <mergeCell ref="T584:T589"/>
    <mergeCell ref="T590:T594"/>
    <mergeCell ref="T595:T599"/>
    <mergeCell ref="T600:T604"/>
    <mergeCell ref="T605:T609"/>
    <mergeCell ref="T610:T614"/>
    <mergeCell ref="T615:T619"/>
    <mergeCell ref="T620:T624"/>
    <mergeCell ref="T625:T629"/>
    <mergeCell ref="T630:T634"/>
    <mergeCell ref="T635:T639"/>
    <mergeCell ref="T640:T644"/>
    <mergeCell ref="T645:T649"/>
    <mergeCell ref="T650:T654"/>
    <mergeCell ref="T655:T659"/>
    <mergeCell ref="T660:T664"/>
    <mergeCell ref="T665:T669"/>
    <mergeCell ref="T670:T674"/>
    <mergeCell ref="T675:T679"/>
    <mergeCell ref="T680:T684"/>
    <mergeCell ref="T685:T689"/>
    <mergeCell ref="T690:T694"/>
    <mergeCell ref="T695:T699"/>
    <mergeCell ref="T700:T704"/>
    <mergeCell ref="T705:T709"/>
    <mergeCell ref="T710:T714"/>
    <mergeCell ref="T715:T719"/>
    <mergeCell ref="T720:T724"/>
    <mergeCell ref="T725:T729"/>
    <mergeCell ref="T730:T734"/>
    <mergeCell ref="T735:T739"/>
    <mergeCell ref="T740:T744"/>
    <mergeCell ref="T745:T749"/>
    <mergeCell ref="T750:T754"/>
    <mergeCell ref="T755:T759"/>
    <mergeCell ref="T760:T764"/>
    <mergeCell ref="T765:T769"/>
    <mergeCell ref="T770:T774"/>
    <mergeCell ref="T775:T779"/>
    <mergeCell ref="T780:T784"/>
    <mergeCell ref="T785:T789"/>
    <mergeCell ref="T790:T794"/>
    <mergeCell ref="T795:T799"/>
    <mergeCell ref="T800:T804"/>
    <mergeCell ref="T805:T809"/>
    <mergeCell ref="T810:T814"/>
    <mergeCell ref="T815:T819"/>
    <mergeCell ref="T820:T824"/>
    <mergeCell ref="T825:T830"/>
    <mergeCell ref="T831:T835"/>
    <mergeCell ref="T836:T840"/>
    <mergeCell ref="T841:T845"/>
    <mergeCell ref="T846:T850"/>
    <mergeCell ref="T851:T856"/>
    <mergeCell ref="T857:T861"/>
    <mergeCell ref="T862:T867"/>
    <mergeCell ref="T868:T872"/>
    <mergeCell ref="T873:T877"/>
    <mergeCell ref="T878:T882"/>
    <mergeCell ref="T883:T887"/>
    <mergeCell ref="T888:T892"/>
    <mergeCell ref="T893:T897"/>
    <mergeCell ref="T898:T902"/>
    <mergeCell ref="T903:T907"/>
    <mergeCell ref="T908:T912"/>
    <mergeCell ref="T913:T917"/>
    <mergeCell ref="T918:T922"/>
    <mergeCell ref="T923:T931"/>
    <mergeCell ref="T932:T940"/>
    <mergeCell ref="T965:T969"/>
    <mergeCell ref="T970:T974"/>
    <mergeCell ref="T975:T979"/>
    <mergeCell ref="T980:T984"/>
    <mergeCell ref="T985:T989"/>
    <mergeCell ref="T997:T1001"/>
    <mergeCell ref="T1002:T1006"/>
    <mergeCell ref="T1007:T1011"/>
    <mergeCell ref="T1012:T1016"/>
    <mergeCell ref="T1038:T1042"/>
    <mergeCell ref="T1043:T1047"/>
    <mergeCell ref="T1048:T1052"/>
    <mergeCell ref="T1077:T1085"/>
    <mergeCell ref="T1086:T1094"/>
    <mergeCell ref="T1095:T1103"/>
    <mergeCell ref="T1104:T1110"/>
    <mergeCell ref="T1111:T1117"/>
    <mergeCell ref="T1118:T1124"/>
    <mergeCell ref="T1125:T1131"/>
    <mergeCell ref="T1132:T1140"/>
    <mergeCell ref="T1141:T1149"/>
    <mergeCell ref="T1150:T1158"/>
    <mergeCell ref="T1159:T1167"/>
    <mergeCell ref="T1168:T1176"/>
    <mergeCell ref="T1177:T1184"/>
    <mergeCell ref="T1185:T1192"/>
    <mergeCell ref="T1193:T1200"/>
    <mergeCell ref="T1201:T1208"/>
    <mergeCell ref="T1209:T1215"/>
    <mergeCell ref="T1216:T1222"/>
    <mergeCell ref="T1223:T1229"/>
    <mergeCell ref="T1230:T1236"/>
    <mergeCell ref="T1237:T1243"/>
    <mergeCell ref="T1244:T1250"/>
    <mergeCell ref="T1251:T1258"/>
    <mergeCell ref="T1259:T1264"/>
    <mergeCell ref="T1265:T1270"/>
    <mergeCell ref="T1271:T1276"/>
    <mergeCell ref="T1277:T1282"/>
    <mergeCell ref="T1283:T1288"/>
    <mergeCell ref="T1289:T1297"/>
    <mergeCell ref="T1298:T1306"/>
    <mergeCell ref="T1307:T1312"/>
    <mergeCell ref="T1313:T1318"/>
    <mergeCell ref="T1319:T1324"/>
    <mergeCell ref="T1325:T1330"/>
    <mergeCell ref="T1331:T1336"/>
    <mergeCell ref="T1337:T1342"/>
    <mergeCell ref="T1343:T1348"/>
    <mergeCell ref="T1349:T1354"/>
    <mergeCell ref="T1355:T1360"/>
    <mergeCell ref="T1361:T1366"/>
    <mergeCell ref="T1367:T1372"/>
    <mergeCell ref="T1373:T1378"/>
    <mergeCell ref="T1379:T1384"/>
    <mergeCell ref="T1385:T1390"/>
    <mergeCell ref="T1391:T1396"/>
    <mergeCell ref="T1397:T1402"/>
    <mergeCell ref="T1403:T1408"/>
    <mergeCell ref="T1409:T1414"/>
    <mergeCell ref="T1415:T1420"/>
    <mergeCell ref="T1421:T1426"/>
    <mergeCell ref="T1427:T1432"/>
    <mergeCell ref="T1433:T1438"/>
    <mergeCell ref="T1439:T1444"/>
    <mergeCell ref="T1445:T1450"/>
    <mergeCell ref="T1451:T1456"/>
    <mergeCell ref="T1457:T1462"/>
    <mergeCell ref="T1463:T1468"/>
    <mergeCell ref="T1469:T1474"/>
    <mergeCell ref="T1475:T1483"/>
    <mergeCell ref="T1484:T1501"/>
    <mergeCell ref="T1502:T1510"/>
    <mergeCell ref="T1511:T1516"/>
    <mergeCell ref="T1517:T1522"/>
    <mergeCell ref="T1523:T1528"/>
    <mergeCell ref="T1529:T1534"/>
    <mergeCell ref="T1535:T1540"/>
    <mergeCell ref="T1541:T1546"/>
    <mergeCell ref="T1547:T1555"/>
    <mergeCell ref="T1556:T1564"/>
    <mergeCell ref="T1565:T1573"/>
    <mergeCell ref="T1574:T1582"/>
    <mergeCell ref="T1583:T1588"/>
    <mergeCell ref="T1589:T1594"/>
    <mergeCell ref="T1595:T1603"/>
    <mergeCell ref="T1604:T1612"/>
    <mergeCell ref="T1613:T1621"/>
    <mergeCell ref="T1622:T1630"/>
    <mergeCell ref="T1631:T1636"/>
    <mergeCell ref="T1637:T1642"/>
    <mergeCell ref="T1643:T1648"/>
    <mergeCell ref="T1649:T1654"/>
    <mergeCell ref="T1655:T1660"/>
    <mergeCell ref="T1661:T1666"/>
    <mergeCell ref="T1667:T1672"/>
    <mergeCell ref="T1673:T1678"/>
    <mergeCell ref="T1679:T1684"/>
    <mergeCell ref="T1685:T1690"/>
    <mergeCell ref="T1691:T1696"/>
    <mergeCell ref="T1697:T1702"/>
    <mergeCell ref="T1703:T1708"/>
    <mergeCell ref="T1709:T1714"/>
    <mergeCell ref="T1715:T1720"/>
    <mergeCell ref="T1721:T1726"/>
    <mergeCell ref="T1727:T1732"/>
    <mergeCell ref="T1733:T1738"/>
    <mergeCell ref="T1739:T1744"/>
    <mergeCell ref="T1745:T1750"/>
    <mergeCell ref="T1751:T1756"/>
    <mergeCell ref="T1757:T1762"/>
    <mergeCell ref="T1763:T1768"/>
    <mergeCell ref="T1769:T1774"/>
    <mergeCell ref="T1775:T1780"/>
    <mergeCell ref="T1781:T1786"/>
    <mergeCell ref="T1787:T1792"/>
    <mergeCell ref="T1793:T1798"/>
    <mergeCell ref="T1799:T1804"/>
    <mergeCell ref="T1805:T1810"/>
    <mergeCell ref="T1811:T1816"/>
    <mergeCell ref="T1817:T1822"/>
    <mergeCell ref="T1823:T1828"/>
    <mergeCell ref="T1829:T1834"/>
    <mergeCell ref="T1835:T1840"/>
    <mergeCell ref="T1841:T1846"/>
    <mergeCell ref="T1847:T1852"/>
    <mergeCell ref="T1853:T1858"/>
    <mergeCell ref="T1859:T1864"/>
    <mergeCell ref="T1865:T1870"/>
    <mergeCell ref="T1871:T1876"/>
    <mergeCell ref="T1877:T1882"/>
    <mergeCell ref="T1883:T1888"/>
    <mergeCell ref="T1889:T1894"/>
    <mergeCell ref="T1895:T1900"/>
    <mergeCell ref="T1901:T1906"/>
    <mergeCell ref="T1907:T1912"/>
    <mergeCell ref="T1913:T1918"/>
    <mergeCell ref="T1919:T1924"/>
    <mergeCell ref="T1925:T1930"/>
    <mergeCell ref="T1931:T1936"/>
    <mergeCell ref="T1937:T1942"/>
    <mergeCell ref="T1943:T1948"/>
    <mergeCell ref="T1949:T1954"/>
    <mergeCell ref="T1955:T1963"/>
    <mergeCell ref="T1964:T1972"/>
    <mergeCell ref="T1973:T1981"/>
    <mergeCell ref="T1982:T1990"/>
    <mergeCell ref="T1991:T1999"/>
    <mergeCell ref="T2000:T2008"/>
    <mergeCell ref="T2009:T2017"/>
    <mergeCell ref="T2018:T2026"/>
    <mergeCell ref="T2027:T2035"/>
    <mergeCell ref="T2036:T2044"/>
    <mergeCell ref="T2045:T2053"/>
    <mergeCell ref="T2054:T2059"/>
    <mergeCell ref="T2060:T2065"/>
    <mergeCell ref="T2066:T2071"/>
    <mergeCell ref="T2072:T2077"/>
    <mergeCell ref="T2078:T2083"/>
    <mergeCell ref="T2084:T2089"/>
    <mergeCell ref="T2090:T2095"/>
    <mergeCell ref="T2096:T2101"/>
    <mergeCell ref="T2102:T2107"/>
    <mergeCell ref="T2108:T2113"/>
    <mergeCell ref="T2114:T2119"/>
    <mergeCell ref="T2120:T2125"/>
    <mergeCell ref="T2126:T2131"/>
    <mergeCell ref="T2132:T2137"/>
    <mergeCell ref="T2138:T2143"/>
    <mergeCell ref="T2144:T2149"/>
    <mergeCell ref="T2150:T2155"/>
    <mergeCell ref="T2156:T2161"/>
    <mergeCell ref="T2162:T2167"/>
    <mergeCell ref="T2168:T2173"/>
    <mergeCell ref="T2174:T2179"/>
    <mergeCell ref="T2180:T2185"/>
    <mergeCell ref="T2186:T2191"/>
    <mergeCell ref="T2192:T2197"/>
    <mergeCell ref="T2198:T2202"/>
    <mergeCell ref="T2203:T2208"/>
    <mergeCell ref="T2209:T2213"/>
    <mergeCell ref="T2214:T2218"/>
    <mergeCell ref="T2219:T2223"/>
    <mergeCell ref="T2224:T2228"/>
    <mergeCell ref="T2229:T2234"/>
    <mergeCell ref="T2235:T2240"/>
    <mergeCell ref="T2241:T2246"/>
    <mergeCell ref="T2247:T2252"/>
    <mergeCell ref="T2253:T2258"/>
    <mergeCell ref="T2259:T2264"/>
    <mergeCell ref="T2265:T2270"/>
    <mergeCell ref="T2271:T2276"/>
    <mergeCell ref="T2277:T2282"/>
    <mergeCell ref="T2283:T2291"/>
    <mergeCell ref="T2292:T2300"/>
    <mergeCell ref="T2301:T2306"/>
    <mergeCell ref="T2307:T2312"/>
    <mergeCell ref="T2313:T2318"/>
    <mergeCell ref="T2319:T2324"/>
    <mergeCell ref="T2325:T2330"/>
    <mergeCell ref="T2331:T2336"/>
    <mergeCell ref="T2337:T2342"/>
    <mergeCell ref="T2343:T2348"/>
    <mergeCell ref="T2349:T2354"/>
    <mergeCell ref="T2355:T2360"/>
    <mergeCell ref="T2361:T2366"/>
    <mergeCell ref="T2367:T2372"/>
    <mergeCell ref="T2373:T2378"/>
    <mergeCell ref="T2379:T2384"/>
    <mergeCell ref="T2385:T2390"/>
    <mergeCell ref="T2391:T2396"/>
    <mergeCell ref="T2397:T2402"/>
    <mergeCell ref="T2403:T2408"/>
    <mergeCell ref="T2409:T2414"/>
    <mergeCell ref="T2415:T2420"/>
    <mergeCell ref="T2421:T2426"/>
    <mergeCell ref="T2427:T2432"/>
    <mergeCell ref="T2433:T2438"/>
    <mergeCell ref="T2439:T2447"/>
    <mergeCell ref="T2448:T2453"/>
    <mergeCell ref="T2454:T2459"/>
    <mergeCell ref="T2460:T2465"/>
    <mergeCell ref="T2466:T2471"/>
    <mergeCell ref="T2472:T2477"/>
    <mergeCell ref="T2478:T2483"/>
    <mergeCell ref="T2484:T2492"/>
    <mergeCell ref="T2493:T2501"/>
    <mergeCell ref="T2502:T2510"/>
    <mergeCell ref="T2511:T2516"/>
    <mergeCell ref="T2517:T2522"/>
    <mergeCell ref="T2523:T2528"/>
    <mergeCell ref="T2529:T2534"/>
    <mergeCell ref="T2535:T2540"/>
    <mergeCell ref="T2541:T2546"/>
    <mergeCell ref="T2547:T2552"/>
    <mergeCell ref="T2553:T2558"/>
    <mergeCell ref="T2559:T2567"/>
    <mergeCell ref="T2568:T2576"/>
    <mergeCell ref="T2577:T2585"/>
    <mergeCell ref="T2586:T2594"/>
    <mergeCell ref="T2595:T2603"/>
    <mergeCell ref="T2604:T2612"/>
    <mergeCell ref="T2613:T2621"/>
    <mergeCell ref="T2622:T2630"/>
    <mergeCell ref="T2631:T2639"/>
    <mergeCell ref="T2640:T2645"/>
    <mergeCell ref="T2646:T2651"/>
    <mergeCell ref="T2652:T2657"/>
    <mergeCell ref="T2658:T2663"/>
    <mergeCell ref="T2664:T2669"/>
    <mergeCell ref="T2670:T2675"/>
    <mergeCell ref="T2676:T2681"/>
    <mergeCell ref="T2682:T2687"/>
    <mergeCell ref="T2688:T2693"/>
    <mergeCell ref="T2694:T2699"/>
    <mergeCell ref="T2700:T2705"/>
    <mergeCell ref="T2706:T2711"/>
    <mergeCell ref="T2712:T2717"/>
    <mergeCell ref="T2718:T2726"/>
    <mergeCell ref="T2727:T2732"/>
    <mergeCell ref="T2733:T2738"/>
    <mergeCell ref="T2739:T2744"/>
    <mergeCell ref="T2745:T2750"/>
    <mergeCell ref="T2751:T2756"/>
    <mergeCell ref="T2757:T2762"/>
    <mergeCell ref="T2763:T2768"/>
    <mergeCell ref="T2769:T2774"/>
    <mergeCell ref="T2775:T2780"/>
    <mergeCell ref="T2781:T2786"/>
    <mergeCell ref="T2787:T2792"/>
    <mergeCell ref="T2793:T2798"/>
    <mergeCell ref="T2799:T2804"/>
    <mergeCell ref="T2805:T2810"/>
    <mergeCell ref="T2811:T2816"/>
    <mergeCell ref="T2817:T2822"/>
    <mergeCell ref="T2823:T2828"/>
    <mergeCell ref="T2829:T2834"/>
    <mergeCell ref="T2835:T2840"/>
    <mergeCell ref="T2841:T2846"/>
    <mergeCell ref="T2847:T2852"/>
    <mergeCell ref="T2853:T2858"/>
    <mergeCell ref="T2859:T2864"/>
    <mergeCell ref="T2865:T2870"/>
    <mergeCell ref="T2871:T2876"/>
    <mergeCell ref="T2877:T2882"/>
    <mergeCell ref="T2883:T2888"/>
    <mergeCell ref="T2889:T2894"/>
    <mergeCell ref="T2895:T2900"/>
    <mergeCell ref="T2901:T2906"/>
    <mergeCell ref="T2907:T2912"/>
    <mergeCell ref="T2913:T2918"/>
    <mergeCell ref="T2919:T2924"/>
    <mergeCell ref="T2925:T2930"/>
    <mergeCell ref="T2931:T2936"/>
    <mergeCell ref="T2937:T2942"/>
    <mergeCell ref="T2943:T2948"/>
    <mergeCell ref="T2949:T2954"/>
    <mergeCell ref="T2955:T2960"/>
    <mergeCell ref="T2961:T2966"/>
    <mergeCell ref="T2967:T2972"/>
    <mergeCell ref="T2973:T2978"/>
    <mergeCell ref="T2979:T2984"/>
    <mergeCell ref="T2985:T2990"/>
    <mergeCell ref="T2991:T2996"/>
    <mergeCell ref="T2997:T3002"/>
    <mergeCell ref="T3003:T3011"/>
    <mergeCell ref="T3012:T3020"/>
    <mergeCell ref="T3021:T3026"/>
    <mergeCell ref="T3027:T3032"/>
    <mergeCell ref="T3033:T3038"/>
    <mergeCell ref="T3039:T3044"/>
    <mergeCell ref="T3045:T3053"/>
    <mergeCell ref="T3054:T3062"/>
    <mergeCell ref="T3063:T3071"/>
    <mergeCell ref="T3072:T3080"/>
    <mergeCell ref="T3081:T3089"/>
    <mergeCell ref="T3090:T3098"/>
    <mergeCell ref="T3099:T3107"/>
    <mergeCell ref="T3108:T3113"/>
    <mergeCell ref="T3114:T3119"/>
    <mergeCell ref="T3125:T3129"/>
    <mergeCell ref="T3130:T3134"/>
    <mergeCell ref="T3135:T3139"/>
    <mergeCell ref="T3140:T3144"/>
    <mergeCell ref="T3145:T3149"/>
    <mergeCell ref="T3150:T3154"/>
    <mergeCell ref="T3155:T3159"/>
    <mergeCell ref="T3160:T3164"/>
    <mergeCell ref="T3165:T3169"/>
    <mergeCell ref="T3170:T3174"/>
    <mergeCell ref="T3175:T3179"/>
    <mergeCell ref="T3180:T3184"/>
    <mergeCell ref="T3185:T3189"/>
    <mergeCell ref="T3190:T3194"/>
    <mergeCell ref="T3195:T3199"/>
    <mergeCell ref="T3200:T3204"/>
    <mergeCell ref="T3205:T3209"/>
    <mergeCell ref="T3210:T3215"/>
    <mergeCell ref="T3216:T3221"/>
    <mergeCell ref="T3222:T3227"/>
    <mergeCell ref="T3228:T3233"/>
    <mergeCell ref="T3234:T3239"/>
    <mergeCell ref="T3240:T3245"/>
    <mergeCell ref="T3246:T3251"/>
    <mergeCell ref="T3252:T3257"/>
    <mergeCell ref="T3258:T3263"/>
    <mergeCell ref="T3264:T3269"/>
    <mergeCell ref="T3270:T3275"/>
    <mergeCell ref="T3276:T3281"/>
    <mergeCell ref="T3282:T3287"/>
    <mergeCell ref="T3288:T3292"/>
    <mergeCell ref="T3293:T3297"/>
    <mergeCell ref="T3298:T3302"/>
    <mergeCell ref="T3303:T3307"/>
    <mergeCell ref="T3308:T3312"/>
    <mergeCell ref="T3313:T3317"/>
    <mergeCell ref="T3318:T3322"/>
    <mergeCell ref="T3323:T3327"/>
    <mergeCell ref="T3328:T3332"/>
    <mergeCell ref="T3333:T3337"/>
    <mergeCell ref="T3338:T3342"/>
    <mergeCell ref="T3343:T3347"/>
    <mergeCell ref="T3348:T3352"/>
    <mergeCell ref="T3353:T3358"/>
    <mergeCell ref="T3359:T3364"/>
    <mergeCell ref="T3365:T3370"/>
    <mergeCell ref="T3371:T3376"/>
    <mergeCell ref="T3377:T3382"/>
    <mergeCell ref="T3383:T3387"/>
    <mergeCell ref="T3388:T3392"/>
    <mergeCell ref="T3393:T3397"/>
    <mergeCell ref="T3398:T3403"/>
    <mergeCell ref="T3404:T3408"/>
    <mergeCell ref="T3409:T3413"/>
    <mergeCell ref="T3414:T3418"/>
    <mergeCell ref="T3419:T3423"/>
    <mergeCell ref="T3424:T3428"/>
    <mergeCell ref="T3429:T3433"/>
    <mergeCell ref="T3434:T3438"/>
    <mergeCell ref="T3439:T3444"/>
    <mergeCell ref="T3445:T3450"/>
    <mergeCell ref="T3451:T3456"/>
    <mergeCell ref="T3457:T3462"/>
    <mergeCell ref="T3463:T3468"/>
    <mergeCell ref="T3469:T3474"/>
    <mergeCell ref="T3475:T3480"/>
    <mergeCell ref="T3481:T3486"/>
    <mergeCell ref="T3487:T3492"/>
    <mergeCell ref="T3493:T3498"/>
    <mergeCell ref="T3499:T3503"/>
    <mergeCell ref="T3504:T3508"/>
    <mergeCell ref="T3509:T3513"/>
    <mergeCell ref="T3514:T3518"/>
    <mergeCell ref="T3519:T3523"/>
    <mergeCell ref="T3524:T3528"/>
    <mergeCell ref="T3529:T3533"/>
    <mergeCell ref="T3534:T3539"/>
    <mergeCell ref="T3540:T3545"/>
    <mergeCell ref="T3546:T3551"/>
    <mergeCell ref="T3552:T3557"/>
    <mergeCell ref="T3558:T3562"/>
    <mergeCell ref="T3563:T3568"/>
    <mergeCell ref="T3569:T3574"/>
    <mergeCell ref="T3575:T3580"/>
    <mergeCell ref="T3581:T3586"/>
    <mergeCell ref="T3587:T3592"/>
    <mergeCell ref="T3593:T3598"/>
    <mergeCell ref="T3599:T3604"/>
    <mergeCell ref="T3605:T3610"/>
    <mergeCell ref="T3611:T3616"/>
    <mergeCell ref="T3617:T3622"/>
    <mergeCell ref="T3623:T3628"/>
    <mergeCell ref="T3629:T3634"/>
    <mergeCell ref="T3635:T3640"/>
    <mergeCell ref="T3641:T3646"/>
    <mergeCell ref="T3647:T3652"/>
    <mergeCell ref="T3653:T3658"/>
    <mergeCell ref="T3659:T3664"/>
    <mergeCell ref="T3665:T3670"/>
    <mergeCell ref="T3671:T3676"/>
    <mergeCell ref="T3677:T3682"/>
    <mergeCell ref="T3683:T3688"/>
    <mergeCell ref="T3689:T3694"/>
    <mergeCell ref="T3695:T3700"/>
    <mergeCell ref="T3701:T3706"/>
    <mergeCell ref="T3707:T3712"/>
    <mergeCell ref="T3713:T3717"/>
    <mergeCell ref="T3718:T3722"/>
    <mergeCell ref="T3723:T3728"/>
    <mergeCell ref="T3729:T3734"/>
    <mergeCell ref="T3735:T3740"/>
    <mergeCell ref="T3741:T3746"/>
    <mergeCell ref="T3747:T3752"/>
    <mergeCell ref="T3753:T3758"/>
    <mergeCell ref="T3759:T3764"/>
    <mergeCell ref="T3765:T3770"/>
    <mergeCell ref="T3771:T3776"/>
    <mergeCell ref="T3777:T3782"/>
    <mergeCell ref="T3783:T3788"/>
    <mergeCell ref="T3789:T3794"/>
    <mergeCell ref="T3795:T3800"/>
    <mergeCell ref="T3801:T3806"/>
    <mergeCell ref="T3807:T3812"/>
    <mergeCell ref="T3813:T3818"/>
    <mergeCell ref="T3819:T3824"/>
    <mergeCell ref="T3825:T3830"/>
    <mergeCell ref="T3831:T3836"/>
    <mergeCell ref="T3837:T3842"/>
    <mergeCell ref="T3843:T3848"/>
    <mergeCell ref="T3849:T3854"/>
    <mergeCell ref="T3855:T3860"/>
    <mergeCell ref="T3861:T3865"/>
    <mergeCell ref="T3866:T3870"/>
    <mergeCell ref="T3871:T3876"/>
    <mergeCell ref="T3877:T3882"/>
    <mergeCell ref="T3883:T3888"/>
    <mergeCell ref="T3889:T3894"/>
    <mergeCell ref="T3895:T3900"/>
    <mergeCell ref="T3901:T3906"/>
    <mergeCell ref="T3907:T3911"/>
    <mergeCell ref="T3912:T3917"/>
    <mergeCell ref="T3918:T3923"/>
    <mergeCell ref="T3924:T3929"/>
    <mergeCell ref="T3930:T3935"/>
    <mergeCell ref="T3936:T3941"/>
    <mergeCell ref="T3942:T3946"/>
    <mergeCell ref="T3947:T3951"/>
    <mergeCell ref="T3952:T3956"/>
    <mergeCell ref="T3957:T3961"/>
    <mergeCell ref="T3962:T3967"/>
    <mergeCell ref="T3968:T3972"/>
    <mergeCell ref="T3973:T3977"/>
    <mergeCell ref="T3978:T3983"/>
    <mergeCell ref="T3984:T3989"/>
    <mergeCell ref="T3990:T3994"/>
    <mergeCell ref="T3995:T3999"/>
    <mergeCell ref="T4000:T4004"/>
    <mergeCell ref="T4005:T4009"/>
    <mergeCell ref="T4010:T4015"/>
    <mergeCell ref="T4016:T4021"/>
    <mergeCell ref="T4022:T4027"/>
    <mergeCell ref="T4028:T4032"/>
    <mergeCell ref="T4033:T4037"/>
    <mergeCell ref="T4038:T4042"/>
    <mergeCell ref="T4043:T4047"/>
    <mergeCell ref="T4048:T4052"/>
    <mergeCell ref="T4053:T4057"/>
    <mergeCell ref="T4058:T4063"/>
    <mergeCell ref="T4064:T4069"/>
    <mergeCell ref="T4070:T4075"/>
    <mergeCell ref="T4076:T4081"/>
    <mergeCell ref="T4082:T4087"/>
    <mergeCell ref="T4088:T4093"/>
    <mergeCell ref="T4094:T4099"/>
    <mergeCell ref="T4100:T4105"/>
    <mergeCell ref="T4106:T4111"/>
    <mergeCell ref="T4112:T4116"/>
    <mergeCell ref="T4117:T4121"/>
    <mergeCell ref="T4122:T4127"/>
    <mergeCell ref="T4128:T4133"/>
    <mergeCell ref="T4134:T4138"/>
    <mergeCell ref="T4139:T4143"/>
    <mergeCell ref="T4144:T4148"/>
    <mergeCell ref="T4149:T4153"/>
    <mergeCell ref="T4154:T4158"/>
    <mergeCell ref="T4159:T4163"/>
    <mergeCell ref="T4164:T4168"/>
    <mergeCell ref="T4169:T4173"/>
    <mergeCell ref="T4174:T4178"/>
    <mergeCell ref="T4179:T4183"/>
    <mergeCell ref="T4184:T4188"/>
    <mergeCell ref="T4189:T4193"/>
    <mergeCell ref="T4194:T4198"/>
    <mergeCell ref="T4199:T4203"/>
    <mergeCell ref="T4204:T4208"/>
    <mergeCell ref="T4209:T4213"/>
    <mergeCell ref="T4214:T4218"/>
    <mergeCell ref="T4219:T4223"/>
    <mergeCell ref="T4224:T4228"/>
    <mergeCell ref="T4229:T4233"/>
    <mergeCell ref="T4234:T4238"/>
    <mergeCell ref="T4239:T4243"/>
    <mergeCell ref="T4244:T4248"/>
    <mergeCell ref="T4261:T4265"/>
    <mergeCell ref="T4266:T4270"/>
    <mergeCell ref="T4271:T4275"/>
    <mergeCell ref="T4276:T4280"/>
    <mergeCell ref="T4281:T4285"/>
    <mergeCell ref="T4286:T4290"/>
    <mergeCell ref="T4291:T4295"/>
    <mergeCell ref="T4296:T4300"/>
    <mergeCell ref="T4301:T4305"/>
    <mergeCell ref="T4306:T4310"/>
    <mergeCell ref="T4311:T4315"/>
    <mergeCell ref="T4316:T4320"/>
    <mergeCell ref="T4321:T4325"/>
    <mergeCell ref="T4326:T4330"/>
    <mergeCell ref="T4331:T4335"/>
    <mergeCell ref="T4336:T4340"/>
    <mergeCell ref="T4341:T4348"/>
    <mergeCell ref="T4349:T4356"/>
    <mergeCell ref="T4357:T4364"/>
    <mergeCell ref="T4365:T4372"/>
  </mergeCells>
  <conditionalFormatting sqref="U1">
    <cfRule type="duplicateValues" dxfId="0" priority="3"/>
  </conditionalFormatting>
  <conditionalFormatting sqref="V1">
    <cfRule type="duplicateValues" dxfId="0" priority="2"/>
  </conditionalFormatting>
  <conditionalFormatting sqref="W1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carina</cp:lastModifiedBy>
  <dcterms:created xsi:type="dcterms:W3CDTF">2023-05-12T11:15:00Z</dcterms:created>
  <dcterms:modified xsi:type="dcterms:W3CDTF">2026-06-30T06:30:16Z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356DC67A0D064D87B8D9E7E9BCE4E62F_13</vt:lpwstr>
  </property>
  <property fmtid="{D5CDD505-2E9C-101B-9397-08002B2CF9AE}" pid="4" name="CalculationRule">
    <vt:i4>0</vt:i4>
  </property>
</Properties>
</file>